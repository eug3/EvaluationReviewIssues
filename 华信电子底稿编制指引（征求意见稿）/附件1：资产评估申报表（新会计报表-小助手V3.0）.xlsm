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9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0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1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32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33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3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5.xml" ContentType="application/vnd.openxmlformats-officedocument.drawing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drawings/drawing37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8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9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4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4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4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4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44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45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46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47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8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49.xml" ContentType="application/vnd.openxmlformats-officedocument.drawing+xml"/>
  <Override PartName="/xl/ctrlProps/ctrlProp90.xml" ContentType="application/vnd.ms-excel.controlproperties+xml"/>
  <Override PartName="/xl/drawings/drawing50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2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4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5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6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7.xml" ContentType="application/vnd.openxmlformats-officedocument.drawing+xml"/>
  <Override PartName="/xl/ctrlProps/ctrlProp105.xml" ContentType="application/vnd.ms-excel.controlproperties+xml"/>
  <Override PartName="/xl/drawings/drawing58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59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60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61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62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63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64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65.xml" ContentType="application/vnd.openxmlformats-officedocument.drawing+xml"/>
  <Override PartName="/xl/ctrlProps/ctrlProp120.xml" ContentType="application/vnd.ms-excel.controlproperties+xml"/>
  <Override PartName="/xl/drawings/drawing66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67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6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69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70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71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72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73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74.xml" ContentType="application/vnd.openxmlformats-officedocument.drawing+xml"/>
  <Override PartName="/xl/ctrlProps/ctrlProp137.xml" ContentType="application/vnd.ms-excel.controlproperties+xml"/>
  <Override PartName="/xl/drawings/drawing75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76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77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78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79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drawings/drawing80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drawings/drawing81.xml" ContentType="application/vnd.openxmlformats-officedocument.drawing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82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83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84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drawings/drawing85.xml" ContentType="application/vnd.openxmlformats-officedocument.drawing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86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87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88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89.xml" ContentType="application/vnd.openxmlformats-officedocument.drawing+xml"/>
  <Override PartName="/xl/ctrlProps/ctrlProp166.xml" ContentType="application/vnd.ms-excel.controlproperties+xml"/>
  <Override PartName="/xl/ctrlProps/ctrlProp167.xml" ContentType="application/vnd.ms-excel.controlproperties+xml"/>
  <Override PartName="/xl/drawings/drawing90.xml" ContentType="application/vnd.openxmlformats-officedocument.drawing+xml"/>
  <Override PartName="/xl/ctrlProps/ctrlProp168.xml" ContentType="application/vnd.ms-excel.controlproperties+xml"/>
  <Override PartName="/xl/drawings/drawing91.xml" ContentType="application/vnd.openxmlformats-officedocument.drawing+xml"/>
  <Override PartName="/xl/ctrlProps/ctrlProp169.xml" ContentType="application/vnd.ms-excel.controlproperties+xml"/>
  <Override PartName="/xl/ctrlProps/ctrlProp170.xml" ContentType="application/vnd.ms-excel.controlproperties+xml"/>
  <Override PartName="/xl/drawings/drawing92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93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drawings/drawing94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95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drawings/drawing96.xml" ContentType="application/vnd.openxmlformats-officedocument.drawing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97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drawings/drawing98.xml" ContentType="application/vnd.openxmlformats-officedocument.drawing+xml"/>
  <Override PartName="/xl/ctrlProps/ctrlProp183.xml" ContentType="application/vnd.ms-excel.controlproperties+xml"/>
  <Override PartName="/xl/ctrlProps/ctrlProp1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wccy-my.sharepoint.com/personal/yinjun_jshuaxin_net/Documents/公司技术资料库/华信电子底稿编制指引（征求意见稿）/"/>
    </mc:Choice>
  </mc:AlternateContent>
  <xr:revisionPtr revIDLastSave="6" documentId="8_{3010F7CC-C641-471B-874B-B627DD5BA772}" xr6:coauthVersionLast="47" xr6:coauthVersionMax="47" xr10:uidLastSave="{B10AB142-3F63-8844-8E8B-BBC8F0B252D5}"/>
  <bookViews>
    <workbookView xWindow="19960" yWindow="2580" windowWidth="51840" windowHeight="21120" tabRatio="888" activeTab="25" xr2:uid="{CD7B9467-0575-48F3-81E7-F1A7A0F91BB0}"/>
  </bookViews>
  <sheets>
    <sheet name="参数设置" sheetId="159" r:id="rId1"/>
    <sheet name="1-汇总表" sheetId="1" r:id="rId2"/>
    <sheet name="2-分类汇总" sheetId="2" r:id="rId3"/>
    <sheet name="3-流动汇总" sheetId="3" r:id="rId4"/>
    <sheet name="表3-1货币汇总表" sheetId="157" r:id="rId5"/>
    <sheet name="3-2交易性金融资产汇总" sheetId="7" state="hidden" r:id="rId6"/>
    <sheet name="3-1-1现金" sheetId="163" state="hidden" r:id="rId7"/>
    <sheet name="3-1-2银行存款" sheetId="162" r:id="rId8"/>
    <sheet name="3-1-3其他货币资金" sheetId="6" r:id="rId9"/>
    <sheet name="3-2-1交易性-股票" sheetId="8" state="hidden" r:id="rId10"/>
    <sheet name="3-2-2交易性-债券" sheetId="9" state="hidden" r:id="rId11"/>
    <sheet name="3-2-3交易性-基金" sheetId="121" state="hidden" r:id="rId12"/>
    <sheet name="3-2-4交易性-其他" sheetId="179" state="hidden" r:id="rId13"/>
    <sheet name="3-3衍生金融资产" sheetId="169" state="hidden" r:id="rId14"/>
    <sheet name="3-4应收票据" sheetId="98" state="hidden" r:id="rId15"/>
    <sheet name="3-5应收账款" sheetId="11" r:id="rId16"/>
    <sheet name="3-7预付账款" sheetId="14" state="hidden" r:id="rId17"/>
    <sheet name="3-8应收利息" sheetId="13" state="hidden" r:id="rId18"/>
    <sheet name="3-9应收股利" sheetId="12" state="hidden" r:id="rId19"/>
    <sheet name="3-10其他应收款" sheetId="16" r:id="rId20"/>
    <sheet name="3-11存货汇总" sheetId="17" state="hidden" r:id="rId21"/>
    <sheet name="3-11-1材料采购（在途物资）" sheetId="19" r:id="rId22"/>
    <sheet name="3-11-2原材料" sheetId="18" state="hidden" r:id="rId23"/>
    <sheet name="3-11-3在库周转材料" sheetId="20" state="hidden" r:id="rId24"/>
    <sheet name="3-11-4委托加工物资" sheetId="100" state="hidden" r:id="rId25"/>
    <sheet name="3-11-5产成品（库存商品）" sheetId="23" r:id="rId26"/>
    <sheet name="3-11-6在产品（自制半成品）" sheetId="99" state="hidden" r:id="rId27"/>
    <sheet name="3-11-7发出商品" sheetId="116" state="hidden" r:id="rId28"/>
    <sheet name="3-11-8在用周转材料" sheetId="26" state="hidden" r:id="rId29"/>
    <sheet name="3-6应收款项融资" sheetId="177" state="hidden" r:id="rId30"/>
    <sheet name="3-14一年到期非流动资产" sheetId="31" state="hidden" r:id="rId31"/>
    <sheet name="3-12合同资产" sheetId="164" state="hidden" r:id="rId32"/>
    <sheet name="3-13持有待售资产" sheetId="173" state="hidden" r:id="rId33"/>
    <sheet name="3-15其他流动资产" sheetId="32" state="hidden" r:id="rId34"/>
    <sheet name="4-非流动资产汇总" sheetId="150" r:id="rId35"/>
    <sheet name="4-1可供出售金融资产汇总" sheetId="33" state="hidden" r:id="rId36"/>
    <sheet name="4-1-1可出售-股票" sheetId="34" state="hidden" r:id="rId37"/>
    <sheet name="4-1-2可出售-债券" sheetId="35" state="hidden" r:id="rId38"/>
    <sheet name="4-1-3可出售-其他" sheetId="123" state="hidden" r:id="rId39"/>
    <sheet name="4-2持有至到期投资" sheetId="124" state="hidden" r:id="rId40"/>
    <sheet name="4-3长期应收" sheetId="127" state="hidden" r:id="rId41"/>
    <sheet name="4-4股权投资" sheetId="36" state="hidden" r:id="rId42"/>
    <sheet name="4-5其他权益工具投资" sheetId="171" state="hidden" r:id="rId43"/>
    <sheet name="4-6其他非流动金融资产" sheetId="172" state="hidden" r:id="rId44"/>
    <sheet name="4-7-1投资性房地产" sheetId="126" state="hidden" r:id="rId45"/>
    <sheet name="4-7-2投资性房地产" sheetId="154" state="hidden" r:id="rId46"/>
    <sheet name="4-7-3投资性地产" sheetId="156" state="hidden" r:id="rId47"/>
    <sheet name="4-7-4投资性地产" sheetId="155" state="hidden" r:id="rId48"/>
    <sheet name="4-8固定资产汇总" sheetId="37" state="hidden" r:id="rId49"/>
    <sheet name="4-8-1房屋建筑物" sheetId="38" state="hidden" r:id="rId50"/>
    <sheet name="4-8-2构筑物" sheetId="39" state="hidden" r:id="rId51"/>
    <sheet name="4-8-3管道沟槽" sheetId="40" state="hidden" r:id="rId52"/>
    <sheet name="4-8-4机器设备" sheetId="41" state="hidden" r:id="rId53"/>
    <sheet name="4-8-5车辆" sheetId="42" state="hidden" r:id="rId54"/>
    <sheet name="4-8-6电子设备" sheetId="43" state="hidden" r:id="rId55"/>
    <sheet name="4-8-7土地" sheetId="120" state="hidden" r:id="rId56"/>
    <sheet name="4-9在建工程汇总" sheetId="128" state="hidden" r:id="rId57"/>
    <sheet name="4-9-1在建（土建）" sheetId="45" state="hidden" r:id="rId58"/>
    <sheet name="4-9-2在建（设备）" sheetId="46" state="hidden" r:id="rId59"/>
    <sheet name="4-10工程物资" sheetId="44" state="hidden" r:id="rId60"/>
    <sheet name="4-11固定资产清理" sheetId="47" state="hidden" r:id="rId61"/>
    <sheet name="4-12生产性生物资产" sheetId="129" state="hidden" r:id="rId62"/>
    <sheet name="4-13油气资产" sheetId="130" state="hidden" r:id="rId63"/>
    <sheet name="4-14使用权资产" sheetId="178" r:id="rId64"/>
    <sheet name="4-15无形资产汇总" sheetId="131" state="hidden" r:id="rId65"/>
    <sheet name="4-15-1无形-土地" sheetId="49" state="hidden" r:id="rId66"/>
    <sheet name="4-15-2无形-矿业权" sheetId="152" state="hidden" r:id="rId67"/>
    <sheet name="4-15-3无形-其他" sheetId="50" r:id="rId68"/>
    <sheet name="4-16开发支出" sheetId="151" state="hidden" r:id="rId69"/>
    <sheet name="4-17商誉" sheetId="133" state="hidden" r:id="rId70"/>
    <sheet name="4-18长期待摊费用" sheetId="52" state="hidden" r:id="rId71"/>
    <sheet name="4-19递延所得税资产" sheetId="54" r:id="rId72"/>
    <sheet name="4-20其他非流动资产" sheetId="53" state="hidden" r:id="rId73"/>
    <sheet name="5-流动负债汇总" sheetId="55" state="hidden" r:id="rId74"/>
    <sheet name="5-1短期借款" sheetId="56" state="hidden" r:id="rId75"/>
    <sheet name="5-2交易性金融负债" sheetId="134" state="hidden" r:id="rId76"/>
    <sheet name="5-3衍生金融负债" sheetId="170" state="hidden" r:id="rId77"/>
    <sheet name="5-4应付票据" sheetId="57" state="hidden" r:id="rId78"/>
    <sheet name="5-5应付账款" sheetId="58" state="hidden" r:id="rId79"/>
    <sheet name="5-6预收账款" sheetId="59" state="hidden" r:id="rId80"/>
    <sheet name="5-7合同负债" sheetId="165" state="hidden" r:id="rId81"/>
    <sheet name="5-8职工薪酬" sheetId="62" state="hidden" r:id="rId82"/>
    <sheet name="5-9应交税费" sheetId="64" state="hidden" r:id="rId83"/>
    <sheet name="5-10应付利息" sheetId="135" state="hidden" r:id="rId84"/>
    <sheet name="5-11应付股利（利润）" sheetId="65" state="hidden" r:id="rId85"/>
    <sheet name="5-12其他应付款" sheetId="61" state="hidden" r:id="rId86"/>
    <sheet name="5-13持有待售负债" sheetId="175" state="hidden" r:id="rId87"/>
    <sheet name="5-14一年到期非流动负债" sheetId="68" state="hidden" r:id="rId88"/>
    <sheet name="5-15其他流动负债" sheetId="69" state="hidden" r:id="rId89"/>
    <sheet name="6-非流动负债汇总 " sheetId="70" state="hidden" r:id="rId90"/>
    <sheet name="6-1长期借款" sheetId="71" state="hidden" r:id="rId91"/>
    <sheet name="6-2应付债券" sheetId="110" state="hidden" r:id="rId92"/>
    <sheet name="6-3租赁负债" sheetId="176" state="hidden" r:id="rId93"/>
    <sheet name="6-4长期应付款" sheetId="73" state="hidden" r:id="rId94"/>
    <sheet name="6-5专项应付款" sheetId="111" state="hidden" r:id="rId95"/>
    <sheet name="6-6预计负债" sheetId="136" state="hidden" r:id="rId96"/>
    <sheet name="6-7递延所得税负债" sheetId="76" state="hidden" r:id="rId97"/>
    <sheet name="6-8其他非流动负债" sheetId="96" state="hidden" r:id="rId98"/>
  </sheets>
  <definedNames>
    <definedName name="_1_汇总表">参数设置!$A$5</definedName>
    <definedName name="_xlnm.Print_Area" localSheetId="1">'1-汇总表'!$A$1:$F$33</definedName>
    <definedName name="_xlnm.Print_Area" localSheetId="2">'2-分类汇总'!$A$1:$F$70</definedName>
    <definedName name="_xlnm.Print_Area" localSheetId="19">'3-10其他应收款'!$A$1:$J$26</definedName>
    <definedName name="_xlnm.Print_Area" localSheetId="21">'3-11-1材料采购（在途物资）'!$A$1:$L$27</definedName>
    <definedName name="_xlnm.Print_Area" localSheetId="22">'3-11-2原材料'!$A$1:$M$27</definedName>
    <definedName name="_xlnm.Print_Area" localSheetId="23">'3-11-3在库周转材料'!$A$1:$M$27</definedName>
    <definedName name="_xlnm.Print_Area" localSheetId="24">'3-11-4委托加工物资'!$A$1:$M$27</definedName>
    <definedName name="_xlnm.Print_Area" localSheetId="25">'3-11-5产成品（库存商品）'!$A$1:$P$27</definedName>
    <definedName name="_xlnm.Print_Area" localSheetId="26">'3-11-6在产品（自制半成品）'!$A$1:$L$27</definedName>
    <definedName name="_xlnm.Print_Area" localSheetId="27">'3-11-7发出商品'!$A$1:$M$27</definedName>
    <definedName name="_xlnm.Print_Area" localSheetId="28">'3-11-8在用周转材料'!$A$1:$M$27</definedName>
    <definedName name="_xlnm.Print_Area" localSheetId="20">'3-11存货汇总'!$A$1:$F$28</definedName>
    <definedName name="_xlnm.Print_Area" localSheetId="6">'3-1-1现金'!$A$7:$J$26</definedName>
    <definedName name="_xlnm.Print_Area" localSheetId="31">'3-12合同资产'!$A$1:$J$26</definedName>
    <definedName name="_xlnm.Print_Area" localSheetId="7">'3-1-2银行存款'!$A$1:$S$26</definedName>
    <definedName name="_xlnm.Print_Area" localSheetId="32">'3-13持有待售资产'!$A$1:$J$26</definedName>
    <definedName name="_xlnm.Print_Area" localSheetId="8">'3-1-3其他货币资金'!$A$1:$K$26</definedName>
    <definedName name="_xlnm.Print_Area" localSheetId="30">'3-14一年到期非流动资产'!$A$1:$I$26</definedName>
    <definedName name="_xlnm.Print_Area" localSheetId="33">'3-15其他流动资产'!$A$1:$J$26</definedName>
    <definedName name="_xlnm.Print_Area" localSheetId="9">'3-2-1交易性-股票'!$A$1:$L$26</definedName>
    <definedName name="_xlnm.Print_Area" localSheetId="10">'3-2-2交易性-债券'!$A$1:$L$26</definedName>
    <definedName name="_xlnm.Print_Area" localSheetId="11">'3-2-3交易性-基金'!$A$1:$L$26</definedName>
    <definedName name="_xlnm.Print_Area" localSheetId="12">'3-2-4交易性-其他'!$A$1:$L$26</definedName>
    <definedName name="_xlnm.Print_Area" localSheetId="5">'3-2交易性金融资产汇总'!$A$1:$F$26</definedName>
    <definedName name="_xlnm.Print_Area" localSheetId="13">'3-3衍生金融资产'!$A$1:$L$37</definedName>
    <definedName name="_xlnm.Print_Area" localSheetId="14">'3-4应收票据'!$A$1:$J$26</definedName>
    <definedName name="_xlnm.Print_Area" localSheetId="15">'3-5应收账款'!$A$1:$R$26</definedName>
    <definedName name="_xlnm.Print_Area" localSheetId="29">'3-6应收款项融资'!$A$1:$K$26</definedName>
    <definedName name="_xlnm.Print_Area" localSheetId="16">'3-7预付账款'!$A$1:$J$26</definedName>
    <definedName name="_xlnm.Print_Area" localSheetId="17">'3-8应收利息'!$A$1:$O$38</definedName>
    <definedName name="_xlnm.Print_Area" localSheetId="18">'3-9应收股利'!$A$1:$I$46</definedName>
    <definedName name="_xlnm.Print_Area" localSheetId="3">'3-流动汇总'!$A$1:$F$30</definedName>
    <definedName name="_xlnm.Print_Area" localSheetId="59">'4-10工程物资'!$A$1:$M$27</definedName>
    <definedName name="_xlnm.Print_Area" localSheetId="60">'4-11固定资产清理'!$A$1:$H$26</definedName>
    <definedName name="_xlnm.Print_Area" localSheetId="36">'4-1-1可出售-股票'!$A$1:$L$26</definedName>
    <definedName name="_xlnm.Print_Area" localSheetId="37">'4-1-2可出售-债券'!$A$1:$L$26</definedName>
    <definedName name="_xlnm.Print_Area" localSheetId="61">'4-12生产性生物资产'!$A$1:$M$27</definedName>
    <definedName name="_xlnm.Print_Area" localSheetId="38">'4-1-3可出售-其他'!$A$1:$L$37</definedName>
    <definedName name="_xlnm.Print_Area" localSheetId="62">'4-13油气资产'!$A$1:$N$27</definedName>
    <definedName name="_xlnm.Print_Area" localSheetId="63">'4-14使用权资产'!$A$1:$K$27</definedName>
    <definedName name="_xlnm.Print_Area" localSheetId="65">'4-15-1无形-土地'!$A$1:$P$26</definedName>
    <definedName name="_xlnm.Print_Area" localSheetId="66">'4-15-2无形-矿业权'!$A$1:$N$26</definedName>
    <definedName name="_xlnm.Print_Area" localSheetId="67">'4-15-3无形-其他'!$A$1:$K$26</definedName>
    <definedName name="_xlnm.Print_Area" localSheetId="64">'4-15无形资产汇总'!$A$1:$F$28</definedName>
    <definedName name="_xlnm.Print_Area" localSheetId="68">'4-16开发支出'!$A$1:$H$26</definedName>
    <definedName name="_xlnm.Print_Area" localSheetId="69">'4-17商誉'!$A$1:$H$26</definedName>
    <definedName name="_xlnm.Print_Area" localSheetId="70">'4-18长期待摊费用'!$A$1:$K$26</definedName>
    <definedName name="_xlnm.Print_Area" localSheetId="71">'4-19递延所得税资产'!$A$1:$F$26</definedName>
    <definedName name="_xlnm.Print_Area" localSheetId="35">'4-1可供出售金融资产汇总'!$A$1:$F$26</definedName>
    <definedName name="_xlnm.Print_Area" localSheetId="72">'4-20其他非流动资产'!$A$1:$H$26</definedName>
    <definedName name="_xlnm.Print_Area" localSheetId="39">'4-2持有至到期投资'!$A$1:$L$26</definedName>
    <definedName name="_xlnm.Print_Area" localSheetId="40">'4-3长期应收'!$A$1:$I$26</definedName>
    <definedName name="_xlnm.Print_Area" localSheetId="41">'4-4股权投资'!$A$1:$K$26</definedName>
    <definedName name="_xlnm.Print_Area" localSheetId="42">'4-5其他权益工具投资'!$A$1:$L$26</definedName>
    <definedName name="_xlnm.Print_Area" localSheetId="43">'4-6其他非流动金融资产'!$A$1:$H$26</definedName>
    <definedName name="_xlnm.Print_Area" localSheetId="44">'4-7-1投资性房地产'!$A$1:$Q$28</definedName>
    <definedName name="_xlnm.Print_Area" localSheetId="45">'4-7-2投资性房地产'!$A$1:$O$27</definedName>
    <definedName name="_xlnm.Print_Area" localSheetId="46">'4-7-3投资性地产'!$A$1:$Q$27</definedName>
    <definedName name="_xlnm.Print_Area" localSheetId="47">'4-7-4投资性地产'!$A$1:$Q$27</definedName>
    <definedName name="_xlnm.Print_Area" localSheetId="49">'4-8-1房屋建筑物'!$A$1:$P$27</definedName>
    <definedName name="_xlnm.Print_Area" localSheetId="50">'4-8-2构筑物'!$A$1:$P$27</definedName>
    <definedName name="_xlnm.Print_Area" localSheetId="51">'4-8-3管道沟槽'!$A$1:$O$27</definedName>
    <definedName name="_xlnm.Print_Area" localSheetId="52">'4-8-4机器设备'!$A$1:$P$27</definedName>
    <definedName name="_xlnm.Print_Area" localSheetId="53">'4-8-5车辆'!$A$1:$P$27</definedName>
    <definedName name="_xlnm.Print_Area" localSheetId="54">'4-8-6电子设备'!$A$1:$P$27</definedName>
    <definedName name="_xlnm.Print_Area" localSheetId="55">'4-8-7土地'!$A$1:$P$26</definedName>
    <definedName name="_xlnm.Print_Area" localSheetId="48">'4-8固定资产汇总'!$A$1:$J$27</definedName>
    <definedName name="_xlnm.Print_Area" localSheetId="57">'4-9-1在建（土建）'!$A$1:$M$26</definedName>
    <definedName name="_xlnm.Print_Area" localSheetId="58">'4-9-2在建（设备）'!$A$1:$R$27</definedName>
    <definedName name="_xlnm.Print_Area" localSheetId="56">'4-9在建工程汇总'!$A$1:$F$28</definedName>
    <definedName name="_xlnm.Print_Area" localSheetId="34">'4-非流动资产汇总'!$A$1:$F$29</definedName>
    <definedName name="_xlnm.Print_Area" localSheetId="83">'5-10应付利息'!$A$1:$I$26</definedName>
    <definedName name="_xlnm.Print_Area" localSheetId="84">'5-11应付股利（利润）'!$A$1:$G$26</definedName>
    <definedName name="_xlnm.Print_Area" localSheetId="85">'5-12其他应付款'!$A$1:$G$26</definedName>
    <definedName name="_xlnm.Print_Area" localSheetId="86">'5-13持有待售负债'!$A$1:$G$26</definedName>
    <definedName name="_xlnm.Print_Area" localSheetId="87">'5-14一年到期非流动负债'!$A$1:$H$26</definedName>
    <definedName name="_xlnm.Print_Area" localSheetId="88">'5-15其他流动负债'!$A$1:$G$26</definedName>
    <definedName name="_xlnm.Print_Area" localSheetId="74">'5-1短期借款'!$A$1:$K$26</definedName>
    <definedName name="_xlnm.Print_Area" localSheetId="75">'5-2交易性金融负债'!$A$1:$G$26</definedName>
    <definedName name="_xlnm.Print_Area" localSheetId="76">'5-3衍生金融负债'!$A$1:$J$37</definedName>
    <definedName name="_xlnm.Print_Area" localSheetId="77">'5-4应付票据'!$A$1:$H$26</definedName>
    <definedName name="_xlnm.Print_Area" localSheetId="78">'5-5应付账款'!$A$1:$G$26</definedName>
    <definedName name="_xlnm.Print_Area" localSheetId="79">'5-6预收账款'!$A$1:$G$26</definedName>
    <definedName name="_xlnm.Print_Area" localSheetId="80">'5-7合同负债'!$A$1:$G$26</definedName>
    <definedName name="_xlnm.Print_Area" localSheetId="81">'5-8职工薪酬'!$A$1:$F$26</definedName>
    <definedName name="_xlnm.Print_Area" localSheetId="82">'5-9应交税费'!$A$1:$G$26</definedName>
    <definedName name="_xlnm.Print_Area" localSheetId="73">'5-流动负债汇总'!$A$1:$F$29</definedName>
    <definedName name="_xlnm.Print_Area" localSheetId="90">'6-1长期借款'!$A$1:$K$26</definedName>
    <definedName name="_xlnm.Print_Area" localSheetId="91">'6-2应付债券'!$A$1:$I$26</definedName>
    <definedName name="_xlnm.Print_Area" localSheetId="92">'6-3租赁负债'!$A$1:$H$26</definedName>
    <definedName name="_xlnm.Print_Area" localSheetId="93">'6-4长期应付款'!$A$1:$I$27</definedName>
    <definedName name="_xlnm.Print_Area" localSheetId="94">'6-5专项应付款'!$A$1:$G$26</definedName>
    <definedName name="_xlnm.Print_Area" localSheetId="95">'6-6预计负债'!$A$1:$G$26</definedName>
    <definedName name="_xlnm.Print_Area" localSheetId="96">'6-7递延所得税负债'!$A$1:$F$26</definedName>
    <definedName name="_xlnm.Print_Area" localSheetId="97">'6-8其他非流动负债'!$A$1:$G$26</definedName>
    <definedName name="_xlnm.Print_Area" localSheetId="89">'6-非流动负债汇总 '!$A$1:$F$27</definedName>
    <definedName name="_xlnm.Print_Area" localSheetId="4">'表3-1货币汇总表'!$A$1:$G$26</definedName>
    <definedName name="_xlnm.Print_Titles" localSheetId="1">'1-汇总表'!$1:$6</definedName>
    <definedName name="_xlnm.Print_Titles" localSheetId="2">'2-分类汇总'!$1:$5</definedName>
    <definedName name="_xlnm.Print_Titles" localSheetId="19">'3-10其他应收款'!$1:$6</definedName>
    <definedName name="_xlnm.Print_Titles" localSheetId="21">'3-11-1材料采购（在途物资）'!$1:$7</definedName>
    <definedName name="_xlnm.Print_Titles" localSheetId="22">'3-11-2原材料'!$1:$7</definedName>
    <definedName name="_xlnm.Print_Titles" localSheetId="23">'3-11-3在库周转材料'!$1:$7</definedName>
    <definedName name="_xlnm.Print_Titles" localSheetId="24">'3-11-4委托加工物资'!$1:$7</definedName>
    <definedName name="_xlnm.Print_Titles" localSheetId="25">'3-11-5产成品（库存商品）'!$1:$7</definedName>
    <definedName name="_xlnm.Print_Titles" localSheetId="26">'3-11-6在产品（自制半成品）'!$1:$7</definedName>
    <definedName name="_xlnm.Print_Titles" localSheetId="27">'3-11-7发出商品'!$1:$7</definedName>
    <definedName name="_xlnm.Print_Titles" localSheetId="28">'3-11-8在用周转材料'!$1:$7</definedName>
    <definedName name="_xlnm.Print_Titles" localSheetId="6">'3-1-1现金'!$1:$6</definedName>
    <definedName name="_xlnm.Print_Titles" localSheetId="31">'3-12合同资产'!$1:$6</definedName>
    <definedName name="_xlnm.Print_Titles" localSheetId="7">'3-1-2银行存款'!$1:$6</definedName>
    <definedName name="_xlnm.Print_Titles" localSheetId="32">'3-13持有待售资产'!$1:$6</definedName>
    <definedName name="_xlnm.Print_Titles" localSheetId="8">'3-1-3其他货币资金'!$1:$6</definedName>
    <definedName name="_xlnm.Print_Titles" localSheetId="30">'3-14一年到期非流动资产'!$1:$6</definedName>
    <definedName name="_xlnm.Print_Titles" localSheetId="33">'3-15其他流动资产'!$1:$6</definedName>
    <definedName name="_xlnm.Print_Titles" localSheetId="9">'3-2-1交易性-股票'!$1:$6</definedName>
    <definedName name="_xlnm.Print_Titles" localSheetId="10">'3-2-2交易性-债券'!$1:$6</definedName>
    <definedName name="_xlnm.Print_Titles" localSheetId="11">'3-2-3交易性-基金'!$1:$6</definedName>
    <definedName name="_xlnm.Print_Titles" localSheetId="12">'3-2-4交易性-其他'!$1:$6</definedName>
    <definedName name="_xlnm.Print_Titles" localSheetId="13">'3-3衍生金融资产'!$1:$6</definedName>
    <definedName name="_xlnm.Print_Titles" localSheetId="14">'3-4应收票据'!$1:$6</definedName>
    <definedName name="_xlnm.Print_Titles" localSheetId="15">'3-5应收账款'!$1:$6</definedName>
    <definedName name="_xlnm.Print_Titles" localSheetId="29">'3-6应收款项融资'!$1:$6</definedName>
    <definedName name="_xlnm.Print_Titles" localSheetId="16">'3-7预付账款'!$1:$6</definedName>
    <definedName name="_xlnm.Print_Titles" localSheetId="17">'3-8应收利息'!$1:$6</definedName>
    <definedName name="_xlnm.Print_Titles" localSheetId="18">'3-9应收股利'!$1:$6</definedName>
    <definedName name="_xlnm.Print_Titles" localSheetId="59">'4-10工程物资'!$1:$7</definedName>
    <definedName name="_xlnm.Print_Titles" localSheetId="60">'4-11固定资产清理'!$1:$6</definedName>
    <definedName name="_xlnm.Print_Titles" localSheetId="36">'4-1-1可出售-股票'!$1:$6</definedName>
    <definedName name="_xlnm.Print_Titles" localSheetId="37">'4-1-2可出售-债券'!$1:$6</definedName>
    <definedName name="_xlnm.Print_Titles" localSheetId="61">'4-12生产性生物资产'!$1:$7</definedName>
    <definedName name="_xlnm.Print_Titles" localSheetId="38">'4-1-3可出售-其他'!$1:$6</definedName>
    <definedName name="_xlnm.Print_Titles" localSheetId="62">'4-13油气资产'!$1:$7</definedName>
    <definedName name="_xlnm.Print_Titles" localSheetId="63">'4-14使用权资产'!$1:$6</definedName>
    <definedName name="_xlnm.Print_Titles" localSheetId="65">'4-15-1无形-土地'!$1:$6</definedName>
    <definedName name="_xlnm.Print_Titles" localSheetId="66">'4-15-2无形-矿业权'!$1:$6</definedName>
    <definedName name="_xlnm.Print_Titles" localSheetId="67">'4-15-3无形-其他'!$1:$6</definedName>
    <definedName name="_xlnm.Print_Titles" localSheetId="68">'4-16开发支出'!$1:$6</definedName>
    <definedName name="_xlnm.Print_Titles" localSheetId="69">'4-17商誉'!$1:$6</definedName>
    <definedName name="_xlnm.Print_Titles" localSheetId="70">'4-18长期待摊费用'!$1:$6</definedName>
    <definedName name="_xlnm.Print_Titles" localSheetId="71">'4-19递延所得税资产'!$1:$6</definedName>
    <definedName name="_xlnm.Print_Titles" localSheetId="72">'4-20其他非流动资产'!$1:$6</definedName>
    <definedName name="_xlnm.Print_Titles" localSheetId="39">'4-2持有至到期投资'!$1:$6</definedName>
    <definedName name="_xlnm.Print_Titles" localSheetId="40">'4-3长期应收'!$1:$6</definedName>
    <definedName name="_xlnm.Print_Titles" localSheetId="41">'4-4股权投资'!$1:$6</definedName>
    <definedName name="_xlnm.Print_Titles" localSheetId="42">'4-5其他权益工具投资'!$1:$6</definedName>
    <definedName name="_xlnm.Print_Titles" localSheetId="43">'4-6其他非流动金融资产'!$1:$6</definedName>
    <definedName name="_xlnm.Print_Titles" localSheetId="44">'4-7-1投资性房地产'!$1:$8</definedName>
    <definedName name="_xlnm.Print_Titles" localSheetId="45">'4-7-2投资性房地产'!$1:$7</definedName>
    <definedName name="_xlnm.Print_Titles" localSheetId="46">'4-7-3投资性地产'!$1:$7</definedName>
    <definedName name="_xlnm.Print_Titles" localSheetId="47">'4-7-4投资性地产'!$1:$7</definedName>
    <definedName name="_xlnm.Print_Titles" localSheetId="49">'4-8-1房屋建筑物'!$1:$7</definedName>
    <definedName name="_xlnm.Print_Titles" localSheetId="50">'4-8-2构筑物'!$1:$7</definedName>
    <definedName name="_xlnm.Print_Titles" localSheetId="51">'4-8-3管道沟槽'!$1:$7</definedName>
    <definedName name="_xlnm.Print_Titles" localSheetId="52">'4-8-4机器设备'!$1:$7</definedName>
    <definedName name="_xlnm.Print_Titles" localSheetId="53">'4-8-5车辆'!$1:$7</definedName>
    <definedName name="_xlnm.Print_Titles" localSheetId="54">'4-8-6电子设备'!$1:$7</definedName>
    <definedName name="_xlnm.Print_Titles" localSheetId="55">'4-8-7土地'!$1:$6</definedName>
    <definedName name="_xlnm.Print_Titles" localSheetId="57">'4-9-1在建（土建）'!$1:$6</definedName>
    <definedName name="_xlnm.Print_Titles" localSheetId="58">'4-9-2在建（设备）'!$1:$7</definedName>
    <definedName name="_xlnm.Print_Titles" localSheetId="83">'5-10应付利息'!$1:$6</definedName>
    <definedName name="_xlnm.Print_Titles" localSheetId="84">'5-11应付股利（利润）'!$1:$6</definedName>
    <definedName name="_xlnm.Print_Titles" localSheetId="85">'5-12其他应付款'!$1:$6</definedName>
    <definedName name="_xlnm.Print_Titles" localSheetId="86">'5-13持有待售负债'!$1:$6</definedName>
    <definedName name="_xlnm.Print_Titles" localSheetId="87">'5-14一年到期非流动负债'!$1:$6</definedName>
    <definedName name="_xlnm.Print_Titles" localSheetId="88">'5-15其他流动负债'!$1:$6</definedName>
    <definedName name="_xlnm.Print_Titles" localSheetId="74">'5-1短期借款'!$1:$6</definedName>
    <definedName name="_xlnm.Print_Titles" localSheetId="75">'5-2交易性金融负债'!$1:$6</definedName>
    <definedName name="_xlnm.Print_Titles" localSheetId="76">'5-3衍生金融负债'!$1:$6</definedName>
    <definedName name="_xlnm.Print_Titles" localSheetId="77">'5-4应付票据'!$1:$6</definedName>
    <definedName name="_xlnm.Print_Titles" localSheetId="78">'5-5应付账款'!$1:$6</definedName>
    <definedName name="_xlnm.Print_Titles" localSheetId="79">'5-6预收账款'!$1:$6</definedName>
    <definedName name="_xlnm.Print_Titles" localSheetId="80">'5-7合同负债'!$1:$6</definedName>
    <definedName name="_xlnm.Print_Titles" localSheetId="82">'5-9应交税费'!$1:$6</definedName>
    <definedName name="_xlnm.Print_Titles" localSheetId="90">'6-1长期借款'!$1:$6</definedName>
    <definedName name="_xlnm.Print_Titles" localSheetId="91">'6-2应付债券'!$1:$6</definedName>
    <definedName name="_xlnm.Print_Titles" localSheetId="92">'6-3租赁负债'!$1:$6</definedName>
    <definedName name="_xlnm.Print_Titles" localSheetId="93">'6-4长期应付款'!$1:$7</definedName>
    <definedName name="_xlnm.Print_Titles" localSheetId="94">'6-5专项应付款'!$1:$6</definedName>
    <definedName name="_xlnm.Print_Titles" localSheetId="95">'6-6预计负债'!$1:$6</definedName>
    <definedName name="_xlnm.Print_Titles" localSheetId="96">'6-7递延所得税负债'!$1:$6</definedName>
    <definedName name="_xlnm.Print_Titles" localSheetId="97">'6-8其他非流动负债'!$1:$6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6" l="1"/>
  <c r="H7" i="6"/>
  <c r="H8" i="162"/>
  <c r="H7" i="162"/>
  <c r="K46" i="179"/>
  <c r="J46" i="179"/>
  <c r="K45" i="179"/>
  <c r="J45" i="179"/>
  <c r="K44" i="179"/>
  <c r="J44" i="179"/>
  <c r="K43" i="179"/>
  <c r="J43" i="179"/>
  <c r="K42" i="179"/>
  <c r="J42" i="179"/>
  <c r="K41" i="179"/>
  <c r="J41" i="179"/>
  <c r="K40" i="179"/>
  <c r="J40" i="179"/>
  <c r="K39" i="179"/>
  <c r="J39" i="179"/>
  <c r="K38" i="179"/>
  <c r="J38" i="179"/>
  <c r="K37" i="179"/>
  <c r="J37" i="179"/>
  <c r="K36" i="179"/>
  <c r="J36" i="179"/>
  <c r="K35" i="179"/>
  <c r="J35" i="179"/>
  <c r="K34" i="179"/>
  <c r="J34" i="179"/>
  <c r="K33" i="179"/>
  <c r="J33" i="179"/>
  <c r="K32" i="179"/>
  <c r="J32" i="179"/>
  <c r="K31" i="179"/>
  <c r="J31" i="179"/>
  <c r="K30" i="179"/>
  <c r="J30" i="179"/>
  <c r="K29" i="179"/>
  <c r="J29" i="179"/>
  <c r="K28" i="179"/>
  <c r="J28" i="179"/>
  <c r="K27" i="179"/>
  <c r="J27" i="179"/>
  <c r="K25" i="179"/>
  <c r="J25" i="179"/>
  <c r="K24" i="179"/>
  <c r="J24" i="179"/>
  <c r="K23" i="179"/>
  <c r="J23" i="179"/>
  <c r="K22" i="179"/>
  <c r="J22" i="179"/>
  <c r="K21" i="179"/>
  <c r="J21" i="179"/>
  <c r="K20" i="179"/>
  <c r="J20" i="179"/>
  <c r="K19" i="179"/>
  <c r="J19" i="179"/>
  <c r="K18" i="179"/>
  <c r="J18" i="179"/>
  <c r="K17" i="179"/>
  <c r="J17" i="179"/>
  <c r="K16" i="179"/>
  <c r="J16" i="179"/>
  <c r="K15" i="179"/>
  <c r="J15" i="179"/>
  <c r="K14" i="179"/>
  <c r="J14" i="179"/>
  <c r="K13" i="179"/>
  <c r="J13" i="179"/>
  <c r="K12" i="179"/>
  <c r="J12" i="179"/>
  <c r="K11" i="179"/>
  <c r="J11" i="179"/>
  <c r="K10" i="179"/>
  <c r="J10" i="179"/>
  <c r="K9" i="179"/>
  <c r="J9" i="179"/>
  <c r="K8" i="179"/>
  <c r="J8" i="179"/>
  <c r="J7" i="179"/>
  <c r="K7" i="179"/>
  <c r="A5" i="179"/>
  <c r="A2" i="179"/>
  <c r="H22" i="170"/>
  <c r="I22" i="170"/>
  <c r="H23" i="170"/>
  <c r="I23" i="170"/>
  <c r="K11" i="26"/>
  <c r="L11" i="26"/>
  <c r="H45" i="12"/>
  <c r="G45" i="12"/>
  <c r="H44" i="12"/>
  <c r="G44" i="12"/>
  <c r="H43" i="12"/>
  <c r="G43" i="12"/>
  <c r="H42" i="12"/>
  <c r="G42" i="12"/>
  <c r="H41" i="12"/>
  <c r="G41" i="12"/>
  <c r="H40" i="12"/>
  <c r="G40" i="12"/>
  <c r="H39" i="12"/>
  <c r="G39" i="12"/>
  <c r="H38" i="12"/>
  <c r="G38" i="12"/>
  <c r="H37" i="12"/>
  <c r="G37" i="12"/>
  <c r="H36" i="12"/>
  <c r="G36" i="12"/>
  <c r="H35" i="12"/>
  <c r="G35" i="12"/>
  <c r="G34" i="12"/>
  <c r="H34" i="12"/>
  <c r="H33" i="12"/>
  <c r="G33" i="12"/>
  <c r="H32" i="12"/>
  <c r="G32" i="12"/>
  <c r="G31" i="12"/>
  <c r="H31" i="12"/>
  <c r="H30" i="12"/>
  <c r="G30" i="12"/>
  <c r="H29" i="12"/>
  <c r="G29" i="12"/>
  <c r="H28" i="12"/>
  <c r="G28" i="12"/>
  <c r="H27" i="12"/>
  <c r="G27" i="12"/>
  <c r="H26" i="12"/>
  <c r="G26" i="12"/>
  <c r="H11" i="163"/>
  <c r="I11" i="163"/>
  <c r="H12" i="163"/>
  <c r="I12" i="163"/>
  <c r="H13" i="163"/>
  <c r="I13" i="163"/>
  <c r="H14" i="163"/>
  <c r="I14" i="163"/>
  <c r="H15" i="163"/>
  <c r="I15" i="163"/>
  <c r="H16" i="163"/>
  <c r="I16" i="163"/>
  <c r="H17" i="163"/>
  <c r="I17" i="163"/>
  <c r="H18" i="163"/>
  <c r="I18" i="163"/>
  <c r="H19" i="163"/>
  <c r="I19" i="163"/>
  <c r="H20" i="163"/>
  <c r="I20" i="163"/>
  <c r="H21" i="163"/>
  <c r="I21" i="163"/>
  <c r="H22" i="163"/>
  <c r="I22" i="163"/>
  <c r="H23" i="163"/>
  <c r="I23" i="163"/>
  <c r="H24" i="163"/>
  <c r="I24" i="163"/>
  <c r="H25" i="163"/>
  <c r="I25" i="163"/>
  <c r="J47" i="178"/>
  <c r="J46" i="178"/>
  <c r="J45" i="178"/>
  <c r="J44" i="178"/>
  <c r="J43" i="178"/>
  <c r="J42" i="178"/>
  <c r="J41" i="178"/>
  <c r="J40" i="178"/>
  <c r="J39" i="178"/>
  <c r="J38" i="178"/>
  <c r="J37" i="178"/>
  <c r="J36" i="178"/>
  <c r="J35" i="178"/>
  <c r="J34" i="178"/>
  <c r="J33" i="178"/>
  <c r="J32" i="178"/>
  <c r="J31" i="178"/>
  <c r="J30" i="178"/>
  <c r="J29" i="178"/>
  <c r="J28" i="178"/>
  <c r="J24" i="178"/>
  <c r="J22" i="178"/>
  <c r="J21" i="178"/>
  <c r="J20" i="178"/>
  <c r="J19" i="178"/>
  <c r="J18" i="178"/>
  <c r="J17" i="178"/>
  <c r="J16" i="178"/>
  <c r="J15" i="178"/>
  <c r="J14" i="178"/>
  <c r="J13" i="178"/>
  <c r="J12" i="178"/>
  <c r="J11" i="178"/>
  <c r="J10" i="178"/>
  <c r="J9" i="178"/>
  <c r="J8" i="178"/>
  <c r="J7" i="178"/>
  <c r="A5" i="135"/>
  <c r="A4" i="2"/>
  <c r="J46" i="177"/>
  <c r="I46" i="177"/>
  <c r="J45" i="177"/>
  <c r="I45" i="177"/>
  <c r="J44" i="177"/>
  <c r="I44" i="177"/>
  <c r="J43" i="177"/>
  <c r="I43" i="177"/>
  <c r="J42" i="177"/>
  <c r="I42" i="177"/>
  <c r="J41" i="177"/>
  <c r="I41" i="177"/>
  <c r="J40" i="177"/>
  <c r="I40" i="177"/>
  <c r="J39" i="177"/>
  <c r="I39" i="177"/>
  <c r="J38" i="177"/>
  <c r="I38" i="177"/>
  <c r="J37" i="177"/>
  <c r="I37" i="177"/>
  <c r="J36" i="177"/>
  <c r="I36" i="177"/>
  <c r="J35" i="177"/>
  <c r="I35" i="177"/>
  <c r="J34" i="177"/>
  <c r="I34" i="177"/>
  <c r="J33" i="177"/>
  <c r="I33" i="177"/>
  <c r="J32" i="177"/>
  <c r="I32" i="177"/>
  <c r="J31" i="177"/>
  <c r="I31" i="177"/>
  <c r="J30" i="177"/>
  <c r="I30" i="177"/>
  <c r="J29" i="177"/>
  <c r="I29" i="177"/>
  <c r="J28" i="177"/>
  <c r="I28" i="177"/>
  <c r="J27" i="177"/>
  <c r="I27" i="177"/>
  <c r="J23" i="177"/>
  <c r="I23" i="177"/>
  <c r="J22" i="177"/>
  <c r="I22" i="177"/>
  <c r="J21" i="177"/>
  <c r="I21" i="177"/>
  <c r="J20" i="177"/>
  <c r="I20" i="177"/>
  <c r="J19" i="177"/>
  <c r="I19" i="177"/>
  <c r="J18" i="177"/>
  <c r="I18" i="177"/>
  <c r="J17" i="177"/>
  <c r="I17" i="177"/>
  <c r="J16" i="177"/>
  <c r="I16" i="177"/>
  <c r="J15" i="177"/>
  <c r="I15" i="177"/>
  <c r="J14" i="177"/>
  <c r="I14" i="177"/>
  <c r="J13" i="177"/>
  <c r="I13" i="177"/>
  <c r="J12" i="177"/>
  <c r="I12" i="177"/>
  <c r="J11" i="177"/>
  <c r="I11" i="177"/>
  <c r="J10" i="177"/>
  <c r="I10" i="177"/>
  <c r="J9" i="177"/>
  <c r="I9" i="177"/>
  <c r="J8" i="177"/>
  <c r="I8" i="177"/>
  <c r="J7" i="177"/>
  <c r="I7" i="177"/>
  <c r="I46" i="173"/>
  <c r="H46" i="173"/>
  <c r="I45" i="173"/>
  <c r="H45" i="173"/>
  <c r="I44" i="173"/>
  <c r="H44" i="173"/>
  <c r="I43" i="173"/>
  <c r="H43" i="173"/>
  <c r="I42" i="173"/>
  <c r="H42" i="173"/>
  <c r="I41" i="173"/>
  <c r="H41" i="173"/>
  <c r="I40" i="173"/>
  <c r="H40" i="173"/>
  <c r="I39" i="173"/>
  <c r="H39" i="173"/>
  <c r="I38" i="173"/>
  <c r="H38" i="173"/>
  <c r="I37" i="173"/>
  <c r="H37" i="173"/>
  <c r="I36" i="173"/>
  <c r="H36" i="173"/>
  <c r="I35" i="173"/>
  <c r="H35" i="173"/>
  <c r="I34" i="173"/>
  <c r="H34" i="173"/>
  <c r="I33" i="173"/>
  <c r="H33" i="173"/>
  <c r="I32" i="173"/>
  <c r="H32" i="173"/>
  <c r="I31" i="173"/>
  <c r="H31" i="173"/>
  <c r="I30" i="173"/>
  <c r="H30" i="173"/>
  <c r="I29" i="173"/>
  <c r="H29" i="173"/>
  <c r="I28" i="173"/>
  <c r="H28" i="173"/>
  <c r="I27" i="173"/>
  <c r="H27" i="173"/>
  <c r="I25" i="173"/>
  <c r="H25" i="173"/>
  <c r="I24" i="173"/>
  <c r="H24" i="173"/>
  <c r="I23" i="173"/>
  <c r="H23" i="173"/>
  <c r="I22" i="173"/>
  <c r="H22" i="173"/>
  <c r="I21" i="173"/>
  <c r="H21" i="173"/>
  <c r="I20" i="173"/>
  <c r="H20" i="173"/>
  <c r="I19" i="173"/>
  <c r="H19" i="173"/>
  <c r="I18" i="173"/>
  <c r="H18" i="173"/>
  <c r="I17" i="173"/>
  <c r="H17" i="173"/>
  <c r="I16" i="173"/>
  <c r="H16" i="173"/>
  <c r="I15" i="173"/>
  <c r="H15" i="173"/>
  <c r="I14" i="173"/>
  <c r="H14" i="173"/>
  <c r="I13" i="173"/>
  <c r="H13" i="173"/>
  <c r="I12" i="173"/>
  <c r="H12" i="173"/>
  <c r="I11" i="173"/>
  <c r="H11" i="173"/>
  <c r="H10" i="173"/>
  <c r="I10" i="173"/>
  <c r="I9" i="173"/>
  <c r="H9" i="173"/>
  <c r="H8" i="173"/>
  <c r="I8" i="173"/>
  <c r="I7" i="173"/>
  <c r="H7" i="173"/>
  <c r="G46" i="172"/>
  <c r="F46" i="172"/>
  <c r="G45" i="172"/>
  <c r="F45" i="172"/>
  <c r="G44" i="172"/>
  <c r="F44" i="172"/>
  <c r="G43" i="172"/>
  <c r="F43" i="172"/>
  <c r="G42" i="172"/>
  <c r="F42" i="172"/>
  <c r="G41" i="172"/>
  <c r="F41" i="172"/>
  <c r="G40" i="172"/>
  <c r="F40" i="172"/>
  <c r="G39" i="172"/>
  <c r="F39" i="172"/>
  <c r="G38" i="172"/>
  <c r="F38" i="172"/>
  <c r="G37" i="172"/>
  <c r="F37" i="172"/>
  <c r="G36" i="172"/>
  <c r="F36" i="172"/>
  <c r="G35" i="172"/>
  <c r="F35" i="172"/>
  <c r="G34" i="172"/>
  <c r="F34" i="172"/>
  <c r="G33" i="172"/>
  <c r="F33" i="172"/>
  <c r="G32" i="172"/>
  <c r="F32" i="172"/>
  <c r="G31" i="172"/>
  <c r="F31" i="172"/>
  <c r="G30" i="172"/>
  <c r="F30" i="172"/>
  <c r="G29" i="172"/>
  <c r="F29" i="172"/>
  <c r="G28" i="172"/>
  <c r="F28" i="172"/>
  <c r="G27" i="172"/>
  <c r="F27" i="172"/>
  <c r="G25" i="172"/>
  <c r="F25" i="172"/>
  <c r="G24" i="172"/>
  <c r="F24" i="172"/>
  <c r="G23" i="172"/>
  <c r="F23" i="172"/>
  <c r="G22" i="172"/>
  <c r="F22" i="172"/>
  <c r="G21" i="172"/>
  <c r="F21" i="172"/>
  <c r="G20" i="172"/>
  <c r="F20" i="172"/>
  <c r="G19" i="172"/>
  <c r="F19" i="172"/>
  <c r="G18" i="172"/>
  <c r="F18" i="172"/>
  <c r="G17" i="172"/>
  <c r="F17" i="172"/>
  <c r="G16" i="172"/>
  <c r="F16" i="172"/>
  <c r="G15" i="172"/>
  <c r="F15" i="172"/>
  <c r="G14" i="172"/>
  <c r="F14" i="172"/>
  <c r="G13" i="172"/>
  <c r="F13" i="172"/>
  <c r="G12" i="172"/>
  <c r="F12" i="172"/>
  <c r="G11" i="172"/>
  <c r="F11" i="172"/>
  <c r="G10" i="172"/>
  <c r="F10" i="172"/>
  <c r="G9" i="172"/>
  <c r="F9" i="172"/>
  <c r="G8" i="172"/>
  <c r="F8" i="172"/>
  <c r="G7" i="172"/>
  <c r="F7" i="172"/>
  <c r="K46" i="171"/>
  <c r="J46" i="171"/>
  <c r="K45" i="171"/>
  <c r="J45" i="171"/>
  <c r="K44" i="171"/>
  <c r="J44" i="171"/>
  <c r="K43" i="171"/>
  <c r="J43" i="171"/>
  <c r="K42" i="171"/>
  <c r="J42" i="171"/>
  <c r="K41" i="171"/>
  <c r="J41" i="171"/>
  <c r="K40" i="171"/>
  <c r="J40" i="171"/>
  <c r="K39" i="171"/>
  <c r="J39" i="171"/>
  <c r="K38" i="171"/>
  <c r="J38" i="171"/>
  <c r="K37" i="171"/>
  <c r="J37" i="171"/>
  <c r="K36" i="171"/>
  <c r="J36" i="171"/>
  <c r="K35" i="171"/>
  <c r="J35" i="171"/>
  <c r="K34" i="171"/>
  <c r="J34" i="171"/>
  <c r="K33" i="171"/>
  <c r="J33" i="171"/>
  <c r="K32" i="171"/>
  <c r="J32" i="171"/>
  <c r="K31" i="171"/>
  <c r="J31" i="171"/>
  <c r="K30" i="171"/>
  <c r="J30" i="171"/>
  <c r="K29" i="171"/>
  <c r="J29" i="171"/>
  <c r="K28" i="171"/>
  <c r="J28" i="171"/>
  <c r="K27" i="171"/>
  <c r="J27" i="171"/>
  <c r="G24" i="171"/>
  <c r="G26" i="171"/>
  <c r="K23" i="171"/>
  <c r="J23" i="171"/>
  <c r="K22" i="171"/>
  <c r="J22" i="171"/>
  <c r="K21" i="171"/>
  <c r="J21" i="171"/>
  <c r="K20" i="171"/>
  <c r="J20" i="171"/>
  <c r="K19" i="171"/>
  <c r="J19" i="171"/>
  <c r="K18" i="171"/>
  <c r="J18" i="171"/>
  <c r="K17" i="171"/>
  <c r="J17" i="171"/>
  <c r="K16" i="171"/>
  <c r="J16" i="171"/>
  <c r="K15" i="171"/>
  <c r="J15" i="171"/>
  <c r="K14" i="171"/>
  <c r="J14" i="171"/>
  <c r="K13" i="171"/>
  <c r="J13" i="171"/>
  <c r="K12" i="171"/>
  <c r="J12" i="171"/>
  <c r="K11" i="171"/>
  <c r="J11" i="171"/>
  <c r="K10" i="171"/>
  <c r="J10" i="171"/>
  <c r="K9" i="171"/>
  <c r="J9" i="171"/>
  <c r="K8" i="171"/>
  <c r="J8" i="171"/>
  <c r="K7" i="171"/>
  <c r="J7" i="171"/>
  <c r="I46" i="170"/>
  <c r="H46" i="170"/>
  <c r="I45" i="170"/>
  <c r="H45" i="170"/>
  <c r="I44" i="170"/>
  <c r="H44" i="170"/>
  <c r="I43" i="170"/>
  <c r="H43" i="170"/>
  <c r="I42" i="170"/>
  <c r="H42" i="170"/>
  <c r="I41" i="170"/>
  <c r="H41" i="170"/>
  <c r="I40" i="170"/>
  <c r="H40" i="170"/>
  <c r="I39" i="170"/>
  <c r="H39" i="170"/>
  <c r="I38" i="170"/>
  <c r="H38" i="170"/>
  <c r="I37" i="170"/>
  <c r="H37" i="170"/>
  <c r="I36" i="170"/>
  <c r="H36" i="170"/>
  <c r="I35" i="170"/>
  <c r="H35" i="170"/>
  <c r="I34" i="170"/>
  <c r="H34" i="170"/>
  <c r="I33" i="170"/>
  <c r="H33" i="170"/>
  <c r="I32" i="170"/>
  <c r="H32" i="170"/>
  <c r="I31" i="170"/>
  <c r="H31" i="170"/>
  <c r="I30" i="170"/>
  <c r="H30" i="170"/>
  <c r="I29" i="170"/>
  <c r="H29" i="170"/>
  <c r="I28" i="170"/>
  <c r="H28" i="170"/>
  <c r="I27" i="170"/>
  <c r="H27" i="170"/>
  <c r="I21" i="170"/>
  <c r="H21" i="170"/>
  <c r="I20" i="170"/>
  <c r="H20" i="170"/>
  <c r="I19" i="170"/>
  <c r="H19" i="170"/>
  <c r="I18" i="170"/>
  <c r="H18" i="170"/>
  <c r="I17" i="170"/>
  <c r="H17" i="170"/>
  <c r="I16" i="170"/>
  <c r="H16" i="170"/>
  <c r="I15" i="170"/>
  <c r="H15" i="170"/>
  <c r="I14" i="170"/>
  <c r="H14" i="170"/>
  <c r="I13" i="170"/>
  <c r="H13" i="170"/>
  <c r="I12" i="170"/>
  <c r="H12" i="170"/>
  <c r="I11" i="170"/>
  <c r="H11" i="170"/>
  <c r="I10" i="170"/>
  <c r="H10" i="170"/>
  <c r="H9" i="170"/>
  <c r="I9" i="170"/>
  <c r="I8" i="170"/>
  <c r="H8" i="170"/>
  <c r="I7" i="170"/>
  <c r="H7" i="170"/>
  <c r="K46" i="169"/>
  <c r="J46" i="169"/>
  <c r="K45" i="169"/>
  <c r="J45" i="169"/>
  <c r="K44" i="169"/>
  <c r="J44" i="169"/>
  <c r="K43" i="169"/>
  <c r="J43" i="169"/>
  <c r="K42" i="169"/>
  <c r="J42" i="169"/>
  <c r="K41" i="169"/>
  <c r="J41" i="169"/>
  <c r="K40" i="169"/>
  <c r="J40" i="169"/>
  <c r="K39" i="169"/>
  <c r="J39" i="169"/>
  <c r="K38" i="169"/>
  <c r="J38" i="169"/>
  <c r="K37" i="169"/>
  <c r="J37" i="169"/>
  <c r="K36" i="169"/>
  <c r="J36" i="169"/>
  <c r="K35" i="169"/>
  <c r="J35" i="169"/>
  <c r="K34" i="169"/>
  <c r="J34" i="169"/>
  <c r="K33" i="169"/>
  <c r="J33" i="169"/>
  <c r="K32" i="169"/>
  <c r="J32" i="169"/>
  <c r="K31" i="169"/>
  <c r="J31" i="169"/>
  <c r="K30" i="169"/>
  <c r="J30" i="169"/>
  <c r="K29" i="169"/>
  <c r="J29" i="169"/>
  <c r="K28" i="169"/>
  <c r="J28" i="169"/>
  <c r="K27" i="169"/>
  <c r="J27" i="169"/>
  <c r="K23" i="169"/>
  <c r="J23" i="169"/>
  <c r="K22" i="169"/>
  <c r="J22" i="169"/>
  <c r="K21" i="169"/>
  <c r="J21" i="169"/>
  <c r="K20" i="169"/>
  <c r="J20" i="169"/>
  <c r="K19" i="169"/>
  <c r="J19" i="169"/>
  <c r="K18" i="169"/>
  <c r="J18" i="169"/>
  <c r="K17" i="169"/>
  <c r="J17" i="169"/>
  <c r="K16" i="169"/>
  <c r="J16" i="169"/>
  <c r="K15" i="169"/>
  <c r="J15" i="169"/>
  <c r="K14" i="169"/>
  <c r="J14" i="169"/>
  <c r="K13" i="169"/>
  <c r="J13" i="169"/>
  <c r="K12" i="169"/>
  <c r="J12" i="169"/>
  <c r="K11" i="169"/>
  <c r="J11" i="169"/>
  <c r="K10" i="169"/>
  <c r="J10" i="169"/>
  <c r="K9" i="169"/>
  <c r="J9" i="169"/>
  <c r="J8" i="169"/>
  <c r="K8" i="169"/>
  <c r="J7" i="169"/>
  <c r="K7" i="169"/>
  <c r="I46" i="164"/>
  <c r="H46" i="164"/>
  <c r="I45" i="164"/>
  <c r="H45" i="164"/>
  <c r="I44" i="164"/>
  <c r="H44" i="164"/>
  <c r="I43" i="164"/>
  <c r="H43" i="164"/>
  <c r="I42" i="164"/>
  <c r="H42" i="164"/>
  <c r="I41" i="164"/>
  <c r="H41" i="164"/>
  <c r="I40" i="164"/>
  <c r="H40" i="164"/>
  <c r="I39" i="164"/>
  <c r="H39" i="164"/>
  <c r="I38" i="164"/>
  <c r="H38" i="164"/>
  <c r="I37" i="164"/>
  <c r="H37" i="164"/>
  <c r="I36" i="164"/>
  <c r="H36" i="164"/>
  <c r="I35" i="164"/>
  <c r="H35" i="164"/>
  <c r="I34" i="164"/>
  <c r="H34" i="164"/>
  <c r="I33" i="164"/>
  <c r="H33" i="164"/>
  <c r="I32" i="164"/>
  <c r="H32" i="164"/>
  <c r="I31" i="164"/>
  <c r="H31" i="164"/>
  <c r="I30" i="164"/>
  <c r="H30" i="164"/>
  <c r="I29" i="164"/>
  <c r="H29" i="164"/>
  <c r="I28" i="164"/>
  <c r="H28" i="164"/>
  <c r="I27" i="164"/>
  <c r="H27" i="164"/>
  <c r="I23" i="164"/>
  <c r="H23" i="164"/>
  <c r="I22" i="164"/>
  <c r="H22" i="164"/>
  <c r="I21" i="164"/>
  <c r="H21" i="164"/>
  <c r="I20" i="164"/>
  <c r="H20" i="164"/>
  <c r="I19" i="164"/>
  <c r="H19" i="164"/>
  <c r="I18" i="164"/>
  <c r="H18" i="164"/>
  <c r="I17" i="164"/>
  <c r="H17" i="164"/>
  <c r="I16" i="164"/>
  <c r="H16" i="164"/>
  <c r="I15" i="164"/>
  <c r="H15" i="164"/>
  <c r="I14" i="164"/>
  <c r="H14" i="164"/>
  <c r="I13" i="164"/>
  <c r="H13" i="164"/>
  <c r="I12" i="164"/>
  <c r="H12" i="164"/>
  <c r="H11" i="164"/>
  <c r="I11" i="164"/>
  <c r="H10" i="164"/>
  <c r="I10" i="164"/>
  <c r="I9" i="164"/>
  <c r="H9" i="164"/>
  <c r="I8" i="164"/>
  <c r="H8" i="164"/>
  <c r="I7" i="164"/>
  <c r="H7" i="164"/>
  <c r="I8" i="163"/>
  <c r="I10" i="163"/>
  <c r="H8" i="163"/>
  <c r="H9" i="163"/>
  <c r="I9" i="163"/>
  <c r="H10" i="163"/>
  <c r="H7" i="163"/>
  <c r="I7" i="163"/>
  <c r="N46" i="120"/>
  <c r="O46" i="120"/>
  <c r="K47" i="99"/>
  <c r="J47" i="99"/>
  <c r="K46" i="99"/>
  <c r="J46" i="99"/>
  <c r="K45" i="99"/>
  <c r="J45" i="99"/>
  <c r="K44" i="99"/>
  <c r="J44" i="99"/>
  <c r="K43" i="99"/>
  <c r="J43" i="99"/>
  <c r="K42" i="99"/>
  <c r="J42" i="99"/>
  <c r="K41" i="99"/>
  <c r="J41" i="99"/>
  <c r="K40" i="99"/>
  <c r="J40" i="99"/>
  <c r="K39" i="99"/>
  <c r="J39" i="99"/>
  <c r="K38" i="99"/>
  <c r="J38" i="99"/>
  <c r="H27" i="163"/>
  <c r="I27" i="163"/>
  <c r="H28" i="163"/>
  <c r="I28" i="163"/>
  <c r="I46" i="163"/>
  <c r="H46" i="163"/>
  <c r="I45" i="163"/>
  <c r="H45" i="163"/>
  <c r="I44" i="163"/>
  <c r="H44" i="163"/>
  <c r="I43" i="163"/>
  <c r="H43" i="163"/>
  <c r="I42" i="163"/>
  <c r="H42" i="163"/>
  <c r="I41" i="163"/>
  <c r="H41" i="163"/>
  <c r="I40" i="163"/>
  <c r="H40" i="163"/>
  <c r="I39" i="163"/>
  <c r="H39" i="163"/>
  <c r="I38" i="163"/>
  <c r="H38" i="163"/>
  <c r="I37" i="163"/>
  <c r="H37" i="163"/>
  <c r="I36" i="163"/>
  <c r="H36" i="163"/>
  <c r="I35" i="163"/>
  <c r="H35" i="163"/>
  <c r="I34" i="163"/>
  <c r="H34" i="163"/>
  <c r="I33" i="163"/>
  <c r="H33" i="163"/>
  <c r="I32" i="163"/>
  <c r="H32" i="163"/>
  <c r="I31" i="163"/>
  <c r="H31" i="163"/>
  <c r="I30" i="163"/>
  <c r="H30" i="163"/>
  <c r="I29" i="163"/>
  <c r="H29" i="163"/>
  <c r="J46" i="162"/>
  <c r="I46" i="162"/>
  <c r="J45" i="162"/>
  <c r="I45" i="162"/>
  <c r="J44" i="162"/>
  <c r="I44" i="162"/>
  <c r="J43" i="162"/>
  <c r="I43" i="162"/>
  <c r="J42" i="162"/>
  <c r="I42" i="162"/>
  <c r="J41" i="162"/>
  <c r="I41" i="162"/>
  <c r="J40" i="162"/>
  <c r="I40" i="162"/>
  <c r="J39" i="162"/>
  <c r="I39" i="162"/>
  <c r="J38" i="162"/>
  <c r="I38" i="162"/>
  <c r="J37" i="162"/>
  <c r="I37" i="162"/>
  <c r="J36" i="162"/>
  <c r="I36" i="162"/>
  <c r="J35" i="162"/>
  <c r="I35" i="162"/>
  <c r="J34" i="162"/>
  <c r="I34" i="162"/>
  <c r="J33" i="162"/>
  <c r="I33" i="162"/>
  <c r="J32" i="162"/>
  <c r="I32" i="162"/>
  <c r="J31" i="162"/>
  <c r="I31" i="162"/>
  <c r="J30" i="162"/>
  <c r="I30" i="162"/>
  <c r="J29" i="162"/>
  <c r="I29" i="162"/>
  <c r="J28" i="162"/>
  <c r="I28" i="162"/>
  <c r="J27" i="162"/>
  <c r="I27" i="162"/>
  <c r="J25" i="162"/>
  <c r="I25" i="162"/>
  <c r="J24" i="162"/>
  <c r="I24" i="162"/>
  <c r="J23" i="162"/>
  <c r="I23" i="162"/>
  <c r="J22" i="162"/>
  <c r="I22" i="162"/>
  <c r="J21" i="162"/>
  <c r="I21" i="162"/>
  <c r="J20" i="162"/>
  <c r="I20" i="162"/>
  <c r="J19" i="162"/>
  <c r="I19" i="162"/>
  <c r="J18" i="162"/>
  <c r="I18" i="162"/>
  <c r="J17" i="162"/>
  <c r="I17" i="162"/>
  <c r="J16" i="162"/>
  <c r="I16" i="162"/>
  <c r="J15" i="162"/>
  <c r="I15" i="162"/>
  <c r="J14" i="162"/>
  <c r="I14" i="162"/>
  <c r="J13" i="162"/>
  <c r="I13" i="162"/>
  <c r="J12" i="162"/>
  <c r="I12" i="162"/>
  <c r="I11" i="162"/>
  <c r="J11" i="162"/>
  <c r="I10" i="162"/>
  <c r="J10" i="162"/>
  <c r="J9" i="162"/>
  <c r="I9" i="162"/>
  <c r="I8" i="162"/>
  <c r="J8" i="162"/>
  <c r="I7" i="162"/>
  <c r="J7" i="162"/>
  <c r="G46" i="53"/>
  <c r="F46" i="53"/>
  <c r="G45" i="53"/>
  <c r="F45" i="53"/>
  <c r="G44" i="53"/>
  <c r="F44" i="53"/>
  <c r="G43" i="53"/>
  <c r="F43" i="53"/>
  <c r="G42" i="53"/>
  <c r="F42" i="53"/>
  <c r="G41" i="53"/>
  <c r="F41" i="53"/>
  <c r="G40" i="53"/>
  <c r="F40" i="53"/>
  <c r="G39" i="53"/>
  <c r="F39" i="53"/>
  <c r="G38" i="53"/>
  <c r="F38" i="53"/>
  <c r="G37" i="53"/>
  <c r="F37" i="53"/>
  <c r="G36" i="53"/>
  <c r="F36" i="53"/>
  <c r="G35" i="53"/>
  <c r="F35" i="53"/>
  <c r="G34" i="53"/>
  <c r="F34" i="53"/>
  <c r="G33" i="53"/>
  <c r="F33" i="53"/>
  <c r="G32" i="53"/>
  <c r="F32" i="53"/>
  <c r="G31" i="53"/>
  <c r="F31" i="53"/>
  <c r="G30" i="53"/>
  <c r="F30" i="53"/>
  <c r="G29" i="53"/>
  <c r="F29" i="53"/>
  <c r="G28" i="53"/>
  <c r="F28" i="53"/>
  <c r="J46" i="52"/>
  <c r="I46" i="52"/>
  <c r="J45" i="52"/>
  <c r="I45" i="52"/>
  <c r="J44" i="52"/>
  <c r="I44" i="52"/>
  <c r="J43" i="52"/>
  <c r="I43" i="52"/>
  <c r="J42" i="52"/>
  <c r="I42" i="52"/>
  <c r="J41" i="52"/>
  <c r="I41" i="52"/>
  <c r="J40" i="52"/>
  <c r="I40" i="52"/>
  <c r="J39" i="52"/>
  <c r="I39" i="52"/>
  <c r="J38" i="52"/>
  <c r="I38" i="52"/>
  <c r="J37" i="52"/>
  <c r="I37" i="52"/>
  <c r="J36" i="52"/>
  <c r="I36" i="52"/>
  <c r="J35" i="52"/>
  <c r="I35" i="52"/>
  <c r="J34" i="52"/>
  <c r="I34" i="52"/>
  <c r="J33" i="52"/>
  <c r="I33" i="52"/>
  <c r="J32" i="52"/>
  <c r="I32" i="52"/>
  <c r="J31" i="52"/>
  <c r="I31" i="52"/>
  <c r="J30" i="52"/>
  <c r="I30" i="52"/>
  <c r="J29" i="52"/>
  <c r="I29" i="52"/>
  <c r="J28" i="52"/>
  <c r="I28" i="52"/>
  <c r="G46" i="133"/>
  <c r="F46" i="133"/>
  <c r="G45" i="133"/>
  <c r="F45" i="133"/>
  <c r="G44" i="133"/>
  <c r="F44" i="133"/>
  <c r="G43" i="133"/>
  <c r="F43" i="133"/>
  <c r="G42" i="133"/>
  <c r="F42" i="133"/>
  <c r="G41" i="133"/>
  <c r="F41" i="133"/>
  <c r="G40" i="133"/>
  <c r="F40" i="133"/>
  <c r="G39" i="133"/>
  <c r="F39" i="133"/>
  <c r="G38" i="133"/>
  <c r="F38" i="133"/>
  <c r="G37" i="133"/>
  <c r="F37" i="133"/>
  <c r="G36" i="133"/>
  <c r="F36" i="133"/>
  <c r="G35" i="133"/>
  <c r="F35" i="133"/>
  <c r="G34" i="133"/>
  <c r="F34" i="133"/>
  <c r="G33" i="133"/>
  <c r="F33" i="133"/>
  <c r="G32" i="133"/>
  <c r="F32" i="133"/>
  <c r="G31" i="133"/>
  <c r="F31" i="133"/>
  <c r="G30" i="133"/>
  <c r="F30" i="133"/>
  <c r="G29" i="133"/>
  <c r="F29" i="133"/>
  <c r="G28" i="133"/>
  <c r="F28" i="133"/>
  <c r="G46" i="151"/>
  <c r="F46" i="151"/>
  <c r="G45" i="151"/>
  <c r="F45" i="151"/>
  <c r="G44" i="151"/>
  <c r="F44" i="151"/>
  <c r="G43" i="151"/>
  <c r="F43" i="151"/>
  <c r="G42" i="151"/>
  <c r="F42" i="151"/>
  <c r="G41" i="151"/>
  <c r="F41" i="151"/>
  <c r="G40" i="151"/>
  <c r="F40" i="151"/>
  <c r="G39" i="151"/>
  <c r="F39" i="151"/>
  <c r="G38" i="151"/>
  <c r="F38" i="151"/>
  <c r="G37" i="151"/>
  <c r="F37" i="151"/>
  <c r="G36" i="151"/>
  <c r="F36" i="151"/>
  <c r="G35" i="151"/>
  <c r="F35" i="151"/>
  <c r="G34" i="151"/>
  <c r="F34" i="151"/>
  <c r="G33" i="151"/>
  <c r="F33" i="151"/>
  <c r="G32" i="151"/>
  <c r="F32" i="151"/>
  <c r="G31" i="151"/>
  <c r="F31" i="151"/>
  <c r="G30" i="151"/>
  <c r="F30" i="151"/>
  <c r="G29" i="151"/>
  <c r="F29" i="151"/>
  <c r="G28" i="151"/>
  <c r="F28" i="151"/>
  <c r="J46" i="50"/>
  <c r="I46" i="50"/>
  <c r="J45" i="50"/>
  <c r="I45" i="50"/>
  <c r="J44" i="50"/>
  <c r="I44" i="50"/>
  <c r="J43" i="50"/>
  <c r="I43" i="50"/>
  <c r="J42" i="50"/>
  <c r="I42" i="50"/>
  <c r="J41" i="50"/>
  <c r="I41" i="50"/>
  <c r="J40" i="50"/>
  <c r="I40" i="50"/>
  <c r="J39" i="50"/>
  <c r="I39" i="50"/>
  <c r="J38" i="50"/>
  <c r="I38" i="50"/>
  <c r="J37" i="50"/>
  <c r="I37" i="50"/>
  <c r="J36" i="50"/>
  <c r="I36" i="50"/>
  <c r="J35" i="50"/>
  <c r="I35" i="50"/>
  <c r="J34" i="50"/>
  <c r="I34" i="50"/>
  <c r="J33" i="50"/>
  <c r="I33" i="50"/>
  <c r="J32" i="50"/>
  <c r="I32" i="50"/>
  <c r="J31" i="50"/>
  <c r="I31" i="50"/>
  <c r="J30" i="50"/>
  <c r="I30" i="50"/>
  <c r="J29" i="50"/>
  <c r="I29" i="50"/>
  <c r="J28" i="50"/>
  <c r="I28" i="50"/>
  <c r="M46" i="152"/>
  <c r="L46" i="152"/>
  <c r="M45" i="152"/>
  <c r="L45" i="152"/>
  <c r="M44" i="152"/>
  <c r="L44" i="152"/>
  <c r="M43" i="152"/>
  <c r="L43" i="152"/>
  <c r="M42" i="152"/>
  <c r="L42" i="152"/>
  <c r="M41" i="152"/>
  <c r="L41" i="152"/>
  <c r="M40" i="152"/>
  <c r="L40" i="152"/>
  <c r="M39" i="152"/>
  <c r="L39" i="152"/>
  <c r="M38" i="152"/>
  <c r="L38" i="152"/>
  <c r="M37" i="152"/>
  <c r="L37" i="152"/>
  <c r="M36" i="152"/>
  <c r="L36" i="152"/>
  <c r="M35" i="152"/>
  <c r="L35" i="152"/>
  <c r="M34" i="152"/>
  <c r="L34" i="152"/>
  <c r="M33" i="152"/>
  <c r="L33" i="152"/>
  <c r="M32" i="152"/>
  <c r="L32" i="152"/>
  <c r="M31" i="152"/>
  <c r="L31" i="152"/>
  <c r="M30" i="152"/>
  <c r="L30" i="152"/>
  <c r="M29" i="152"/>
  <c r="L29" i="152"/>
  <c r="M28" i="152"/>
  <c r="L28" i="152"/>
  <c r="O46" i="49"/>
  <c r="N46" i="49"/>
  <c r="O45" i="49"/>
  <c r="N45" i="49"/>
  <c r="O44" i="49"/>
  <c r="N44" i="49"/>
  <c r="O43" i="49"/>
  <c r="N43" i="49"/>
  <c r="O42" i="49"/>
  <c r="N42" i="49"/>
  <c r="O41" i="49"/>
  <c r="N41" i="49"/>
  <c r="O40" i="49"/>
  <c r="N40" i="49"/>
  <c r="O39" i="49"/>
  <c r="N39" i="49"/>
  <c r="O38" i="49"/>
  <c r="N38" i="49"/>
  <c r="O37" i="49"/>
  <c r="N37" i="49"/>
  <c r="O36" i="49"/>
  <c r="N36" i="49"/>
  <c r="O35" i="49"/>
  <c r="N35" i="49"/>
  <c r="O34" i="49"/>
  <c r="N34" i="49"/>
  <c r="O33" i="49"/>
  <c r="N33" i="49"/>
  <c r="O32" i="49"/>
  <c r="N32" i="49"/>
  <c r="O31" i="49"/>
  <c r="N31" i="49"/>
  <c r="O30" i="49"/>
  <c r="N30" i="49"/>
  <c r="O29" i="49"/>
  <c r="N29" i="49"/>
  <c r="O28" i="49"/>
  <c r="N28" i="49"/>
  <c r="M47" i="130"/>
  <c r="M46" i="130"/>
  <c r="M45" i="130"/>
  <c r="M44" i="130"/>
  <c r="M43" i="130"/>
  <c r="M42" i="130"/>
  <c r="M41" i="130"/>
  <c r="M40" i="130"/>
  <c r="M39" i="130"/>
  <c r="M38" i="130"/>
  <c r="M37" i="130"/>
  <c r="M36" i="130"/>
  <c r="M35" i="130"/>
  <c r="M34" i="130"/>
  <c r="M33" i="130"/>
  <c r="M32" i="130"/>
  <c r="M31" i="130"/>
  <c r="M30" i="130"/>
  <c r="M29" i="130"/>
  <c r="L47" i="129"/>
  <c r="L46" i="129"/>
  <c r="L45" i="129"/>
  <c r="L44" i="129"/>
  <c r="L43" i="129"/>
  <c r="L42" i="129"/>
  <c r="L41" i="129"/>
  <c r="L40" i="129"/>
  <c r="L39" i="129"/>
  <c r="L38" i="129"/>
  <c r="L37" i="129"/>
  <c r="L36" i="129"/>
  <c r="L35" i="129"/>
  <c r="L34" i="129"/>
  <c r="L33" i="129"/>
  <c r="L32" i="129"/>
  <c r="L31" i="129"/>
  <c r="L30" i="129"/>
  <c r="L29" i="129"/>
  <c r="G46" i="47"/>
  <c r="F46" i="47"/>
  <c r="G45" i="47"/>
  <c r="F45" i="47"/>
  <c r="G44" i="47"/>
  <c r="F44" i="47"/>
  <c r="G43" i="47"/>
  <c r="F43" i="47"/>
  <c r="G42" i="47"/>
  <c r="F42" i="47"/>
  <c r="G41" i="47"/>
  <c r="F41" i="47"/>
  <c r="G40" i="47"/>
  <c r="F40" i="47"/>
  <c r="G39" i="47"/>
  <c r="F39" i="47"/>
  <c r="G38" i="47"/>
  <c r="F38" i="47"/>
  <c r="G37" i="47"/>
  <c r="F37" i="47"/>
  <c r="G36" i="47"/>
  <c r="F36" i="47"/>
  <c r="G35" i="47"/>
  <c r="F35" i="47"/>
  <c r="G34" i="47"/>
  <c r="F34" i="47"/>
  <c r="G33" i="47"/>
  <c r="F33" i="47"/>
  <c r="G32" i="47"/>
  <c r="F32" i="47"/>
  <c r="G31" i="47"/>
  <c r="F31" i="47"/>
  <c r="G30" i="47"/>
  <c r="F30" i="47"/>
  <c r="G29" i="47"/>
  <c r="F29" i="47"/>
  <c r="G28" i="47"/>
  <c r="F28" i="47"/>
  <c r="L47" i="44"/>
  <c r="K47" i="44"/>
  <c r="L46" i="44"/>
  <c r="K46" i="44"/>
  <c r="L45" i="44"/>
  <c r="K45" i="44"/>
  <c r="L44" i="44"/>
  <c r="K44" i="44"/>
  <c r="L43" i="44"/>
  <c r="K43" i="44"/>
  <c r="L42" i="44"/>
  <c r="K42" i="44"/>
  <c r="L41" i="44"/>
  <c r="K41" i="44"/>
  <c r="L40" i="44"/>
  <c r="K40" i="44"/>
  <c r="L39" i="44"/>
  <c r="K39" i="44"/>
  <c r="L38" i="44"/>
  <c r="K38" i="44"/>
  <c r="L37" i="44"/>
  <c r="K37" i="44"/>
  <c r="L36" i="44"/>
  <c r="K36" i="44"/>
  <c r="L35" i="44"/>
  <c r="K35" i="44"/>
  <c r="L34" i="44"/>
  <c r="K34" i="44"/>
  <c r="L33" i="44"/>
  <c r="K33" i="44"/>
  <c r="L32" i="44"/>
  <c r="K32" i="44"/>
  <c r="L31" i="44"/>
  <c r="K31" i="44"/>
  <c r="L30" i="44"/>
  <c r="K30" i="44"/>
  <c r="L29" i="44"/>
  <c r="K29" i="44"/>
  <c r="Q47" i="46"/>
  <c r="P47" i="46"/>
  <c r="Q46" i="46"/>
  <c r="P46" i="46"/>
  <c r="Q45" i="46"/>
  <c r="P45" i="46"/>
  <c r="Q44" i="46"/>
  <c r="P44" i="46"/>
  <c r="Q43" i="46"/>
  <c r="P43" i="46"/>
  <c r="Q42" i="46"/>
  <c r="P42" i="46"/>
  <c r="Q41" i="46"/>
  <c r="P41" i="46"/>
  <c r="Q40" i="46"/>
  <c r="P40" i="46"/>
  <c r="Q39" i="46"/>
  <c r="P39" i="46"/>
  <c r="Q38" i="46"/>
  <c r="P38" i="46"/>
  <c r="Q37" i="46"/>
  <c r="P37" i="46"/>
  <c r="Q36" i="46"/>
  <c r="P36" i="46"/>
  <c r="Q35" i="46"/>
  <c r="P35" i="46"/>
  <c r="Q34" i="46"/>
  <c r="P34" i="46"/>
  <c r="Q33" i="46"/>
  <c r="P33" i="46"/>
  <c r="Q32" i="46"/>
  <c r="P32" i="46"/>
  <c r="Q31" i="46"/>
  <c r="P31" i="46"/>
  <c r="Q30" i="46"/>
  <c r="P30" i="46"/>
  <c r="Q29" i="46"/>
  <c r="P29" i="46"/>
  <c r="L46" i="45"/>
  <c r="K46" i="45"/>
  <c r="L45" i="45"/>
  <c r="K45" i="45"/>
  <c r="L44" i="45"/>
  <c r="K44" i="45"/>
  <c r="L43" i="45"/>
  <c r="K43" i="45"/>
  <c r="L42" i="45"/>
  <c r="K42" i="45"/>
  <c r="L41" i="45"/>
  <c r="K41" i="45"/>
  <c r="L40" i="45"/>
  <c r="K40" i="45"/>
  <c r="L39" i="45"/>
  <c r="K39" i="45"/>
  <c r="L38" i="45"/>
  <c r="K38" i="45"/>
  <c r="L37" i="45"/>
  <c r="K37" i="45"/>
  <c r="L36" i="45"/>
  <c r="K36" i="45"/>
  <c r="L35" i="45"/>
  <c r="K35" i="45"/>
  <c r="L34" i="45"/>
  <c r="K34" i="45"/>
  <c r="L33" i="45"/>
  <c r="K33" i="45"/>
  <c r="L32" i="45"/>
  <c r="K32" i="45"/>
  <c r="L31" i="45"/>
  <c r="K31" i="45"/>
  <c r="L30" i="45"/>
  <c r="K30" i="45"/>
  <c r="L29" i="45"/>
  <c r="K29" i="45"/>
  <c r="L28" i="45"/>
  <c r="K28" i="45"/>
  <c r="O45" i="120"/>
  <c r="N45" i="120"/>
  <c r="O44" i="120"/>
  <c r="N44" i="120"/>
  <c r="O43" i="120"/>
  <c r="N43" i="120"/>
  <c r="O42" i="120"/>
  <c r="N42" i="120"/>
  <c r="O41" i="120"/>
  <c r="N41" i="120"/>
  <c r="O40" i="120"/>
  <c r="N40" i="120"/>
  <c r="O39" i="120"/>
  <c r="N39" i="120"/>
  <c r="O38" i="120"/>
  <c r="N38" i="120"/>
  <c r="O37" i="120"/>
  <c r="N37" i="120"/>
  <c r="O36" i="120"/>
  <c r="N36" i="120"/>
  <c r="O35" i="120"/>
  <c r="N35" i="120"/>
  <c r="O34" i="120"/>
  <c r="N34" i="120"/>
  <c r="O33" i="120"/>
  <c r="N33" i="120"/>
  <c r="O32" i="120"/>
  <c r="N32" i="120"/>
  <c r="O31" i="120"/>
  <c r="N31" i="120"/>
  <c r="O30" i="120"/>
  <c r="N30" i="120"/>
  <c r="O29" i="120"/>
  <c r="N29" i="120"/>
  <c r="O28" i="120"/>
  <c r="N28" i="120"/>
  <c r="O47" i="43"/>
  <c r="O46" i="43"/>
  <c r="O45" i="43"/>
  <c r="O44" i="43"/>
  <c r="O43" i="43"/>
  <c r="O42" i="43"/>
  <c r="O41" i="43"/>
  <c r="O40" i="43"/>
  <c r="O39" i="43"/>
  <c r="O38" i="43"/>
  <c r="O37" i="43"/>
  <c r="O36" i="43"/>
  <c r="O35" i="43"/>
  <c r="O34" i="43"/>
  <c r="O33" i="43"/>
  <c r="O32" i="43"/>
  <c r="O31" i="43"/>
  <c r="O30" i="43"/>
  <c r="O29" i="43"/>
  <c r="O47" i="42"/>
  <c r="O46" i="42"/>
  <c r="O45" i="42"/>
  <c r="O44" i="42"/>
  <c r="O43" i="42"/>
  <c r="O42" i="42"/>
  <c r="O41" i="42"/>
  <c r="O40" i="42"/>
  <c r="O39" i="42"/>
  <c r="O38" i="42"/>
  <c r="O37" i="42"/>
  <c r="O36" i="42"/>
  <c r="O35" i="42"/>
  <c r="O34" i="42"/>
  <c r="O33" i="42"/>
  <c r="O32" i="42"/>
  <c r="O31" i="42"/>
  <c r="O30" i="42"/>
  <c r="O29" i="42"/>
  <c r="O47" i="41"/>
  <c r="O46" i="41"/>
  <c r="O45" i="41"/>
  <c r="O44" i="41"/>
  <c r="O43" i="41"/>
  <c r="O42" i="41"/>
  <c r="O41" i="41"/>
  <c r="O40" i="41"/>
  <c r="O39" i="41"/>
  <c r="O38" i="41"/>
  <c r="O37" i="41"/>
  <c r="O36" i="41"/>
  <c r="O35" i="41"/>
  <c r="O34" i="41"/>
  <c r="O33" i="41"/>
  <c r="O32" i="41"/>
  <c r="O31" i="41"/>
  <c r="O30" i="41"/>
  <c r="O29" i="41"/>
  <c r="N47" i="40"/>
  <c r="N46" i="40"/>
  <c r="N45" i="40"/>
  <c r="N44" i="40"/>
  <c r="N43" i="40"/>
  <c r="N42" i="40"/>
  <c r="N41" i="40"/>
  <c r="N40" i="40"/>
  <c r="N39" i="40"/>
  <c r="N38" i="40"/>
  <c r="N37" i="40"/>
  <c r="N36" i="40"/>
  <c r="N35" i="40"/>
  <c r="N34" i="40"/>
  <c r="N33" i="40"/>
  <c r="N32" i="40"/>
  <c r="N31" i="40"/>
  <c r="N30" i="40"/>
  <c r="N29" i="40"/>
  <c r="N47" i="39"/>
  <c r="N46" i="39"/>
  <c r="N45" i="39"/>
  <c r="N44" i="39"/>
  <c r="N43" i="39"/>
  <c r="N42" i="39"/>
  <c r="N41" i="39"/>
  <c r="N40" i="39"/>
  <c r="N39" i="39"/>
  <c r="N38" i="39"/>
  <c r="N37" i="39"/>
  <c r="N36" i="39"/>
  <c r="N35" i="39"/>
  <c r="N34" i="39"/>
  <c r="N33" i="39"/>
  <c r="N32" i="39"/>
  <c r="N31" i="39"/>
  <c r="N30" i="39"/>
  <c r="N29" i="39"/>
  <c r="N47" i="38"/>
  <c r="N46" i="38"/>
  <c r="N45" i="38"/>
  <c r="N44" i="38"/>
  <c r="N43" i="38"/>
  <c r="N42" i="38"/>
  <c r="N41" i="38"/>
  <c r="N40" i="38"/>
  <c r="N39" i="38"/>
  <c r="N38" i="38"/>
  <c r="N37" i="38"/>
  <c r="N36" i="38"/>
  <c r="N35" i="38"/>
  <c r="N34" i="38"/>
  <c r="N33" i="38"/>
  <c r="N32" i="38"/>
  <c r="N31" i="38"/>
  <c r="N30" i="38"/>
  <c r="N29" i="38"/>
  <c r="P47" i="155"/>
  <c r="O47" i="155"/>
  <c r="P46" i="155"/>
  <c r="O46" i="155"/>
  <c r="P45" i="155"/>
  <c r="O45" i="155"/>
  <c r="P44" i="155"/>
  <c r="O44" i="155"/>
  <c r="P43" i="155"/>
  <c r="O43" i="155"/>
  <c r="P42" i="155"/>
  <c r="O42" i="155"/>
  <c r="P41" i="155"/>
  <c r="O41" i="155"/>
  <c r="P40" i="155"/>
  <c r="O40" i="155"/>
  <c r="P39" i="155"/>
  <c r="O39" i="155"/>
  <c r="P38" i="155"/>
  <c r="O38" i="155"/>
  <c r="P37" i="155"/>
  <c r="O37" i="155"/>
  <c r="P36" i="155"/>
  <c r="O36" i="155"/>
  <c r="P35" i="155"/>
  <c r="O35" i="155"/>
  <c r="P34" i="155"/>
  <c r="O34" i="155"/>
  <c r="P33" i="155"/>
  <c r="O33" i="155"/>
  <c r="P32" i="155"/>
  <c r="O32" i="155"/>
  <c r="P31" i="155"/>
  <c r="O31" i="155"/>
  <c r="P30" i="155"/>
  <c r="O30" i="155"/>
  <c r="P29" i="155"/>
  <c r="O29" i="155"/>
  <c r="P47" i="156"/>
  <c r="O47" i="156"/>
  <c r="P46" i="156"/>
  <c r="O46" i="156"/>
  <c r="P45" i="156"/>
  <c r="O45" i="156"/>
  <c r="P44" i="156"/>
  <c r="O44" i="156"/>
  <c r="P43" i="156"/>
  <c r="O43" i="156"/>
  <c r="P42" i="156"/>
  <c r="O42" i="156"/>
  <c r="P41" i="156"/>
  <c r="O41" i="156"/>
  <c r="P40" i="156"/>
  <c r="O40" i="156"/>
  <c r="P39" i="156"/>
  <c r="O39" i="156"/>
  <c r="P38" i="156"/>
  <c r="O38" i="156"/>
  <c r="P37" i="156"/>
  <c r="O37" i="156"/>
  <c r="P36" i="156"/>
  <c r="O36" i="156"/>
  <c r="P35" i="156"/>
  <c r="O35" i="156"/>
  <c r="P34" i="156"/>
  <c r="O34" i="156"/>
  <c r="P33" i="156"/>
  <c r="O33" i="156"/>
  <c r="P32" i="156"/>
  <c r="O32" i="156"/>
  <c r="P31" i="156"/>
  <c r="O31" i="156"/>
  <c r="P30" i="156"/>
  <c r="O30" i="156"/>
  <c r="P29" i="156"/>
  <c r="O29" i="156"/>
  <c r="N47" i="154"/>
  <c r="M47" i="154"/>
  <c r="N46" i="154"/>
  <c r="M46" i="154"/>
  <c r="N45" i="154"/>
  <c r="M45" i="154"/>
  <c r="N44" i="154"/>
  <c r="M44" i="154"/>
  <c r="N43" i="154"/>
  <c r="M43" i="154"/>
  <c r="N42" i="154"/>
  <c r="M42" i="154"/>
  <c r="N41" i="154"/>
  <c r="M41" i="154"/>
  <c r="N40" i="154"/>
  <c r="M40" i="154"/>
  <c r="N39" i="154"/>
  <c r="M39" i="154"/>
  <c r="N38" i="154"/>
  <c r="M38" i="154"/>
  <c r="N37" i="154"/>
  <c r="M37" i="154"/>
  <c r="N36" i="154"/>
  <c r="M36" i="154"/>
  <c r="N35" i="154"/>
  <c r="M35" i="154"/>
  <c r="N34" i="154"/>
  <c r="M34" i="154"/>
  <c r="N33" i="154"/>
  <c r="M33" i="154"/>
  <c r="N32" i="154"/>
  <c r="M32" i="154"/>
  <c r="N31" i="154"/>
  <c r="M31" i="154"/>
  <c r="N30" i="154"/>
  <c r="M30" i="154"/>
  <c r="N29" i="154"/>
  <c r="M29" i="154"/>
  <c r="O48" i="126"/>
  <c r="O47" i="126"/>
  <c r="O46" i="126"/>
  <c r="O45" i="126"/>
  <c r="O44" i="126"/>
  <c r="O43" i="126"/>
  <c r="O42" i="126"/>
  <c r="O41" i="126"/>
  <c r="O40" i="126"/>
  <c r="O39" i="126"/>
  <c r="O38" i="126"/>
  <c r="O37" i="126"/>
  <c r="O36" i="126"/>
  <c r="O35" i="126"/>
  <c r="O34" i="126"/>
  <c r="O33" i="126"/>
  <c r="O32" i="126"/>
  <c r="O31" i="126"/>
  <c r="O30" i="126"/>
  <c r="J46" i="36"/>
  <c r="I46" i="36"/>
  <c r="J45" i="36"/>
  <c r="I45" i="36"/>
  <c r="J44" i="36"/>
  <c r="I44" i="36"/>
  <c r="J43" i="36"/>
  <c r="I43" i="36"/>
  <c r="J42" i="36"/>
  <c r="I42" i="36"/>
  <c r="J41" i="36"/>
  <c r="I41" i="36"/>
  <c r="J40" i="36"/>
  <c r="I40" i="36"/>
  <c r="J39" i="36"/>
  <c r="I39" i="36"/>
  <c r="J38" i="36"/>
  <c r="I38" i="36"/>
  <c r="J37" i="36"/>
  <c r="I37" i="36"/>
  <c r="J36" i="36"/>
  <c r="I36" i="36"/>
  <c r="J35" i="36"/>
  <c r="I35" i="36"/>
  <c r="J34" i="36"/>
  <c r="I34" i="36"/>
  <c r="J33" i="36"/>
  <c r="I33" i="36"/>
  <c r="J32" i="36"/>
  <c r="I32" i="36"/>
  <c r="J31" i="36"/>
  <c r="I31" i="36"/>
  <c r="J30" i="36"/>
  <c r="I30" i="36"/>
  <c r="J29" i="36"/>
  <c r="I29" i="36"/>
  <c r="J28" i="36"/>
  <c r="I28" i="36"/>
  <c r="H46" i="127"/>
  <c r="G46" i="127"/>
  <c r="H45" i="127"/>
  <c r="G45" i="127"/>
  <c r="H44" i="127"/>
  <c r="G44" i="127"/>
  <c r="H43" i="127"/>
  <c r="G43" i="127"/>
  <c r="H42" i="127"/>
  <c r="G42" i="127"/>
  <c r="H41" i="127"/>
  <c r="G41" i="127"/>
  <c r="H40" i="127"/>
  <c r="G40" i="127"/>
  <c r="H39" i="127"/>
  <c r="G39" i="127"/>
  <c r="H38" i="127"/>
  <c r="G38" i="127"/>
  <c r="H37" i="127"/>
  <c r="G37" i="127"/>
  <c r="H36" i="127"/>
  <c r="G36" i="127"/>
  <c r="H35" i="127"/>
  <c r="G35" i="127"/>
  <c r="H34" i="127"/>
  <c r="G34" i="127"/>
  <c r="H33" i="127"/>
  <c r="G33" i="127"/>
  <c r="H32" i="127"/>
  <c r="G32" i="127"/>
  <c r="H31" i="127"/>
  <c r="G31" i="127"/>
  <c r="H30" i="127"/>
  <c r="G30" i="127"/>
  <c r="H29" i="127"/>
  <c r="G29" i="127"/>
  <c r="H28" i="127"/>
  <c r="G28" i="127"/>
  <c r="K46" i="124"/>
  <c r="J46" i="124"/>
  <c r="K45" i="124"/>
  <c r="J45" i="124"/>
  <c r="K44" i="124"/>
  <c r="J44" i="124"/>
  <c r="K43" i="124"/>
  <c r="J43" i="124"/>
  <c r="K42" i="124"/>
  <c r="J42" i="124"/>
  <c r="K41" i="124"/>
  <c r="J41" i="124"/>
  <c r="K40" i="124"/>
  <c r="J40" i="124"/>
  <c r="K39" i="124"/>
  <c r="J39" i="124"/>
  <c r="K38" i="124"/>
  <c r="J38" i="124"/>
  <c r="K37" i="124"/>
  <c r="J37" i="124"/>
  <c r="K36" i="124"/>
  <c r="J36" i="124"/>
  <c r="K35" i="124"/>
  <c r="J35" i="124"/>
  <c r="K34" i="124"/>
  <c r="J34" i="124"/>
  <c r="K33" i="124"/>
  <c r="J33" i="124"/>
  <c r="K32" i="124"/>
  <c r="J32" i="124"/>
  <c r="K31" i="124"/>
  <c r="J31" i="124"/>
  <c r="K30" i="124"/>
  <c r="J30" i="124"/>
  <c r="K29" i="124"/>
  <c r="J29" i="124"/>
  <c r="K28" i="124"/>
  <c r="J28" i="124"/>
  <c r="K46" i="123"/>
  <c r="J46" i="123"/>
  <c r="K45" i="123"/>
  <c r="J45" i="123"/>
  <c r="K44" i="123"/>
  <c r="J44" i="123"/>
  <c r="K43" i="123"/>
  <c r="J43" i="123"/>
  <c r="K42" i="123"/>
  <c r="J42" i="123"/>
  <c r="K41" i="123"/>
  <c r="J41" i="123"/>
  <c r="K40" i="123"/>
  <c r="J40" i="123"/>
  <c r="K39" i="123"/>
  <c r="J39" i="123"/>
  <c r="K38" i="123"/>
  <c r="J38" i="123"/>
  <c r="K37" i="123"/>
  <c r="J37" i="123"/>
  <c r="K36" i="123"/>
  <c r="J36" i="123"/>
  <c r="K35" i="123"/>
  <c r="J35" i="123"/>
  <c r="K34" i="123"/>
  <c r="J34" i="123"/>
  <c r="K33" i="123"/>
  <c r="J33" i="123"/>
  <c r="K32" i="123"/>
  <c r="J32" i="123"/>
  <c r="K31" i="123"/>
  <c r="J31" i="123"/>
  <c r="K30" i="123"/>
  <c r="J30" i="123"/>
  <c r="K29" i="123"/>
  <c r="J29" i="123"/>
  <c r="K28" i="123"/>
  <c r="J28" i="123"/>
  <c r="K46" i="35"/>
  <c r="J46" i="35"/>
  <c r="K45" i="35"/>
  <c r="J45" i="35"/>
  <c r="K44" i="35"/>
  <c r="J44" i="35"/>
  <c r="K43" i="35"/>
  <c r="J43" i="35"/>
  <c r="K42" i="35"/>
  <c r="J42" i="35"/>
  <c r="K41" i="35"/>
  <c r="J41" i="35"/>
  <c r="K40" i="35"/>
  <c r="J40" i="35"/>
  <c r="K39" i="35"/>
  <c r="J39" i="35"/>
  <c r="K38" i="35"/>
  <c r="J38" i="35"/>
  <c r="K37" i="35"/>
  <c r="J37" i="35"/>
  <c r="K36" i="35"/>
  <c r="J36" i="35"/>
  <c r="K35" i="35"/>
  <c r="J35" i="35"/>
  <c r="K34" i="35"/>
  <c r="J34" i="35"/>
  <c r="K33" i="35"/>
  <c r="J33" i="35"/>
  <c r="K32" i="35"/>
  <c r="J32" i="35"/>
  <c r="K31" i="35"/>
  <c r="J31" i="35"/>
  <c r="K30" i="35"/>
  <c r="J30" i="35"/>
  <c r="K29" i="35"/>
  <c r="J29" i="35"/>
  <c r="K28" i="35"/>
  <c r="J28" i="35"/>
  <c r="K46" i="34"/>
  <c r="J46" i="34"/>
  <c r="K45" i="34"/>
  <c r="J45" i="34"/>
  <c r="K44" i="34"/>
  <c r="J44" i="34"/>
  <c r="K43" i="34"/>
  <c r="J43" i="34"/>
  <c r="K42" i="34"/>
  <c r="J42" i="34"/>
  <c r="K41" i="34"/>
  <c r="J41" i="34"/>
  <c r="K40" i="34"/>
  <c r="J40" i="34"/>
  <c r="K39" i="34"/>
  <c r="J39" i="34"/>
  <c r="K38" i="34"/>
  <c r="J38" i="34"/>
  <c r="K37" i="34"/>
  <c r="J37" i="34"/>
  <c r="K36" i="34"/>
  <c r="J36" i="34"/>
  <c r="K35" i="34"/>
  <c r="J35" i="34"/>
  <c r="K34" i="34"/>
  <c r="J34" i="34"/>
  <c r="K33" i="34"/>
  <c r="J33" i="34"/>
  <c r="K32" i="34"/>
  <c r="J32" i="34"/>
  <c r="K31" i="34"/>
  <c r="J31" i="34"/>
  <c r="K30" i="34"/>
  <c r="J30" i="34"/>
  <c r="K29" i="34"/>
  <c r="J29" i="34"/>
  <c r="K28" i="34"/>
  <c r="J28" i="34"/>
  <c r="I46" i="32"/>
  <c r="H46" i="32"/>
  <c r="I45" i="32"/>
  <c r="H45" i="32"/>
  <c r="I44" i="32"/>
  <c r="H44" i="32"/>
  <c r="I43" i="32"/>
  <c r="H43" i="32"/>
  <c r="I42" i="32"/>
  <c r="H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H46" i="31"/>
  <c r="G46" i="31"/>
  <c r="H45" i="31"/>
  <c r="G45" i="31"/>
  <c r="H44" i="31"/>
  <c r="G44" i="31"/>
  <c r="H43" i="31"/>
  <c r="G43" i="31"/>
  <c r="H42" i="31"/>
  <c r="G42" i="31"/>
  <c r="H41" i="31"/>
  <c r="G41" i="31"/>
  <c r="H40" i="31"/>
  <c r="G40" i="31"/>
  <c r="H39" i="31"/>
  <c r="G39" i="31"/>
  <c r="H38" i="31"/>
  <c r="G38" i="31"/>
  <c r="H37" i="31"/>
  <c r="G37" i="31"/>
  <c r="H36" i="31"/>
  <c r="G36" i="31"/>
  <c r="H35" i="31"/>
  <c r="G35" i="31"/>
  <c r="H34" i="31"/>
  <c r="G34" i="31"/>
  <c r="H33" i="31"/>
  <c r="G33" i="31"/>
  <c r="H32" i="31"/>
  <c r="G32" i="31"/>
  <c r="H31" i="31"/>
  <c r="G31" i="31"/>
  <c r="H30" i="31"/>
  <c r="G30" i="31"/>
  <c r="H29" i="31"/>
  <c r="G29" i="31"/>
  <c r="H28" i="31"/>
  <c r="G28" i="31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5" i="26"/>
  <c r="K35" i="26"/>
  <c r="L34" i="26"/>
  <c r="K34" i="26"/>
  <c r="L33" i="26"/>
  <c r="K33" i="26"/>
  <c r="L32" i="26"/>
  <c r="K32" i="26"/>
  <c r="L31" i="26"/>
  <c r="K31" i="26"/>
  <c r="L30" i="26"/>
  <c r="K30" i="26"/>
  <c r="L29" i="26"/>
  <c r="K29" i="26"/>
  <c r="L47" i="116"/>
  <c r="K47" i="116"/>
  <c r="L46" i="116"/>
  <c r="K46" i="116"/>
  <c r="L45" i="116"/>
  <c r="K45" i="116"/>
  <c r="L44" i="116"/>
  <c r="K44" i="116"/>
  <c r="L43" i="116"/>
  <c r="K43" i="116"/>
  <c r="L42" i="116"/>
  <c r="K42" i="116"/>
  <c r="L41" i="116"/>
  <c r="K41" i="116"/>
  <c r="L40" i="116"/>
  <c r="K40" i="116"/>
  <c r="L39" i="116"/>
  <c r="K39" i="116"/>
  <c r="L38" i="116"/>
  <c r="K38" i="116"/>
  <c r="L37" i="116"/>
  <c r="K37" i="116"/>
  <c r="L36" i="116"/>
  <c r="K36" i="116"/>
  <c r="L35" i="116"/>
  <c r="K35" i="116"/>
  <c r="L34" i="116"/>
  <c r="K34" i="116"/>
  <c r="L33" i="116"/>
  <c r="K33" i="116"/>
  <c r="L32" i="116"/>
  <c r="K32" i="116"/>
  <c r="L31" i="116"/>
  <c r="K31" i="116"/>
  <c r="L30" i="116"/>
  <c r="K30" i="116"/>
  <c r="L29" i="116"/>
  <c r="K29" i="116"/>
  <c r="K37" i="99"/>
  <c r="J37" i="99"/>
  <c r="K36" i="99"/>
  <c r="J36" i="99"/>
  <c r="K35" i="99"/>
  <c r="J35" i="99"/>
  <c r="K34" i="99"/>
  <c r="J34" i="99"/>
  <c r="K33" i="99"/>
  <c r="J33" i="99"/>
  <c r="K32" i="99"/>
  <c r="J32" i="99"/>
  <c r="K31" i="99"/>
  <c r="J31" i="99"/>
  <c r="K30" i="99"/>
  <c r="J30" i="99"/>
  <c r="K29" i="99"/>
  <c r="J29" i="99"/>
  <c r="I46" i="14"/>
  <c r="H46" i="14"/>
  <c r="I45" i="14"/>
  <c r="H45" i="14"/>
  <c r="I44" i="14"/>
  <c r="H44" i="14"/>
  <c r="I43" i="14"/>
  <c r="H43" i="14"/>
  <c r="I42" i="14"/>
  <c r="H42" i="14"/>
  <c r="I41" i="14"/>
  <c r="H41" i="14"/>
  <c r="I40" i="14"/>
  <c r="H40" i="14"/>
  <c r="I39" i="14"/>
  <c r="H39" i="14"/>
  <c r="I38" i="14"/>
  <c r="H38" i="14"/>
  <c r="I37" i="14"/>
  <c r="H37" i="14"/>
  <c r="I36" i="14"/>
  <c r="H36" i="14"/>
  <c r="I35" i="14"/>
  <c r="H35" i="14"/>
  <c r="I34" i="14"/>
  <c r="H34" i="14"/>
  <c r="I33" i="14"/>
  <c r="H33" i="14"/>
  <c r="I32" i="14"/>
  <c r="H32" i="14"/>
  <c r="I31" i="14"/>
  <c r="H31" i="14"/>
  <c r="I30" i="14"/>
  <c r="H30" i="14"/>
  <c r="I29" i="14"/>
  <c r="H29" i="14"/>
  <c r="I28" i="14"/>
  <c r="H28" i="14"/>
  <c r="I27" i="14"/>
  <c r="H27" i="14"/>
  <c r="I46" i="11"/>
  <c r="H46" i="11"/>
  <c r="I45" i="11"/>
  <c r="H45" i="11"/>
  <c r="I44" i="11"/>
  <c r="H44" i="11"/>
  <c r="I43" i="11"/>
  <c r="H43" i="11"/>
  <c r="I42" i="11"/>
  <c r="H42" i="11"/>
  <c r="I41" i="11"/>
  <c r="H41" i="11"/>
  <c r="I40" i="11"/>
  <c r="H40" i="11"/>
  <c r="I39" i="11"/>
  <c r="H39" i="11"/>
  <c r="I38" i="11"/>
  <c r="H38" i="11"/>
  <c r="I37" i="11"/>
  <c r="H37" i="11"/>
  <c r="I36" i="11"/>
  <c r="H36" i="11"/>
  <c r="I35" i="11"/>
  <c r="H35" i="11"/>
  <c r="I34" i="11"/>
  <c r="H34" i="11"/>
  <c r="I33" i="11"/>
  <c r="H33" i="11"/>
  <c r="I32" i="11"/>
  <c r="H32" i="11"/>
  <c r="I31" i="11"/>
  <c r="H31" i="11"/>
  <c r="I30" i="11"/>
  <c r="H30" i="11"/>
  <c r="I29" i="11"/>
  <c r="H29" i="11"/>
  <c r="I28" i="11"/>
  <c r="H28" i="11"/>
  <c r="I27" i="11"/>
  <c r="H27" i="11"/>
  <c r="I46" i="98"/>
  <c r="H46" i="98"/>
  <c r="I45" i="98"/>
  <c r="H45" i="98"/>
  <c r="I44" i="98"/>
  <c r="H44" i="98"/>
  <c r="I43" i="98"/>
  <c r="H43" i="98"/>
  <c r="I42" i="98"/>
  <c r="H42" i="98"/>
  <c r="I41" i="98"/>
  <c r="H41" i="98"/>
  <c r="I40" i="98"/>
  <c r="H40" i="98"/>
  <c r="I39" i="98"/>
  <c r="H39" i="98"/>
  <c r="I38" i="98"/>
  <c r="H38" i="98"/>
  <c r="I37" i="98"/>
  <c r="H37" i="98"/>
  <c r="I36" i="98"/>
  <c r="H36" i="98"/>
  <c r="I35" i="98"/>
  <c r="H35" i="98"/>
  <c r="I34" i="98"/>
  <c r="H34" i="98"/>
  <c r="I33" i="98"/>
  <c r="H33" i="98"/>
  <c r="I32" i="98"/>
  <c r="H32" i="98"/>
  <c r="I31" i="98"/>
  <c r="H31" i="98"/>
  <c r="I30" i="98"/>
  <c r="H30" i="98"/>
  <c r="I29" i="98"/>
  <c r="H29" i="98"/>
  <c r="I28" i="98"/>
  <c r="H28" i="98"/>
  <c r="I27" i="98"/>
  <c r="H27" i="98"/>
  <c r="K46" i="121"/>
  <c r="J46" i="121"/>
  <c r="K45" i="121"/>
  <c r="J45" i="121"/>
  <c r="K44" i="121"/>
  <c r="J44" i="121"/>
  <c r="K43" i="121"/>
  <c r="J43" i="121"/>
  <c r="K42" i="121"/>
  <c r="J42" i="121"/>
  <c r="K41" i="121"/>
  <c r="J41" i="121"/>
  <c r="K40" i="121"/>
  <c r="J40" i="121"/>
  <c r="K39" i="121"/>
  <c r="J39" i="121"/>
  <c r="K38" i="121"/>
  <c r="J38" i="121"/>
  <c r="K37" i="121"/>
  <c r="J37" i="121"/>
  <c r="K36" i="121"/>
  <c r="J36" i="121"/>
  <c r="K35" i="121"/>
  <c r="J35" i="121"/>
  <c r="K34" i="121"/>
  <c r="J34" i="121"/>
  <c r="K33" i="121"/>
  <c r="J33" i="121"/>
  <c r="K32" i="121"/>
  <c r="J32" i="121"/>
  <c r="K31" i="121"/>
  <c r="J31" i="121"/>
  <c r="K30" i="121"/>
  <c r="J30" i="121"/>
  <c r="K29" i="121"/>
  <c r="J29" i="121"/>
  <c r="K28" i="121"/>
  <c r="J28" i="121"/>
  <c r="K27" i="121"/>
  <c r="J27" i="121"/>
  <c r="K46" i="9"/>
  <c r="J46" i="9"/>
  <c r="K45" i="9"/>
  <c r="J45" i="9"/>
  <c r="K44" i="9"/>
  <c r="J44" i="9"/>
  <c r="K43" i="9"/>
  <c r="J43" i="9"/>
  <c r="K42" i="9"/>
  <c r="J42" i="9"/>
  <c r="K41" i="9"/>
  <c r="J41" i="9"/>
  <c r="K40" i="9"/>
  <c r="J40" i="9"/>
  <c r="K39" i="9"/>
  <c r="J39" i="9"/>
  <c r="K38" i="9"/>
  <c r="J38" i="9"/>
  <c r="K37" i="9"/>
  <c r="J37" i="9"/>
  <c r="K36" i="9"/>
  <c r="J36" i="9"/>
  <c r="K35" i="9"/>
  <c r="J35" i="9"/>
  <c r="K34" i="9"/>
  <c r="J34" i="9"/>
  <c r="K33" i="9"/>
  <c r="J33" i="9"/>
  <c r="K32" i="9"/>
  <c r="J32" i="9"/>
  <c r="K31" i="9"/>
  <c r="J31" i="9"/>
  <c r="K30" i="9"/>
  <c r="J30" i="9"/>
  <c r="K29" i="9"/>
  <c r="J29" i="9"/>
  <c r="K28" i="9"/>
  <c r="J28" i="9"/>
  <c r="K27" i="9"/>
  <c r="J27" i="9"/>
  <c r="K46" i="8"/>
  <c r="J46" i="8"/>
  <c r="K45" i="8"/>
  <c r="J45" i="8"/>
  <c r="K44" i="8"/>
  <c r="J44" i="8"/>
  <c r="K43" i="8"/>
  <c r="J43" i="8"/>
  <c r="K42" i="8"/>
  <c r="J42" i="8"/>
  <c r="K41" i="8"/>
  <c r="J41" i="8"/>
  <c r="K40" i="8"/>
  <c r="J40" i="8"/>
  <c r="K39" i="8"/>
  <c r="J39" i="8"/>
  <c r="K38" i="8"/>
  <c r="J38" i="8"/>
  <c r="K37" i="8"/>
  <c r="J37" i="8"/>
  <c r="K36" i="8"/>
  <c r="J36" i="8"/>
  <c r="K35" i="8"/>
  <c r="J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H66" i="12"/>
  <c r="G66" i="12"/>
  <c r="H65" i="12"/>
  <c r="G65" i="12"/>
  <c r="H64" i="12"/>
  <c r="G64" i="12"/>
  <c r="H63" i="12"/>
  <c r="G63" i="12"/>
  <c r="H62" i="12"/>
  <c r="G62" i="12"/>
  <c r="H61" i="12"/>
  <c r="G61" i="12"/>
  <c r="H60" i="12"/>
  <c r="G60" i="12"/>
  <c r="H59" i="12"/>
  <c r="G59" i="12"/>
  <c r="H58" i="12"/>
  <c r="G58" i="12"/>
  <c r="H57" i="12"/>
  <c r="G57" i="12"/>
  <c r="H56" i="12"/>
  <c r="G56" i="12"/>
  <c r="H55" i="12"/>
  <c r="G55" i="12"/>
  <c r="H54" i="12"/>
  <c r="G54" i="12"/>
  <c r="H53" i="12"/>
  <c r="G53" i="12"/>
  <c r="H52" i="12"/>
  <c r="G52" i="12"/>
  <c r="H51" i="12"/>
  <c r="G51" i="12"/>
  <c r="H50" i="12"/>
  <c r="G50" i="12"/>
  <c r="H49" i="12"/>
  <c r="G49" i="12"/>
  <c r="H48" i="12"/>
  <c r="G48" i="12"/>
  <c r="I46" i="16"/>
  <c r="H46" i="16"/>
  <c r="I45" i="16"/>
  <c r="H45" i="16"/>
  <c r="I44" i="16"/>
  <c r="H44" i="16"/>
  <c r="I43" i="16"/>
  <c r="H43" i="16"/>
  <c r="I42" i="16"/>
  <c r="H42" i="16"/>
  <c r="I41" i="16"/>
  <c r="H41" i="16"/>
  <c r="I40" i="16"/>
  <c r="H40" i="16"/>
  <c r="I39" i="16"/>
  <c r="H39" i="16"/>
  <c r="I38" i="16"/>
  <c r="H38" i="16"/>
  <c r="I37" i="16"/>
  <c r="H37" i="16"/>
  <c r="I36" i="16"/>
  <c r="H36" i="16"/>
  <c r="I35" i="16"/>
  <c r="H35" i="16"/>
  <c r="I34" i="16"/>
  <c r="H34" i="16"/>
  <c r="I33" i="16"/>
  <c r="H33" i="16"/>
  <c r="I32" i="16"/>
  <c r="H32" i="16"/>
  <c r="I31" i="16"/>
  <c r="H31" i="16"/>
  <c r="I30" i="16"/>
  <c r="H30" i="16"/>
  <c r="I29" i="16"/>
  <c r="H29" i="16"/>
  <c r="I28" i="16"/>
  <c r="H28" i="16"/>
  <c r="I27" i="16"/>
  <c r="H27" i="16"/>
  <c r="K47" i="19"/>
  <c r="J47" i="19"/>
  <c r="K46" i="19"/>
  <c r="J46" i="19"/>
  <c r="K45" i="19"/>
  <c r="J45" i="19"/>
  <c r="K44" i="19"/>
  <c r="J44" i="19"/>
  <c r="K43" i="19"/>
  <c r="J43" i="19"/>
  <c r="K42" i="19"/>
  <c r="J42" i="19"/>
  <c r="K41" i="19"/>
  <c r="J41" i="19"/>
  <c r="K40" i="19"/>
  <c r="J40" i="19"/>
  <c r="K39" i="19"/>
  <c r="J39" i="19"/>
  <c r="K38" i="19"/>
  <c r="J38" i="19"/>
  <c r="K37" i="19"/>
  <c r="J37" i="19"/>
  <c r="K36" i="19"/>
  <c r="J36" i="19"/>
  <c r="K35" i="19"/>
  <c r="J35" i="19"/>
  <c r="K34" i="19"/>
  <c r="J34" i="19"/>
  <c r="K33" i="19"/>
  <c r="J33" i="19"/>
  <c r="K32" i="19"/>
  <c r="J32" i="19"/>
  <c r="K31" i="19"/>
  <c r="J31" i="19"/>
  <c r="K30" i="19"/>
  <c r="J30" i="19"/>
  <c r="K29" i="19"/>
  <c r="J29" i="19"/>
  <c r="K28" i="19"/>
  <c r="J28" i="19"/>
  <c r="L47" i="18"/>
  <c r="K47" i="18"/>
  <c r="L46" i="18"/>
  <c r="K46" i="18"/>
  <c r="L45" i="18"/>
  <c r="K45" i="18"/>
  <c r="L44" i="18"/>
  <c r="K44" i="18"/>
  <c r="L43" i="18"/>
  <c r="K43" i="18"/>
  <c r="L42" i="18"/>
  <c r="K42" i="18"/>
  <c r="L41" i="18"/>
  <c r="K41" i="18"/>
  <c r="L40" i="18"/>
  <c r="K40" i="18"/>
  <c r="L39" i="18"/>
  <c r="K39" i="18"/>
  <c r="L38" i="18"/>
  <c r="K38" i="18"/>
  <c r="L37" i="18"/>
  <c r="K37" i="18"/>
  <c r="L36" i="18"/>
  <c r="K36" i="18"/>
  <c r="L35" i="18"/>
  <c r="K35" i="18"/>
  <c r="L34" i="18"/>
  <c r="K34" i="18"/>
  <c r="L33" i="18"/>
  <c r="K33" i="18"/>
  <c r="L32" i="18"/>
  <c r="K32" i="18"/>
  <c r="L31" i="18"/>
  <c r="K31" i="18"/>
  <c r="L30" i="18"/>
  <c r="K30" i="18"/>
  <c r="L29" i="18"/>
  <c r="K29" i="18"/>
  <c r="L28" i="18"/>
  <c r="K28" i="18"/>
  <c r="L47" i="20"/>
  <c r="K47" i="20"/>
  <c r="L46" i="20"/>
  <c r="K46" i="20"/>
  <c r="L45" i="20"/>
  <c r="K45" i="20"/>
  <c r="L44" i="20"/>
  <c r="K44" i="20"/>
  <c r="L43" i="20"/>
  <c r="K43" i="20"/>
  <c r="L42" i="20"/>
  <c r="K42" i="20"/>
  <c r="L41" i="20"/>
  <c r="K41" i="20"/>
  <c r="L40" i="20"/>
  <c r="K40" i="20"/>
  <c r="L39" i="20"/>
  <c r="K39" i="20"/>
  <c r="L38" i="20"/>
  <c r="K38" i="20"/>
  <c r="L37" i="20"/>
  <c r="K37" i="20"/>
  <c r="L36" i="20"/>
  <c r="K36" i="20"/>
  <c r="L35" i="20"/>
  <c r="K35" i="20"/>
  <c r="L34" i="20"/>
  <c r="K34" i="20"/>
  <c r="L33" i="20"/>
  <c r="K33" i="20"/>
  <c r="L32" i="20"/>
  <c r="K32" i="20"/>
  <c r="L31" i="20"/>
  <c r="K31" i="20"/>
  <c r="L30" i="20"/>
  <c r="K30" i="20"/>
  <c r="L29" i="20"/>
  <c r="K29" i="20"/>
  <c r="L28" i="20"/>
  <c r="K28" i="20"/>
  <c r="L47" i="100"/>
  <c r="K47" i="100"/>
  <c r="L46" i="100"/>
  <c r="K46" i="100"/>
  <c r="L45" i="100"/>
  <c r="K45" i="100"/>
  <c r="L44" i="100"/>
  <c r="K44" i="100"/>
  <c r="L43" i="100"/>
  <c r="K43" i="100"/>
  <c r="L42" i="100"/>
  <c r="K42" i="100"/>
  <c r="L41" i="100"/>
  <c r="K41" i="100"/>
  <c r="L40" i="100"/>
  <c r="K40" i="100"/>
  <c r="L39" i="100"/>
  <c r="K39" i="100"/>
  <c r="L38" i="100"/>
  <c r="K38" i="100"/>
  <c r="L37" i="100"/>
  <c r="K37" i="100"/>
  <c r="L36" i="100"/>
  <c r="K36" i="100"/>
  <c r="L35" i="100"/>
  <c r="K35" i="100"/>
  <c r="L34" i="100"/>
  <c r="K34" i="100"/>
  <c r="L33" i="100"/>
  <c r="K33" i="100"/>
  <c r="L32" i="100"/>
  <c r="K32" i="100"/>
  <c r="L31" i="100"/>
  <c r="K31" i="100"/>
  <c r="L30" i="100"/>
  <c r="K30" i="100"/>
  <c r="L29" i="100"/>
  <c r="K29" i="100"/>
  <c r="L28" i="100"/>
  <c r="K28" i="100"/>
  <c r="O47" i="23"/>
  <c r="N47" i="23"/>
  <c r="O46" i="23"/>
  <c r="N46" i="23"/>
  <c r="O45" i="23"/>
  <c r="N45" i="23"/>
  <c r="O44" i="23"/>
  <c r="N44" i="23"/>
  <c r="O43" i="23"/>
  <c r="N43" i="23"/>
  <c r="O42" i="23"/>
  <c r="N42" i="23"/>
  <c r="O41" i="23"/>
  <c r="N41" i="23"/>
  <c r="O40" i="23"/>
  <c r="N40" i="23"/>
  <c r="O39" i="23"/>
  <c r="N39" i="23"/>
  <c r="O38" i="23"/>
  <c r="N38" i="23"/>
  <c r="O37" i="23"/>
  <c r="N37" i="23"/>
  <c r="O36" i="23"/>
  <c r="N36" i="23"/>
  <c r="O35" i="23"/>
  <c r="N35" i="23"/>
  <c r="O34" i="23"/>
  <c r="N34" i="23"/>
  <c r="O33" i="23"/>
  <c r="N33" i="23"/>
  <c r="O32" i="23"/>
  <c r="N32" i="23"/>
  <c r="O31" i="23"/>
  <c r="N31" i="23"/>
  <c r="O30" i="23"/>
  <c r="N30" i="23"/>
  <c r="O29" i="23"/>
  <c r="N29" i="23"/>
  <c r="J46" i="13"/>
  <c r="I46" i="13"/>
  <c r="J45" i="13"/>
  <c r="I45" i="13"/>
  <c r="J44" i="13"/>
  <c r="I44" i="13"/>
  <c r="J43" i="13"/>
  <c r="I43" i="13"/>
  <c r="J42" i="13"/>
  <c r="I42" i="13"/>
  <c r="J41" i="13"/>
  <c r="I41" i="13"/>
  <c r="J40" i="13"/>
  <c r="I40" i="13"/>
  <c r="J39" i="13"/>
  <c r="I39" i="13"/>
  <c r="J38" i="13"/>
  <c r="I38" i="13"/>
  <c r="J37" i="13"/>
  <c r="I37" i="13"/>
  <c r="J36" i="13"/>
  <c r="I36" i="13"/>
  <c r="J35" i="13"/>
  <c r="I35" i="13"/>
  <c r="J34" i="13"/>
  <c r="I34" i="13"/>
  <c r="J33" i="13"/>
  <c r="I33" i="13"/>
  <c r="J32" i="13"/>
  <c r="I32" i="13"/>
  <c r="J31" i="13"/>
  <c r="I31" i="13"/>
  <c r="J30" i="13"/>
  <c r="I30" i="13"/>
  <c r="J29" i="13"/>
  <c r="I29" i="13"/>
  <c r="J28" i="13"/>
  <c r="I28" i="13"/>
  <c r="I25" i="6"/>
  <c r="J25" i="6"/>
  <c r="J24" i="6"/>
  <c r="I24" i="6"/>
  <c r="J46" i="6"/>
  <c r="I46" i="6"/>
  <c r="J45" i="6"/>
  <c r="I45" i="6"/>
  <c r="J44" i="6"/>
  <c r="I44" i="6"/>
  <c r="J43" i="6"/>
  <c r="I43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2" i="6"/>
  <c r="I22" i="6"/>
  <c r="J12" i="6"/>
  <c r="I12" i="6"/>
  <c r="F27" i="53"/>
  <c r="G27" i="53"/>
  <c r="F8" i="53"/>
  <c r="G8" i="53"/>
  <c r="F9" i="53"/>
  <c r="G9" i="53"/>
  <c r="F10" i="53"/>
  <c r="G10" i="53"/>
  <c r="F11" i="53"/>
  <c r="G11" i="53"/>
  <c r="F12" i="53"/>
  <c r="G12" i="53"/>
  <c r="F13" i="53"/>
  <c r="G13" i="53"/>
  <c r="F14" i="53"/>
  <c r="G14" i="53"/>
  <c r="F15" i="53"/>
  <c r="G15" i="53"/>
  <c r="F16" i="53"/>
  <c r="G16" i="53"/>
  <c r="F17" i="53"/>
  <c r="G17" i="53"/>
  <c r="F18" i="53"/>
  <c r="G18" i="53"/>
  <c r="F19" i="53"/>
  <c r="G19" i="53"/>
  <c r="F20" i="53"/>
  <c r="G20" i="53"/>
  <c r="F21" i="53"/>
  <c r="G21" i="53"/>
  <c r="F22" i="53"/>
  <c r="G22" i="53"/>
  <c r="F23" i="53"/>
  <c r="G23" i="53"/>
  <c r="F24" i="53"/>
  <c r="G24" i="53"/>
  <c r="F25" i="53"/>
  <c r="G25" i="53"/>
  <c r="F7" i="53"/>
  <c r="G7" i="53"/>
  <c r="I27" i="52"/>
  <c r="J27" i="52"/>
  <c r="I8" i="52"/>
  <c r="J8" i="52"/>
  <c r="I9" i="52"/>
  <c r="J9" i="52"/>
  <c r="I10" i="52"/>
  <c r="J10" i="52"/>
  <c r="I11" i="52"/>
  <c r="J11" i="52"/>
  <c r="I12" i="52"/>
  <c r="J12" i="52"/>
  <c r="I13" i="52"/>
  <c r="J13" i="52"/>
  <c r="I14" i="52"/>
  <c r="J14" i="52"/>
  <c r="I15" i="52"/>
  <c r="J15" i="52"/>
  <c r="I16" i="52"/>
  <c r="J16" i="52"/>
  <c r="I17" i="52"/>
  <c r="J17" i="52"/>
  <c r="I18" i="52"/>
  <c r="J18" i="52"/>
  <c r="I19" i="52"/>
  <c r="J19" i="52"/>
  <c r="I20" i="52"/>
  <c r="J20" i="52"/>
  <c r="I21" i="52"/>
  <c r="J21" i="52"/>
  <c r="I22" i="52"/>
  <c r="J22" i="52"/>
  <c r="I23" i="52"/>
  <c r="J23" i="52"/>
  <c r="I24" i="52"/>
  <c r="J24" i="52"/>
  <c r="I25" i="52"/>
  <c r="J25" i="52"/>
  <c r="J7" i="52"/>
  <c r="I7" i="52"/>
  <c r="F27" i="133"/>
  <c r="G27" i="133"/>
  <c r="F8" i="133"/>
  <c r="G8" i="133"/>
  <c r="F9" i="133"/>
  <c r="G9" i="133"/>
  <c r="F10" i="133"/>
  <c r="G10" i="133"/>
  <c r="F11" i="133"/>
  <c r="G11" i="133"/>
  <c r="F12" i="133"/>
  <c r="G12" i="133"/>
  <c r="F13" i="133"/>
  <c r="G13" i="133"/>
  <c r="F14" i="133"/>
  <c r="G14" i="133"/>
  <c r="F15" i="133"/>
  <c r="G15" i="133"/>
  <c r="F16" i="133"/>
  <c r="G16" i="133"/>
  <c r="F17" i="133"/>
  <c r="G17" i="133"/>
  <c r="F18" i="133"/>
  <c r="G18" i="133"/>
  <c r="F19" i="133"/>
  <c r="G19" i="133"/>
  <c r="F20" i="133"/>
  <c r="G20" i="133"/>
  <c r="F21" i="133"/>
  <c r="G21" i="133"/>
  <c r="F22" i="133"/>
  <c r="G22" i="133"/>
  <c r="F23" i="133"/>
  <c r="G23" i="133"/>
  <c r="G7" i="133"/>
  <c r="F7" i="133"/>
  <c r="F27" i="151"/>
  <c r="G27" i="151"/>
  <c r="F8" i="151"/>
  <c r="G8" i="151"/>
  <c r="F9" i="151"/>
  <c r="G9" i="151"/>
  <c r="F10" i="151"/>
  <c r="G10" i="151"/>
  <c r="F11" i="151"/>
  <c r="G11" i="151"/>
  <c r="F12" i="151"/>
  <c r="G12" i="151"/>
  <c r="F13" i="151"/>
  <c r="G13" i="151"/>
  <c r="F14" i="151"/>
  <c r="G14" i="151"/>
  <c r="F15" i="151"/>
  <c r="G15" i="151"/>
  <c r="F16" i="151"/>
  <c r="G16" i="151"/>
  <c r="F17" i="151"/>
  <c r="G17" i="151"/>
  <c r="F18" i="151"/>
  <c r="G18" i="151"/>
  <c r="F19" i="151"/>
  <c r="G19" i="151"/>
  <c r="F20" i="151"/>
  <c r="G20" i="151"/>
  <c r="F21" i="151"/>
  <c r="G21" i="151"/>
  <c r="F22" i="151"/>
  <c r="G22" i="151"/>
  <c r="F23" i="151"/>
  <c r="G23" i="151"/>
  <c r="F24" i="151"/>
  <c r="G24" i="151"/>
  <c r="F25" i="151"/>
  <c r="G25" i="151"/>
  <c r="F7" i="151"/>
  <c r="G7" i="151"/>
  <c r="I27" i="50"/>
  <c r="J27" i="50"/>
  <c r="I8" i="50"/>
  <c r="J8" i="50"/>
  <c r="I9" i="50"/>
  <c r="J9" i="50"/>
  <c r="I10" i="50"/>
  <c r="J10" i="50"/>
  <c r="I11" i="50"/>
  <c r="J11" i="50"/>
  <c r="I12" i="50"/>
  <c r="J12" i="50"/>
  <c r="I13" i="50"/>
  <c r="J13" i="50"/>
  <c r="I14" i="50"/>
  <c r="J14" i="50"/>
  <c r="I15" i="50"/>
  <c r="J15" i="50"/>
  <c r="I16" i="50"/>
  <c r="J16" i="50"/>
  <c r="I17" i="50"/>
  <c r="J17" i="50"/>
  <c r="I18" i="50"/>
  <c r="J18" i="50"/>
  <c r="I19" i="50"/>
  <c r="J19" i="50"/>
  <c r="I20" i="50"/>
  <c r="J20" i="50"/>
  <c r="I21" i="50"/>
  <c r="J21" i="50"/>
  <c r="I22" i="50"/>
  <c r="J22" i="50"/>
  <c r="I23" i="50"/>
  <c r="J23" i="50"/>
  <c r="I24" i="50"/>
  <c r="J24" i="50"/>
  <c r="I25" i="50"/>
  <c r="J25" i="50"/>
  <c r="J7" i="50"/>
  <c r="I7" i="50"/>
  <c r="L27" i="152"/>
  <c r="M27" i="152"/>
  <c r="L8" i="152"/>
  <c r="M8" i="152"/>
  <c r="L9" i="152"/>
  <c r="M9" i="152"/>
  <c r="L10" i="152"/>
  <c r="M10" i="152"/>
  <c r="L11" i="152"/>
  <c r="M11" i="152"/>
  <c r="L12" i="152"/>
  <c r="M12" i="152"/>
  <c r="L13" i="152"/>
  <c r="M13" i="152"/>
  <c r="L14" i="152"/>
  <c r="M14" i="152"/>
  <c r="L15" i="152"/>
  <c r="M15" i="152"/>
  <c r="L16" i="152"/>
  <c r="M16" i="152"/>
  <c r="L17" i="152"/>
  <c r="M17" i="152"/>
  <c r="L18" i="152"/>
  <c r="M18" i="152"/>
  <c r="L19" i="152"/>
  <c r="M19" i="152"/>
  <c r="L20" i="152"/>
  <c r="M20" i="152"/>
  <c r="L21" i="152"/>
  <c r="M21" i="152"/>
  <c r="L22" i="152"/>
  <c r="M22" i="152"/>
  <c r="L23" i="152"/>
  <c r="M23" i="152"/>
  <c r="L24" i="152"/>
  <c r="M24" i="152"/>
  <c r="L25" i="152"/>
  <c r="M25" i="152"/>
  <c r="M7" i="152"/>
  <c r="L7" i="152"/>
  <c r="N27" i="49"/>
  <c r="O27" i="49"/>
  <c r="N8" i="49"/>
  <c r="O8" i="49"/>
  <c r="N9" i="49"/>
  <c r="O9" i="49"/>
  <c r="N10" i="49"/>
  <c r="O10" i="49"/>
  <c r="N11" i="49"/>
  <c r="O11" i="49"/>
  <c r="N12" i="49"/>
  <c r="O12" i="49"/>
  <c r="N13" i="49"/>
  <c r="O13" i="49"/>
  <c r="N14" i="49"/>
  <c r="O14" i="49"/>
  <c r="N15" i="49"/>
  <c r="O15" i="49"/>
  <c r="N16" i="49"/>
  <c r="O16" i="49"/>
  <c r="N17" i="49"/>
  <c r="O17" i="49"/>
  <c r="N18" i="49"/>
  <c r="O18" i="49"/>
  <c r="N19" i="49"/>
  <c r="O19" i="49"/>
  <c r="N20" i="49"/>
  <c r="O20" i="49"/>
  <c r="N21" i="49"/>
  <c r="O21" i="49"/>
  <c r="N22" i="49"/>
  <c r="O22" i="49"/>
  <c r="N23" i="49"/>
  <c r="O23" i="49"/>
  <c r="N24" i="49"/>
  <c r="O24" i="49"/>
  <c r="N25" i="49"/>
  <c r="O25" i="49"/>
  <c r="N7" i="49"/>
  <c r="O7" i="49"/>
  <c r="M28" i="130"/>
  <c r="M9" i="130"/>
  <c r="M10" i="130"/>
  <c r="M11" i="130"/>
  <c r="M12" i="130"/>
  <c r="M13" i="130"/>
  <c r="M14" i="130"/>
  <c r="M15" i="130"/>
  <c r="M16" i="130"/>
  <c r="M17" i="130"/>
  <c r="M18" i="130"/>
  <c r="M19" i="130"/>
  <c r="M20" i="130"/>
  <c r="M21" i="130"/>
  <c r="M22" i="130"/>
  <c r="M23" i="130"/>
  <c r="M24" i="130"/>
  <c r="M8" i="130"/>
  <c r="L28" i="129"/>
  <c r="L9" i="129"/>
  <c r="L10" i="129"/>
  <c r="L11" i="129"/>
  <c r="L12" i="129"/>
  <c r="L13" i="129"/>
  <c r="L14" i="129"/>
  <c r="L15" i="129"/>
  <c r="L16" i="129"/>
  <c r="L17" i="129"/>
  <c r="L18" i="129"/>
  <c r="L19" i="129"/>
  <c r="L20" i="129"/>
  <c r="L21" i="129"/>
  <c r="L22" i="129"/>
  <c r="L23" i="129"/>
  <c r="L24" i="129"/>
  <c r="L8" i="129"/>
  <c r="F27" i="47"/>
  <c r="G27" i="47"/>
  <c r="F8" i="47"/>
  <c r="G8" i="47"/>
  <c r="F9" i="47"/>
  <c r="G9" i="47"/>
  <c r="F10" i="47"/>
  <c r="G10" i="47"/>
  <c r="F11" i="47"/>
  <c r="G11" i="47"/>
  <c r="F12" i="47"/>
  <c r="G12" i="47"/>
  <c r="F13" i="47"/>
  <c r="G13" i="47"/>
  <c r="F14" i="47"/>
  <c r="G14" i="47"/>
  <c r="F15" i="47"/>
  <c r="G15" i="47"/>
  <c r="F16" i="47"/>
  <c r="G16" i="47"/>
  <c r="F17" i="47"/>
  <c r="G17" i="47"/>
  <c r="F18" i="47"/>
  <c r="G18" i="47"/>
  <c r="F19" i="47"/>
  <c r="G19" i="47"/>
  <c r="F20" i="47"/>
  <c r="G20" i="47"/>
  <c r="F21" i="47"/>
  <c r="G21" i="47"/>
  <c r="F22" i="47"/>
  <c r="G22" i="47"/>
  <c r="F23" i="47"/>
  <c r="G23" i="47"/>
  <c r="F24" i="47"/>
  <c r="G24" i="47"/>
  <c r="F25" i="47"/>
  <c r="G25" i="47"/>
  <c r="G7" i="47"/>
  <c r="F7" i="47"/>
  <c r="K28" i="44"/>
  <c r="L28" i="44"/>
  <c r="K24" i="44"/>
  <c r="L24" i="44"/>
  <c r="K9" i="44"/>
  <c r="L9" i="44"/>
  <c r="K10" i="44"/>
  <c r="L10" i="44"/>
  <c r="K11" i="44"/>
  <c r="L11" i="44"/>
  <c r="K12" i="44"/>
  <c r="L12" i="44"/>
  <c r="K13" i="44"/>
  <c r="L13" i="44"/>
  <c r="K14" i="44"/>
  <c r="L14" i="44"/>
  <c r="K15" i="44"/>
  <c r="L15" i="44"/>
  <c r="K16" i="44"/>
  <c r="L16" i="44"/>
  <c r="K17" i="44"/>
  <c r="L17" i="44"/>
  <c r="K18" i="44"/>
  <c r="L18" i="44"/>
  <c r="K19" i="44"/>
  <c r="L19" i="44"/>
  <c r="K20" i="44"/>
  <c r="L20" i="44"/>
  <c r="K21" i="44"/>
  <c r="L21" i="44"/>
  <c r="K22" i="44"/>
  <c r="L22" i="44"/>
  <c r="K23" i="44"/>
  <c r="L23" i="44"/>
  <c r="L8" i="44"/>
  <c r="K8" i="44"/>
  <c r="P28" i="46"/>
  <c r="Q28" i="46"/>
  <c r="P9" i="46"/>
  <c r="Q9" i="46"/>
  <c r="P10" i="46"/>
  <c r="Q10" i="46"/>
  <c r="P11" i="46"/>
  <c r="Q11" i="46"/>
  <c r="P12" i="46"/>
  <c r="Q12" i="46"/>
  <c r="P13" i="46"/>
  <c r="Q13" i="46"/>
  <c r="P14" i="46"/>
  <c r="Q14" i="46"/>
  <c r="P15" i="46"/>
  <c r="Q15" i="46"/>
  <c r="P16" i="46"/>
  <c r="Q16" i="46"/>
  <c r="P17" i="46"/>
  <c r="Q17" i="46"/>
  <c r="P18" i="46"/>
  <c r="Q18" i="46"/>
  <c r="P19" i="46"/>
  <c r="Q19" i="46"/>
  <c r="P20" i="46"/>
  <c r="Q20" i="46"/>
  <c r="P21" i="46"/>
  <c r="Q21" i="46"/>
  <c r="P22" i="46"/>
  <c r="Q22" i="46"/>
  <c r="P23" i="46"/>
  <c r="Q23" i="46"/>
  <c r="P24" i="46"/>
  <c r="Q24" i="46"/>
  <c r="P8" i="46"/>
  <c r="Q8" i="46"/>
  <c r="K27" i="45"/>
  <c r="L27" i="45"/>
  <c r="K8" i="45"/>
  <c r="L8" i="45"/>
  <c r="K9" i="45"/>
  <c r="L9" i="45"/>
  <c r="K10" i="45"/>
  <c r="L10" i="45"/>
  <c r="K11" i="45"/>
  <c r="L11" i="45"/>
  <c r="K12" i="45"/>
  <c r="L12" i="45"/>
  <c r="K13" i="45"/>
  <c r="L13" i="45"/>
  <c r="K14" i="45"/>
  <c r="L14" i="45"/>
  <c r="K15" i="45"/>
  <c r="L15" i="45"/>
  <c r="K16" i="45"/>
  <c r="L16" i="45"/>
  <c r="K17" i="45"/>
  <c r="L17" i="45"/>
  <c r="K18" i="45"/>
  <c r="L18" i="45"/>
  <c r="K19" i="45"/>
  <c r="L19" i="45"/>
  <c r="K20" i="45"/>
  <c r="L20" i="45"/>
  <c r="K21" i="45"/>
  <c r="L21" i="45"/>
  <c r="K22" i="45"/>
  <c r="L22" i="45"/>
  <c r="K23" i="45"/>
  <c r="L23" i="45"/>
  <c r="K7" i="45"/>
  <c r="L7" i="45"/>
  <c r="N27" i="120"/>
  <c r="O27" i="120"/>
  <c r="N8" i="120"/>
  <c r="O8" i="120"/>
  <c r="N9" i="120"/>
  <c r="O9" i="120"/>
  <c r="N10" i="120"/>
  <c r="O10" i="120"/>
  <c r="N11" i="120"/>
  <c r="O11" i="120"/>
  <c r="N12" i="120"/>
  <c r="O12" i="120"/>
  <c r="N13" i="120"/>
  <c r="O13" i="120"/>
  <c r="N14" i="120"/>
  <c r="O14" i="120"/>
  <c r="N15" i="120"/>
  <c r="O15" i="120"/>
  <c r="N16" i="120"/>
  <c r="O16" i="120"/>
  <c r="N17" i="120"/>
  <c r="O17" i="120"/>
  <c r="N18" i="120"/>
  <c r="O18" i="120"/>
  <c r="N19" i="120"/>
  <c r="O19" i="120"/>
  <c r="N20" i="120"/>
  <c r="O20" i="120"/>
  <c r="N21" i="120"/>
  <c r="O21" i="120"/>
  <c r="N22" i="120"/>
  <c r="O22" i="120"/>
  <c r="N23" i="120"/>
  <c r="O23" i="120"/>
  <c r="N24" i="120"/>
  <c r="O24" i="120"/>
  <c r="N25" i="120"/>
  <c r="O25" i="120"/>
  <c r="O7" i="120"/>
  <c r="N7" i="120"/>
  <c r="O28" i="43"/>
  <c r="O9" i="43"/>
  <c r="O10" i="43"/>
  <c r="O11" i="43"/>
  <c r="O12" i="43"/>
  <c r="O13" i="43"/>
  <c r="O14" i="43"/>
  <c r="O15" i="43"/>
  <c r="O16" i="43"/>
  <c r="O17" i="43"/>
  <c r="O18" i="43"/>
  <c r="O19" i="43"/>
  <c r="O20" i="43"/>
  <c r="O21" i="43"/>
  <c r="O22" i="43"/>
  <c r="O23" i="43"/>
  <c r="O24" i="43"/>
  <c r="O8" i="43"/>
  <c r="O28" i="42"/>
  <c r="O9" i="42"/>
  <c r="O10" i="42"/>
  <c r="O11" i="42"/>
  <c r="O12" i="42"/>
  <c r="O13" i="42"/>
  <c r="O14" i="42"/>
  <c r="O15" i="42"/>
  <c r="O16" i="42"/>
  <c r="O17" i="42"/>
  <c r="O18" i="42"/>
  <c r="O19" i="42"/>
  <c r="O20" i="42"/>
  <c r="O21" i="42"/>
  <c r="O22" i="42"/>
  <c r="O23" i="42"/>
  <c r="O24" i="42"/>
  <c r="O8" i="42"/>
  <c r="O2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22" i="41"/>
  <c r="O23" i="41"/>
  <c r="O24" i="41"/>
  <c r="O8" i="41"/>
  <c r="N28" i="40"/>
  <c r="N9" i="40"/>
  <c r="N10" i="40"/>
  <c r="N11" i="40"/>
  <c r="N12" i="40"/>
  <c r="N13" i="40"/>
  <c r="N14" i="40"/>
  <c r="N15" i="40"/>
  <c r="N16" i="40"/>
  <c r="N17" i="40"/>
  <c r="N18" i="40"/>
  <c r="N19" i="40"/>
  <c r="N20" i="40"/>
  <c r="N21" i="40"/>
  <c r="N22" i="40"/>
  <c r="N23" i="40"/>
  <c r="N24" i="40"/>
  <c r="N8" i="40"/>
  <c r="N2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8" i="39"/>
  <c r="N2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8" i="38"/>
  <c r="O28" i="155"/>
  <c r="P28" i="155"/>
  <c r="O9" i="155"/>
  <c r="P9" i="155"/>
  <c r="O10" i="155"/>
  <c r="P10" i="155"/>
  <c r="O11" i="155"/>
  <c r="P11" i="155"/>
  <c r="O12" i="155"/>
  <c r="P12" i="155"/>
  <c r="O13" i="155"/>
  <c r="P13" i="155"/>
  <c r="O14" i="155"/>
  <c r="P14" i="155"/>
  <c r="O15" i="155"/>
  <c r="P15" i="155"/>
  <c r="O16" i="155"/>
  <c r="P16" i="155"/>
  <c r="O17" i="155"/>
  <c r="P17" i="155"/>
  <c r="O18" i="155"/>
  <c r="P18" i="155"/>
  <c r="O19" i="155"/>
  <c r="P19" i="155"/>
  <c r="O20" i="155"/>
  <c r="P20" i="155"/>
  <c r="O21" i="155"/>
  <c r="P21" i="155"/>
  <c r="O22" i="155"/>
  <c r="P22" i="155"/>
  <c r="O23" i="155"/>
  <c r="P23" i="155"/>
  <c r="O24" i="155"/>
  <c r="P24" i="155"/>
  <c r="O25" i="155"/>
  <c r="P25" i="155"/>
  <c r="O26" i="155"/>
  <c r="P26" i="155"/>
  <c r="O8" i="155"/>
  <c r="P8" i="155"/>
  <c r="O28" i="156"/>
  <c r="P28" i="156"/>
  <c r="O9" i="156"/>
  <c r="P9" i="156"/>
  <c r="O10" i="156"/>
  <c r="P10" i="156"/>
  <c r="O11" i="156"/>
  <c r="P11" i="156"/>
  <c r="O12" i="156"/>
  <c r="P12" i="156"/>
  <c r="O13" i="156"/>
  <c r="P13" i="156"/>
  <c r="O14" i="156"/>
  <c r="P14" i="156"/>
  <c r="O15" i="156"/>
  <c r="P15" i="156"/>
  <c r="O16" i="156"/>
  <c r="P16" i="156"/>
  <c r="O17" i="156"/>
  <c r="P17" i="156"/>
  <c r="O18" i="156"/>
  <c r="P18" i="156"/>
  <c r="O19" i="156"/>
  <c r="P19" i="156"/>
  <c r="O20" i="156"/>
  <c r="P20" i="156"/>
  <c r="O21" i="156"/>
  <c r="P21" i="156"/>
  <c r="O22" i="156"/>
  <c r="P22" i="156"/>
  <c r="O23" i="156"/>
  <c r="P23" i="156"/>
  <c r="O24" i="156"/>
  <c r="P24" i="156"/>
  <c r="O8" i="156"/>
  <c r="P8" i="156"/>
  <c r="M28" i="154"/>
  <c r="N28" i="154"/>
  <c r="M9" i="154"/>
  <c r="N9" i="154"/>
  <c r="M10" i="154"/>
  <c r="N10" i="154"/>
  <c r="M11" i="154"/>
  <c r="N11" i="154"/>
  <c r="M12" i="154"/>
  <c r="N12" i="154"/>
  <c r="M13" i="154"/>
  <c r="N13" i="154"/>
  <c r="M14" i="154"/>
  <c r="N14" i="154"/>
  <c r="M15" i="154"/>
  <c r="N15" i="154"/>
  <c r="M16" i="154"/>
  <c r="N16" i="154"/>
  <c r="M17" i="154"/>
  <c r="N17" i="154"/>
  <c r="M18" i="154"/>
  <c r="N18" i="154"/>
  <c r="M19" i="154"/>
  <c r="N19" i="154"/>
  <c r="M20" i="154"/>
  <c r="N20" i="154"/>
  <c r="M21" i="154"/>
  <c r="N21" i="154"/>
  <c r="M22" i="154"/>
  <c r="N22" i="154"/>
  <c r="M23" i="154"/>
  <c r="N23" i="154"/>
  <c r="M24" i="154"/>
  <c r="N24" i="154"/>
  <c r="M25" i="154"/>
  <c r="N25" i="154"/>
  <c r="M26" i="154"/>
  <c r="N26" i="154"/>
  <c r="M8" i="154"/>
  <c r="N8" i="154"/>
  <c r="O29" i="126"/>
  <c r="O10" i="126"/>
  <c r="O11" i="126"/>
  <c r="O12" i="126"/>
  <c r="O13" i="126"/>
  <c r="O14" i="126"/>
  <c r="O15" i="126"/>
  <c r="O16" i="126"/>
  <c r="O17" i="126"/>
  <c r="O18" i="126"/>
  <c r="O19" i="126"/>
  <c r="O20" i="126"/>
  <c r="O21" i="126"/>
  <c r="O22" i="126"/>
  <c r="O23" i="126"/>
  <c r="O24" i="126"/>
  <c r="O25" i="126"/>
  <c r="O9" i="126"/>
  <c r="I27" i="36"/>
  <c r="J27" i="36"/>
  <c r="I8" i="36"/>
  <c r="J8" i="36"/>
  <c r="I9" i="36"/>
  <c r="J9" i="36"/>
  <c r="I10" i="36"/>
  <c r="J10" i="36"/>
  <c r="I11" i="36"/>
  <c r="J11" i="36"/>
  <c r="I12" i="36"/>
  <c r="J12" i="36"/>
  <c r="I13" i="36"/>
  <c r="J13" i="36"/>
  <c r="I14" i="36"/>
  <c r="J14" i="36"/>
  <c r="I15" i="36"/>
  <c r="J15" i="36"/>
  <c r="I16" i="36"/>
  <c r="J16" i="36"/>
  <c r="I17" i="36"/>
  <c r="J17" i="36"/>
  <c r="I18" i="36"/>
  <c r="J18" i="36"/>
  <c r="I19" i="36"/>
  <c r="J19" i="36"/>
  <c r="I20" i="36"/>
  <c r="J20" i="36"/>
  <c r="I21" i="36"/>
  <c r="J21" i="36"/>
  <c r="I22" i="36"/>
  <c r="J22" i="36"/>
  <c r="I23" i="36"/>
  <c r="J23" i="36"/>
  <c r="I7" i="36"/>
  <c r="J7" i="36"/>
  <c r="G27" i="127"/>
  <c r="H27" i="127"/>
  <c r="G8" i="127"/>
  <c r="H8" i="127"/>
  <c r="G9" i="127"/>
  <c r="H9" i="127"/>
  <c r="G10" i="127"/>
  <c r="H10" i="127"/>
  <c r="G11" i="127"/>
  <c r="H11" i="127"/>
  <c r="G12" i="127"/>
  <c r="H12" i="127"/>
  <c r="G13" i="127"/>
  <c r="H13" i="127"/>
  <c r="G14" i="127"/>
  <c r="H14" i="127"/>
  <c r="G15" i="127"/>
  <c r="H15" i="127"/>
  <c r="G16" i="127"/>
  <c r="H16" i="127"/>
  <c r="G17" i="127"/>
  <c r="H17" i="127"/>
  <c r="G18" i="127"/>
  <c r="H18" i="127"/>
  <c r="G19" i="127"/>
  <c r="H19" i="127"/>
  <c r="G20" i="127"/>
  <c r="H20" i="127"/>
  <c r="G21" i="127"/>
  <c r="H21" i="127"/>
  <c r="G22" i="127"/>
  <c r="H22" i="127"/>
  <c r="G23" i="127"/>
  <c r="H23" i="127"/>
  <c r="G7" i="127"/>
  <c r="H7" i="127"/>
  <c r="J27" i="124"/>
  <c r="K27" i="124"/>
  <c r="J8" i="124"/>
  <c r="K8" i="124"/>
  <c r="J9" i="124"/>
  <c r="K9" i="124"/>
  <c r="J10" i="124"/>
  <c r="K10" i="124"/>
  <c r="J11" i="124"/>
  <c r="K11" i="124"/>
  <c r="J12" i="124"/>
  <c r="K12" i="124"/>
  <c r="J13" i="124"/>
  <c r="K13" i="124"/>
  <c r="J14" i="124"/>
  <c r="K14" i="124"/>
  <c r="J15" i="124"/>
  <c r="K15" i="124"/>
  <c r="J16" i="124"/>
  <c r="K16" i="124"/>
  <c r="J17" i="124"/>
  <c r="K17" i="124"/>
  <c r="J18" i="124"/>
  <c r="K18" i="124"/>
  <c r="J19" i="124"/>
  <c r="K19" i="124"/>
  <c r="J20" i="124"/>
  <c r="K20" i="124"/>
  <c r="J21" i="124"/>
  <c r="K21" i="124"/>
  <c r="J22" i="124"/>
  <c r="K22" i="124"/>
  <c r="J23" i="124"/>
  <c r="K23" i="124"/>
  <c r="K7" i="124"/>
  <c r="J7" i="124"/>
  <c r="J27" i="123"/>
  <c r="K27" i="123"/>
  <c r="J8" i="123"/>
  <c r="K8" i="123"/>
  <c r="J9" i="123"/>
  <c r="K9" i="123"/>
  <c r="J10" i="123"/>
  <c r="K10" i="123"/>
  <c r="J11" i="123"/>
  <c r="K11" i="123"/>
  <c r="J12" i="123"/>
  <c r="K12" i="123"/>
  <c r="J13" i="123"/>
  <c r="K13" i="123"/>
  <c r="J14" i="123"/>
  <c r="K14" i="123"/>
  <c r="J15" i="123"/>
  <c r="K15" i="123"/>
  <c r="J16" i="123"/>
  <c r="K16" i="123"/>
  <c r="J17" i="123"/>
  <c r="K17" i="123"/>
  <c r="J18" i="123"/>
  <c r="K18" i="123"/>
  <c r="J19" i="123"/>
  <c r="K19" i="123"/>
  <c r="J20" i="123"/>
  <c r="K20" i="123"/>
  <c r="J21" i="123"/>
  <c r="K21" i="123"/>
  <c r="J22" i="123"/>
  <c r="K22" i="123"/>
  <c r="J23" i="123"/>
  <c r="K23" i="123"/>
  <c r="K7" i="123"/>
  <c r="J7" i="123"/>
  <c r="J27" i="35"/>
  <c r="K27" i="35"/>
  <c r="J8" i="35"/>
  <c r="K8" i="35"/>
  <c r="J9" i="35"/>
  <c r="K9" i="35"/>
  <c r="J10" i="35"/>
  <c r="K10" i="35"/>
  <c r="J11" i="35"/>
  <c r="K11" i="35"/>
  <c r="J12" i="35"/>
  <c r="K12" i="35"/>
  <c r="J13" i="35"/>
  <c r="K13" i="35"/>
  <c r="J14" i="35"/>
  <c r="K14" i="35"/>
  <c r="J15" i="35"/>
  <c r="K15" i="35"/>
  <c r="J16" i="35"/>
  <c r="K16" i="35"/>
  <c r="J17" i="35"/>
  <c r="K17" i="35"/>
  <c r="J18" i="35"/>
  <c r="K18" i="35"/>
  <c r="J19" i="35"/>
  <c r="K19" i="35"/>
  <c r="J20" i="35"/>
  <c r="K20" i="35"/>
  <c r="J21" i="35"/>
  <c r="K21" i="35"/>
  <c r="J22" i="35"/>
  <c r="K22" i="35"/>
  <c r="J23" i="35"/>
  <c r="K23" i="35"/>
  <c r="K7" i="35"/>
  <c r="J7" i="35"/>
  <c r="J27" i="34"/>
  <c r="K27" i="34"/>
  <c r="J8" i="34"/>
  <c r="K8" i="34"/>
  <c r="J9" i="34"/>
  <c r="K9" i="34"/>
  <c r="J10" i="34"/>
  <c r="K10" i="34"/>
  <c r="J11" i="34"/>
  <c r="K11" i="34"/>
  <c r="J12" i="34"/>
  <c r="K12" i="34"/>
  <c r="J13" i="34"/>
  <c r="K13" i="34"/>
  <c r="J14" i="34"/>
  <c r="K14" i="34"/>
  <c r="J15" i="34"/>
  <c r="K15" i="34"/>
  <c r="J16" i="34"/>
  <c r="K16" i="34"/>
  <c r="J17" i="34"/>
  <c r="K17" i="34"/>
  <c r="J18" i="34"/>
  <c r="K18" i="34"/>
  <c r="J19" i="34"/>
  <c r="K19" i="34"/>
  <c r="J20" i="34"/>
  <c r="K20" i="34"/>
  <c r="J21" i="34"/>
  <c r="K21" i="34"/>
  <c r="J22" i="34"/>
  <c r="K22" i="34"/>
  <c r="J23" i="34"/>
  <c r="K23" i="34"/>
  <c r="K7" i="34"/>
  <c r="J7" i="34"/>
  <c r="H27" i="32"/>
  <c r="I27" i="32"/>
  <c r="H8" i="32"/>
  <c r="I8" i="32"/>
  <c r="H9" i="32"/>
  <c r="I9" i="32"/>
  <c r="H10" i="32"/>
  <c r="I10" i="32"/>
  <c r="H11" i="32"/>
  <c r="I11" i="32"/>
  <c r="H12" i="32"/>
  <c r="I12" i="32"/>
  <c r="H13" i="32"/>
  <c r="I13" i="32"/>
  <c r="H14" i="32"/>
  <c r="I14" i="32"/>
  <c r="H15" i="32"/>
  <c r="I15" i="32"/>
  <c r="H16" i="32"/>
  <c r="I16" i="32"/>
  <c r="H17" i="32"/>
  <c r="I17" i="32"/>
  <c r="H18" i="32"/>
  <c r="I18" i="32"/>
  <c r="H19" i="32"/>
  <c r="I19" i="32"/>
  <c r="H20" i="32"/>
  <c r="I20" i="32"/>
  <c r="H21" i="32"/>
  <c r="I21" i="32"/>
  <c r="H22" i="32"/>
  <c r="I22" i="32"/>
  <c r="H23" i="32"/>
  <c r="I23" i="32"/>
  <c r="H24" i="32"/>
  <c r="I24" i="32"/>
  <c r="H25" i="32"/>
  <c r="I25" i="32"/>
  <c r="H7" i="32"/>
  <c r="I7" i="32"/>
  <c r="G27" i="31"/>
  <c r="H27" i="31"/>
  <c r="G8" i="31"/>
  <c r="H8" i="31"/>
  <c r="G9" i="31"/>
  <c r="H9" i="31"/>
  <c r="G10" i="31"/>
  <c r="H10" i="31"/>
  <c r="G11" i="31"/>
  <c r="H11" i="31"/>
  <c r="G12" i="31"/>
  <c r="H12" i="31"/>
  <c r="G13" i="31"/>
  <c r="H13" i="31"/>
  <c r="G14" i="31"/>
  <c r="H14" i="31"/>
  <c r="G15" i="31"/>
  <c r="H15" i="31"/>
  <c r="G16" i="31"/>
  <c r="H16" i="31"/>
  <c r="G17" i="31"/>
  <c r="H17" i="31"/>
  <c r="G18" i="31"/>
  <c r="H18" i="31"/>
  <c r="G19" i="31"/>
  <c r="H19" i="31"/>
  <c r="G20" i="31"/>
  <c r="H20" i="31"/>
  <c r="G21" i="31"/>
  <c r="H21" i="31"/>
  <c r="G22" i="31"/>
  <c r="H22" i="31"/>
  <c r="G23" i="31"/>
  <c r="H23" i="31"/>
  <c r="G24" i="31"/>
  <c r="H24" i="31"/>
  <c r="G25" i="31"/>
  <c r="H25" i="31"/>
  <c r="H7" i="31"/>
  <c r="G7" i="31"/>
  <c r="K28" i="26"/>
  <c r="L28" i="26"/>
  <c r="K9" i="26"/>
  <c r="L9" i="26"/>
  <c r="K10" i="26"/>
  <c r="L10" i="26"/>
  <c r="K12" i="26"/>
  <c r="L12" i="26"/>
  <c r="K13" i="26"/>
  <c r="L13" i="26"/>
  <c r="K14" i="26"/>
  <c r="L14" i="26"/>
  <c r="K15" i="26"/>
  <c r="L15" i="26"/>
  <c r="K16" i="26"/>
  <c r="L16" i="26"/>
  <c r="K17" i="26"/>
  <c r="L17" i="26"/>
  <c r="K18" i="26"/>
  <c r="L18" i="26"/>
  <c r="K19" i="26"/>
  <c r="L19" i="26"/>
  <c r="K20" i="26"/>
  <c r="L20" i="26"/>
  <c r="K21" i="26"/>
  <c r="L21" i="26"/>
  <c r="K22" i="26"/>
  <c r="L22" i="26"/>
  <c r="K23" i="26"/>
  <c r="L23" i="26"/>
  <c r="K24" i="26"/>
  <c r="L24" i="26"/>
  <c r="K25" i="26"/>
  <c r="L25" i="26"/>
  <c r="K26" i="26"/>
  <c r="L26" i="26"/>
  <c r="L8" i="26"/>
  <c r="K8" i="26"/>
  <c r="K28" i="116"/>
  <c r="L28" i="116"/>
  <c r="K9" i="116"/>
  <c r="L9" i="116"/>
  <c r="K10" i="116"/>
  <c r="L10" i="116"/>
  <c r="K11" i="116"/>
  <c r="L11" i="116"/>
  <c r="K12" i="116"/>
  <c r="L12" i="116"/>
  <c r="K13" i="116"/>
  <c r="L13" i="116"/>
  <c r="K14" i="116"/>
  <c r="L14" i="116"/>
  <c r="K15" i="116"/>
  <c r="L15" i="116"/>
  <c r="K16" i="116"/>
  <c r="L16" i="116"/>
  <c r="K17" i="116"/>
  <c r="L17" i="116"/>
  <c r="K18" i="116"/>
  <c r="L18" i="116"/>
  <c r="K19" i="116"/>
  <c r="L19" i="116"/>
  <c r="K20" i="116"/>
  <c r="L20" i="116"/>
  <c r="K21" i="116"/>
  <c r="L21" i="116"/>
  <c r="K22" i="116"/>
  <c r="L22" i="116"/>
  <c r="K23" i="116"/>
  <c r="L23" i="116"/>
  <c r="K24" i="116"/>
  <c r="L24" i="116"/>
  <c r="K25" i="116"/>
  <c r="L25" i="116"/>
  <c r="K26" i="116"/>
  <c r="L26" i="116"/>
  <c r="L8" i="116"/>
  <c r="K8" i="116"/>
  <c r="J28" i="99"/>
  <c r="K28" i="99"/>
  <c r="J9" i="99"/>
  <c r="K9" i="99"/>
  <c r="J10" i="99"/>
  <c r="K10" i="99"/>
  <c r="J11" i="99"/>
  <c r="K11" i="99"/>
  <c r="J12" i="99"/>
  <c r="K12" i="99"/>
  <c r="J13" i="99"/>
  <c r="K13" i="99"/>
  <c r="J14" i="99"/>
  <c r="K14" i="99"/>
  <c r="J15" i="99"/>
  <c r="K15" i="99"/>
  <c r="J16" i="99"/>
  <c r="K16" i="99"/>
  <c r="J17" i="99"/>
  <c r="K17" i="99"/>
  <c r="J18" i="99"/>
  <c r="K18" i="99"/>
  <c r="J19" i="99"/>
  <c r="K19" i="99"/>
  <c r="J20" i="99"/>
  <c r="K20" i="99"/>
  <c r="J21" i="99"/>
  <c r="K21" i="99"/>
  <c r="J22" i="99"/>
  <c r="K22" i="99"/>
  <c r="J23" i="99"/>
  <c r="K23" i="99"/>
  <c r="J24" i="99"/>
  <c r="K24" i="99"/>
  <c r="J25" i="99"/>
  <c r="K25" i="99"/>
  <c r="J26" i="99"/>
  <c r="K26" i="99"/>
  <c r="J8" i="99"/>
  <c r="K8" i="99"/>
  <c r="N28" i="23"/>
  <c r="O2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O8" i="23"/>
  <c r="N8" i="23"/>
  <c r="K9" i="100"/>
  <c r="L9" i="100"/>
  <c r="K10" i="100"/>
  <c r="L10" i="100"/>
  <c r="K11" i="100"/>
  <c r="L11" i="100"/>
  <c r="K12" i="100"/>
  <c r="L12" i="100"/>
  <c r="K13" i="100"/>
  <c r="L13" i="100"/>
  <c r="K14" i="100"/>
  <c r="L14" i="100"/>
  <c r="K15" i="100"/>
  <c r="L15" i="100"/>
  <c r="K16" i="100"/>
  <c r="L16" i="100"/>
  <c r="K17" i="100"/>
  <c r="L17" i="100"/>
  <c r="K18" i="100"/>
  <c r="L18" i="100"/>
  <c r="K19" i="100"/>
  <c r="L19" i="100"/>
  <c r="K20" i="100"/>
  <c r="L20" i="100"/>
  <c r="K21" i="100"/>
  <c r="L21" i="100"/>
  <c r="K22" i="100"/>
  <c r="L22" i="100"/>
  <c r="K23" i="100"/>
  <c r="L23" i="100"/>
  <c r="K24" i="100"/>
  <c r="L24" i="100"/>
  <c r="K25" i="100"/>
  <c r="L25" i="100"/>
  <c r="K26" i="100"/>
  <c r="L26" i="100"/>
  <c r="L8" i="100"/>
  <c r="K8" i="100"/>
  <c r="K9" i="20"/>
  <c r="L9" i="20"/>
  <c r="K10" i="20"/>
  <c r="L10" i="20"/>
  <c r="K11" i="20"/>
  <c r="L11" i="20"/>
  <c r="K12" i="20"/>
  <c r="L12" i="20"/>
  <c r="K13" i="20"/>
  <c r="L13" i="20"/>
  <c r="K14" i="20"/>
  <c r="L14" i="20"/>
  <c r="K15" i="20"/>
  <c r="L15" i="20"/>
  <c r="K16" i="20"/>
  <c r="L16" i="20"/>
  <c r="K17" i="20"/>
  <c r="L17" i="20"/>
  <c r="K18" i="20"/>
  <c r="L18" i="20"/>
  <c r="K19" i="20"/>
  <c r="L19" i="20"/>
  <c r="K20" i="20"/>
  <c r="L20" i="20"/>
  <c r="K21" i="20"/>
  <c r="L21" i="20"/>
  <c r="K22" i="20"/>
  <c r="L22" i="20"/>
  <c r="K23" i="20"/>
  <c r="L23" i="20"/>
  <c r="K24" i="20"/>
  <c r="L24" i="20"/>
  <c r="K25" i="20"/>
  <c r="L25" i="20"/>
  <c r="K26" i="20"/>
  <c r="L26" i="20"/>
  <c r="L8" i="20"/>
  <c r="K8" i="20"/>
  <c r="K9" i="18"/>
  <c r="L9" i="18"/>
  <c r="K10" i="18"/>
  <c r="L10" i="18"/>
  <c r="K11" i="18"/>
  <c r="L11" i="18"/>
  <c r="K12" i="18"/>
  <c r="L12" i="18"/>
  <c r="K13" i="18"/>
  <c r="L13" i="18"/>
  <c r="K14" i="18"/>
  <c r="L14" i="18"/>
  <c r="K15" i="18"/>
  <c r="L15" i="18"/>
  <c r="K16" i="18"/>
  <c r="L16" i="18"/>
  <c r="K17" i="18"/>
  <c r="L17" i="18"/>
  <c r="K18" i="18"/>
  <c r="L18" i="18"/>
  <c r="K19" i="18"/>
  <c r="L19" i="18"/>
  <c r="K20" i="18"/>
  <c r="L20" i="18"/>
  <c r="K21" i="18"/>
  <c r="L21" i="18"/>
  <c r="K22" i="18"/>
  <c r="L22" i="18"/>
  <c r="K23" i="18"/>
  <c r="L23" i="18"/>
  <c r="K24" i="18"/>
  <c r="L24" i="18"/>
  <c r="K25" i="18"/>
  <c r="L25" i="18"/>
  <c r="K26" i="18"/>
  <c r="L26" i="18"/>
  <c r="K8" i="18"/>
  <c r="L8" i="18"/>
  <c r="J9" i="19"/>
  <c r="K9" i="19"/>
  <c r="J10" i="19"/>
  <c r="K10" i="19"/>
  <c r="J11" i="19"/>
  <c r="K11" i="19"/>
  <c r="J12" i="19"/>
  <c r="K12" i="19"/>
  <c r="J13" i="19"/>
  <c r="K13" i="19"/>
  <c r="J14" i="19"/>
  <c r="K14" i="19"/>
  <c r="J15" i="19"/>
  <c r="K15" i="19"/>
  <c r="J16" i="19"/>
  <c r="K16" i="19"/>
  <c r="J17" i="19"/>
  <c r="K17" i="19"/>
  <c r="J18" i="19"/>
  <c r="K18" i="19"/>
  <c r="J19" i="19"/>
  <c r="K19" i="19"/>
  <c r="J20" i="19"/>
  <c r="K20" i="19"/>
  <c r="J21" i="19"/>
  <c r="K21" i="19"/>
  <c r="J22" i="19"/>
  <c r="K22" i="19"/>
  <c r="J23" i="19"/>
  <c r="K23" i="19"/>
  <c r="J24" i="19"/>
  <c r="K24" i="19"/>
  <c r="J25" i="19"/>
  <c r="K25" i="19"/>
  <c r="J26" i="19"/>
  <c r="K26" i="19"/>
  <c r="J8" i="19"/>
  <c r="K8" i="19"/>
  <c r="H8" i="16"/>
  <c r="I8" i="16"/>
  <c r="H9" i="16"/>
  <c r="I9" i="16"/>
  <c r="H10" i="16"/>
  <c r="I10" i="16"/>
  <c r="H11" i="16"/>
  <c r="I11" i="16"/>
  <c r="H12" i="16"/>
  <c r="I12" i="16"/>
  <c r="H13" i="16"/>
  <c r="I13" i="16"/>
  <c r="H14" i="16"/>
  <c r="I14" i="16"/>
  <c r="H15" i="16"/>
  <c r="I15" i="16"/>
  <c r="H16" i="16"/>
  <c r="I16" i="16"/>
  <c r="H17" i="16"/>
  <c r="I17" i="16"/>
  <c r="H18" i="16"/>
  <c r="I18" i="16"/>
  <c r="H19" i="16"/>
  <c r="I19" i="16"/>
  <c r="H20" i="16"/>
  <c r="I20" i="16"/>
  <c r="H21" i="16"/>
  <c r="I21" i="16"/>
  <c r="H22" i="16"/>
  <c r="I22" i="16"/>
  <c r="H23" i="16"/>
  <c r="I23" i="16"/>
  <c r="H7" i="16"/>
  <c r="I7" i="16"/>
  <c r="G47" i="12"/>
  <c r="H47" i="12"/>
  <c r="G8" i="12"/>
  <c r="H8" i="12"/>
  <c r="G9" i="12"/>
  <c r="H9" i="12"/>
  <c r="G10" i="12"/>
  <c r="H10" i="12"/>
  <c r="G11" i="12"/>
  <c r="H11" i="12"/>
  <c r="G12" i="12"/>
  <c r="H12" i="12"/>
  <c r="G13" i="12"/>
  <c r="H13" i="12"/>
  <c r="G14" i="12"/>
  <c r="H14" i="12"/>
  <c r="G15" i="12"/>
  <c r="H15" i="12"/>
  <c r="G16" i="12"/>
  <c r="H16" i="12"/>
  <c r="G17" i="12"/>
  <c r="H17" i="12"/>
  <c r="G18" i="12"/>
  <c r="H18" i="12"/>
  <c r="G19" i="12"/>
  <c r="H19" i="12"/>
  <c r="G20" i="12"/>
  <c r="H20" i="12"/>
  <c r="G21" i="12"/>
  <c r="H21" i="12"/>
  <c r="G22" i="12"/>
  <c r="H22" i="12"/>
  <c r="G23" i="12"/>
  <c r="H23" i="12"/>
  <c r="G24" i="12"/>
  <c r="H24" i="12"/>
  <c r="G25" i="12"/>
  <c r="H25" i="12"/>
  <c r="H7" i="12"/>
  <c r="G7" i="12"/>
  <c r="I27" i="13"/>
  <c r="J27" i="13"/>
  <c r="I8" i="13"/>
  <c r="J8" i="13"/>
  <c r="I9" i="13"/>
  <c r="J9" i="13"/>
  <c r="I10" i="13"/>
  <c r="J10" i="13"/>
  <c r="I11" i="13"/>
  <c r="J11" i="13"/>
  <c r="I12" i="13"/>
  <c r="J12" i="13"/>
  <c r="I13" i="13"/>
  <c r="J13" i="13"/>
  <c r="I14" i="13"/>
  <c r="J14" i="13"/>
  <c r="I15" i="13"/>
  <c r="J15" i="13"/>
  <c r="I16" i="13"/>
  <c r="J16" i="13"/>
  <c r="I17" i="13"/>
  <c r="J17" i="13"/>
  <c r="I18" i="13"/>
  <c r="J18" i="13"/>
  <c r="I19" i="13"/>
  <c r="J19" i="13"/>
  <c r="I20" i="13"/>
  <c r="J20" i="13"/>
  <c r="I21" i="13"/>
  <c r="J21" i="13"/>
  <c r="I22" i="13"/>
  <c r="J22" i="13"/>
  <c r="I23" i="13"/>
  <c r="J23" i="13"/>
  <c r="I24" i="13"/>
  <c r="J24" i="13"/>
  <c r="I25" i="13"/>
  <c r="J25" i="13"/>
  <c r="J7" i="13"/>
  <c r="I7" i="13"/>
  <c r="H8" i="14"/>
  <c r="I8" i="14"/>
  <c r="H9" i="14"/>
  <c r="I9" i="14"/>
  <c r="H10" i="14"/>
  <c r="I10" i="14"/>
  <c r="H11" i="14"/>
  <c r="I11" i="14"/>
  <c r="H12" i="14"/>
  <c r="I12" i="14"/>
  <c r="H13" i="14"/>
  <c r="I13" i="14"/>
  <c r="H14" i="14"/>
  <c r="I14" i="14"/>
  <c r="H15" i="14"/>
  <c r="I15" i="14"/>
  <c r="H16" i="14"/>
  <c r="I16" i="14"/>
  <c r="H17" i="14"/>
  <c r="I17" i="14"/>
  <c r="H18" i="14"/>
  <c r="I18" i="14"/>
  <c r="H19" i="14"/>
  <c r="I19" i="14"/>
  <c r="H20" i="14"/>
  <c r="I20" i="14"/>
  <c r="H21" i="14"/>
  <c r="I21" i="14"/>
  <c r="H22" i="14"/>
  <c r="I22" i="14"/>
  <c r="H23" i="14"/>
  <c r="I23" i="14"/>
  <c r="H7" i="14"/>
  <c r="I7" i="14"/>
  <c r="H8" i="11"/>
  <c r="I8" i="11"/>
  <c r="H9" i="11"/>
  <c r="I9" i="11"/>
  <c r="H10" i="11"/>
  <c r="I10" i="11"/>
  <c r="H11" i="11"/>
  <c r="I11" i="11"/>
  <c r="H12" i="11"/>
  <c r="I12" i="11"/>
  <c r="H13" i="11"/>
  <c r="I13" i="11"/>
  <c r="H14" i="11"/>
  <c r="I14" i="11"/>
  <c r="H15" i="11"/>
  <c r="I15" i="11"/>
  <c r="H16" i="11"/>
  <c r="I16" i="11"/>
  <c r="H17" i="11"/>
  <c r="I17" i="11"/>
  <c r="H18" i="11"/>
  <c r="I18" i="11"/>
  <c r="H19" i="11"/>
  <c r="I19" i="11"/>
  <c r="H20" i="11"/>
  <c r="I20" i="11"/>
  <c r="H21" i="11"/>
  <c r="I21" i="11"/>
  <c r="H22" i="11"/>
  <c r="I22" i="11"/>
  <c r="H23" i="11"/>
  <c r="I23" i="11"/>
  <c r="H7" i="11"/>
  <c r="I7" i="11"/>
  <c r="H8" i="98"/>
  <c r="I8" i="98"/>
  <c r="H9" i="98"/>
  <c r="I9" i="98"/>
  <c r="H10" i="98"/>
  <c r="I10" i="98"/>
  <c r="H11" i="98"/>
  <c r="I11" i="98"/>
  <c r="H12" i="98"/>
  <c r="I12" i="98"/>
  <c r="H13" i="98"/>
  <c r="I13" i="98"/>
  <c r="H14" i="98"/>
  <c r="I14" i="98"/>
  <c r="H15" i="98"/>
  <c r="I15" i="98"/>
  <c r="H16" i="98"/>
  <c r="I16" i="98"/>
  <c r="H17" i="98"/>
  <c r="I17" i="98"/>
  <c r="H18" i="98"/>
  <c r="I18" i="98"/>
  <c r="H19" i="98"/>
  <c r="I19" i="98"/>
  <c r="H20" i="98"/>
  <c r="I20" i="98"/>
  <c r="H21" i="98"/>
  <c r="I21" i="98"/>
  <c r="H22" i="98"/>
  <c r="I22" i="98"/>
  <c r="H23" i="98"/>
  <c r="I23" i="98"/>
  <c r="H7" i="98"/>
  <c r="I7" i="98"/>
  <c r="J8" i="121"/>
  <c r="K8" i="121"/>
  <c r="J9" i="121"/>
  <c r="K9" i="121"/>
  <c r="J10" i="121"/>
  <c r="K10" i="121"/>
  <c r="J11" i="121"/>
  <c r="K11" i="121"/>
  <c r="J12" i="121"/>
  <c r="K12" i="121"/>
  <c r="J13" i="121"/>
  <c r="K13" i="121"/>
  <c r="J14" i="121"/>
  <c r="K14" i="121"/>
  <c r="J15" i="121"/>
  <c r="K15" i="121"/>
  <c r="J16" i="121"/>
  <c r="K16" i="121"/>
  <c r="J17" i="121"/>
  <c r="K17" i="121"/>
  <c r="J18" i="121"/>
  <c r="K18" i="121"/>
  <c r="J19" i="121"/>
  <c r="K19" i="121"/>
  <c r="J20" i="121"/>
  <c r="K20" i="121"/>
  <c r="J21" i="121"/>
  <c r="K21" i="121"/>
  <c r="J22" i="121"/>
  <c r="K22" i="121"/>
  <c r="J23" i="121"/>
  <c r="K23" i="121"/>
  <c r="J24" i="121"/>
  <c r="K24" i="121"/>
  <c r="J25" i="121"/>
  <c r="K25" i="121"/>
  <c r="J7" i="121"/>
  <c r="K7" i="121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7" i="9"/>
  <c r="K7" i="9"/>
  <c r="J8" i="8"/>
  <c r="K8" i="8"/>
  <c r="J9" i="8"/>
  <c r="K9" i="8"/>
  <c r="J10" i="8"/>
  <c r="K10" i="8"/>
  <c r="J11" i="8"/>
  <c r="K11" i="8"/>
  <c r="J12" i="8"/>
  <c r="K12" i="8"/>
  <c r="J13" i="8"/>
  <c r="K13" i="8"/>
  <c r="J14" i="8"/>
  <c r="K14" i="8"/>
  <c r="J15" i="8"/>
  <c r="K15" i="8"/>
  <c r="J16" i="8"/>
  <c r="K16" i="8"/>
  <c r="J17" i="8"/>
  <c r="K17" i="8"/>
  <c r="J18" i="8"/>
  <c r="K18" i="8"/>
  <c r="J19" i="8"/>
  <c r="K19" i="8"/>
  <c r="J20" i="8"/>
  <c r="K20" i="8"/>
  <c r="J21" i="8"/>
  <c r="K21" i="8"/>
  <c r="J22" i="8"/>
  <c r="K22" i="8"/>
  <c r="J23" i="8"/>
  <c r="K23" i="8"/>
  <c r="J24" i="8"/>
  <c r="K24" i="8"/>
  <c r="J25" i="8"/>
  <c r="K25" i="8"/>
  <c r="J7" i="8"/>
  <c r="K7" i="8"/>
  <c r="I27" i="6"/>
  <c r="J27" i="6"/>
  <c r="I8" i="6"/>
  <c r="J8" i="6"/>
  <c r="I9" i="6"/>
  <c r="J9" i="6"/>
  <c r="I10" i="6"/>
  <c r="J10" i="6"/>
  <c r="I11" i="6"/>
  <c r="J11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3" i="6"/>
  <c r="J23" i="6"/>
  <c r="I7" i="6"/>
  <c r="J7" i="6"/>
  <c r="D2" i="1"/>
  <c r="A2" i="68"/>
  <c r="F26" i="37"/>
  <c r="E26" i="37"/>
  <c r="D26" i="37"/>
  <c r="C26" i="37"/>
  <c r="G24" i="124"/>
  <c r="G26" i="124"/>
  <c r="D27" i="26"/>
  <c r="H27" i="26"/>
  <c r="C27" i="128"/>
  <c r="D27" i="128"/>
  <c r="G21" i="37"/>
  <c r="I21" i="37"/>
  <c r="A5" i="8"/>
  <c r="A5" i="32"/>
  <c r="A5" i="162"/>
  <c r="A5" i="46"/>
  <c r="A5" i="40"/>
  <c r="A5" i="20"/>
  <c r="A5" i="18"/>
  <c r="A5" i="177"/>
  <c r="A5" i="42"/>
  <c r="A5" i="53"/>
  <c r="A5" i="58"/>
  <c r="A5" i="127"/>
  <c r="A5" i="54"/>
  <c r="A5" i="100"/>
  <c r="A5" i="163"/>
  <c r="A4" i="150"/>
  <c r="A5" i="61"/>
  <c r="A5" i="116"/>
  <c r="A5" i="68"/>
  <c r="A5" i="124"/>
  <c r="A5" i="175"/>
  <c r="A5" i="173"/>
  <c r="A5" i="59"/>
  <c r="A5" i="35"/>
  <c r="A5" i="19"/>
  <c r="A5" i="133"/>
  <c r="A5" i="71"/>
  <c r="A5" i="13"/>
  <c r="A5" i="41"/>
  <c r="A5" i="11"/>
  <c r="A5" i="49"/>
  <c r="A4" i="55"/>
  <c r="A5" i="130"/>
  <c r="A5" i="38"/>
  <c r="A5" i="62"/>
  <c r="A5" i="170"/>
  <c r="A5" i="52"/>
  <c r="A4" i="17"/>
  <c r="A5" i="64"/>
  <c r="A4" i="3"/>
  <c r="A5" i="134"/>
  <c r="A5" i="34"/>
  <c r="A5" i="169"/>
  <c r="A5" i="9"/>
  <c r="A5" i="98"/>
  <c r="A5" i="26"/>
  <c r="A4" i="157"/>
  <c r="A5" i="129"/>
  <c r="A5" i="36"/>
  <c r="A4" i="70"/>
  <c r="A5" i="136"/>
  <c r="A5" i="14"/>
  <c r="A4" i="33"/>
  <c r="A5" i="165"/>
  <c r="A5" i="16"/>
  <c r="A5" i="120"/>
  <c r="A5" i="96"/>
  <c r="A5" i="23"/>
  <c r="A6" i="154"/>
  <c r="A5" i="178"/>
  <c r="A5" i="151"/>
  <c r="A5" i="73"/>
  <c r="A5" i="172"/>
  <c r="A5" i="45"/>
  <c r="A5" i="6"/>
  <c r="A5" i="39"/>
  <c r="A5" i="110"/>
  <c r="A5" i="56"/>
  <c r="A5" i="152"/>
  <c r="A5" i="121"/>
  <c r="A5" i="57"/>
  <c r="A5" i="123"/>
  <c r="A4" i="7"/>
  <c r="A5" i="76"/>
  <c r="A5" i="99"/>
  <c r="A4" i="131"/>
  <c r="A5" i="31"/>
  <c r="A5" i="47"/>
  <c r="A4" i="37"/>
  <c r="A5" i="65"/>
  <c r="A5" i="43"/>
  <c r="A4" i="128"/>
  <c r="A5" i="164"/>
  <c r="A6" i="156"/>
  <c r="A6" i="126"/>
  <c r="A5" i="12"/>
  <c r="A5" i="176"/>
  <c r="A5" i="111"/>
  <c r="A6" i="155"/>
  <c r="A5" i="50"/>
  <c r="A5" i="44"/>
  <c r="A5" i="69"/>
  <c r="A5" i="171"/>
  <c r="A2" i="131"/>
  <c r="A2" i="69"/>
  <c r="A2" i="2"/>
  <c r="A2" i="175"/>
  <c r="A2" i="14"/>
  <c r="A2" i="54"/>
  <c r="A2" i="135"/>
  <c r="A2" i="177"/>
  <c r="A2" i="26"/>
  <c r="A2" i="152"/>
  <c r="A2" i="178"/>
  <c r="A2" i="6"/>
  <c r="A2" i="128"/>
  <c r="A2" i="41"/>
  <c r="A2" i="7"/>
  <c r="A2" i="55"/>
  <c r="A2" i="124"/>
  <c r="A2" i="43"/>
  <c r="A2" i="31"/>
  <c r="A2" i="100"/>
  <c r="A2" i="133"/>
  <c r="A2" i="42"/>
  <c r="A2" i="163"/>
  <c r="A2" i="111"/>
  <c r="A2" i="3"/>
  <c r="A2" i="76"/>
  <c r="A2" i="23"/>
  <c r="A2" i="44"/>
  <c r="A3" i="126"/>
  <c r="A2" i="57"/>
  <c r="A2" i="123"/>
  <c r="A2" i="110"/>
  <c r="A2" i="12"/>
  <c r="A2" i="134"/>
  <c r="A2" i="61"/>
  <c r="A2" i="17"/>
  <c r="A2" i="49"/>
  <c r="A3" i="156"/>
  <c r="A2" i="9"/>
  <c r="A2" i="120"/>
  <c r="A2" i="65"/>
  <c r="A2" i="20"/>
  <c r="A2" i="169"/>
  <c r="A2" i="127"/>
  <c r="A2" i="53"/>
  <c r="A2" i="19"/>
  <c r="A3" i="154"/>
  <c r="A2" i="98"/>
  <c r="A2" i="38"/>
  <c r="A2" i="99"/>
  <c r="A2" i="96"/>
  <c r="A2" i="176"/>
  <c r="A2" i="47"/>
  <c r="A2" i="45"/>
  <c r="A2" i="64"/>
  <c r="A2" i="50"/>
  <c r="A2" i="116"/>
  <c r="A2" i="150"/>
  <c r="A2" i="162"/>
  <c r="A2" i="165"/>
  <c r="A2" i="136"/>
  <c r="A2" i="62"/>
  <c r="A2" i="173"/>
  <c r="A3" i="155"/>
  <c r="A2" i="16"/>
  <c r="A2" i="130"/>
  <c r="A2" i="40"/>
  <c r="A2" i="39"/>
  <c r="A2" i="170"/>
  <c r="A2" i="58"/>
  <c r="A2" i="157"/>
  <c r="A2" i="35"/>
  <c r="A2" i="56"/>
  <c r="A2" i="172"/>
  <c r="A2" i="73"/>
  <c r="A2" i="121"/>
  <c r="A2" i="70"/>
  <c r="A2" i="18"/>
  <c r="A2" i="171"/>
  <c r="A2" i="59"/>
  <c r="A2" i="36"/>
  <c r="A2" i="33"/>
  <c r="A2" i="52"/>
  <c r="A2" i="129"/>
  <c r="A2" i="37"/>
  <c r="A2" i="46"/>
  <c r="A2" i="11"/>
  <c r="A2" i="34"/>
  <c r="A2" i="164"/>
  <c r="A2" i="13"/>
  <c r="A2" i="8"/>
  <c r="A2" i="151"/>
  <c r="A2" i="32"/>
  <c r="A2" i="71"/>
  <c r="H26" i="52"/>
  <c r="H24" i="124"/>
  <c r="G26" i="57"/>
  <c r="I24" i="34"/>
  <c r="D26" i="172"/>
  <c r="J25" i="41"/>
  <c r="D26" i="76"/>
  <c r="E26" i="59"/>
  <c r="G26" i="179"/>
  <c r="F26" i="64"/>
  <c r="I25" i="178"/>
  <c r="E26" i="151"/>
  <c r="F24" i="36"/>
  <c r="D26" i="47"/>
  <c r="M27" i="155"/>
  <c r="I25" i="46"/>
  <c r="K26" i="152"/>
  <c r="J25" i="46"/>
  <c r="F26" i="58"/>
  <c r="G24" i="34"/>
  <c r="J25" i="43"/>
  <c r="G26" i="8"/>
  <c r="G24" i="169"/>
  <c r="G25" i="178"/>
  <c r="H26" i="162"/>
  <c r="N25" i="42"/>
  <c r="K26" i="120"/>
  <c r="G26" i="173"/>
  <c r="N25" i="46"/>
  <c r="F24" i="16"/>
  <c r="J27" i="154"/>
  <c r="G24" i="36"/>
  <c r="E26" i="175"/>
  <c r="H26" i="6"/>
  <c r="K25" i="40"/>
  <c r="L27" i="155"/>
  <c r="G26" i="56"/>
  <c r="M27" i="23"/>
  <c r="G24" i="98"/>
  <c r="H25" i="129"/>
  <c r="F26" i="8"/>
  <c r="E26" i="76"/>
  <c r="H24" i="36"/>
  <c r="G27" i="116"/>
  <c r="E26" i="111"/>
  <c r="G26" i="135"/>
  <c r="E46" i="12"/>
  <c r="G25" i="44"/>
  <c r="H25" i="178"/>
  <c r="E24" i="127"/>
  <c r="I24" i="35"/>
  <c r="E27" i="73"/>
  <c r="M26" i="49"/>
  <c r="L25" i="41"/>
  <c r="K26" i="49"/>
  <c r="F27" i="99"/>
  <c r="F24" i="164"/>
  <c r="J25" i="130"/>
  <c r="G26" i="176"/>
  <c r="M25" i="40"/>
  <c r="I25" i="130"/>
  <c r="E26" i="162"/>
  <c r="H24" i="169"/>
  <c r="G26" i="121"/>
  <c r="D24" i="133"/>
  <c r="E26" i="31"/>
  <c r="L25" i="43"/>
  <c r="H24" i="34"/>
  <c r="N27" i="155"/>
  <c r="D26" i="62"/>
  <c r="E26" i="32"/>
  <c r="N26" i="126"/>
  <c r="J27" i="100"/>
  <c r="D26" i="54"/>
  <c r="D26" i="151"/>
  <c r="K25" i="42"/>
  <c r="F26" i="111"/>
  <c r="J26" i="126"/>
  <c r="M25" i="39"/>
  <c r="E26" i="173"/>
  <c r="E26" i="58"/>
  <c r="G26" i="32"/>
  <c r="G27" i="100"/>
  <c r="F27" i="19"/>
  <c r="F26" i="175"/>
  <c r="J26" i="152"/>
  <c r="K25" i="39"/>
  <c r="I26" i="121"/>
  <c r="F26" i="179"/>
  <c r="L25" i="156"/>
  <c r="M25" i="38"/>
  <c r="F26" i="61"/>
  <c r="J25" i="38"/>
  <c r="J25" i="40"/>
  <c r="H26" i="9"/>
  <c r="F26" i="173"/>
  <c r="E26" i="61"/>
  <c r="J27" i="116"/>
  <c r="G26" i="163"/>
  <c r="H26" i="13"/>
  <c r="F26" i="176"/>
  <c r="G24" i="11"/>
  <c r="G24" i="170"/>
  <c r="G27" i="20"/>
  <c r="N25" i="156"/>
  <c r="L25" i="130"/>
  <c r="H26" i="135"/>
  <c r="E26" i="54"/>
  <c r="E26" i="65"/>
  <c r="J25" i="44"/>
  <c r="F26" i="59"/>
  <c r="G25" i="129"/>
  <c r="G26" i="162"/>
  <c r="F26" i="31"/>
  <c r="I26" i="9"/>
  <c r="L26" i="126"/>
  <c r="L27" i="154"/>
  <c r="I24" i="171"/>
  <c r="K25" i="38"/>
  <c r="I24" i="45"/>
  <c r="H24" i="177"/>
  <c r="I24" i="124"/>
  <c r="I26" i="152"/>
  <c r="E26" i="64"/>
  <c r="F26" i="50"/>
  <c r="H25" i="46"/>
  <c r="D26" i="13"/>
  <c r="G26" i="9"/>
  <c r="D26" i="52"/>
  <c r="G24" i="35"/>
  <c r="G26" i="68"/>
  <c r="G25" i="38"/>
  <c r="E26" i="69"/>
  <c r="F26" i="69"/>
  <c r="K25" i="46"/>
  <c r="E26" i="165"/>
  <c r="K26" i="126"/>
  <c r="F27" i="26"/>
  <c r="F24" i="98"/>
  <c r="G26" i="71"/>
  <c r="F26" i="68"/>
  <c r="H26" i="110"/>
  <c r="H24" i="123"/>
  <c r="K25" i="129"/>
  <c r="E26" i="172"/>
  <c r="J27" i="18"/>
  <c r="K25" i="41"/>
  <c r="E26" i="47"/>
  <c r="J26" i="71"/>
  <c r="L25" i="46"/>
  <c r="F26" i="32"/>
  <c r="F24" i="170"/>
  <c r="F24" i="11"/>
  <c r="F46" i="12"/>
  <c r="G24" i="123"/>
  <c r="F26" i="136"/>
  <c r="F24" i="127"/>
  <c r="G27" i="18"/>
  <c r="H24" i="171"/>
  <c r="E26" i="53"/>
  <c r="N25" i="43"/>
  <c r="G27" i="73"/>
  <c r="F26" i="96"/>
  <c r="I26" i="8"/>
  <c r="F27" i="73"/>
  <c r="O25" i="46"/>
  <c r="H25" i="130"/>
  <c r="E26" i="50"/>
  <c r="J25" i="39"/>
  <c r="H27" i="73"/>
  <c r="F26" i="121"/>
  <c r="G24" i="164"/>
  <c r="G24" i="16"/>
  <c r="E26" i="136"/>
  <c r="F25" i="178"/>
  <c r="G26" i="6"/>
  <c r="I24" i="123"/>
  <c r="I25" i="40"/>
  <c r="F26" i="52"/>
  <c r="D26" i="163"/>
  <c r="I27" i="99"/>
  <c r="K27" i="154"/>
  <c r="G26" i="13"/>
  <c r="H26" i="56"/>
  <c r="F26" i="134"/>
  <c r="I26" i="179"/>
  <c r="F26" i="163"/>
  <c r="E26" i="134"/>
  <c r="J25" i="42"/>
  <c r="H26" i="71"/>
  <c r="E24" i="133"/>
  <c r="D26" i="53"/>
  <c r="F26" i="65"/>
  <c r="E26" i="62"/>
  <c r="H24" i="35"/>
  <c r="I25" i="129"/>
  <c r="E26" i="96"/>
  <c r="J26" i="56"/>
  <c r="J27" i="20"/>
  <c r="M25" i="156"/>
  <c r="F26" i="57"/>
  <c r="L26" i="120"/>
  <c r="H26" i="50"/>
  <c r="E26" i="6"/>
  <c r="L26" i="49"/>
  <c r="K25" i="43"/>
  <c r="J24" i="45"/>
  <c r="I25" i="38"/>
  <c r="F26" i="165"/>
  <c r="J27" i="26"/>
  <c r="G24" i="14"/>
  <c r="G26" i="110"/>
  <c r="F24" i="14"/>
  <c r="I24" i="169"/>
  <c r="M26" i="120"/>
  <c r="H27" i="23"/>
  <c r="G24" i="177"/>
  <c r="N25" i="41"/>
  <c r="L25" i="42"/>
  <c r="I27" i="19"/>
  <c r="M25" i="46"/>
  <c r="I25" i="39"/>
  <c r="I27" i="39" l="1"/>
  <c r="C9" i="37"/>
  <c r="M27" i="46"/>
  <c r="D6" i="17"/>
  <c r="J27" i="19"/>
  <c r="K27" i="19"/>
  <c r="E16" i="37"/>
  <c r="L27" i="42"/>
  <c r="N27" i="41"/>
  <c r="F15" i="37"/>
  <c r="O25" i="41"/>
  <c r="G26" i="177"/>
  <c r="C11" i="3" s="1"/>
  <c r="C12" i="2" s="1"/>
  <c r="C10" i="17"/>
  <c r="N26" i="120"/>
  <c r="O26" i="120"/>
  <c r="F21" i="37"/>
  <c r="J24" i="169"/>
  <c r="K24" i="169"/>
  <c r="I26" i="169"/>
  <c r="F26" i="14"/>
  <c r="C12" i="3" s="1"/>
  <c r="C13" i="2" s="1"/>
  <c r="C7" i="70"/>
  <c r="C62" i="2" s="1"/>
  <c r="H24" i="14"/>
  <c r="I24" i="14"/>
  <c r="G26" i="14"/>
  <c r="K27" i="26"/>
  <c r="L27" i="26"/>
  <c r="D13" i="17"/>
  <c r="D12" i="55"/>
  <c r="I27" i="38"/>
  <c r="C8" i="37"/>
  <c r="L24" i="45"/>
  <c r="D6" i="128"/>
  <c r="K24" i="45"/>
  <c r="J26" i="45"/>
  <c r="K27" i="43"/>
  <c r="D17" i="37"/>
  <c r="C6" i="131"/>
  <c r="D8" i="131"/>
  <c r="I26" i="50"/>
  <c r="J26" i="50"/>
  <c r="D21" i="37"/>
  <c r="C9" i="55"/>
  <c r="C48" i="2" s="1"/>
  <c r="M27" i="156"/>
  <c r="D8" i="17"/>
  <c r="L27" i="20"/>
  <c r="K27" i="20"/>
  <c r="D6" i="55"/>
  <c r="C13" i="70"/>
  <c r="C68" i="2" s="1"/>
  <c r="I27" i="129"/>
  <c r="H26" i="35"/>
  <c r="C7" i="33" s="1"/>
  <c r="D13" i="55"/>
  <c r="D16" i="55"/>
  <c r="C25" i="150"/>
  <c r="C42" i="2" s="1"/>
  <c r="C28" i="1" s="1"/>
  <c r="E26" i="133"/>
  <c r="F24" i="133"/>
  <c r="G24" i="133"/>
  <c r="C6" i="70"/>
  <c r="C16" i="37"/>
  <c r="J27" i="42"/>
  <c r="C7" i="55"/>
  <c r="C46" i="2" s="1"/>
  <c r="C6" i="157"/>
  <c r="K26" i="179"/>
  <c r="D9" i="7"/>
  <c r="J26" i="179"/>
  <c r="D7" i="55"/>
  <c r="C6" i="55"/>
  <c r="C13" i="3"/>
  <c r="C14" i="2" s="1"/>
  <c r="K27" i="99"/>
  <c r="J27" i="99"/>
  <c r="D11" i="17"/>
  <c r="C23" i="150"/>
  <c r="C40" i="2" s="1"/>
  <c r="C26" i="1" s="1"/>
  <c r="I27" i="40"/>
  <c r="C10" i="37"/>
  <c r="I26" i="123"/>
  <c r="J24" i="123"/>
  <c r="K24" i="123"/>
  <c r="C8" i="157"/>
  <c r="F27" i="178"/>
  <c r="C11" i="70"/>
  <c r="C66" i="2" s="1"/>
  <c r="I24" i="16"/>
  <c r="H24" i="16"/>
  <c r="G26" i="16"/>
  <c r="H24" i="164"/>
  <c r="I24" i="164"/>
  <c r="G26" i="164"/>
  <c r="D9" i="70"/>
  <c r="D9" i="37"/>
  <c r="J27" i="39"/>
  <c r="H27" i="130"/>
  <c r="D7" i="128"/>
  <c r="Q25" i="46"/>
  <c r="P25" i="46"/>
  <c r="O27" i="46"/>
  <c r="K26" i="8"/>
  <c r="D6" i="7"/>
  <c r="J26" i="8"/>
  <c r="D13" i="70"/>
  <c r="C9" i="70"/>
  <c r="C64" i="2" s="1"/>
  <c r="O25" i="43"/>
  <c r="N27" i="43"/>
  <c r="O27" i="43" s="1"/>
  <c r="F17" i="37"/>
  <c r="F26" i="53"/>
  <c r="D25" i="150"/>
  <c r="G26" i="53"/>
  <c r="H26" i="171"/>
  <c r="C10" i="150" s="1"/>
  <c r="C27" i="2" s="1"/>
  <c r="C13" i="1" s="1"/>
  <c r="C7" i="17"/>
  <c r="G24" i="127"/>
  <c r="F26" i="127"/>
  <c r="H24" i="127"/>
  <c r="D11" i="70"/>
  <c r="G26" i="123"/>
  <c r="G46" i="12"/>
  <c r="H46" i="12"/>
  <c r="D14" i="3"/>
  <c r="F26" i="11"/>
  <c r="C10" i="3" s="1"/>
  <c r="C11" i="2" s="1"/>
  <c r="F26" i="170"/>
  <c r="C8" i="55" s="1"/>
  <c r="C47" i="2" s="1"/>
  <c r="C20" i="3"/>
  <c r="C21" i="2" s="1"/>
  <c r="L27" i="46"/>
  <c r="D6" i="70"/>
  <c r="G26" i="47"/>
  <c r="D16" i="150"/>
  <c r="F26" i="47"/>
  <c r="D15" i="37"/>
  <c r="K27" i="41"/>
  <c r="K27" i="18"/>
  <c r="D7" i="17"/>
  <c r="L27" i="18"/>
  <c r="G26" i="172"/>
  <c r="F26" i="172"/>
  <c r="D11" i="150"/>
  <c r="L25" i="129"/>
  <c r="K27" i="129"/>
  <c r="H26" i="123"/>
  <c r="C8" i="33" s="1"/>
  <c r="D7" i="70"/>
  <c r="C19" i="55"/>
  <c r="C58" i="2" s="1"/>
  <c r="F26" i="98"/>
  <c r="C9" i="3" s="1"/>
  <c r="C10" i="2" s="1"/>
  <c r="C13" i="17"/>
  <c r="K28" i="126"/>
  <c r="C12" i="55"/>
  <c r="C51" i="2" s="1"/>
  <c r="C7" i="128"/>
  <c r="K27" i="46"/>
  <c r="D20" i="55"/>
  <c r="C20" i="55"/>
  <c r="C59" i="2" s="1"/>
  <c r="D19" i="55"/>
  <c r="G26" i="35"/>
  <c r="H27" i="46"/>
  <c r="C8" i="131"/>
  <c r="C14" i="55"/>
  <c r="C53" i="2" s="1"/>
  <c r="I26" i="124"/>
  <c r="K24" i="124"/>
  <c r="J24" i="124"/>
  <c r="I24" i="177"/>
  <c r="H26" i="177"/>
  <c r="J24" i="177"/>
  <c r="I26" i="45"/>
  <c r="C6" i="128"/>
  <c r="K27" i="38"/>
  <c r="E8" i="37"/>
  <c r="K24" i="171"/>
  <c r="J24" i="171"/>
  <c r="I26" i="171"/>
  <c r="N27" i="154"/>
  <c r="M27" i="154"/>
  <c r="L28" i="126"/>
  <c r="J26" i="9"/>
  <c r="K26" i="9"/>
  <c r="D7" i="7"/>
  <c r="D19" i="3"/>
  <c r="G26" i="31"/>
  <c r="H26" i="31"/>
  <c r="C7" i="157"/>
  <c r="G27" i="129"/>
  <c r="D11" i="55"/>
  <c r="K25" i="44"/>
  <c r="J27" i="44"/>
  <c r="L25" i="44"/>
  <c r="C16" i="55"/>
  <c r="C55" i="2" s="1"/>
  <c r="D24" i="150"/>
  <c r="D15" i="55"/>
  <c r="M25" i="130"/>
  <c r="L27" i="130"/>
  <c r="N27" i="156"/>
  <c r="O25" i="156"/>
  <c r="P25" i="156"/>
  <c r="C8" i="17"/>
  <c r="I24" i="170"/>
  <c r="G26" i="170"/>
  <c r="H24" i="170"/>
  <c r="G26" i="11"/>
  <c r="H24" i="11"/>
  <c r="I24" i="11"/>
  <c r="C8" i="70"/>
  <c r="C63" i="2" s="1"/>
  <c r="J26" i="13"/>
  <c r="D13" i="3"/>
  <c r="I26" i="13"/>
  <c r="I26" i="163"/>
  <c r="H26" i="163"/>
  <c r="D6" i="157"/>
  <c r="K27" i="116"/>
  <c r="D12" i="17"/>
  <c r="L27" i="116"/>
  <c r="C17" i="55"/>
  <c r="C56" i="2" s="1"/>
  <c r="C18" i="3"/>
  <c r="C7" i="7"/>
  <c r="D10" i="37"/>
  <c r="J27" i="40"/>
  <c r="D8" i="37"/>
  <c r="J27" i="38"/>
  <c r="D17" i="55"/>
  <c r="M27" i="38"/>
  <c r="F8" i="37"/>
  <c r="N25" i="38"/>
  <c r="L27" i="156"/>
  <c r="D8" i="7"/>
  <c r="K26" i="121"/>
  <c r="J26" i="121"/>
  <c r="K27" i="39"/>
  <c r="E9" i="37"/>
  <c r="C7" i="131"/>
  <c r="D18" i="55"/>
  <c r="C6" i="17"/>
  <c r="C9" i="17"/>
  <c r="H26" i="32"/>
  <c r="I26" i="32"/>
  <c r="D20" i="3"/>
  <c r="C10" i="55"/>
  <c r="C49" i="2" s="1"/>
  <c r="F9" i="37"/>
  <c r="M27" i="39"/>
  <c r="N25" i="39"/>
  <c r="J28" i="126"/>
  <c r="D10" i="70"/>
  <c r="D16" i="37"/>
  <c r="K27" i="42"/>
  <c r="C21" i="150"/>
  <c r="C38" i="2" s="1"/>
  <c r="C24" i="1" s="1"/>
  <c r="C24" i="150"/>
  <c r="C41" i="2" s="1"/>
  <c r="C27" i="1" s="1"/>
  <c r="L27" i="100"/>
  <c r="K27" i="100"/>
  <c r="D9" i="17"/>
  <c r="N28" i="126"/>
  <c r="O26" i="126"/>
  <c r="C13" i="55"/>
  <c r="C52" i="2" s="1"/>
  <c r="P27" i="155"/>
  <c r="O27" i="155"/>
  <c r="H26" i="34"/>
  <c r="C6" i="33" s="1"/>
  <c r="E17" i="37"/>
  <c r="L27" i="43"/>
  <c r="C19" i="3"/>
  <c r="C20" i="2" s="1"/>
  <c r="D26" i="133"/>
  <c r="C22" i="150" s="1"/>
  <c r="C39" i="2" s="1"/>
  <c r="C25" i="1" s="1"/>
  <c r="C8" i="7"/>
  <c r="H26" i="169"/>
  <c r="C8" i="3" s="1"/>
  <c r="C9" i="2" s="1"/>
  <c r="I27" i="130"/>
  <c r="C18" i="150" s="1"/>
  <c r="C35" i="2" s="1"/>
  <c r="C21" i="1" s="1"/>
  <c r="F10" i="37"/>
  <c r="M27" i="40"/>
  <c r="N25" i="40"/>
  <c r="D8" i="70"/>
  <c r="J27" i="130"/>
  <c r="F26" i="164"/>
  <c r="C17" i="3" s="1"/>
  <c r="C18" i="2" s="1"/>
  <c r="C11" i="17"/>
  <c r="L27" i="41"/>
  <c r="E15" i="37"/>
  <c r="D6" i="131"/>
  <c r="N26" i="49"/>
  <c r="O26" i="49"/>
  <c r="J24" i="35"/>
  <c r="I26" i="35"/>
  <c r="K24" i="35"/>
  <c r="E26" i="127"/>
  <c r="C8" i="150" s="1"/>
  <c r="C25" i="2" s="1"/>
  <c r="C11" i="1" s="1"/>
  <c r="H27" i="178"/>
  <c r="D19" i="150" s="1"/>
  <c r="G27" i="44"/>
  <c r="C15" i="150" s="1"/>
  <c r="C32" i="2" s="1"/>
  <c r="C18" i="1" s="1"/>
  <c r="C14" i="3"/>
  <c r="C15" i="2" s="1"/>
  <c r="C15" i="55"/>
  <c r="C54" i="2" s="1"/>
  <c r="C10" i="70"/>
  <c r="C65" i="2" s="1"/>
  <c r="C12" i="17"/>
  <c r="H26" i="36"/>
  <c r="J24" i="36"/>
  <c r="I24" i="36"/>
  <c r="D12" i="70"/>
  <c r="H27" i="129"/>
  <c r="C17" i="150" s="1"/>
  <c r="C34" i="2" s="1"/>
  <c r="C20" i="1" s="1"/>
  <c r="G26" i="98"/>
  <c r="H24" i="98"/>
  <c r="I24" i="98"/>
  <c r="N27" i="23"/>
  <c r="D10" i="17"/>
  <c r="O27" i="23"/>
  <c r="E10" i="37"/>
  <c r="K27" i="40"/>
  <c r="D8" i="157"/>
  <c r="I26" i="6"/>
  <c r="J26" i="6" s="1"/>
  <c r="C18" i="55"/>
  <c r="C57" i="2" s="1"/>
  <c r="G26" i="36"/>
  <c r="C9" i="150" s="1"/>
  <c r="C26" i="2" s="1"/>
  <c r="C12" i="1" s="1"/>
  <c r="F26" i="16"/>
  <c r="C15" i="3" s="1"/>
  <c r="C16" i="2" s="1"/>
  <c r="N27" i="46"/>
  <c r="H26" i="173"/>
  <c r="I26" i="173"/>
  <c r="D18" i="3"/>
  <c r="N27" i="42"/>
  <c r="O25" i="42"/>
  <c r="F16" i="37"/>
  <c r="I26" i="162"/>
  <c r="J26" i="162" s="1"/>
  <c r="D7" i="157"/>
  <c r="G27" i="178"/>
  <c r="C19" i="150" s="1"/>
  <c r="C36" i="2" s="1"/>
  <c r="C22" i="1" s="1"/>
  <c r="G26" i="169"/>
  <c r="C6" i="7"/>
  <c r="C17" i="37"/>
  <c r="J27" i="43"/>
  <c r="G26" i="34"/>
  <c r="D10" i="55"/>
  <c r="J27" i="46"/>
  <c r="M26" i="152"/>
  <c r="L26" i="152"/>
  <c r="D7" i="131"/>
  <c r="I27" i="46"/>
  <c r="C16" i="150"/>
  <c r="C33" i="2" s="1"/>
  <c r="C19" i="1" s="1"/>
  <c r="F26" i="36"/>
  <c r="G26" i="151"/>
  <c r="D21" i="150"/>
  <c r="F26" i="151"/>
  <c r="I27" i="178"/>
  <c r="J25" i="178"/>
  <c r="D14" i="55"/>
  <c r="C9" i="7"/>
  <c r="C11" i="55"/>
  <c r="C50" i="2" s="1"/>
  <c r="C12" i="70"/>
  <c r="C67" i="2" s="1"/>
  <c r="J27" i="41"/>
  <c r="C15" i="37"/>
  <c r="C11" i="150"/>
  <c r="C28" i="2" s="1"/>
  <c r="C14" i="1" s="1"/>
  <c r="I26" i="34"/>
  <c r="J24" i="34"/>
  <c r="K24" i="34"/>
  <c r="D9" i="55"/>
  <c r="H26" i="124"/>
  <c r="C7" i="150" s="1"/>
  <c r="C24" i="2" s="1"/>
  <c r="C10" i="1" s="1"/>
  <c r="I26" i="52"/>
  <c r="D23" i="150"/>
  <c r="J26" i="52"/>
  <c r="C29" i="55"/>
  <c r="D26" i="17"/>
  <c r="C26" i="131"/>
  <c r="D26" i="131"/>
  <c r="D26" i="157"/>
  <c r="C26" i="7"/>
  <c r="D27" i="70"/>
  <c r="C27" i="70"/>
  <c r="C26" i="17"/>
  <c r="C26" i="128"/>
  <c r="C26" i="157"/>
  <c r="C26" i="33"/>
  <c r="D26" i="7"/>
  <c r="D26" i="128"/>
  <c r="C7" i="37" l="1"/>
  <c r="N27" i="40"/>
  <c r="N27" i="38"/>
  <c r="N27" i="39"/>
  <c r="E26" i="128"/>
  <c r="F26" i="128"/>
  <c r="D28" i="128"/>
  <c r="D7" i="3"/>
  <c r="E26" i="7"/>
  <c r="F26" i="7"/>
  <c r="C6" i="150"/>
  <c r="C6" i="3"/>
  <c r="C28" i="128"/>
  <c r="C14" i="150" s="1"/>
  <c r="C31" i="2" s="1"/>
  <c r="C17" i="1" s="1"/>
  <c r="C28" i="17"/>
  <c r="C16" i="3" s="1"/>
  <c r="C17" i="2" s="1"/>
  <c r="E27" i="70"/>
  <c r="F27" i="70"/>
  <c r="C7" i="3"/>
  <c r="C8" i="2" s="1"/>
  <c r="E26" i="157"/>
  <c r="F26" i="157" s="1"/>
  <c r="D6" i="3"/>
  <c r="D28" i="131"/>
  <c r="F26" i="131"/>
  <c r="E26" i="131"/>
  <c r="C28" i="131"/>
  <c r="C20" i="150" s="1"/>
  <c r="C37" i="2" s="1"/>
  <c r="C23" i="1" s="1"/>
  <c r="D28" i="17"/>
  <c r="F26" i="17"/>
  <c r="E26" i="17"/>
  <c r="J27" i="178"/>
  <c r="F6" i="128"/>
  <c r="E6" i="128"/>
  <c r="E8" i="157"/>
  <c r="F8" i="157"/>
  <c r="F8" i="70"/>
  <c r="E8" i="70"/>
  <c r="D63" i="2"/>
  <c r="E6" i="7"/>
  <c r="F6" i="7"/>
  <c r="E9" i="7"/>
  <c r="F9" i="7"/>
  <c r="E21" i="150"/>
  <c r="D38" i="2"/>
  <c r="F21" i="150"/>
  <c r="I8" i="37"/>
  <c r="E7" i="37"/>
  <c r="G8" i="37"/>
  <c r="F7" i="17"/>
  <c r="E7" i="17"/>
  <c r="P27" i="46"/>
  <c r="Q27" i="46"/>
  <c r="D10" i="3"/>
  <c r="H26" i="11"/>
  <c r="I26" i="11"/>
  <c r="J10" i="37"/>
  <c r="H10" i="37"/>
  <c r="F18" i="55"/>
  <c r="E18" i="55"/>
  <c r="D57" i="2"/>
  <c r="D51" i="2"/>
  <c r="F12" i="55"/>
  <c r="E12" i="55"/>
  <c r="E15" i="55"/>
  <c r="F15" i="55"/>
  <c r="D54" i="2"/>
  <c r="D8" i="55"/>
  <c r="H26" i="170"/>
  <c r="I26" i="170"/>
  <c r="D14" i="37"/>
  <c r="E13" i="17"/>
  <c r="F13" i="17"/>
  <c r="E10" i="55"/>
  <c r="F10" i="55"/>
  <c r="D49" i="2"/>
  <c r="G9" i="37"/>
  <c r="I9" i="37"/>
  <c r="F7" i="128"/>
  <c r="E7" i="128"/>
  <c r="E10" i="17"/>
  <c r="F10" i="17"/>
  <c r="F7" i="131"/>
  <c r="E7" i="131"/>
  <c r="D11" i="3"/>
  <c r="I26" i="177"/>
  <c r="J26" i="177"/>
  <c r="E16" i="150"/>
  <c r="D33" i="2"/>
  <c r="F16" i="150"/>
  <c r="C61" i="2"/>
  <c r="C60" i="2" s="1"/>
  <c r="C31" i="1" s="1"/>
  <c r="F19" i="150"/>
  <c r="E19" i="150"/>
  <c r="D36" i="2"/>
  <c r="H16" i="37"/>
  <c r="J16" i="37"/>
  <c r="I26" i="14"/>
  <c r="H26" i="14"/>
  <c r="D12" i="3"/>
  <c r="D67" i="2"/>
  <c r="F12" i="70"/>
  <c r="E12" i="70"/>
  <c r="G10" i="37"/>
  <c r="I10" i="37"/>
  <c r="D9" i="3"/>
  <c r="H26" i="98"/>
  <c r="I26" i="98"/>
  <c r="F6" i="70"/>
  <c r="D61" i="2"/>
  <c r="E6" i="70"/>
  <c r="F8" i="7"/>
  <c r="E8" i="7"/>
  <c r="O27" i="156"/>
  <c r="P27" i="156"/>
  <c r="D64" i="2"/>
  <c r="E9" i="70"/>
  <c r="F9" i="70"/>
  <c r="F26" i="133"/>
  <c r="G26" i="133"/>
  <c r="D22" i="150"/>
  <c r="M27" i="130"/>
  <c r="D18" i="150"/>
  <c r="J26" i="124"/>
  <c r="K26" i="124"/>
  <c r="D7" i="150"/>
  <c r="I26" i="164"/>
  <c r="D17" i="3"/>
  <c r="H26" i="164"/>
  <c r="D55" i="2"/>
  <c r="E16" i="55"/>
  <c r="F16" i="55"/>
  <c r="E13" i="55"/>
  <c r="D52" i="2"/>
  <c r="F13" i="55"/>
  <c r="D8" i="3"/>
  <c r="J26" i="169"/>
  <c r="K26" i="169"/>
  <c r="H26" i="16"/>
  <c r="D15" i="3"/>
  <c r="I26" i="16"/>
  <c r="E17" i="55"/>
  <c r="F17" i="55"/>
  <c r="D56" i="2"/>
  <c r="E19" i="55"/>
  <c r="D58" i="2"/>
  <c r="F19" i="55"/>
  <c r="J21" i="37"/>
  <c r="H21" i="37"/>
  <c r="D9" i="150"/>
  <c r="J26" i="36"/>
  <c r="I26" i="36"/>
  <c r="E24" i="150"/>
  <c r="D41" i="2"/>
  <c r="F24" i="150"/>
  <c r="E14" i="3"/>
  <c r="F14" i="3"/>
  <c r="D15" i="2"/>
  <c r="E23" i="150"/>
  <c r="D40" i="2"/>
  <c r="F23" i="150"/>
  <c r="D7" i="37"/>
  <c r="L27" i="44"/>
  <c r="D15" i="150"/>
  <c r="K27" i="44"/>
  <c r="E6" i="55"/>
  <c r="F6" i="55"/>
  <c r="D45" i="2"/>
  <c r="O28" i="126"/>
  <c r="D12" i="150"/>
  <c r="E7" i="157"/>
  <c r="F7" i="157" s="1"/>
  <c r="F9" i="17"/>
  <c r="E9" i="17"/>
  <c r="E20" i="55"/>
  <c r="F20" i="55"/>
  <c r="D59" i="2"/>
  <c r="E11" i="70"/>
  <c r="D66" i="2"/>
  <c r="F11" i="70"/>
  <c r="G17" i="37"/>
  <c r="I17" i="37"/>
  <c r="F11" i="55"/>
  <c r="E11" i="55"/>
  <c r="D50" i="2"/>
  <c r="E9" i="55"/>
  <c r="D48" i="2"/>
  <c r="F9" i="55"/>
  <c r="G26" i="127"/>
  <c r="H26" i="127"/>
  <c r="D8" i="150"/>
  <c r="F8" i="17"/>
  <c r="E8" i="17"/>
  <c r="C12" i="150"/>
  <c r="C29" i="2" s="1"/>
  <c r="C15" i="1" s="1"/>
  <c r="D8" i="33"/>
  <c r="K26" i="123"/>
  <c r="J26" i="123"/>
  <c r="H15" i="37"/>
  <c r="J15" i="37"/>
  <c r="F14" i="37"/>
  <c r="O27" i="41"/>
  <c r="E18" i="3"/>
  <c r="F18" i="3"/>
  <c r="F12" i="17"/>
  <c r="E12" i="17"/>
  <c r="E19" i="3"/>
  <c r="D20" i="2"/>
  <c r="F19" i="3"/>
  <c r="C14" i="37"/>
  <c r="C25" i="37" s="1"/>
  <c r="C27" i="37" s="1"/>
  <c r="F10" i="70"/>
  <c r="D65" i="2"/>
  <c r="E10" i="70"/>
  <c r="F7" i="7"/>
  <c r="E7" i="7"/>
  <c r="D42" i="2"/>
  <c r="E25" i="150"/>
  <c r="F25" i="150"/>
  <c r="I16" i="37"/>
  <c r="G16" i="37"/>
  <c r="J8" i="37"/>
  <c r="F7" i="37"/>
  <c r="H8" i="37"/>
  <c r="K26" i="35"/>
  <c r="D7" i="33"/>
  <c r="J26" i="35"/>
  <c r="E6" i="157"/>
  <c r="F6" i="157"/>
  <c r="E7" i="70"/>
  <c r="F7" i="70"/>
  <c r="D62" i="2"/>
  <c r="F11" i="17"/>
  <c r="E11" i="17"/>
  <c r="E8" i="131"/>
  <c r="F8" i="131"/>
  <c r="J26" i="34"/>
  <c r="D6" i="33"/>
  <c r="K26" i="34"/>
  <c r="O27" i="42"/>
  <c r="E6" i="131"/>
  <c r="F6" i="131"/>
  <c r="H17" i="37"/>
  <c r="J17" i="37"/>
  <c r="L27" i="129"/>
  <c r="D17" i="150"/>
  <c r="E6" i="17"/>
  <c r="F6" i="17"/>
  <c r="G15" i="37"/>
  <c r="E14" i="37"/>
  <c r="I15" i="37"/>
  <c r="H9" i="37"/>
  <c r="J9" i="37"/>
  <c r="D53" i="2"/>
  <c r="F14" i="55"/>
  <c r="E14" i="55"/>
  <c r="D14" i="2"/>
  <c r="E13" i="3"/>
  <c r="F13" i="3"/>
  <c r="E11" i="150"/>
  <c r="F11" i="150"/>
  <c r="D28" i="2"/>
  <c r="C45" i="2"/>
  <c r="C44" i="2" s="1"/>
  <c r="K26" i="45"/>
  <c r="L26" i="45"/>
  <c r="E20" i="3"/>
  <c r="D21" i="2"/>
  <c r="F20" i="3"/>
  <c r="D10" i="150"/>
  <c r="J26" i="171"/>
  <c r="K26" i="171"/>
  <c r="F13" i="70"/>
  <c r="D68" i="2"/>
  <c r="E13" i="70"/>
  <c r="E7" i="55"/>
  <c r="F7" i="55"/>
  <c r="D46" i="2"/>
  <c r="D26" i="33"/>
  <c r="C30" i="3"/>
  <c r="D29" i="55"/>
  <c r="E29" i="55" l="1"/>
  <c r="F29" i="55"/>
  <c r="D6" i="150"/>
  <c r="E26" i="33"/>
  <c r="F26" i="33"/>
  <c r="F45" i="2"/>
  <c r="E45" i="2"/>
  <c r="E8" i="3"/>
  <c r="F8" i="3"/>
  <c r="D9" i="2"/>
  <c r="E63" i="2"/>
  <c r="F63" i="2"/>
  <c r="E52" i="2"/>
  <c r="F52" i="2"/>
  <c r="D47" i="2"/>
  <c r="D44" i="2" s="1"/>
  <c r="F8" i="55"/>
  <c r="E8" i="55"/>
  <c r="F54" i="2"/>
  <c r="E54" i="2"/>
  <c r="H14" i="37"/>
  <c r="J14" i="37"/>
  <c r="D25" i="37"/>
  <c r="D27" i="37" s="1"/>
  <c r="C13" i="150" s="1"/>
  <c r="E55" i="2"/>
  <c r="F55" i="2"/>
  <c r="D18" i="2"/>
  <c r="E17" i="3"/>
  <c r="F17" i="3"/>
  <c r="F40" i="2"/>
  <c r="F26" i="1" s="1"/>
  <c r="D26" i="1"/>
  <c r="E40" i="2"/>
  <c r="E26" i="1" s="1"/>
  <c r="D25" i="2"/>
  <c r="F8" i="150"/>
  <c r="E8" i="150"/>
  <c r="D22" i="1"/>
  <c r="E36" i="2"/>
  <c r="E22" i="1" s="1"/>
  <c r="F36" i="2"/>
  <c r="F22" i="1" s="1"/>
  <c r="E51" i="2"/>
  <c r="F51" i="2"/>
  <c r="E15" i="2"/>
  <c r="F15" i="2"/>
  <c r="F7" i="150"/>
  <c r="D24" i="2"/>
  <c r="E7" i="150"/>
  <c r="E57" i="2"/>
  <c r="F57" i="2"/>
  <c r="E67" i="2"/>
  <c r="F67" i="2"/>
  <c r="D14" i="1"/>
  <c r="F28" i="2"/>
  <c r="F14" i="1" s="1"/>
  <c r="E28" i="2"/>
  <c r="E14" i="1" s="1"/>
  <c r="D16" i="3"/>
  <c r="E28" i="17"/>
  <c r="F28" i="17"/>
  <c r="F48" i="2"/>
  <c r="E48" i="2"/>
  <c r="F18" i="150"/>
  <c r="E18" i="150"/>
  <c r="D35" i="2"/>
  <c r="E53" i="2"/>
  <c r="F53" i="2"/>
  <c r="D27" i="1"/>
  <c r="E41" i="2"/>
  <c r="E27" i="1" s="1"/>
  <c r="F41" i="2"/>
  <c r="F27" i="1" s="1"/>
  <c r="E33" i="2"/>
  <c r="E19" i="1" s="1"/>
  <c r="F33" i="2"/>
  <c r="F19" i="1" s="1"/>
  <c r="D19" i="1"/>
  <c r="D39" i="2"/>
  <c r="F22" i="150"/>
  <c r="E22" i="150"/>
  <c r="D20" i="150"/>
  <c r="E28" i="131"/>
  <c r="F28" i="131"/>
  <c r="E14" i="2"/>
  <c r="F14" i="2"/>
  <c r="E6" i="3"/>
  <c r="F6" i="3"/>
  <c r="D7" i="2"/>
  <c r="C69" i="2"/>
  <c r="C32" i="1" s="1"/>
  <c r="C30" i="1"/>
  <c r="E15" i="150"/>
  <c r="D32" i="2"/>
  <c r="F15" i="150"/>
  <c r="F7" i="33"/>
  <c r="E7" i="33"/>
  <c r="F10" i="3"/>
  <c r="D11" i="2"/>
  <c r="E10" i="3"/>
  <c r="J7" i="37"/>
  <c r="H7" i="37"/>
  <c r="F25" i="37"/>
  <c r="D28" i="1"/>
  <c r="E42" i="2"/>
  <c r="E28" i="1" s="1"/>
  <c r="F42" i="2"/>
  <c r="F28" i="1" s="1"/>
  <c r="F64" i="2"/>
  <c r="E64" i="2"/>
  <c r="E62" i="2"/>
  <c r="F62" i="2"/>
  <c r="E65" i="2"/>
  <c r="F65" i="2"/>
  <c r="F12" i="3"/>
  <c r="D13" i="2"/>
  <c r="E12" i="3"/>
  <c r="E25" i="37"/>
  <c r="G7" i="37"/>
  <c r="I7" i="37"/>
  <c r="C7" i="2"/>
  <c r="C6" i="2" s="1"/>
  <c r="G14" i="37"/>
  <c r="I14" i="37"/>
  <c r="E20" i="2"/>
  <c r="F20" i="2"/>
  <c r="C23" i="2"/>
  <c r="F17" i="150"/>
  <c r="D34" i="2"/>
  <c r="E17" i="150"/>
  <c r="F66" i="2"/>
  <c r="E66" i="2"/>
  <c r="F58" i="2"/>
  <c r="E58" i="2"/>
  <c r="F50" i="2"/>
  <c r="E50" i="2"/>
  <c r="D12" i="2"/>
  <c r="F11" i="3"/>
  <c r="E11" i="3"/>
  <c r="E46" i="2"/>
  <c r="F46" i="2"/>
  <c r="F49" i="2"/>
  <c r="E49" i="2"/>
  <c r="E38" i="2"/>
  <c r="E24" i="1" s="1"/>
  <c r="D24" i="1"/>
  <c r="F38" i="2"/>
  <c r="F24" i="1" s="1"/>
  <c r="E8" i="33"/>
  <c r="F8" i="33"/>
  <c r="D26" i="2"/>
  <c r="E9" i="150"/>
  <c r="F9" i="150"/>
  <c r="E68" i="2"/>
  <c r="F68" i="2"/>
  <c r="F61" i="2"/>
  <c r="E61" i="2"/>
  <c r="D60" i="2"/>
  <c r="E6" i="33"/>
  <c r="F6" i="33"/>
  <c r="E15" i="3"/>
  <c r="D16" i="2"/>
  <c r="F15" i="3"/>
  <c r="D8" i="2"/>
  <c r="F7" i="3"/>
  <c r="E7" i="3"/>
  <c r="F10" i="150"/>
  <c r="E10" i="150"/>
  <c r="D27" i="2"/>
  <c r="E28" i="128"/>
  <c r="F28" i="128"/>
  <c r="D14" i="150"/>
  <c r="E59" i="2"/>
  <c r="F59" i="2"/>
  <c r="F9" i="3"/>
  <c r="D10" i="2"/>
  <c r="E9" i="3"/>
  <c r="F56" i="2"/>
  <c r="E56" i="2"/>
  <c r="E12" i="150"/>
  <c r="D29" i="2"/>
  <c r="F12" i="150"/>
  <c r="E21" i="2"/>
  <c r="F21" i="2"/>
  <c r="D30" i="3"/>
  <c r="C29" i="150"/>
  <c r="E30" i="3" l="1"/>
  <c r="F30" i="3" s="1"/>
  <c r="D69" i="2"/>
  <c r="D30" i="1"/>
  <c r="E44" i="2"/>
  <c r="E30" i="1" s="1"/>
  <c r="F44" i="2"/>
  <c r="F30" i="1" s="1"/>
  <c r="E10" i="2"/>
  <c r="F10" i="2"/>
  <c r="E18" i="2"/>
  <c r="F18" i="2"/>
  <c r="C30" i="2"/>
  <c r="C7" i="1"/>
  <c r="F24" i="2"/>
  <c r="F10" i="1" s="1"/>
  <c r="D10" i="1"/>
  <c r="E24" i="2"/>
  <c r="E10" i="1" s="1"/>
  <c r="F9" i="2"/>
  <c r="E9" i="2"/>
  <c r="E7" i="2"/>
  <c r="F7" i="2" s="1"/>
  <c r="J25" i="37"/>
  <c r="F27" i="37"/>
  <c r="H25" i="37"/>
  <c r="F12" i="2"/>
  <c r="E12" i="2"/>
  <c r="C9" i="1"/>
  <c r="D31" i="2"/>
  <c r="E14" i="150"/>
  <c r="F14" i="150"/>
  <c r="D21" i="1"/>
  <c r="E35" i="2"/>
  <c r="E21" i="1" s="1"/>
  <c r="F35" i="2"/>
  <c r="F21" i="1" s="1"/>
  <c r="D13" i="1"/>
  <c r="F27" i="2"/>
  <c r="F13" i="1" s="1"/>
  <c r="E27" i="2"/>
  <c r="E13" i="1" s="1"/>
  <c r="E16" i="2"/>
  <c r="F16" i="2"/>
  <c r="F11" i="2"/>
  <c r="E11" i="2"/>
  <c r="F34" i="2"/>
  <c r="F20" i="1" s="1"/>
  <c r="E34" i="2"/>
  <c r="E20" i="1" s="1"/>
  <c r="D20" i="1"/>
  <c r="D31" i="1"/>
  <c r="E60" i="2"/>
  <c r="E31" i="1" s="1"/>
  <c r="F60" i="2"/>
  <c r="F31" i="1" s="1"/>
  <c r="E39" i="2"/>
  <c r="E25" i="1" s="1"/>
  <c r="F39" i="2"/>
  <c r="F25" i="1" s="1"/>
  <c r="D25" i="1"/>
  <c r="E27" i="37"/>
  <c r="I25" i="37"/>
  <c r="G25" i="37"/>
  <c r="D23" i="2"/>
  <c r="E6" i="150"/>
  <c r="F6" i="150"/>
  <c r="F16" i="3"/>
  <c r="E16" i="3"/>
  <c r="D17" i="2"/>
  <c r="D6" i="2" s="1"/>
  <c r="F8" i="2"/>
  <c r="E8" i="2"/>
  <c r="E32" i="2"/>
  <c r="E18" i="1" s="1"/>
  <c r="F32" i="2"/>
  <c r="F18" i="1" s="1"/>
  <c r="D18" i="1"/>
  <c r="F47" i="2"/>
  <c r="E47" i="2"/>
  <c r="F20" i="150"/>
  <c r="D37" i="2"/>
  <c r="E20" i="150"/>
  <c r="F26" i="2"/>
  <c r="F12" i="1" s="1"/>
  <c r="E26" i="2"/>
  <c r="E12" i="1" s="1"/>
  <c r="D12" i="1"/>
  <c r="F25" i="2"/>
  <c r="F11" i="1" s="1"/>
  <c r="D11" i="1"/>
  <c r="E25" i="2"/>
  <c r="E11" i="1" s="1"/>
  <c r="E13" i="2"/>
  <c r="F13" i="2"/>
  <c r="D15" i="1"/>
  <c r="E29" i="2"/>
  <c r="E15" i="1" s="1"/>
  <c r="F29" i="2"/>
  <c r="F15" i="1" s="1"/>
  <c r="C16" i="1" l="1"/>
  <c r="C22" i="2"/>
  <c r="C70" i="2" s="1"/>
  <c r="C33" i="1" s="1"/>
  <c r="F31" i="2"/>
  <c r="F17" i="1" s="1"/>
  <c r="D17" i="1"/>
  <c r="E31" i="2"/>
  <c r="E17" i="1" s="1"/>
  <c r="F17" i="2"/>
  <c r="E17" i="2"/>
  <c r="H27" i="37"/>
  <c r="D13" i="150"/>
  <c r="J27" i="37"/>
  <c r="E23" i="2"/>
  <c r="E9" i="1" s="1"/>
  <c r="F23" i="2"/>
  <c r="F9" i="1" s="1"/>
  <c r="D9" i="1"/>
  <c r="E6" i="2"/>
  <c r="E7" i="1" s="1"/>
  <c r="D7" i="1"/>
  <c r="G27" i="37"/>
  <c r="I27" i="37"/>
  <c r="F37" i="2"/>
  <c r="F23" i="1" s="1"/>
  <c r="E37" i="2"/>
  <c r="E23" i="1" s="1"/>
  <c r="D23" i="1"/>
  <c r="E69" i="2"/>
  <c r="E32" i="1" s="1"/>
  <c r="F69" i="2"/>
  <c r="F32" i="1" s="1"/>
  <c r="D32" i="1"/>
  <c r="D29" i="150"/>
  <c r="C8" i="1" l="1"/>
  <c r="C43" i="2"/>
  <c r="C29" i="1" s="1"/>
  <c r="F29" i="150"/>
  <c r="E29" i="150"/>
  <c r="F6" i="2"/>
  <c r="F7" i="1" s="1"/>
  <c r="F13" i="150"/>
  <c r="E13" i="150"/>
  <c r="D30" i="2"/>
  <c r="E30" i="2" l="1"/>
  <c r="E16" i="1" s="1"/>
  <c r="F30" i="2"/>
  <c r="F16" i="1" s="1"/>
  <c r="D16" i="1"/>
  <c r="D22" i="2"/>
  <c r="F22" i="2" l="1"/>
  <c r="F8" i="1" s="1"/>
  <c r="E22" i="2"/>
  <c r="E8" i="1" s="1"/>
  <c r="D8" i="1"/>
  <c r="D43" i="2"/>
  <c r="D70" i="2"/>
  <c r="D33" i="1" l="1"/>
  <c r="E70" i="2"/>
  <c r="E33" i="1" s="1"/>
  <c r="D29" i="1"/>
  <c r="E43" i="2"/>
  <c r="E29" i="1" s="1"/>
  <c r="F43" i="2" l="1"/>
  <c r="F29" i="1" s="1"/>
  <c r="F70" i="2"/>
  <c r="F33" i="1" s="1"/>
</calcChain>
</file>

<file path=xl/sharedStrings.xml><?xml version="1.0" encoding="utf-8"?>
<sst xmlns="http://schemas.openxmlformats.org/spreadsheetml/2006/main" count="2603" uniqueCount="1070">
  <si>
    <t>评估价值</t>
    <phoneticPr fontId="6" type="noConversion"/>
  </si>
  <si>
    <t>增减值</t>
    <phoneticPr fontId="6" type="noConversion"/>
  </si>
  <si>
    <t>A</t>
    <phoneticPr fontId="6" type="noConversion"/>
  </si>
  <si>
    <t>B</t>
    <phoneticPr fontId="6" type="noConversion"/>
  </si>
  <si>
    <t>金额单位：人民币万元</t>
    <phoneticPr fontId="6" type="noConversion"/>
  </si>
  <si>
    <t>科目名称</t>
    <phoneticPr fontId="6" type="noConversion"/>
  </si>
  <si>
    <t>金额单位：人民币元</t>
    <phoneticPr fontId="6" type="noConversion"/>
  </si>
  <si>
    <t>序号</t>
    <phoneticPr fontId="6" type="noConversion"/>
  </si>
  <si>
    <t>应收股利</t>
    <phoneticPr fontId="6" type="noConversion"/>
  </si>
  <si>
    <t>增值额</t>
    <phoneticPr fontId="6" type="noConversion"/>
  </si>
  <si>
    <t>3-1</t>
    <phoneticPr fontId="6" type="noConversion"/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</si>
  <si>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</si>
  <si>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</si>
  <si>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</si>
  <si>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</si>
  <si>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</si>
  <si>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</si>
  <si>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</si>
  <si>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</si>
  <si>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</si>
  <si>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</si>
  <si>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流动资产合计</t>
    <phoneticPr fontId="6" type="noConversion"/>
  </si>
  <si>
    <t>币种</t>
    <phoneticPr fontId="6" type="noConversion"/>
  </si>
  <si>
    <t>评估基准日汇率</t>
    <phoneticPr fontId="6" type="noConversion"/>
  </si>
  <si>
    <t>名称及内容</t>
    <phoneticPr fontId="6" type="noConversion"/>
  </si>
  <si>
    <t>用途</t>
    <phoneticPr fontId="6" type="noConversion"/>
  </si>
  <si>
    <t>3-2-1</t>
    <phoneticPr fontId="6" type="noConversion"/>
  </si>
  <si>
    <t>3-2-2</t>
  </si>
  <si>
    <t>被投资单位名称</t>
    <phoneticPr fontId="6" type="noConversion"/>
  </si>
  <si>
    <t>股票名称</t>
    <phoneticPr fontId="6" type="noConversion"/>
  </si>
  <si>
    <t>投资日期</t>
    <phoneticPr fontId="6" type="noConversion"/>
  </si>
  <si>
    <t>持股数量</t>
    <phoneticPr fontId="6" type="noConversion"/>
  </si>
  <si>
    <t>债券名称</t>
    <phoneticPr fontId="6" type="noConversion"/>
  </si>
  <si>
    <t>发行日期</t>
    <phoneticPr fontId="6" type="noConversion"/>
  </si>
  <si>
    <r>
      <t>欠款单位名称（结算对象</t>
    </r>
    <r>
      <rPr>
        <sz val="10"/>
        <rFont val="Times New Roman"/>
        <family val="1"/>
      </rPr>
      <t>)</t>
    </r>
    <phoneticPr fontId="6" type="noConversion"/>
  </si>
  <si>
    <t>业务内容</t>
    <phoneticPr fontId="6" type="noConversion"/>
  </si>
  <si>
    <t>发生日期</t>
    <phoneticPr fontId="6" type="noConversion"/>
  </si>
  <si>
    <t/>
  </si>
  <si>
    <t>金额</t>
    <phoneticPr fontId="6" type="noConversion"/>
  </si>
  <si>
    <t>备注</t>
    <phoneticPr fontId="6" type="noConversion"/>
  </si>
  <si>
    <t>宗地名称</t>
    <phoneticPr fontId="6" type="noConversion"/>
  </si>
  <si>
    <t>名称</t>
    <phoneticPr fontId="6" type="noConversion"/>
  </si>
  <si>
    <t>规格型号</t>
    <phoneticPr fontId="6" type="noConversion"/>
  </si>
  <si>
    <t>数量</t>
    <phoneticPr fontId="6" type="noConversion"/>
  </si>
  <si>
    <t>短期借款</t>
  </si>
  <si>
    <t>应付票据</t>
  </si>
  <si>
    <t>应收票据</t>
  </si>
  <si>
    <t>长期借款</t>
  </si>
  <si>
    <t>长期应付款</t>
  </si>
  <si>
    <t>固定资产合计</t>
    <phoneticPr fontId="6" type="noConversion"/>
  </si>
  <si>
    <t>合计</t>
    <phoneticPr fontId="6" type="noConversion"/>
  </si>
  <si>
    <r>
      <t>户名（结算对象</t>
    </r>
    <r>
      <rPr>
        <sz val="10"/>
        <rFont val="Times New Roman"/>
        <family val="1"/>
      </rPr>
      <t>)</t>
    </r>
    <phoneticPr fontId="6" type="noConversion"/>
  </si>
  <si>
    <t>初始额</t>
    <phoneticPr fontId="6" type="noConversion"/>
  </si>
  <si>
    <t>利息及汇率净损失</t>
    <phoneticPr fontId="6" type="noConversion"/>
  </si>
  <si>
    <t>到期日</t>
    <phoneticPr fontId="6" type="noConversion"/>
  </si>
  <si>
    <t>外币金额</t>
    <phoneticPr fontId="6" type="noConversion"/>
  </si>
  <si>
    <t>外币基准日汇率</t>
    <phoneticPr fontId="6" type="noConversion"/>
  </si>
  <si>
    <t>编号</t>
    <phoneticPr fontId="6" type="noConversion"/>
  </si>
  <si>
    <t>利润所属期间</t>
    <phoneticPr fontId="6" type="noConversion"/>
  </si>
  <si>
    <t>征税机关</t>
    <phoneticPr fontId="6" type="noConversion"/>
  </si>
  <si>
    <t>内容或名称</t>
    <phoneticPr fontId="6" type="noConversion"/>
  </si>
  <si>
    <t>取得日期</t>
    <phoneticPr fontId="6" type="noConversion"/>
  </si>
  <si>
    <r>
      <t>法定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预计使用年限</t>
    </r>
    <phoneticPr fontId="6" type="noConversion"/>
  </si>
  <si>
    <t>土地权证编号</t>
    <phoneticPr fontId="6" type="noConversion"/>
  </si>
  <si>
    <t>土地位置</t>
    <phoneticPr fontId="6" type="noConversion"/>
  </si>
  <si>
    <t>用地性质</t>
    <phoneticPr fontId="6" type="noConversion"/>
  </si>
  <si>
    <t>准用年限</t>
    <phoneticPr fontId="6" type="noConversion"/>
  </si>
  <si>
    <t>开发程度</t>
    <phoneticPr fontId="6" type="noConversion"/>
  </si>
  <si>
    <r>
      <t>面积</t>
    </r>
    <r>
      <rPr>
        <sz val="10"/>
        <rFont val="Times New Roman"/>
        <family val="1"/>
      </rPr>
      <t>(m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  <phoneticPr fontId="6" type="noConversion"/>
  </si>
  <si>
    <t>待处理资产名称</t>
    <phoneticPr fontId="6" type="noConversion"/>
  </si>
  <si>
    <t>项目名称</t>
    <phoneticPr fontId="6" type="noConversion"/>
  </si>
  <si>
    <t>设备费</t>
    <phoneticPr fontId="6" type="noConversion"/>
  </si>
  <si>
    <t>资金成本</t>
    <phoneticPr fontId="6" type="noConversion"/>
  </si>
  <si>
    <t>安装费及其他</t>
    <phoneticPr fontId="6" type="noConversion"/>
  </si>
  <si>
    <t>结构</t>
    <phoneticPr fontId="6" type="noConversion"/>
  </si>
  <si>
    <t>开工日期</t>
    <phoneticPr fontId="6" type="noConversion"/>
  </si>
  <si>
    <t>预计完工日期</t>
    <phoneticPr fontId="6" type="noConversion"/>
  </si>
  <si>
    <t>形象进度</t>
    <phoneticPr fontId="6" type="noConversion"/>
  </si>
  <si>
    <t>付款比例</t>
    <phoneticPr fontId="6" type="noConversion"/>
  </si>
  <si>
    <t>工程项目</t>
    <phoneticPr fontId="6" type="noConversion"/>
  </si>
  <si>
    <t>实际数量</t>
    <phoneticPr fontId="6" type="noConversion"/>
  </si>
  <si>
    <t>单价</t>
    <phoneticPr fontId="6" type="noConversion"/>
  </si>
  <si>
    <t>设备名称</t>
    <phoneticPr fontId="6" type="noConversion"/>
  </si>
  <si>
    <t>生产厂家</t>
    <phoneticPr fontId="6" type="noConversion"/>
  </si>
  <si>
    <t>计量单位</t>
    <phoneticPr fontId="6" type="noConversion"/>
  </si>
  <si>
    <t>购置日期</t>
    <phoneticPr fontId="6" type="noConversion"/>
  </si>
  <si>
    <t>启用日期</t>
    <phoneticPr fontId="6" type="noConversion"/>
  </si>
  <si>
    <t>原值</t>
    <phoneticPr fontId="6" type="noConversion"/>
  </si>
  <si>
    <t>净值</t>
    <phoneticPr fontId="6" type="noConversion"/>
  </si>
  <si>
    <t>车辆牌号</t>
    <phoneticPr fontId="6" type="noConversion"/>
  </si>
  <si>
    <r>
      <t>已行驶里程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公里</t>
    </r>
    <r>
      <rPr>
        <sz val="10"/>
        <rFont val="Times New Roman"/>
        <family val="1"/>
      </rPr>
      <t>)</t>
    </r>
    <phoneticPr fontId="6" type="noConversion"/>
  </si>
  <si>
    <t>设备编号</t>
    <phoneticPr fontId="6" type="noConversion"/>
  </si>
  <si>
    <r>
      <t xml:space="preserve"> </t>
    </r>
    <r>
      <rPr>
        <sz val="10"/>
        <rFont val="宋体"/>
        <family val="3"/>
        <charset val="134"/>
      </rPr>
      <t>名称</t>
    </r>
    <phoneticPr fontId="6" type="noConversion"/>
  </si>
  <si>
    <r>
      <t>沟宽</t>
    </r>
    <r>
      <rPr>
        <sz val="10"/>
        <rFont val="Times New Roman"/>
        <family val="1"/>
      </rPr>
      <t>*</t>
    </r>
    <r>
      <rPr>
        <sz val="10"/>
        <rFont val="宋体"/>
        <family val="3"/>
        <charset val="134"/>
      </rPr>
      <t>沟厚</t>
    </r>
    <r>
      <rPr>
        <sz val="10"/>
        <rFont val="Times New Roman"/>
        <family val="1"/>
      </rPr>
      <t xml:space="preserve">(mm*mm)
</t>
    </r>
    <r>
      <rPr>
        <sz val="10"/>
        <rFont val="宋体"/>
        <family val="3"/>
        <charset val="134"/>
      </rPr>
      <t>管径</t>
    </r>
    <r>
      <rPr>
        <sz val="10"/>
        <rFont val="Times New Roman"/>
        <family val="1"/>
      </rPr>
      <t>*</t>
    </r>
    <r>
      <rPr>
        <sz val="10"/>
        <rFont val="宋体"/>
        <family val="3"/>
        <charset val="134"/>
      </rPr>
      <t>壁厚</t>
    </r>
    <r>
      <rPr>
        <sz val="10"/>
        <rFont val="Times New Roman"/>
        <family val="1"/>
      </rPr>
      <t>(mm*mm)</t>
    </r>
    <phoneticPr fontId="6" type="noConversion"/>
  </si>
  <si>
    <t>材质</t>
    <phoneticPr fontId="6" type="noConversion"/>
  </si>
  <si>
    <t>绝缘方式</t>
    <phoneticPr fontId="6" type="noConversion"/>
  </si>
  <si>
    <t>建成年月</t>
    <phoneticPr fontId="6" type="noConversion"/>
  </si>
  <si>
    <r>
      <t>面积体积</t>
    </r>
    <r>
      <rPr>
        <sz val="10"/>
        <rFont val="Times New Roman"/>
        <family val="1"/>
      </rPr>
      <t>m</t>
    </r>
    <r>
      <rPr>
        <vertAlign val="superscript"/>
        <sz val="10"/>
        <rFont val="Times New Roman"/>
        <family val="1"/>
      </rPr>
      <t>2</t>
    </r>
    <r>
      <rPr>
        <sz val="10"/>
        <rFont val="宋体"/>
        <family val="3"/>
        <charset val="134"/>
      </rPr>
      <t>或</t>
    </r>
    <r>
      <rPr>
        <sz val="10"/>
        <rFont val="Times New Roman"/>
        <family val="1"/>
      </rPr>
      <t>m</t>
    </r>
    <r>
      <rPr>
        <vertAlign val="superscript"/>
        <sz val="10"/>
        <rFont val="Times New Roman"/>
        <family val="1"/>
      </rPr>
      <t>3</t>
    </r>
    <phoneticPr fontId="6" type="noConversion"/>
  </si>
  <si>
    <r>
      <t>评估单价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元</t>
    </r>
    <r>
      <rPr>
        <sz val="10"/>
        <rFont val="Times New Roman"/>
        <family val="1"/>
      </rPr>
      <t>/m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  <phoneticPr fontId="6" type="noConversion"/>
  </si>
  <si>
    <t>权证编号</t>
    <phoneticPr fontId="6" type="noConversion"/>
  </si>
  <si>
    <t>建筑物名称</t>
    <phoneticPr fontId="6" type="noConversion"/>
  </si>
  <si>
    <t>计量单位</t>
    <phoneticPr fontId="17" type="noConversion"/>
  </si>
  <si>
    <r>
      <t>成本单价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元</t>
    </r>
    <r>
      <rPr>
        <sz val="10"/>
        <rFont val="Times New Roman"/>
        <family val="1"/>
      </rPr>
      <t>/m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  <phoneticPr fontId="6" type="noConversion"/>
  </si>
  <si>
    <t>5-1</t>
    <phoneticPr fontId="6" type="noConversion"/>
  </si>
  <si>
    <t>协议投资期限</t>
    <phoneticPr fontId="6" type="noConversion"/>
  </si>
  <si>
    <t>债券种类</t>
    <phoneticPr fontId="6" type="noConversion"/>
  </si>
  <si>
    <t>股票性质</t>
    <phoneticPr fontId="6" type="noConversion"/>
  </si>
  <si>
    <t>基准日市价</t>
    <phoneticPr fontId="6" type="noConversion"/>
  </si>
  <si>
    <t>项目及内容</t>
    <phoneticPr fontId="6" type="noConversion"/>
  </si>
  <si>
    <t>存放地点</t>
    <phoneticPr fontId="6" type="noConversion"/>
  </si>
  <si>
    <t>加工单位名称</t>
    <phoneticPr fontId="6" type="noConversion"/>
  </si>
  <si>
    <r>
      <t>收款单位名称（结算对象</t>
    </r>
    <r>
      <rPr>
        <sz val="10"/>
        <rFont val="Times New Roman"/>
        <family val="1"/>
      </rPr>
      <t>)</t>
    </r>
    <phoneticPr fontId="6" type="noConversion"/>
  </si>
  <si>
    <t>本金</t>
    <phoneticPr fontId="6" type="noConversion"/>
  </si>
  <si>
    <t>利息所属期间</t>
    <phoneticPr fontId="6" type="noConversion"/>
  </si>
  <si>
    <t>出票日期</t>
    <phoneticPr fontId="6" type="noConversion"/>
  </si>
  <si>
    <t>到期日期</t>
    <phoneticPr fontId="6" type="noConversion"/>
  </si>
  <si>
    <t>发生日期</t>
  </si>
  <si>
    <t>账面价值</t>
  </si>
  <si>
    <t>评估价值</t>
  </si>
  <si>
    <t>债券发行单位</t>
    <phoneticPr fontId="21" type="noConversion"/>
  </si>
  <si>
    <t>债券种类</t>
    <phoneticPr fontId="21" type="noConversion"/>
  </si>
  <si>
    <t>到期日</t>
    <phoneticPr fontId="21" type="noConversion"/>
  </si>
  <si>
    <r>
      <t xml:space="preserve"> </t>
    </r>
    <r>
      <rPr>
        <sz val="10"/>
        <rFont val="宋体"/>
        <family val="3"/>
        <charset val="134"/>
      </rPr>
      <t>备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注</t>
    </r>
  </si>
  <si>
    <t>计量
单位</t>
    <phoneticPr fontId="6" type="noConversion"/>
  </si>
  <si>
    <t>设备
编号</t>
    <phoneticPr fontId="6" type="noConversion"/>
  </si>
  <si>
    <t>车辆名称
及规格型号</t>
    <phoneticPr fontId="6" type="noConversion"/>
  </si>
  <si>
    <t>建成
年月</t>
    <phoneticPr fontId="6" type="noConversion"/>
  </si>
  <si>
    <t>开工
日期</t>
    <phoneticPr fontId="6" type="noConversion"/>
  </si>
  <si>
    <t>预计完
工日期</t>
    <phoneticPr fontId="6" type="noConversion"/>
  </si>
  <si>
    <r>
      <t xml:space="preserve">长度
</t>
    </r>
    <r>
      <rPr>
        <sz val="10"/>
        <rFont val="Times New Roman"/>
        <family val="1"/>
      </rPr>
      <t>(m)</t>
    </r>
    <phoneticPr fontId="6" type="noConversion"/>
  </si>
  <si>
    <r>
      <t xml:space="preserve">漕深
</t>
    </r>
    <r>
      <rPr>
        <sz val="10"/>
        <rFont val="Times New Roman"/>
        <family val="1"/>
      </rPr>
      <t>(m)</t>
    </r>
    <phoneticPr fontId="6" type="noConversion"/>
  </si>
  <si>
    <r>
      <t xml:space="preserve">宽度
</t>
    </r>
    <r>
      <rPr>
        <sz val="10"/>
        <rFont val="Times New Roman"/>
        <family val="1"/>
      </rPr>
      <t>(m)</t>
    </r>
    <phoneticPr fontId="6" type="noConversion"/>
  </si>
  <si>
    <t>应付账款</t>
  </si>
  <si>
    <t>原始入账价值</t>
  </si>
  <si>
    <t>外币账面金额</t>
  </si>
  <si>
    <t>账号</t>
  </si>
  <si>
    <t>账龄</t>
    <phoneticPr fontId="6" type="noConversion"/>
  </si>
  <si>
    <t>金额单位：人民币元</t>
    <phoneticPr fontId="6" type="noConversion"/>
  </si>
  <si>
    <t>编号</t>
    <phoneticPr fontId="6" type="noConversion"/>
  </si>
  <si>
    <t>科目名称</t>
    <phoneticPr fontId="6" type="noConversion"/>
  </si>
  <si>
    <t>评估价值</t>
    <phoneticPr fontId="6" type="noConversion"/>
  </si>
  <si>
    <t>增值额</t>
    <phoneticPr fontId="6" type="noConversion"/>
  </si>
  <si>
    <t>原材料</t>
    <phoneticPr fontId="6" type="noConversion"/>
  </si>
  <si>
    <t>名称及规格型号</t>
    <phoneticPr fontId="6" type="noConversion"/>
  </si>
  <si>
    <t>商品名称</t>
    <phoneticPr fontId="6" type="noConversion"/>
  </si>
  <si>
    <t>对方单位名称</t>
    <phoneticPr fontId="6" type="noConversion"/>
  </si>
  <si>
    <t>金额单位：人民币元</t>
    <phoneticPr fontId="6" type="noConversion"/>
  </si>
  <si>
    <t>评估价值</t>
    <phoneticPr fontId="6" type="noConversion"/>
  </si>
  <si>
    <t>编号</t>
    <phoneticPr fontId="6" type="noConversion"/>
  </si>
  <si>
    <t>科目名称</t>
    <phoneticPr fontId="6" type="noConversion"/>
  </si>
  <si>
    <t>序号</t>
    <phoneticPr fontId="6" type="noConversion"/>
  </si>
  <si>
    <t>费用名称或内容</t>
    <phoneticPr fontId="6" type="noConversion"/>
  </si>
  <si>
    <t>形成日期</t>
    <phoneticPr fontId="6" type="noConversion"/>
  </si>
  <si>
    <t>原始发生额</t>
    <phoneticPr fontId="6" type="noConversion"/>
  </si>
  <si>
    <t>预计摊
销月数</t>
    <phoneticPr fontId="6" type="noConversion"/>
  </si>
  <si>
    <t>尚存受
益月数</t>
    <phoneticPr fontId="6" type="noConversion"/>
  </si>
  <si>
    <t>备注</t>
    <phoneticPr fontId="6" type="noConversion"/>
  </si>
  <si>
    <r>
      <t>户名（结算对象</t>
    </r>
    <r>
      <rPr>
        <sz val="10"/>
        <rFont val="Times New Roman"/>
        <family val="1"/>
      </rPr>
      <t>)</t>
    </r>
    <phoneticPr fontId="6" type="noConversion"/>
  </si>
  <si>
    <t>发生日期</t>
    <phoneticPr fontId="6" type="noConversion"/>
  </si>
  <si>
    <t>业务内容</t>
    <phoneticPr fontId="6" type="noConversion"/>
  </si>
  <si>
    <t>结算内容</t>
    <phoneticPr fontId="6" type="noConversion"/>
  </si>
  <si>
    <t>到期日</t>
    <phoneticPr fontId="6" type="noConversion"/>
  </si>
  <si>
    <t>币种</t>
    <phoneticPr fontId="6" type="noConversion"/>
  </si>
  <si>
    <t>外币金额</t>
    <phoneticPr fontId="6" type="noConversion"/>
  </si>
  <si>
    <t>外币基准日汇率</t>
    <phoneticPr fontId="6" type="noConversion"/>
  </si>
  <si>
    <t>户名（或结算对象）</t>
    <phoneticPr fontId="6" type="noConversion"/>
  </si>
  <si>
    <r>
      <t xml:space="preserve"> </t>
    </r>
    <r>
      <rPr>
        <sz val="10"/>
        <rFont val="宋体"/>
        <family val="3"/>
        <charset val="134"/>
      </rPr>
      <t>备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注</t>
    </r>
    <phoneticPr fontId="6" type="noConversion"/>
  </si>
  <si>
    <t>内容</t>
    <phoneticPr fontId="6" type="noConversion"/>
  </si>
  <si>
    <t>投资单位名称（股东）</t>
    <phoneticPr fontId="6" type="noConversion"/>
  </si>
  <si>
    <t>交易性金融资产</t>
  </si>
  <si>
    <t>预收款项</t>
  </si>
  <si>
    <t>3-2-3</t>
  </si>
  <si>
    <t>基金发行单位</t>
    <phoneticPr fontId="6" type="noConversion"/>
  </si>
  <si>
    <t>基金名称</t>
    <phoneticPr fontId="6" type="noConversion"/>
  </si>
  <si>
    <t>基金类型</t>
    <phoneticPr fontId="6" type="noConversion"/>
  </si>
  <si>
    <r>
      <t>基准日净值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份</t>
    </r>
    <phoneticPr fontId="6" type="noConversion"/>
  </si>
  <si>
    <t>材料采购（在途物资）</t>
    <phoneticPr fontId="6" type="noConversion"/>
  </si>
  <si>
    <t>在库周转材料</t>
    <phoneticPr fontId="6" type="noConversion"/>
  </si>
  <si>
    <t>在用周转材料</t>
    <phoneticPr fontId="6" type="noConversion"/>
  </si>
  <si>
    <t>可供出售金融资产-股票投资</t>
  </si>
  <si>
    <t>可供出售金融资产-债券投资</t>
  </si>
  <si>
    <t>可供出售金融资产-其他投资</t>
  </si>
  <si>
    <t>序号</t>
    <phoneticPr fontId="6" type="noConversion"/>
  </si>
  <si>
    <t>被投资单位名称</t>
    <phoneticPr fontId="6" type="noConversion"/>
  </si>
  <si>
    <t>评估价值</t>
    <phoneticPr fontId="6" type="noConversion"/>
  </si>
  <si>
    <t>备注</t>
    <phoneticPr fontId="6" type="noConversion"/>
  </si>
  <si>
    <t>投资日期</t>
    <phoneticPr fontId="6" type="noConversion"/>
  </si>
  <si>
    <t>基准日市价</t>
    <phoneticPr fontId="6" type="noConversion"/>
  </si>
  <si>
    <t>金融资产名称</t>
    <phoneticPr fontId="6" type="noConversion"/>
  </si>
  <si>
    <t>持有数量</t>
    <phoneticPr fontId="6" type="noConversion"/>
  </si>
  <si>
    <t>4-1-1</t>
    <phoneticPr fontId="6" type="noConversion"/>
  </si>
  <si>
    <t>4-1-2</t>
  </si>
  <si>
    <t>4-1-3</t>
  </si>
  <si>
    <t>序号</t>
    <phoneticPr fontId="6" type="noConversion"/>
  </si>
  <si>
    <t>被投资单位名称</t>
    <phoneticPr fontId="6" type="noConversion"/>
  </si>
  <si>
    <t>到期日</t>
    <phoneticPr fontId="6" type="noConversion"/>
  </si>
  <si>
    <t>评估价值</t>
    <phoneticPr fontId="6" type="noConversion"/>
  </si>
  <si>
    <t>备注</t>
    <phoneticPr fontId="6" type="noConversion"/>
  </si>
  <si>
    <t>4-2</t>
  </si>
  <si>
    <t>4-3</t>
  </si>
  <si>
    <t>4-4</t>
  </si>
  <si>
    <t>4-5</t>
  </si>
  <si>
    <t>4-1</t>
    <phoneticPr fontId="6" type="noConversion"/>
  </si>
  <si>
    <t>投资类别</t>
    <phoneticPr fontId="6" type="noConversion"/>
  </si>
  <si>
    <t>减：持有至到期投资减值准备</t>
    <phoneticPr fontId="6" type="noConversion"/>
  </si>
  <si>
    <t>减：长期股权投资减值准备</t>
    <phoneticPr fontId="6" type="noConversion"/>
  </si>
  <si>
    <t>减：投资性房地产减值准备</t>
    <phoneticPr fontId="6" type="noConversion"/>
  </si>
  <si>
    <t>在建工程合计</t>
  </si>
  <si>
    <t>减：在建工程减值准备</t>
  </si>
  <si>
    <t>减：工程物资减值准备</t>
    <phoneticPr fontId="6" type="noConversion"/>
  </si>
  <si>
    <t>序号</t>
    <phoneticPr fontId="6" type="noConversion"/>
  </si>
  <si>
    <t>计量单位</t>
    <phoneticPr fontId="6" type="noConversion"/>
  </si>
  <si>
    <t>数量</t>
    <phoneticPr fontId="6" type="noConversion"/>
  </si>
  <si>
    <t>购置日期</t>
    <phoneticPr fontId="6" type="noConversion"/>
  </si>
  <si>
    <t>评估价值</t>
    <phoneticPr fontId="6" type="noConversion"/>
  </si>
  <si>
    <t>备注</t>
    <phoneticPr fontId="6" type="noConversion"/>
  </si>
  <si>
    <t>原值</t>
    <phoneticPr fontId="6" type="noConversion"/>
  </si>
  <si>
    <t>净值</t>
    <phoneticPr fontId="6" type="noConversion"/>
  </si>
  <si>
    <t>种类</t>
    <phoneticPr fontId="6" type="noConversion"/>
  </si>
  <si>
    <t>群别</t>
    <phoneticPr fontId="6" type="noConversion"/>
  </si>
  <si>
    <t>减：生产性生物资产减值准备</t>
    <phoneticPr fontId="6" type="noConversion"/>
  </si>
  <si>
    <t>减：无形资产减值准备</t>
  </si>
  <si>
    <t>无形资产-土地使用权</t>
  </si>
  <si>
    <t>6-1</t>
    <phoneticPr fontId="6" type="noConversion"/>
  </si>
  <si>
    <t>6-2</t>
  </si>
  <si>
    <t>6-3</t>
  </si>
  <si>
    <t>序号</t>
    <phoneticPr fontId="6" type="noConversion"/>
  </si>
  <si>
    <t>内容或名称</t>
    <phoneticPr fontId="6" type="noConversion"/>
  </si>
  <si>
    <t>评估价值</t>
    <phoneticPr fontId="6" type="noConversion"/>
  </si>
  <si>
    <t>备注</t>
    <phoneticPr fontId="6" type="noConversion"/>
  </si>
  <si>
    <t>减：商誉减值准备</t>
    <phoneticPr fontId="6" type="noConversion"/>
  </si>
  <si>
    <t>应交税费</t>
  </si>
  <si>
    <t>应付利息</t>
  </si>
  <si>
    <t>其他应付款</t>
  </si>
  <si>
    <t>一年内到期的非流动负债</t>
  </si>
  <si>
    <t>其他流动负债</t>
  </si>
  <si>
    <r>
      <t>户名（结算对象</t>
    </r>
    <r>
      <rPr>
        <sz val="10"/>
        <rFont val="Times New Roman"/>
        <family val="1"/>
      </rPr>
      <t>)</t>
    </r>
    <phoneticPr fontId="6" type="noConversion"/>
  </si>
  <si>
    <t>发生日期</t>
    <phoneticPr fontId="6" type="noConversion"/>
  </si>
  <si>
    <t>业务内容</t>
    <phoneticPr fontId="6" type="noConversion"/>
  </si>
  <si>
    <t>结算内容</t>
    <phoneticPr fontId="6" type="noConversion"/>
  </si>
  <si>
    <t>住房公积金</t>
    <phoneticPr fontId="6" type="noConversion"/>
  </si>
  <si>
    <t>工会经费</t>
    <phoneticPr fontId="6" type="noConversion"/>
  </si>
  <si>
    <t>职工教育经费</t>
    <phoneticPr fontId="6" type="noConversion"/>
  </si>
  <si>
    <t>非货币性福利</t>
    <phoneticPr fontId="6" type="noConversion"/>
  </si>
  <si>
    <t>辞退福利</t>
    <phoneticPr fontId="6" type="noConversion"/>
  </si>
  <si>
    <t>股份支付</t>
    <phoneticPr fontId="6" type="noConversion"/>
  </si>
  <si>
    <t>工资、奖金、津贴和补贴</t>
    <phoneticPr fontId="6" type="noConversion"/>
  </si>
  <si>
    <t>职工福利费</t>
    <phoneticPr fontId="6" type="noConversion"/>
  </si>
  <si>
    <t>医疗保险费</t>
    <phoneticPr fontId="6" type="noConversion"/>
  </si>
  <si>
    <t>基本养老保险费</t>
    <phoneticPr fontId="6" type="noConversion"/>
  </si>
  <si>
    <t>年金缴费</t>
    <phoneticPr fontId="6" type="noConversion"/>
  </si>
  <si>
    <t>失业保险费</t>
    <phoneticPr fontId="6" type="noConversion"/>
  </si>
  <si>
    <t>工伤保险费</t>
    <phoneticPr fontId="6" type="noConversion"/>
  </si>
  <si>
    <t>生育保险费</t>
    <phoneticPr fontId="6" type="noConversion"/>
  </si>
  <si>
    <t>税费种类</t>
    <phoneticPr fontId="6" type="noConversion"/>
  </si>
  <si>
    <t>序号</t>
    <phoneticPr fontId="6" type="noConversion"/>
  </si>
  <si>
    <t>发生日期</t>
    <phoneticPr fontId="6" type="noConversion"/>
  </si>
  <si>
    <t>本金</t>
    <phoneticPr fontId="6" type="noConversion"/>
  </si>
  <si>
    <t>利息所属期间</t>
    <phoneticPr fontId="6" type="noConversion"/>
  </si>
  <si>
    <t>评估价值</t>
    <phoneticPr fontId="6" type="noConversion"/>
  </si>
  <si>
    <t>备注</t>
    <phoneticPr fontId="6" type="noConversion"/>
  </si>
  <si>
    <t>应付股利（应付利润）</t>
  </si>
  <si>
    <t>结算项目</t>
    <phoneticPr fontId="6" type="noConversion"/>
  </si>
  <si>
    <t>应付债券</t>
  </si>
  <si>
    <t>专项应付款</t>
  </si>
  <si>
    <t>预计负债</t>
  </si>
  <si>
    <t>递延所得税负债</t>
  </si>
  <si>
    <t>其他非流动负债</t>
  </si>
  <si>
    <t>序号</t>
    <phoneticPr fontId="6" type="noConversion"/>
  </si>
  <si>
    <r>
      <t>户名（结算对象</t>
    </r>
    <r>
      <rPr>
        <sz val="10"/>
        <rFont val="Times New Roman"/>
        <family val="1"/>
      </rPr>
      <t>)</t>
    </r>
    <phoneticPr fontId="6" type="noConversion"/>
  </si>
  <si>
    <t>发生日期</t>
    <phoneticPr fontId="6" type="noConversion"/>
  </si>
  <si>
    <t>评估价值</t>
    <phoneticPr fontId="6" type="noConversion"/>
  </si>
  <si>
    <t>备注</t>
    <phoneticPr fontId="6" type="noConversion"/>
  </si>
  <si>
    <t>原始入账价值</t>
    <phoneticPr fontId="6" type="noConversion"/>
  </si>
  <si>
    <t>委托加工物资</t>
    <phoneticPr fontId="6" type="noConversion"/>
  </si>
  <si>
    <t>产成品（库存商品）</t>
    <phoneticPr fontId="6" type="noConversion"/>
  </si>
  <si>
    <t>在产品（自制半成品）</t>
    <phoneticPr fontId="6" type="noConversion"/>
  </si>
  <si>
    <t>发出商品</t>
    <phoneticPr fontId="6" type="noConversion"/>
  </si>
  <si>
    <t>规格型号</t>
    <phoneticPr fontId="6" type="noConversion"/>
  </si>
  <si>
    <t>规格型号</t>
  </si>
  <si>
    <t>名  称</t>
    <phoneticPr fontId="6" type="noConversion"/>
  </si>
  <si>
    <t>非流动资产</t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</si>
  <si>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2</t>
    </r>
    <phoneticPr fontId="6" type="noConversion"/>
  </si>
  <si>
    <t>预付账款</t>
    <phoneticPr fontId="6" type="noConversion"/>
  </si>
  <si>
    <t>应收利息</t>
    <phoneticPr fontId="6" type="noConversion"/>
  </si>
  <si>
    <t>一年内到期的非流动资产</t>
    <phoneticPr fontId="6" type="noConversion"/>
  </si>
  <si>
    <t>其他流动资产</t>
    <phoneticPr fontId="6" type="noConversion"/>
  </si>
  <si>
    <t>应收账款</t>
    <phoneticPr fontId="6" type="noConversion"/>
  </si>
  <si>
    <t>其他应收款</t>
    <phoneticPr fontId="6" type="noConversion"/>
  </si>
  <si>
    <t>存货</t>
    <phoneticPr fontId="6" type="noConversion"/>
  </si>
  <si>
    <r>
      <rPr>
        <sz val="10"/>
        <rFont val="宋体"/>
        <family val="3"/>
        <charset val="134"/>
      </rPr>
      <t>货币资金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</si>
  <si>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3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</si>
  <si>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3-2</t>
    </r>
    <phoneticPr fontId="6" type="noConversion"/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</si>
  <si>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</si>
  <si>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</si>
  <si>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</si>
  <si>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</si>
  <si>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</si>
  <si>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</si>
  <si>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</si>
  <si>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</si>
  <si>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</si>
  <si>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</si>
  <si>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</si>
  <si>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</si>
  <si>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4</t>
    </r>
    <phoneticPr fontId="52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</si>
  <si>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4-1</t>
    </r>
    <phoneticPr fontId="6" type="noConversion"/>
  </si>
  <si>
    <t>4-6-1</t>
    <phoneticPr fontId="6" type="noConversion"/>
  </si>
  <si>
    <t>4-6-2</t>
  </si>
  <si>
    <t>4-6-3</t>
  </si>
  <si>
    <t>4-6-5</t>
  </si>
  <si>
    <t>4-6-6</t>
  </si>
  <si>
    <t>4-6-4</t>
    <phoneticPr fontId="6" type="noConversion"/>
  </si>
  <si>
    <t>4-6-7</t>
    <phoneticPr fontId="6" type="noConversion"/>
  </si>
  <si>
    <t>4-7-1</t>
    <phoneticPr fontId="6" type="noConversion"/>
  </si>
  <si>
    <t>4-7-2</t>
  </si>
  <si>
    <t>4-12-1</t>
    <phoneticPr fontId="6" type="noConversion"/>
  </si>
  <si>
    <t>4-12-2</t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</si>
  <si>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5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</si>
  <si>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6</t>
    </r>
    <phoneticPr fontId="6" type="noConversion"/>
  </si>
  <si>
    <t>6-4</t>
  </si>
  <si>
    <t>6-5</t>
  </si>
  <si>
    <t>6-6</t>
  </si>
  <si>
    <t>6-7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</si>
  <si>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</si>
  <si>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</si>
  <si>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</si>
  <si>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</si>
  <si>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</si>
  <si>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</si>
  <si>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</si>
  <si>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</si>
  <si>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</si>
  <si>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</si>
  <si>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</si>
  <si>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成本</t>
    <phoneticPr fontId="6" type="noConversion"/>
  </si>
  <si>
    <t>成本</t>
    <phoneticPr fontId="6" type="noConversion"/>
  </si>
  <si>
    <t>尚可使用年限</t>
    <phoneticPr fontId="6" type="noConversion"/>
  </si>
  <si>
    <t>股利（利润）所属期间</t>
    <phoneticPr fontId="6" type="noConversion"/>
  </si>
  <si>
    <t>评估单价</t>
    <phoneticPr fontId="6" type="noConversion"/>
  </si>
  <si>
    <t>账面价值</t>
    <phoneticPr fontId="6" type="noConversion"/>
  </si>
  <si>
    <t>评估原价</t>
    <phoneticPr fontId="6" type="noConversion"/>
  </si>
  <si>
    <t>4-12-3</t>
  </si>
  <si>
    <t>勘查开发阶段</t>
    <phoneticPr fontId="6" type="noConversion"/>
  </si>
  <si>
    <t>发生日期</t>
    <phoneticPr fontId="6" type="noConversion"/>
  </si>
  <si>
    <t>放款银行（或机构）名称</t>
    <phoneticPr fontId="6" type="noConversion"/>
  </si>
  <si>
    <t>其他</t>
    <phoneticPr fontId="6" type="noConversion"/>
  </si>
  <si>
    <t>放款银行（或机构）名称</t>
    <phoneticPr fontId="6" type="noConversion"/>
  </si>
  <si>
    <t>款项内容</t>
    <phoneticPr fontId="6" type="noConversion"/>
  </si>
  <si>
    <t>成  本</t>
    <phoneticPr fontId="6" type="noConversion"/>
  </si>
  <si>
    <t>成本</t>
    <phoneticPr fontId="6" type="noConversion"/>
  </si>
  <si>
    <t>投资成本</t>
    <phoneticPr fontId="6" type="noConversion"/>
  </si>
  <si>
    <t>投资成本</t>
    <phoneticPr fontId="6" type="noConversion"/>
  </si>
  <si>
    <t>取得方式</t>
    <phoneticPr fontId="52" type="noConversion"/>
  </si>
  <si>
    <r>
      <t>建筑</t>
    </r>
    <r>
      <rPr>
        <sz val="10"/>
        <rFont val="Times New Roman"/>
        <family val="1"/>
      </rPr>
      <t xml:space="preserve">          </t>
    </r>
    <r>
      <rPr>
        <sz val="10"/>
        <rFont val="宋体"/>
        <family val="3"/>
        <charset val="134"/>
      </rPr>
      <t>面积</t>
    </r>
    <r>
      <rPr>
        <sz val="10"/>
        <rFont val="Times New Roman"/>
        <family val="1"/>
      </rPr>
      <t/>
    </r>
    <phoneticPr fontId="17" type="noConversion"/>
  </si>
  <si>
    <t>核算内容</t>
    <phoneticPr fontId="6" type="noConversion"/>
  </si>
  <si>
    <t>可供出售金融资产</t>
  </si>
  <si>
    <t>持有至到期投资</t>
  </si>
  <si>
    <t>长期应收款</t>
  </si>
  <si>
    <t>长期股权投资</t>
  </si>
  <si>
    <t>投资性房地产</t>
  </si>
  <si>
    <t>固定资产</t>
  </si>
  <si>
    <t>在建工程</t>
  </si>
  <si>
    <t>工程物资</t>
  </si>
  <si>
    <t>固定资产清理</t>
  </si>
  <si>
    <t>生产性生物资产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</si>
  <si>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</si>
  <si>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</si>
  <si>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</si>
  <si>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</si>
  <si>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</si>
  <si>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</si>
  <si>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</si>
  <si>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房屋建筑物类合计</t>
  </si>
  <si>
    <t>固定资产-房屋建筑物</t>
  </si>
  <si>
    <t>固定资产-构筑物及其他辅助设施</t>
  </si>
  <si>
    <t>固定资产-管道及沟槽</t>
  </si>
  <si>
    <t>设备类合计</t>
  </si>
  <si>
    <t>固定资产-机器设备</t>
  </si>
  <si>
    <t>固定资产-车辆</t>
  </si>
  <si>
    <t>固定资产-电子设备</t>
  </si>
  <si>
    <t>固定资产—土地</t>
  </si>
  <si>
    <t>减：固定资产减值准备</t>
  </si>
  <si>
    <t>科目名称</t>
  </si>
  <si>
    <t>无形资产-矿业权</t>
  </si>
  <si>
    <t>无形资产-其他无形资产</t>
  </si>
  <si>
    <t>交易性金融负债</t>
  </si>
  <si>
    <t>应付职工薪酬</t>
  </si>
  <si>
    <t>流动负债合计</t>
  </si>
  <si>
    <t>非流动负债合计</t>
  </si>
  <si>
    <t>一、流动资产合计</t>
  </si>
  <si>
    <t>货币资金</t>
  </si>
  <si>
    <t>应收账款</t>
  </si>
  <si>
    <t>预付款项</t>
  </si>
  <si>
    <t>应收利息</t>
  </si>
  <si>
    <t>应收股利</t>
  </si>
  <si>
    <t>其他应收款</t>
  </si>
  <si>
    <t>存货</t>
  </si>
  <si>
    <t>一年内到期的非流动资产</t>
  </si>
  <si>
    <t>其他流动资产</t>
  </si>
  <si>
    <t>二、非流动资产合计</t>
  </si>
  <si>
    <t>三、资产总计</t>
  </si>
  <si>
    <t>四、流动负债合计</t>
  </si>
  <si>
    <t>应付股利</t>
  </si>
  <si>
    <t>五、非流动负债合计</t>
  </si>
  <si>
    <t>六、负债总计</t>
  </si>
  <si>
    <t>七、净资产（所有者权益）</t>
    <phoneticPr fontId="6" type="noConversion"/>
  </si>
  <si>
    <r>
      <t>基准日收盘价元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股</t>
    </r>
    <phoneticPr fontId="6" type="noConversion"/>
  </si>
  <si>
    <r>
      <t>欠款单位（人）名称（结算对象</t>
    </r>
    <r>
      <rPr>
        <sz val="10"/>
        <rFont val="Times New Roman"/>
        <family val="1"/>
      </rPr>
      <t>)</t>
    </r>
    <phoneticPr fontId="6" type="noConversion"/>
  </si>
  <si>
    <t>减：存货跌价准备</t>
    <phoneticPr fontId="6" type="noConversion"/>
  </si>
  <si>
    <r>
      <t>持股比例（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</si>
  <si>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r>
      <t>建筑</t>
    </r>
    <r>
      <rPr>
        <sz val="10"/>
        <rFont val="宋体"/>
        <family val="3"/>
        <charset val="134"/>
      </rPr>
      <t>面积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容积</t>
    </r>
    <phoneticPr fontId="17" type="noConversion"/>
  </si>
  <si>
    <t>类别</t>
    <phoneticPr fontId="6" type="noConversion"/>
  </si>
  <si>
    <t>矿区（或油田）</t>
    <phoneticPr fontId="6" type="noConversion"/>
  </si>
  <si>
    <t>来源（购入、自行建造）</t>
    <phoneticPr fontId="6" type="noConversion"/>
  </si>
  <si>
    <t>来源（外购、自建、自用转入、存货转入等）</t>
    <phoneticPr fontId="6" type="noConversion"/>
  </si>
  <si>
    <t>来源（外购、自建、自用转入、存货转入等）</t>
    <phoneticPr fontId="52" type="noConversion"/>
  </si>
  <si>
    <t>原始入账价值</t>
    <phoneticPr fontId="52" type="noConversion"/>
  </si>
  <si>
    <t>账面价值</t>
    <phoneticPr fontId="52" type="noConversion"/>
  </si>
  <si>
    <t>（采用成本模式计量）</t>
    <phoneticPr fontId="6" type="noConversion"/>
  </si>
  <si>
    <t>（采用公允价值模式计量）</t>
    <phoneticPr fontId="52" type="noConversion"/>
  </si>
  <si>
    <t>（采用成本模式计量）</t>
    <phoneticPr fontId="52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</si>
  <si>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3-1</t>
    </r>
    <phoneticPr fontId="6" type="noConversion"/>
  </si>
  <si>
    <t>3-1-1</t>
    <phoneticPr fontId="6" type="noConversion"/>
  </si>
  <si>
    <t>3-1-2</t>
  </si>
  <si>
    <t>3-1-3</t>
  </si>
  <si>
    <t>现金</t>
    <phoneticPr fontId="6" type="noConversion"/>
  </si>
  <si>
    <t>银行存款</t>
    <phoneticPr fontId="6" type="noConversion"/>
  </si>
  <si>
    <t>其他货币资金</t>
    <phoneticPr fontId="6" type="noConversion"/>
  </si>
  <si>
    <t>账面价值（摊余价值）</t>
    <phoneticPr fontId="6" type="noConversion"/>
  </si>
  <si>
    <t>取得成本</t>
    <phoneticPr fontId="6" type="noConversion"/>
  </si>
  <si>
    <t>成本（面值）</t>
    <phoneticPr fontId="6" type="noConversion"/>
  </si>
  <si>
    <t>减：减值准备</t>
    <phoneticPr fontId="6" type="noConversion"/>
  </si>
  <si>
    <r>
      <t>建筑面积体积</t>
    </r>
    <r>
      <rPr>
        <sz val="10"/>
        <rFont val="Times New Roman"/>
        <family val="1"/>
      </rPr>
      <t xml:space="preserve">           m</t>
    </r>
    <r>
      <rPr>
        <vertAlign val="superscript"/>
        <sz val="10"/>
        <rFont val="Times New Roman"/>
        <family val="1"/>
      </rPr>
      <t>2</t>
    </r>
    <r>
      <rPr>
        <sz val="10"/>
        <rFont val="宋体"/>
        <family val="3"/>
        <charset val="134"/>
      </rPr>
      <t>或</t>
    </r>
    <r>
      <rPr>
        <sz val="10"/>
        <rFont val="Times New Roman"/>
        <family val="1"/>
      </rPr>
      <t>m</t>
    </r>
    <r>
      <rPr>
        <vertAlign val="superscript"/>
        <sz val="10"/>
        <rFont val="Times New Roman"/>
        <family val="1"/>
      </rPr>
      <t>3</t>
    </r>
    <phoneticPr fontId="6" type="noConversion"/>
  </si>
  <si>
    <t>合     计</t>
    <phoneticPr fontId="6" type="noConversion"/>
  </si>
  <si>
    <t>核定（批准）生产规模</t>
    <phoneticPr fontId="52" type="noConversion"/>
  </si>
  <si>
    <t>增减值</t>
    <phoneticPr fontId="6" type="noConversion"/>
  </si>
  <si>
    <t>交易性金融资产-股票投资</t>
    <phoneticPr fontId="6" type="noConversion"/>
  </si>
  <si>
    <t>交易性金融资产-债券投资</t>
    <phoneticPr fontId="6" type="noConversion"/>
  </si>
  <si>
    <t>交易性金融资产-基金投资</t>
    <phoneticPr fontId="6" type="noConversion"/>
  </si>
  <si>
    <t>减：应收票据坏账准备</t>
    <phoneticPr fontId="6" type="noConversion"/>
  </si>
  <si>
    <t>减：应收账款坏账准备</t>
    <phoneticPr fontId="6" type="noConversion"/>
  </si>
  <si>
    <t>合      计</t>
    <phoneticPr fontId="6" type="noConversion"/>
  </si>
  <si>
    <t>减：预付账款坏账准备</t>
    <phoneticPr fontId="6" type="noConversion"/>
  </si>
  <si>
    <t>减：其他应收款坏账准备</t>
    <phoneticPr fontId="6" type="noConversion"/>
  </si>
  <si>
    <t>减：长期应收款坏账准备</t>
    <phoneticPr fontId="6" type="noConversion"/>
  </si>
  <si>
    <t>合      计</t>
    <phoneticPr fontId="6" type="noConversion"/>
  </si>
  <si>
    <r>
      <t>建筑</t>
    </r>
    <r>
      <rPr>
        <sz val="10"/>
        <rFont val="宋体"/>
        <family val="3"/>
        <charset val="134"/>
      </rPr>
      <t>面积</t>
    </r>
    <r>
      <rPr>
        <sz val="10"/>
        <rFont val="Times New Roman"/>
        <family val="1"/>
      </rPr>
      <t/>
    </r>
    <phoneticPr fontId="17" type="noConversion"/>
  </si>
  <si>
    <t>增减值</t>
    <phoneticPr fontId="52" type="noConversion"/>
  </si>
  <si>
    <t>房屋名称</t>
    <phoneticPr fontId="6" type="noConversion"/>
  </si>
  <si>
    <t>房屋名称</t>
    <phoneticPr fontId="6" type="noConversion"/>
  </si>
  <si>
    <t>原始入账价值（转入日公允价值）</t>
    <phoneticPr fontId="52" type="noConversion"/>
  </si>
  <si>
    <t>在建工程合计</t>
    <phoneticPr fontId="6" type="noConversion"/>
  </si>
  <si>
    <t>计量单位</t>
    <phoneticPr fontId="6" type="noConversion"/>
  </si>
  <si>
    <t>减：油气资产减值准备</t>
    <phoneticPr fontId="6" type="noConversion"/>
  </si>
  <si>
    <t>勘查（采矿）许可证编号</t>
    <phoneticPr fontId="6" type="noConversion"/>
  </si>
  <si>
    <t>名称、种类（探矿权/采矿权）</t>
    <phoneticPr fontId="52" type="noConversion"/>
  </si>
  <si>
    <t>剩余有效年限</t>
    <phoneticPr fontId="6" type="noConversion"/>
  </si>
  <si>
    <t>无形资产名称和内容</t>
    <phoneticPr fontId="6" type="noConversion"/>
  </si>
  <si>
    <t>土地用途</t>
    <phoneticPr fontId="6" type="noConversion"/>
  </si>
  <si>
    <t>土地用途</t>
    <phoneticPr fontId="52" type="noConversion"/>
  </si>
  <si>
    <t>评估基准日：</t>
    <phoneticPr fontId="6" type="noConversion"/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</si>
  <si>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>1</t>
    </r>
    <r>
      <rPr>
        <sz val="10"/>
        <rFont val="宋体"/>
        <family val="3"/>
        <charset val="134"/>
      </rPr>
      <t>页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>1</t>
    </r>
    <r>
      <rPr>
        <sz val="10"/>
        <rFont val="宋体"/>
        <family val="3"/>
        <charset val="134"/>
      </rPr>
      <t>页</t>
    </r>
    <phoneticPr fontId="6" type="noConversion"/>
  </si>
  <si>
    <r>
      <t>合</t>
    </r>
    <r>
      <rPr>
        <sz val="10"/>
        <rFont val="Times New Roman"/>
        <family val="1"/>
      </rPr>
      <t xml:space="preserve">            </t>
    </r>
    <r>
      <rPr>
        <sz val="10"/>
        <rFont val="宋体"/>
        <family val="3"/>
        <charset val="134"/>
      </rPr>
      <t>计</t>
    </r>
    <phoneticPr fontId="6" type="noConversion"/>
  </si>
  <si>
    <t>外币单价</t>
    <phoneticPr fontId="6" type="noConversion"/>
  </si>
  <si>
    <t>人民币单价</t>
    <phoneticPr fontId="6" type="noConversion"/>
  </si>
  <si>
    <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</si>
  <si>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r>
      <t>在建工程</t>
    </r>
    <r>
      <rPr>
        <sz val="10"/>
        <rFont val="Times New Roman"/>
        <family val="1"/>
      </rPr>
      <t>—</t>
    </r>
    <r>
      <rPr>
        <sz val="10"/>
        <rFont val="宋体"/>
        <family val="3"/>
        <charset val="134"/>
      </rPr>
      <t>土建工程</t>
    </r>
    <phoneticPr fontId="6" type="noConversion"/>
  </si>
  <si>
    <r>
      <t>在建工程</t>
    </r>
    <r>
      <rPr>
        <sz val="10"/>
        <rFont val="Times New Roman"/>
        <family val="1"/>
      </rPr>
      <t>—</t>
    </r>
    <r>
      <rPr>
        <sz val="10"/>
        <rFont val="宋体"/>
        <family val="3"/>
        <charset val="134"/>
      </rPr>
      <t>设备安装工程</t>
    </r>
    <phoneticPr fontId="6" type="noConversion"/>
  </si>
  <si>
    <t>减：房屋建筑物减值准备</t>
    <phoneticPr fontId="6" type="noConversion"/>
  </si>
  <si>
    <t>减：构筑物及其他辅助设施减值准备</t>
    <phoneticPr fontId="6" type="noConversion"/>
  </si>
  <si>
    <t>减：管道和沟槽减值准备</t>
    <phoneticPr fontId="6" type="noConversion"/>
  </si>
  <si>
    <t>减：机器设备减值准备</t>
    <phoneticPr fontId="6" type="noConversion"/>
  </si>
  <si>
    <t>减：车辆减值准备</t>
    <phoneticPr fontId="6" type="noConversion"/>
  </si>
  <si>
    <t>减：电子设备减值准备</t>
    <phoneticPr fontId="6" type="noConversion"/>
  </si>
  <si>
    <t>减：在建土建工程减值准备</t>
    <phoneticPr fontId="6" type="noConversion"/>
  </si>
  <si>
    <t>减：在建设备安装工程减值准备</t>
    <phoneticPr fontId="6" type="noConversion"/>
  </si>
  <si>
    <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</si>
  <si>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r>
      <t>净</t>
    </r>
    <r>
      <rPr>
        <sz val="10"/>
        <rFont val="Times New Roman"/>
        <family val="1"/>
      </rPr>
      <t xml:space="preserve">            </t>
    </r>
    <r>
      <rPr>
        <sz val="10"/>
        <rFont val="宋体"/>
        <family val="3"/>
        <charset val="134"/>
      </rPr>
      <t>额</t>
    </r>
    <phoneticPr fontId="6" type="noConversion"/>
  </si>
  <si>
    <t>增值率（%）</t>
  </si>
  <si>
    <r>
      <t xml:space="preserve">增值率
</t>
    </r>
    <r>
      <rPr>
        <sz val="10"/>
        <rFont val="Times New Roman"/>
        <family val="1"/>
      </rPr>
      <t>%</t>
    </r>
    <phoneticPr fontId="6" type="noConversion"/>
  </si>
  <si>
    <r>
      <t>成新率（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</si>
  <si>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t>汇率</t>
    <phoneticPr fontId="6" type="noConversion"/>
  </si>
  <si>
    <r>
      <t>票面利率（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</si>
  <si>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r>
      <t>月利率（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</si>
  <si>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r>
      <t>利息率（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</si>
  <si>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t>票面利率（%）</t>
    <phoneticPr fontId="21" type="noConversion"/>
  </si>
  <si>
    <t>原始入帐价值</t>
    <phoneticPr fontId="6" type="noConversion"/>
  </si>
  <si>
    <t>C=B-A</t>
    <phoneticPr fontId="6" type="noConversion"/>
  </si>
  <si>
    <t>D=C/A×100%</t>
    <phoneticPr fontId="6" type="noConversion"/>
  </si>
  <si>
    <t>流动资产</t>
    <phoneticPr fontId="6" type="noConversion"/>
  </si>
  <si>
    <t xml:space="preserve">   其中：可供出售金融资产</t>
    <phoneticPr fontId="6" type="noConversion"/>
  </si>
  <si>
    <t xml:space="preserve">         持有至到期投资</t>
    <phoneticPr fontId="6" type="noConversion"/>
  </si>
  <si>
    <t xml:space="preserve">         长期应收款</t>
    <phoneticPr fontId="6" type="noConversion"/>
  </si>
  <si>
    <t xml:space="preserve">         长期股权投资</t>
    <phoneticPr fontId="6" type="noConversion"/>
  </si>
  <si>
    <t xml:space="preserve">         投资性房地产</t>
    <phoneticPr fontId="6" type="noConversion"/>
  </si>
  <si>
    <t xml:space="preserve">         固定资产</t>
    <phoneticPr fontId="6" type="noConversion"/>
  </si>
  <si>
    <t xml:space="preserve">         在建工程</t>
    <phoneticPr fontId="6" type="noConversion"/>
  </si>
  <si>
    <t xml:space="preserve">         工程物资</t>
    <phoneticPr fontId="6" type="noConversion"/>
  </si>
  <si>
    <t xml:space="preserve">         固定资产清理</t>
    <phoneticPr fontId="6" type="noConversion"/>
  </si>
  <si>
    <t xml:space="preserve">         生产性生物资产</t>
    <phoneticPr fontId="6" type="noConversion"/>
  </si>
  <si>
    <t xml:space="preserve">         油气资产</t>
    <phoneticPr fontId="6" type="noConversion"/>
  </si>
  <si>
    <t xml:space="preserve">         无形资产</t>
    <phoneticPr fontId="6" type="noConversion"/>
  </si>
  <si>
    <t xml:space="preserve">         开发支出</t>
    <phoneticPr fontId="6" type="noConversion"/>
  </si>
  <si>
    <t xml:space="preserve">         商誉</t>
    <phoneticPr fontId="6" type="noConversion"/>
  </si>
  <si>
    <t xml:space="preserve">         长期待摊费用</t>
    <phoneticPr fontId="6" type="noConversion"/>
  </si>
  <si>
    <t xml:space="preserve">         递延所得税资产</t>
    <phoneticPr fontId="6" type="noConversion"/>
  </si>
  <si>
    <t xml:space="preserve">         其他非流动资产</t>
    <phoneticPr fontId="6" type="noConversion"/>
  </si>
  <si>
    <t xml:space="preserve">         资产总计</t>
    <phoneticPr fontId="6" type="noConversion"/>
  </si>
  <si>
    <t xml:space="preserve">         负债合计</t>
    <phoneticPr fontId="6" type="noConversion"/>
  </si>
  <si>
    <t xml:space="preserve">         净资产（所有者权益）</t>
    <phoneticPr fontId="6" type="noConversion"/>
  </si>
  <si>
    <r>
      <t>项</t>
    </r>
    <r>
      <rPr>
        <sz val="10"/>
        <color indexed="8"/>
        <rFont val="Times New Roman"/>
        <family val="1"/>
      </rPr>
      <t xml:space="preserve">            </t>
    </r>
    <r>
      <rPr>
        <sz val="10"/>
        <color indexed="8"/>
        <rFont val="宋体"/>
        <family val="3"/>
        <charset val="134"/>
      </rPr>
      <t>目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</si>
  <si>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1</t>
    </r>
    <phoneticPr fontId="6" type="noConversion"/>
  </si>
  <si>
    <r>
      <t>利息率（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</si>
  <si>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r>
      <t>票面月利率（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</si>
  <si>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r>
      <t>月利率（</t>
    </r>
    <r>
      <rPr>
        <sz val="10"/>
        <rFont val="Times New Roman"/>
        <family val="1"/>
      </rPr>
      <t>%</t>
    </r>
    <r>
      <rPr>
        <sz val="10"/>
        <rFont val="宋体"/>
        <family val="3"/>
        <charset val="134"/>
      </rPr>
      <t>）</t>
    </r>
    <phoneticPr fontId="6" type="noConversion"/>
  </si>
  <si>
    <t>1-汇总表</t>
  </si>
  <si>
    <t>3-2交易性金融资产汇总</t>
  </si>
  <si>
    <t>3-2-2交易性-债券</t>
  </si>
  <si>
    <t>选择</t>
    <phoneticPr fontId="64" type="noConversion"/>
  </si>
  <si>
    <t>评估人员</t>
    <phoneticPr fontId="55" type="noConversion"/>
  </si>
  <si>
    <t>每页显示行数</t>
    <phoneticPr fontId="55" type="noConversion"/>
  </si>
  <si>
    <t>开始行数</t>
    <phoneticPr fontId="55" type="noConversion"/>
  </si>
  <si>
    <t>合计行数</t>
    <phoneticPr fontId="55" type="noConversion"/>
  </si>
  <si>
    <t xml:space="preserve">      评估表名称</t>
    <phoneticPr fontId="64" type="noConversion"/>
  </si>
  <si>
    <t>填表人</t>
    <phoneticPr fontId="64" type="noConversion"/>
  </si>
  <si>
    <t>填表日期</t>
    <phoneticPr fontId="55" type="noConversion"/>
  </si>
  <si>
    <t>*请选择表格类型</t>
    <phoneticPr fontId="64" type="noConversion"/>
  </si>
  <si>
    <t>评估机构:</t>
    <phoneticPr fontId="64" type="noConversion"/>
  </si>
  <si>
    <t>评估基准日:</t>
    <phoneticPr fontId="64" type="noConversion"/>
  </si>
  <si>
    <t>年</t>
    <phoneticPr fontId="64" type="noConversion"/>
  </si>
  <si>
    <t>月</t>
    <phoneticPr fontId="64" type="noConversion"/>
  </si>
  <si>
    <t>日</t>
    <phoneticPr fontId="64" type="noConversion"/>
  </si>
  <si>
    <t>表格类型:</t>
    <phoneticPr fontId="55" type="noConversion"/>
  </si>
  <si>
    <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</si>
  <si>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</si>
  <si>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21" type="noConversion"/>
  </si>
  <si>
    <t>固定资产合计</t>
    <phoneticPr fontId="6" type="noConversion"/>
  </si>
  <si>
    <r>
      <rPr>
        <sz val="10"/>
        <rFont val="宋体"/>
        <family val="3"/>
        <charset val="134"/>
      </rPr>
      <t>合</t>
    </r>
    <r>
      <rPr>
        <sz val="10"/>
        <rFont val="Theahoma"/>
        <family val="2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</si>
  <si>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r>
      <rPr>
        <sz val="10"/>
        <rFont val="宋体"/>
        <family val="3"/>
        <charset val="134"/>
      </rPr>
      <t>合</t>
    </r>
    <r>
      <rPr>
        <sz val="10"/>
        <rFont val="Times New Roman"/>
        <family val="1"/>
      </rPr>
      <t xml:space="preserve">         </t>
    </r>
    <r>
      <rPr>
        <sz val="10"/>
        <rFont val="宋体"/>
        <family val="3"/>
        <charset val="134"/>
      </rPr>
      <t>计</t>
    </r>
    <phoneticPr fontId="6" type="noConversion"/>
  </si>
  <si>
    <t>购置日期</t>
    <phoneticPr fontId="6" type="noConversion"/>
  </si>
  <si>
    <t>启用日期</t>
    <phoneticPr fontId="6" type="noConversion"/>
  </si>
  <si>
    <t>江苏华信资产评估有限公司</t>
    <phoneticPr fontId="64" type="noConversion"/>
  </si>
  <si>
    <t>资产评估结果汇总表</t>
    <phoneticPr fontId="6" type="noConversion"/>
  </si>
  <si>
    <t>资产评估结果分类汇总表</t>
    <phoneticPr fontId="6" type="noConversion"/>
  </si>
  <si>
    <t>流动资产评估汇总表</t>
    <phoneticPr fontId="6" type="noConversion"/>
  </si>
  <si>
    <t>货币资金评估汇总表</t>
    <phoneticPr fontId="6" type="noConversion"/>
  </si>
  <si>
    <t>交易性金融资产评估汇总表</t>
    <phoneticPr fontId="6" type="noConversion"/>
  </si>
  <si>
    <t>存货评估汇总表</t>
    <phoneticPr fontId="6" type="noConversion"/>
  </si>
  <si>
    <t>非流动资产评估汇总表</t>
    <phoneticPr fontId="52" type="noConversion"/>
  </si>
  <si>
    <t>可供出售金融资产评估汇总表</t>
    <phoneticPr fontId="6" type="noConversion"/>
  </si>
  <si>
    <t>固定资产评估汇总表</t>
    <phoneticPr fontId="6" type="noConversion"/>
  </si>
  <si>
    <t>在建工程评估汇总表</t>
    <phoneticPr fontId="6" type="noConversion"/>
  </si>
  <si>
    <t>无形资产评估汇总表</t>
    <phoneticPr fontId="6" type="noConversion"/>
  </si>
  <si>
    <t>流动负债评估汇总表</t>
    <phoneticPr fontId="6" type="noConversion"/>
  </si>
  <si>
    <t>非流动负债评估汇总表</t>
    <phoneticPr fontId="6" type="noConversion"/>
  </si>
  <si>
    <t>3-2-1交易性-股票</t>
    <phoneticPr fontId="55" type="noConversion"/>
  </si>
  <si>
    <t>进入</t>
    <phoneticPr fontId="64" type="noConversion"/>
  </si>
  <si>
    <t>3-1-1现金'!Print_Area</t>
  </si>
  <si>
    <t>2-分类汇总'!Print_Area</t>
  </si>
  <si>
    <t>3-1-2银行存款'!Print_Area</t>
  </si>
  <si>
    <t>3-1-3其他货币资金'!Print_Area</t>
  </si>
  <si>
    <t>3-2交易性金融资产汇总'!Print_Area</t>
  </si>
  <si>
    <t>3-2-1交易性-股票'!Print_Area</t>
  </si>
  <si>
    <t>3-2-2交易性-债券'!Print_Area</t>
  </si>
  <si>
    <t>3-2-3交易性-基金'!Print_Area</t>
  </si>
  <si>
    <t>3-流动汇总'!Print_Area</t>
  </si>
  <si>
    <t>表3-1货币汇总表'!Print_Area</t>
  </si>
  <si>
    <t>4-非流动资产汇总'!Print_Area</t>
  </si>
  <si>
    <t>4-1可供出售金融资产汇总'!Print_Area</t>
  </si>
  <si>
    <t>4-1-1可出售-股票'!Print_Area</t>
  </si>
  <si>
    <t>4-1-2可出售-债券'!Print_Area</t>
  </si>
  <si>
    <t>4-1-3可出售-其他'!Print_Area</t>
  </si>
  <si>
    <t>4-3长期应收'!Print_Area</t>
  </si>
  <si>
    <t>4-4股权投资'!Print_Area</t>
  </si>
  <si>
    <t>5-流动负债汇总'!Print_Area</t>
  </si>
  <si>
    <t>5-1短期借款'!Print_Area</t>
  </si>
  <si>
    <t>5-2交易性金融负债'!Print_Area</t>
  </si>
  <si>
    <t>5-3应付票据'!Print_Area</t>
  </si>
  <si>
    <t>5-5预收账款'!Print_Area</t>
  </si>
  <si>
    <t>5-4应付账款'!Print_Area</t>
  </si>
  <si>
    <t>5-6职工薪酬'!Print_Area</t>
  </si>
  <si>
    <t>5-7应交税费'!Print_Area</t>
  </si>
  <si>
    <t>5-8应付利息'!Print_Area</t>
  </si>
  <si>
    <t>6-非流动负债汇总 '!Print_Area</t>
  </si>
  <si>
    <t>6-1长期借款'!Print_Area</t>
  </si>
  <si>
    <t>3-1-2银行存款</t>
    <phoneticPr fontId="64" type="noConversion"/>
  </si>
  <si>
    <t>3-1-3其他货币资金</t>
    <phoneticPr fontId="64" type="noConversion"/>
  </si>
  <si>
    <t>2-分类汇总</t>
    <phoneticPr fontId="55" type="noConversion"/>
  </si>
  <si>
    <t>3-1-1现金</t>
    <phoneticPr fontId="64" type="noConversion"/>
  </si>
  <si>
    <r>
      <t>存放部门（单位</t>
    </r>
    <r>
      <rPr>
        <sz val="10"/>
        <rFont val="Times New Roman"/>
        <family val="1"/>
      </rPr>
      <t>)</t>
    </r>
  </si>
  <si>
    <t>币种</t>
  </si>
  <si>
    <t>评估基准日汇率</t>
  </si>
  <si>
    <t>增减值</t>
  </si>
  <si>
    <t>开户银行</t>
  </si>
  <si>
    <t>√</t>
  </si>
  <si>
    <t>函证索引号</t>
  </si>
  <si>
    <t>索引号</t>
  </si>
  <si>
    <t>非经营性资产、溢余资产</t>
  </si>
  <si>
    <t>经营性资产</t>
  </si>
  <si>
    <t>对账单索引号</t>
  </si>
  <si>
    <t>盘点索引号</t>
  </si>
  <si>
    <t>基准日收盘价</t>
  </si>
  <si>
    <t>对账单数量</t>
  </si>
  <si>
    <t>差异原因分析</t>
  </si>
  <si>
    <t>合同、协议索引号</t>
  </si>
  <si>
    <t>需函证的应收利息索引号</t>
  </si>
  <si>
    <t>股利分配决议(公告)索引号</t>
  </si>
  <si>
    <t>长期挂账原因</t>
  </si>
  <si>
    <t>预计损失</t>
  </si>
  <si>
    <t>减：基准日至抽查日出库数量</t>
  </si>
  <si>
    <t>加：基准日至抽查日入库数量</t>
  </si>
  <si>
    <t>盘点日应存数量</t>
  </si>
  <si>
    <t>盘点日实存数量</t>
  </si>
  <si>
    <t>品质状况（正常、残次、毁损、滞销等）及非正常存货数量、金额</t>
  </si>
  <si>
    <t xml:space="preserve">数量     </t>
  </si>
  <si>
    <t>金额</t>
  </si>
  <si>
    <t>抽查结果差异 
盈（+）亏（-）</t>
  </si>
  <si>
    <t>交叉索引</t>
  </si>
  <si>
    <t>核实程序</t>
  </si>
  <si>
    <t>核实内容</t>
  </si>
  <si>
    <t>抽查结果差异                       盈（+）亏（-）</t>
  </si>
  <si>
    <t>函证情况</t>
  </si>
  <si>
    <t>核实结论</t>
  </si>
  <si>
    <t>回函金额</t>
  </si>
  <si>
    <t>回函差异</t>
  </si>
  <si>
    <t>不符原因</t>
  </si>
  <si>
    <t>抽查结果差异   盈（+）亏（-）</t>
  </si>
  <si>
    <t>查证索引号</t>
    <phoneticPr fontId="6" type="noConversion"/>
  </si>
  <si>
    <t>与账面值差异</t>
  </si>
  <si>
    <t>人民币</t>
    <phoneticPr fontId="52" type="noConversion"/>
  </si>
  <si>
    <t>评估价值：</t>
    <phoneticPr fontId="52" type="noConversion"/>
  </si>
  <si>
    <t>账面值</t>
  </si>
  <si>
    <t>替代测试索引号</t>
  </si>
  <si>
    <t>存放地点</t>
  </si>
  <si>
    <t>实际数量</t>
  </si>
  <si>
    <t>取价依据</t>
  </si>
  <si>
    <t>交叉索引号</t>
  </si>
  <si>
    <t>评估依据</t>
  </si>
  <si>
    <t>计算基数</t>
  </si>
  <si>
    <t>所得税率</t>
  </si>
  <si>
    <t>非经营性负债</t>
  </si>
  <si>
    <t>经营性负债</t>
  </si>
  <si>
    <t>借款合同索引号</t>
  </si>
  <si>
    <t>贷款方式</t>
  </si>
  <si>
    <t>抵押合同（或其他）索引号</t>
  </si>
  <si>
    <t>核实数量</t>
  </si>
  <si>
    <t>数量索引号</t>
  </si>
  <si>
    <t>市场单价</t>
  </si>
  <si>
    <t>单价索引号</t>
  </si>
  <si>
    <t>无需偿付款项</t>
  </si>
  <si>
    <t>合并抵销</t>
    <phoneticPr fontId="52" type="noConversion"/>
  </si>
  <si>
    <t>核实程序索引号</t>
  </si>
  <si>
    <t>期后测试索引号（或凭证号）</t>
  </si>
  <si>
    <t>核实程序（纳税申报表金额）</t>
  </si>
  <si>
    <t>税费调整金额</t>
  </si>
  <si>
    <t>复算利息</t>
  </si>
  <si>
    <t>期后测试索引号</t>
  </si>
  <si>
    <t>替代程序索引号</t>
  </si>
  <si>
    <t>核实索引号</t>
  </si>
  <si>
    <t>发行授权批准材料</t>
  </si>
  <si>
    <t>担保情况</t>
  </si>
  <si>
    <t>合约期限</t>
  </si>
  <si>
    <t>合约总额</t>
  </si>
  <si>
    <t>利率</t>
  </si>
  <si>
    <t>资料索引号</t>
  </si>
  <si>
    <t>文件索引号</t>
  </si>
  <si>
    <t>预计依据索引号</t>
  </si>
  <si>
    <t>非经营性负债</t>
    <phoneticPr fontId="52" type="noConversion"/>
  </si>
  <si>
    <t>经营性负债</t>
    <phoneticPr fontId="52" type="noConversion"/>
  </si>
  <si>
    <t>应纳税所得额差异</t>
  </si>
  <si>
    <t>所得税税率</t>
  </si>
  <si>
    <t>应计提递延所得税负债</t>
  </si>
  <si>
    <t>_1_汇总表</t>
    <phoneticPr fontId="64" type="noConversion"/>
  </si>
  <si>
    <r>
      <t>无对应权益</t>
    </r>
    <r>
      <rPr>
        <sz val="8"/>
        <color indexed="8"/>
        <rFont val="Times New Roman"/>
        <family val="1"/>
      </rPr>
      <t>/</t>
    </r>
    <r>
      <rPr>
        <sz val="8"/>
        <color indexed="8"/>
        <rFont val="宋体"/>
        <family val="3"/>
        <charset val="134"/>
      </rPr>
      <t>费用性质</t>
    </r>
    <r>
      <rPr>
        <sz val="8"/>
        <color indexed="8"/>
        <rFont val="Times New Roman"/>
        <family val="1"/>
      </rPr>
      <t>/</t>
    </r>
    <r>
      <rPr>
        <sz val="8"/>
        <color indexed="8"/>
        <rFont val="宋体"/>
        <family val="3"/>
        <charset val="134"/>
      </rPr>
      <t>预计损失</t>
    </r>
  </si>
  <si>
    <t>对账单及调节表核实</t>
  </si>
  <si>
    <t>函证核实</t>
  </si>
  <si>
    <t>非经营性账户或特殊账户（√）</t>
    <phoneticPr fontId="52" type="noConversion"/>
  </si>
  <si>
    <t>结算户或一般账户（√）</t>
    <phoneticPr fontId="52" type="noConversion"/>
  </si>
  <si>
    <t>对账单相符（√）</t>
  </si>
  <si>
    <t>余额调节表（√）</t>
    <phoneticPr fontId="52" type="noConversion"/>
  </si>
  <si>
    <t>未达账项调整金额</t>
  </si>
  <si>
    <t>回函相符 （√）</t>
  </si>
  <si>
    <t>对账单核实</t>
  </si>
  <si>
    <t>评估核实过程</t>
  </si>
  <si>
    <r>
      <t>基准日收盘价（元</t>
    </r>
    <r>
      <rPr>
        <sz val="8"/>
        <rFont val="Times New Roman"/>
        <family val="1"/>
      </rPr>
      <t>/</t>
    </r>
    <r>
      <rPr>
        <sz val="8"/>
        <rFont val="宋体"/>
        <family val="3"/>
        <charset val="134"/>
      </rPr>
      <t>股）</t>
    </r>
  </si>
  <si>
    <t>评定估算过程</t>
  </si>
  <si>
    <t>票据复印（√）</t>
  </si>
  <si>
    <t>到期收回（√）</t>
  </si>
  <si>
    <t>贴现  （√）</t>
  </si>
  <si>
    <t>背书 （√）</t>
  </si>
  <si>
    <t>函证</t>
  </si>
  <si>
    <t>替代测试</t>
  </si>
  <si>
    <t>期后测试</t>
  </si>
  <si>
    <t>发函（√）</t>
  </si>
  <si>
    <t>回函相符（√）</t>
  </si>
  <si>
    <t>交易检查①②（√）</t>
  </si>
  <si>
    <t>进账单（√）</t>
  </si>
  <si>
    <t>期后结转金额（√）</t>
  </si>
  <si>
    <t>可收回性核实</t>
  </si>
  <si>
    <t>预计损失金额</t>
  </si>
  <si>
    <t>基准日收盘价（元/股）</t>
  </si>
  <si>
    <t>评定估算</t>
  </si>
  <si>
    <t>股票市场价值</t>
  </si>
  <si>
    <t>交易税费</t>
  </si>
  <si>
    <t>基准日收盘价索引号</t>
  </si>
  <si>
    <t>债券市场价值</t>
  </si>
  <si>
    <t>基准日收盘价或净值</t>
  </si>
  <si>
    <t>市场价值</t>
  </si>
  <si>
    <t>核实数量/持股比例</t>
  </si>
  <si>
    <t>核实方法</t>
  </si>
  <si>
    <t>最新的章程(√)</t>
  </si>
  <si>
    <t>验资报告(√)</t>
  </si>
  <si>
    <t>最新的社会代码证(√)</t>
  </si>
  <si>
    <r>
      <t>函证</t>
    </r>
    <r>
      <rPr>
        <sz val="8"/>
        <rFont val="Times New Roman"/>
        <family val="1"/>
      </rPr>
      <t>(</t>
    </r>
    <r>
      <rPr>
        <sz val="8"/>
        <rFont val="宋体"/>
        <family val="3"/>
        <charset val="134"/>
      </rPr>
      <t>√</t>
    </r>
    <r>
      <rPr>
        <sz val="8"/>
        <rFont val="Times New Roman"/>
        <family val="1"/>
      </rPr>
      <t>)</t>
    </r>
  </si>
  <si>
    <r>
      <t>其他</t>
    </r>
    <r>
      <rPr>
        <sz val="8"/>
        <rFont val="Times New Roman"/>
        <family val="1"/>
      </rPr>
      <t>(</t>
    </r>
    <r>
      <rPr>
        <sz val="8"/>
        <rFont val="宋体"/>
        <family val="3"/>
        <charset val="134"/>
      </rPr>
      <t>√</t>
    </r>
    <r>
      <rPr>
        <sz val="8"/>
        <rFont val="Times New Roman"/>
        <family val="1"/>
      </rPr>
      <t>)</t>
    </r>
  </si>
  <si>
    <r>
      <t>投资协议</t>
    </r>
    <r>
      <rPr>
        <sz val="6"/>
        <rFont val="Times New Roman"/>
        <family val="1"/>
      </rPr>
      <t>(</t>
    </r>
    <r>
      <rPr>
        <sz val="6"/>
        <rFont val="宋体"/>
        <family val="3"/>
        <charset val="134"/>
      </rPr>
      <t>√</t>
    </r>
    <r>
      <rPr>
        <sz val="6"/>
        <rFont val="Times New Roman"/>
        <family val="1"/>
      </rPr>
      <t>)</t>
    </r>
  </si>
  <si>
    <t>规划许可证</t>
    <phoneticPr fontId="52" type="noConversion"/>
  </si>
  <si>
    <t>施工合同</t>
    <phoneticPr fontId="52" type="noConversion"/>
  </si>
  <si>
    <t>预决算资料</t>
    <phoneticPr fontId="52" type="noConversion"/>
  </si>
  <si>
    <t>现场勘查情况</t>
    <phoneticPr fontId="52" type="noConversion"/>
  </si>
  <si>
    <t>索引号</t>
    <phoneticPr fontId="52" type="noConversion"/>
  </si>
  <si>
    <t>核实情况</t>
  </si>
  <si>
    <t>借款本金（√）</t>
  </si>
  <si>
    <t>期后是否支付（√）</t>
  </si>
  <si>
    <t>期后支付金额（√）</t>
  </si>
  <si>
    <t>期后确认收入金额（√）</t>
  </si>
  <si>
    <t>核实检查①②（√）</t>
  </si>
  <si>
    <t>金额核算</t>
  </si>
  <si>
    <t>3-2-3交易性-基金</t>
    <phoneticPr fontId="64" type="noConversion"/>
  </si>
  <si>
    <t>3-3衍生金融资产</t>
    <phoneticPr fontId="64" type="noConversion"/>
  </si>
  <si>
    <t>3-5应收账款</t>
    <phoneticPr fontId="64" type="noConversion"/>
  </si>
  <si>
    <t>3-6应收款项融资</t>
    <phoneticPr fontId="64" type="noConversion"/>
  </si>
  <si>
    <t>3-7预付账款</t>
    <phoneticPr fontId="64" type="noConversion"/>
  </si>
  <si>
    <t>3-8应收利息</t>
    <phoneticPr fontId="64" type="noConversion"/>
  </si>
  <si>
    <t>3-9应收股利</t>
    <phoneticPr fontId="64" type="noConversion"/>
  </si>
  <si>
    <t>3-10其他应收款</t>
    <phoneticPr fontId="64" type="noConversion"/>
  </si>
  <si>
    <t>3-4应收票据'!Print_Area</t>
    <phoneticPr fontId="64" type="noConversion"/>
  </si>
  <si>
    <t>3-5应收账款'!Print_Area</t>
    <phoneticPr fontId="64" type="noConversion"/>
  </si>
  <si>
    <t>3-5预付账款'!Print_Area</t>
    <phoneticPr fontId="64" type="noConversion"/>
  </si>
  <si>
    <t>3-6应收利息'!Print_Area</t>
    <phoneticPr fontId="64" type="noConversion"/>
  </si>
  <si>
    <t>3-11存货汇总</t>
    <phoneticPr fontId="64" type="noConversion"/>
  </si>
  <si>
    <t>3-11-1材料采购（在途物资）</t>
    <phoneticPr fontId="64" type="noConversion"/>
  </si>
  <si>
    <t>3-11-2原材料</t>
    <phoneticPr fontId="64" type="noConversion"/>
  </si>
  <si>
    <t>3-11-3在库周转材料</t>
    <phoneticPr fontId="64" type="noConversion"/>
  </si>
  <si>
    <t>3-11-4委托加工物资</t>
    <phoneticPr fontId="64" type="noConversion"/>
  </si>
  <si>
    <t>3-11-5产成品（库存商品）</t>
    <phoneticPr fontId="64" type="noConversion"/>
  </si>
  <si>
    <t>3-11-6在产品（自制半成品）</t>
    <phoneticPr fontId="64" type="noConversion"/>
  </si>
  <si>
    <t>3-11-7发出商品</t>
    <phoneticPr fontId="64" type="noConversion"/>
  </si>
  <si>
    <t>3-11-8在用周转材料</t>
    <phoneticPr fontId="64" type="noConversion"/>
  </si>
  <si>
    <t>3-9应收股利'!Print_Area</t>
    <phoneticPr fontId="64" type="noConversion"/>
  </si>
  <si>
    <t>3-9存货汇总'!Print_Area</t>
    <phoneticPr fontId="64" type="noConversion"/>
  </si>
  <si>
    <t>3-10其他应收款'!Print_Area</t>
    <phoneticPr fontId="64" type="noConversion"/>
  </si>
  <si>
    <t>3-11-1材料采购（在途物资）'!Print_Area</t>
    <phoneticPr fontId="64" type="noConversion"/>
  </si>
  <si>
    <t>3-11-2原材料'!Print_Area</t>
    <phoneticPr fontId="64" type="noConversion"/>
  </si>
  <si>
    <t>3-11-3在库周转材料'!Print_Area</t>
    <phoneticPr fontId="64" type="noConversion"/>
  </si>
  <si>
    <t>3-11-4委托加工物资'!Print_Area</t>
    <phoneticPr fontId="64" type="noConversion"/>
  </si>
  <si>
    <t>3-11-5在产品（自制半成品）'!Print_Area</t>
    <phoneticPr fontId="64" type="noConversion"/>
  </si>
  <si>
    <t>3-11-6在产品（自制半成品）'!Print_Area</t>
    <phoneticPr fontId="64" type="noConversion"/>
  </si>
  <si>
    <t>3-11-7发出商品'!Print_Area</t>
    <phoneticPr fontId="64" type="noConversion"/>
  </si>
  <si>
    <t>3-11-8在用周转材料'!Print_Area</t>
    <phoneticPr fontId="64" type="noConversion"/>
  </si>
  <si>
    <t>3-12合同资产</t>
    <phoneticPr fontId="64" type="noConversion"/>
  </si>
  <si>
    <t>3-12合同资产'!Print_Area</t>
    <phoneticPr fontId="64" type="noConversion"/>
  </si>
  <si>
    <t>5-3衍生金融负债</t>
    <phoneticPr fontId="64" type="noConversion"/>
  </si>
  <si>
    <t>5-1短期借款</t>
    <phoneticPr fontId="64" type="noConversion"/>
  </si>
  <si>
    <t>5-4应付票据</t>
    <phoneticPr fontId="64" type="noConversion"/>
  </si>
  <si>
    <t>5-5应付账款</t>
    <phoneticPr fontId="64" type="noConversion"/>
  </si>
  <si>
    <t>5-6预收账款</t>
    <phoneticPr fontId="64" type="noConversion"/>
  </si>
  <si>
    <t>5-7合同负债</t>
    <phoneticPr fontId="64" type="noConversion"/>
  </si>
  <si>
    <t>5-8职工薪酬</t>
    <phoneticPr fontId="64" type="noConversion"/>
  </si>
  <si>
    <t>5-9应交税费</t>
    <phoneticPr fontId="64" type="noConversion"/>
  </si>
  <si>
    <t>5-10应付利息</t>
    <phoneticPr fontId="64" type="noConversion"/>
  </si>
  <si>
    <t>5-11应付股利（利润）</t>
    <phoneticPr fontId="64" type="noConversion"/>
  </si>
  <si>
    <t>5-12其他应付款</t>
    <phoneticPr fontId="64" type="noConversion"/>
  </si>
  <si>
    <t>5-13持有待售负债</t>
    <phoneticPr fontId="64" type="noConversion"/>
  </si>
  <si>
    <t>5-14一年到期非流动负债</t>
    <phoneticPr fontId="64" type="noConversion"/>
  </si>
  <si>
    <t>5-15其他流动负债</t>
    <phoneticPr fontId="64" type="noConversion"/>
  </si>
  <si>
    <t>5-7合同负债'!Print_Area</t>
  </si>
  <si>
    <t>‘5-14一年到期非流动负债'!Print_Area</t>
  </si>
  <si>
    <r>
      <t>5-15</t>
    </r>
    <r>
      <rPr>
        <u/>
        <sz val="12"/>
        <color indexed="12"/>
        <rFont val="宋体"/>
        <family val="3"/>
        <charset val="134"/>
      </rPr>
      <t>其他流动负债'!Print_Area</t>
    </r>
    <phoneticPr fontId="64" type="noConversion"/>
  </si>
  <si>
    <t>5-12其他应付款'!Print_Area</t>
    <phoneticPr fontId="64" type="noConversion"/>
  </si>
  <si>
    <t>5-11应付股利（利润）'!Print_Area</t>
    <phoneticPr fontId="64" type="noConversion"/>
  </si>
  <si>
    <t>6-2应付债券</t>
    <phoneticPr fontId="64" type="noConversion"/>
  </si>
  <si>
    <t>6-1长期借款</t>
    <phoneticPr fontId="64" type="noConversion"/>
  </si>
  <si>
    <t>3-3衍生金融资产'!Print_Area</t>
  </si>
  <si>
    <t>5-3衍生金融负债'!Print_Area</t>
  </si>
  <si>
    <t>4-5其他权益工具投资</t>
    <phoneticPr fontId="64" type="noConversion"/>
  </si>
  <si>
    <t>4-6其他非流动金融资产</t>
    <phoneticPr fontId="64" type="noConversion"/>
  </si>
  <si>
    <t>4-7-1投资性房地产</t>
    <phoneticPr fontId="64" type="noConversion"/>
  </si>
  <si>
    <t>4-7-2投资性房地产</t>
    <phoneticPr fontId="64" type="noConversion"/>
  </si>
  <si>
    <t>4-7-3投资性地产</t>
    <phoneticPr fontId="64" type="noConversion"/>
  </si>
  <si>
    <t>4-7-4投资性地产</t>
    <phoneticPr fontId="64" type="noConversion"/>
  </si>
  <si>
    <t>4-7-1投资性房地产'!Print_Titles</t>
    <phoneticPr fontId="64" type="noConversion"/>
  </si>
  <si>
    <t>4-7-2投资性房地产'!Print_Area</t>
    <phoneticPr fontId="64" type="noConversion"/>
  </si>
  <si>
    <t>4-7-3投资性地产'!Print_Area</t>
    <phoneticPr fontId="64" type="noConversion"/>
  </si>
  <si>
    <t>4-7-4投资性地产'!Print_Area</t>
    <phoneticPr fontId="64" type="noConversion"/>
  </si>
  <si>
    <t>4-5其他权益工具投资'!Print_Area</t>
  </si>
  <si>
    <t>减：其他权益工具投资减值准备</t>
    <phoneticPr fontId="6" type="noConversion"/>
  </si>
  <si>
    <t>4-6其他非流动金融资产'!Print_Area</t>
  </si>
  <si>
    <t>4-8固定资产汇总</t>
    <phoneticPr fontId="64" type="noConversion"/>
  </si>
  <si>
    <t>4-8-1房屋建筑物</t>
    <phoneticPr fontId="64" type="noConversion"/>
  </si>
  <si>
    <t>4-8-2构筑物</t>
    <phoneticPr fontId="64" type="noConversion"/>
  </si>
  <si>
    <t>4-8-3管道沟槽</t>
    <phoneticPr fontId="64" type="noConversion"/>
  </si>
  <si>
    <t>4-8-4机器设备</t>
    <phoneticPr fontId="64" type="noConversion"/>
  </si>
  <si>
    <t>4-8-5车辆</t>
    <phoneticPr fontId="64" type="noConversion"/>
  </si>
  <si>
    <t>4-8-6电子设备</t>
    <phoneticPr fontId="64" type="noConversion"/>
  </si>
  <si>
    <t>4-8-7土地</t>
    <phoneticPr fontId="64" type="noConversion"/>
  </si>
  <si>
    <t>4-9在建工程汇总</t>
    <phoneticPr fontId="64" type="noConversion"/>
  </si>
  <si>
    <t>4-9-1在建（土建）</t>
    <phoneticPr fontId="64" type="noConversion"/>
  </si>
  <si>
    <t>4-9-2在建（设备）</t>
    <phoneticPr fontId="64" type="noConversion"/>
  </si>
  <si>
    <t>4-10工程物资</t>
    <phoneticPr fontId="64" type="noConversion"/>
  </si>
  <si>
    <t>4-11固定资产清理</t>
    <phoneticPr fontId="64" type="noConversion"/>
  </si>
  <si>
    <t>4-12生产性生物资产</t>
    <phoneticPr fontId="64" type="noConversion"/>
  </si>
  <si>
    <t>4-13油气资产</t>
    <phoneticPr fontId="64" type="noConversion"/>
  </si>
  <si>
    <t>4-6固定资产汇总'!Print_Area</t>
    <phoneticPr fontId="64" type="noConversion"/>
  </si>
  <si>
    <t>4-7在建工程汇总'!Print_Area</t>
    <phoneticPr fontId="64" type="noConversion"/>
  </si>
  <si>
    <t>4-7-1在建（土建）'!Print_Area</t>
    <phoneticPr fontId="64" type="noConversion"/>
  </si>
  <si>
    <t>4-7-2在建（设备）'!Print_Area</t>
    <phoneticPr fontId="64" type="noConversion"/>
  </si>
  <si>
    <t>4-8工程物资'!Print_Area</t>
    <phoneticPr fontId="64" type="noConversion"/>
  </si>
  <si>
    <t>4-9固定资产清理'!Print_Area</t>
    <phoneticPr fontId="64" type="noConversion"/>
  </si>
  <si>
    <t>4-10生产性生物资产'!Print_Area</t>
    <phoneticPr fontId="64" type="noConversion"/>
  </si>
  <si>
    <t>4-11油气资产'!Print_Area</t>
    <phoneticPr fontId="64" type="noConversion"/>
  </si>
  <si>
    <t>3-13持有待售资产</t>
    <phoneticPr fontId="64" type="noConversion"/>
  </si>
  <si>
    <t>3-14一年到期非流动资产</t>
    <phoneticPr fontId="64" type="noConversion"/>
  </si>
  <si>
    <t>3-15其他流动资产</t>
    <phoneticPr fontId="64" type="noConversion"/>
  </si>
  <si>
    <t>3-13持有待售资产'!Print_Titles</t>
    <phoneticPr fontId="64" type="noConversion"/>
  </si>
  <si>
    <t>3-6应收款项融资'!Print_Area</t>
    <phoneticPr fontId="64" type="noConversion"/>
  </si>
  <si>
    <t>4-14无形资产汇总'!Print_Area</t>
    <phoneticPr fontId="64" type="noConversion"/>
  </si>
  <si>
    <t>4-14-1无形-土地'!Print_Area</t>
    <phoneticPr fontId="64" type="noConversion"/>
  </si>
  <si>
    <t>4-14-2无形-矿业权'!Print_Area</t>
    <phoneticPr fontId="64" type="noConversion"/>
  </si>
  <si>
    <t>4-14-3无形-其他'!Print_Area</t>
    <phoneticPr fontId="64" type="noConversion"/>
  </si>
  <si>
    <t>4-15开发支出'!Print_Area</t>
    <phoneticPr fontId="64" type="noConversion"/>
  </si>
  <si>
    <t>4-16商誉'!Print_Area</t>
    <phoneticPr fontId="64" type="noConversion"/>
  </si>
  <si>
    <t>4-17长期待摊费用'!Print_Area</t>
    <phoneticPr fontId="64" type="noConversion"/>
  </si>
  <si>
    <t>4-18递延所得税资产'!Print_Area</t>
    <phoneticPr fontId="64" type="noConversion"/>
  </si>
  <si>
    <t>4-19其他非流动资产'!Print_Area</t>
    <phoneticPr fontId="64" type="noConversion"/>
  </si>
  <si>
    <t>5-13持有待售负债'!Print_Titles</t>
  </si>
  <si>
    <t>6-4长期应付款</t>
    <phoneticPr fontId="64" type="noConversion"/>
  </si>
  <si>
    <t>6-3租赁负债</t>
    <phoneticPr fontId="64" type="noConversion"/>
  </si>
  <si>
    <t>6-5专项应付款</t>
    <phoneticPr fontId="64" type="noConversion"/>
  </si>
  <si>
    <t>6-6预计负债</t>
    <phoneticPr fontId="64" type="noConversion"/>
  </si>
  <si>
    <t>6-7递延所得税负债</t>
    <phoneticPr fontId="64" type="noConversion"/>
  </si>
  <si>
    <t>6-8其他非流动负债</t>
    <phoneticPr fontId="64" type="noConversion"/>
  </si>
  <si>
    <t>6-3租赁负债'!Print_Titles</t>
  </si>
  <si>
    <t>6-4长期应付款'!Print_Area</t>
  </si>
  <si>
    <t>6-5专项应付款'!Print_Area</t>
  </si>
  <si>
    <t>6-6预计负债'!Print_Area</t>
  </si>
  <si>
    <t>6-7递延所得税负债'!Print_Area</t>
  </si>
  <si>
    <t>衍生金融资产</t>
    <phoneticPr fontId="6" type="noConversion"/>
  </si>
  <si>
    <t>应收款项融资</t>
  </si>
  <si>
    <t>3-12</t>
  </si>
  <si>
    <t>3-13</t>
  </si>
  <si>
    <t>合同资产</t>
    <phoneticPr fontId="6" type="noConversion"/>
  </si>
  <si>
    <t>持有待售资产</t>
    <phoneticPr fontId="6" type="noConversion"/>
  </si>
  <si>
    <t>3-14</t>
  </si>
  <si>
    <t>3-15</t>
  </si>
  <si>
    <t>减：合同资产坏账准备</t>
    <phoneticPr fontId="6" type="noConversion"/>
  </si>
  <si>
    <t>其他权益工具投资</t>
    <phoneticPr fontId="52" type="noConversion"/>
  </si>
  <si>
    <t>其他非流动金融资产</t>
    <phoneticPr fontId="52" type="noConversion"/>
  </si>
  <si>
    <t>4-18</t>
  </si>
  <si>
    <t>4-19</t>
  </si>
  <si>
    <t>合同负债</t>
    <phoneticPr fontId="6" type="noConversion"/>
  </si>
  <si>
    <t>持有待售负债</t>
    <phoneticPr fontId="6" type="noConversion"/>
  </si>
  <si>
    <t>5-13</t>
  </si>
  <si>
    <t>5-14</t>
  </si>
  <si>
    <t>5-15</t>
  </si>
  <si>
    <t>租赁负债</t>
    <phoneticPr fontId="6" type="noConversion"/>
  </si>
  <si>
    <t>6-8</t>
  </si>
  <si>
    <t>3-4应收票据</t>
    <phoneticPr fontId="64" type="noConversion"/>
  </si>
  <si>
    <t>4-1-1可出售-股票</t>
    <phoneticPr fontId="64" type="noConversion"/>
  </si>
  <si>
    <t>4-1-2可出售-债券</t>
    <phoneticPr fontId="64" type="noConversion"/>
  </si>
  <si>
    <t>4-1-3可出售-其他</t>
    <phoneticPr fontId="64" type="noConversion"/>
  </si>
  <si>
    <t>4-非流动资产汇总</t>
    <phoneticPr fontId="64" type="noConversion"/>
  </si>
  <si>
    <t>4-1可供出售金融资产汇总</t>
    <phoneticPr fontId="64" type="noConversion"/>
  </si>
  <si>
    <t>4-3长期应收</t>
    <phoneticPr fontId="64" type="noConversion"/>
  </si>
  <si>
    <t>4-4股权投资</t>
    <phoneticPr fontId="64" type="noConversion"/>
  </si>
  <si>
    <t>5-2交易性金融负债</t>
    <phoneticPr fontId="64" type="noConversion"/>
  </si>
  <si>
    <t>5-流动负债汇总</t>
    <phoneticPr fontId="64" type="noConversion"/>
  </si>
  <si>
    <t xml:space="preserve">6-非流动负债汇总 </t>
    <phoneticPr fontId="64" type="noConversion"/>
  </si>
  <si>
    <t>应收款项融资</t>
    <phoneticPr fontId="6" type="noConversion"/>
  </si>
  <si>
    <t>其他权益工具投资</t>
    <phoneticPr fontId="6" type="noConversion"/>
  </si>
  <si>
    <t>其他非流动金融资产</t>
    <phoneticPr fontId="6" type="noConversion"/>
  </si>
  <si>
    <t>衍生金融负债</t>
    <phoneticPr fontId="6" type="noConversion"/>
  </si>
  <si>
    <t xml:space="preserve">         其他权益工具投资</t>
    <phoneticPr fontId="6" type="noConversion"/>
  </si>
  <si>
    <t xml:space="preserve">         其他非流动金融资产</t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</si>
  <si>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3-11</t>
    </r>
    <phoneticPr fontId="6" type="noConversion"/>
  </si>
  <si>
    <t>3-11-1</t>
    <phoneticPr fontId="6" type="noConversion"/>
  </si>
  <si>
    <t>3-11-2</t>
  </si>
  <si>
    <t>3-11-3</t>
  </si>
  <si>
    <t>3-11-4</t>
  </si>
  <si>
    <t>3-11-5</t>
  </si>
  <si>
    <t>3-11-6</t>
  </si>
  <si>
    <t>3-11-7</t>
  </si>
  <si>
    <t>3-11-8</t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</si>
  <si>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4-8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</si>
  <si>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4-9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</si>
  <si>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4-14</t>
    </r>
    <phoneticPr fontId="6" type="noConversion"/>
  </si>
  <si>
    <r>
      <rPr>
        <sz val="10"/>
        <rFont val="宋体"/>
        <family val="3"/>
        <charset val="134"/>
      </rPr>
      <t>表</t>
    </r>
    <r>
      <rPr>
        <sz val="10"/>
        <rFont val="Times New Roman"/>
        <family val="1"/>
      </rPr>
      <t>5-8</t>
    </r>
    <phoneticPr fontId="6" type="noConversion"/>
  </si>
  <si>
    <t>‘4-8-1房屋建筑物'!Print_Area</t>
    <phoneticPr fontId="64" type="noConversion"/>
  </si>
  <si>
    <t>’4-8-2构筑物'!Print_Area</t>
    <phoneticPr fontId="64" type="noConversion"/>
  </si>
  <si>
    <t>‘4-8-3管道沟槽'!Print_Area</t>
    <phoneticPr fontId="64" type="noConversion"/>
  </si>
  <si>
    <t>’4-8-4机器设备'!Print_Area</t>
    <phoneticPr fontId="64" type="noConversion"/>
  </si>
  <si>
    <t>’4-8-5车辆'!Print_Area</t>
    <phoneticPr fontId="64" type="noConversion"/>
  </si>
  <si>
    <t>‘4-8-6电子设备'!Print_Area</t>
    <phoneticPr fontId="64" type="noConversion"/>
  </si>
  <si>
    <t>’4-8-7土地'!Print_Area</t>
    <phoneticPr fontId="64" type="noConversion"/>
  </si>
  <si>
    <t>‘6-2应付债券'!Print_Area</t>
  </si>
  <si>
    <t>’3-14一年到期非流动资产'!Print_Area</t>
    <phoneticPr fontId="64" type="noConversion"/>
  </si>
  <si>
    <t>‘3-15其他流动资产'!Print_Area</t>
    <phoneticPr fontId="64" type="noConversion"/>
  </si>
  <si>
    <t>减：应收款项融资坏账准备</t>
    <phoneticPr fontId="6" type="noConversion"/>
  </si>
  <si>
    <t>4-14使用权资产'!Print_Area</t>
    <phoneticPr fontId="64" type="noConversion"/>
  </si>
  <si>
    <t>4-14使用权资产</t>
    <phoneticPr fontId="64" type="noConversion"/>
  </si>
  <si>
    <t>减：使用权资产减值准备</t>
    <phoneticPr fontId="6" type="noConversion"/>
  </si>
  <si>
    <t>4-20</t>
  </si>
  <si>
    <t>使用权资产</t>
    <phoneticPr fontId="52" type="noConversion"/>
  </si>
  <si>
    <t>使用权资产</t>
    <phoneticPr fontId="6" type="noConversion"/>
  </si>
  <si>
    <t>4-15无形资产汇总</t>
    <phoneticPr fontId="64" type="noConversion"/>
  </si>
  <si>
    <t>4-15-1无形-土地</t>
    <phoneticPr fontId="64" type="noConversion"/>
  </si>
  <si>
    <t>4-15-2无形-矿业权</t>
    <phoneticPr fontId="64" type="noConversion"/>
  </si>
  <si>
    <t>4-15-3无形-其他</t>
    <phoneticPr fontId="64" type="noConversion"/>
  </si>
  <si>
    <t>4-16开发支出</t>
    <phoneticPr fontId="64" type="noConversion"/>
  </si>
  <si>
    <t>4-17商誉</t>
    <phoneticPr fontId="64" type="noConversion"/>
  </si>
  <si>
    <t>4-18长期待摊费用</t>
    <phoneticPr fontId="64" type="noConversion"/>
  </si>
  <si>
    <t>4-19递延所得税资产</t>
    <phoneticPr fontId="64" type="noConversion"/>
  </si>
  <si>
    <t>4-20其他非流动资产</t>
    <phoneticPr fontId="64" type="noConversion"/>
  </si>
  <si>
    <t>6-8其他非流动负债'!Print_Titles</t>
    <phoneticPr fontId="64" type="noConversion"/>
  </si>
  <si>
    <t>3-流动汇总</t>
    <phoneticPr fontId="64" type="noConversion"/>
  </si>
  <si>
    <t>表3-1货币汇总表</t>
    <phoneticPr fontId="64" type="noConversion"/>
  </si>
  <si>
    <r>
      <t xml:space="preserve">         </t>
    </r>
    <r>
      <rPr>
        <sz val="10"/>
        <color indexed="8"/>
        <rFont val="宋体"/>
        <family val="3"/>
        <charset val="134"/>
      </rPr>
      <t>使用权资产</t>
    </r>
    <phoneticPr fontId="6" type="noConversion"/>
  </si>
  <si>
    <t xml:space="preserve">         流动负债</t>
    <phoneticPr fontId="6" type="noConversion"/>
  </si>
  <si>
    <t xml:space="preserve">         非流动负债</t>
    <phoneticPr fontId="6" type="noConversion"/>
  </si>
  <si>
    <t>债务名称（结算对象）</t>
    <phoneticPr fontId="6" type="noConversion"/>
  </si>
  <si>
    <t>4-2持有至到期投资</t>
    <phoneticPr fontId="64" type="noConversion"/>
  </si>
  <si>
    <t>4-2持有至到期投资'!Print_Area</t>
  </si>
  <si>
    <t>3-2-4交易性-其他'!A1</t>
  </si>
  <si>
    <t>3-2-4交易性-其他</t>
    <phoneticPr fontId="64" type="noConversion"/>
  </si>
  <si>
    <t>3-2-4</t>
  </si>
  <si>
    <t>交易性金融资产-其他投资</t>
    <phoneticPr fontId="6" type="noConversion"/>
  </si>
  <si>
    <t>发行单位</t>
    <phoneticPr fontId="6" type="noConversion"/>
  </si>
  <si>
    <t>类型</t>
    <phoneticPr fontId="6" type="noConversion"/>
  </si>
  <si>
    <t>被评估单位</t>
  </si>
  <si>
    <t>评估值</t>
    <phoneticPr fontId="52" type="noConversion"/>
  </si>
  <si>
    <t>账龄</t>
    <phoneticPr fontId="52" type="noConversion"/>
  </si>
  <si>
    <t>出售合同复印（√）</t>
    <phoneticPr fontId="52" type="noConversion"/>
  </si>
  <si>
    <t>资产类别</t>
    <phoneticPr fontId="6" type="noConversion"/>
  </si>
  <si>
    <t>待售时间</t>
    <phoneticPr fontId="6" type="noConversion"/>
  </si>
  <si>
    <t>发生日期</t>
    <phoneticPr fontId="52" type="noConversion"/>
  </si>
  <si>
    <t>票面利率</t>
    <phoneticPr fontId="6" type="noConversion"/>
  </si>
  <si>
    <t>合同</t>
    <phoneticPr fontId="52" type="noConversion"/>
  </si>
  <si>
    <t>账面原值</t>
    <phoneticPr fontId="52" type="noConversion"/>
  </si>
  <si>
    <t>租赁期数</t>
    <phoneticPr fontId="6" type="noConversion"/>
  </si>
  <si>
    <t>租赁付款额</t>
    <phoneticPr fontId="52" type="noConversion"/>
  </si>
  <si>
    <t>未确认融资费用</t>
    <phoneticPr fontId="6" type="noConversion"/>
  </si>
  <si>
    <t>注意：打印核实表之前，先复制一份评估明细表，因打印核实表会破坏评估明细表的排版。</t>
    <phoneticPr fontId="64" type="noConversion"/>
  </si>
  <si>
    <t>　</t>
    <phoneticPr fontId="64" type="noConversion"/>
  </si>
  <si>
    <t>单体系统版本: V3.0.1001</t>
    <phoneticPr fontId="64" type="noConversion"/>
  </si>
  <si>
    <t>核实表</t>
  </si>
  <si>
    <t>A有限公司</t>
    <phoneticPr fontId="64" type="noConversion"/>
  </si>
  <si>
    <t>被评估单位：A有限公司</t>
    <phoneticPr fontId="6" type="noConversion"/>
  </si>
  <si>
    <t>2025-3-22</t>
    <phoneticPr fontId="64" type="noConversion"/>
  </si>
  <si>
    <t>AA</t>
    <phoneticPr fontId="6" type="noConversion"/>
  </si>
  <si>
    <t>BB</t>
    <phoneticPr fontId="6" type="noConversion"/>
  </si>
  <si>
    <t>银行存款1</t>
    <phoneticPr fontId="6" type="noConversion"/>
  </si>
  <si>
    <t>银行存款2</t>
  </si>
  <si>
    <t>回函相符 （√）</t>
    <phoneticPr fontId="6" type="noConversion"/>
  </si>
  <si>
    <t>7天通知存款</t>
    <phoneticPr fontId="6" type="noConversion"/>
  </si>
  <si>
    <t>人民币</t>
  </si>
  <si>
    <t>人民币</t>
    <phoneticPr fontId="6" type="noConversion"/>
  </si>
  <si>
    <t>货币资金—现金评估核实表</t>
    <phoneticPr fontId="6" type="noConversion"/>
  </si>
  <si>
    <t>货币资金—银行存款评估核实表</t>
    <phoneticPr fontId="6" type="noConversion"/>
  </si>
  <si>
    <t>货币资金—其他货币资金评估核实表</t>
    <phoneticPr fontId="6" type="noConversion"/>
  </si>
  <si>
    <t>交易性金融资产—股票投资评估核实表</t>
    <phoneticPr fontId="6" type="noConversion"/>
  </si>
  <si>
    <t>交易性金融资产—债券投资评估核实表</t>
    <phoneticPr fontId="6" type="noConversion"/>
  </si>
  <si>
    <t>交易性金融资产—基金投资评估核实表</t>
    <phoneticPr fontId="6" type="noConversion"/>
  </si>
  <si>
    <t>交易性金融资产—其他投资评估核实表</t>
    <phoneticPr fontId="6" type="noConversion"/>
  </si>
  <si>
    <t>衍生金融资产评估核实表</t>
    <phoneticPr fontId="6" type="noConversion"/>
  </si>
  <si>
    <t>应收票据评估核实表</t>
    <phoneticPr fontId="6" type="noConversion"/>
  </si>
  <si>
    <t>应收账款评估核实表</t>
    <phoneticPr fontId="6" type="noConversion"/>
  </si>
  <si>
    <t>预付账款评估核实表</t>
    <phoneticPr fontId="6" type="noConversion"/>
  </si>
  <si>
    <t>应收利息评估核实表</t>
    <phoneticPr fontId="6" type="noConversion"/>
  </si>
  <si>
    <t>应收股利（应收利润）评估核实表</t>
    <phoneticPr fontId="6" type="noConversion"/>
  </si>
  <si>
    <t>其他应收款评估核实表</t>
    <phoneticPr fontId="6" type="noConversion"/>
  </si>
  <si>
    <t>存货—材料采购（在途物资）评估核实表</t>
    <phoneticPr fontId="6" type="noConversion"/>
  </si>
  <si>
    <t>存货—原材料评估核实表</t>
    <phoneticPr fontId="6" type="noConversion"/>
  </si>
  <si>
    <t>存货—在库周转材料评估核实表</t>
    <phoneticPr fontId="6" type="noConversion"/>
  </si>
  <si>
    <t>存货—委托加工物资评估核实表</t>
    <phoneticPr fontId="6" type="noConversion"/>
  </si>
  <si>
    <t>存货—产成品（库存商品、开发产品、农产品）评估核实表</t>
    <phoneticPr fontId="6" type="noConversion"/>
  </si>
  <si>
    <t>存货—在产品（自制半成品）评估核实表</t>
    <phoneticPr fontId="6" type="noConversion"/>
  </si>
  <si>
    <t>存货—发出商品评估核实表</t>
    <phoneticPr fontId="6" type="noConversion"/>
  </si>
  <si>
    <t>存货—在用周转材料评估核实表</t>
    <phoneticPr fontId="6" type="noConversion"/>
  </si>
  <si>
    <t>应收款项融资评估核实表</t>
    <phoneticPr fontId="6" type="noConversion"/>
  </si>
  <si>
    <t>一年内到期的非流动资产评估核实表</t>
    <phoneticPr fontId="6" type="noConversion"/>
  </si>
  <si>
    <t>合同资产评估核实表</t>
    <phoneticPr fontId="6" type="noConversion"/>
  </si>
  <si>
    <t>持有待售资产评估核实表</t>
    <phoneticPr fontId="6" type="noConversion"/>
  </si>
  <si>
    <t>其他流动资产评估核实表</t>
    <phoneticPr fontId="6" type="noConversion"/>
  </si>
  <si>
    <t>可供出售金融资产—股票投资评估核实表</t>
    <phoneticPr fontId="6" type="noConversion"/>
  </si>
  <si>
    <t>可供出售金融资产—债券投资评估核实表</t>
    <phoneticPr fontId="6" type="noConversion"/>
  </si>
  <si>
    <t>可供出售金融资产—其他投资评估核实表</t>
    <phoneticPr fontId="6" type="noConversion"/>
  </si>
  <si>
    <t>持有至到期投资评估核实表</t>
    <phoneticPr fontId="6" type="noConversion"/>
  </si>
  <si>
    <t>长期应收款评估核实表</t>
    <phoneticPr fontId="6" type="noConversion"/>
  </si>
  <si>
    <t>长期股权投资评估核实表</t>
    <phoneticPr fontId="6" type="noConversion"/>
  </si>
  <si>
    <t>其他权益工具投资评估核实表</t>
    <phoneticPr fontId="6" type="noConversion"/>
  </si>
  <si>
    <t>其他非流动金融资产评估核实表</t>
    <phoneticPr fontId="6" type="noConversion"/>
  </si>
  <si>
    <t>投资性房地产—房屋评估核实表</t>
    <phoneticPr fontId="6" type="noConversion"/>
  </si>
  <si>
    <t>投资性房地产—房屋评估核实表</t>
    <phoneticPr fontId="52" type="noConversion"/>
  </si>
  <si>
    <t>投资性房地产—土地使用权评估核实表</t>
    <phoneticPr fontId="52" type="noConversion"/>
  </si>
  <si>
    <t>固定资产—房屋建筑物评估核实表</t>
    <phoneticPr fontId="6" type="noConversion"/>
  </si>
  <si>
    <t>固定资产—构筑物及其他辅助设施评估核实表</t>
    <phoneticPr fontId="6" type="noConversion"/>
  </si>
  <si>
    <t>固定资产—管道和沟槽评估核实表</t>
    <phoneticPr fontId="6" type="noConversion"/>
  </si>
  <si>
    <t>固定资产—机器设备评估核实表</t>
    <phoneticPr fontId="6" type="noConversion"/>
  </si>
  <si>
    <t>固定资产—车辆评估核实表</t>
    <phoneticPr fontId="6" type="noConversion"/>
  </si>
  <si>
    <t>固定资产—电子设备评估核实表</t>
    <phoneticPr fontId="6" type="noConversion"/>
  </si>
  <si>
    <t>固定资产—土地评估核实表</t>
    <phoneticPr fontId="6" type="noConversion"/>
  </si>
  <si>
    <t>在建工程—土建工程评估核实表</t>
    <phoneticPr fontId="6" type="noConversion"/>
  </si>
  <si>
    <t>在建工程—设备安装工程评估核实表</t>
    <phoneticPr fontId="6" type="noConversion"/>
  </si>
  <si>
    <t>工程物资评估核实表</t>
    <phoneticPr fontId="6" type="noConversion"/>
  </si>
  <si>
    <t>固定资产清理评估核实表</t>
    <phoneticPr fontId="6" type="noConversion"/>
  </si>
  <si>
    <t>生产性生物资产评估核实表</t>
    <phoneticPr fontId="6" type="noConversion"/>
  </si>
  <si>
    <t>油气资产评估核实表</t>
    <phoneticPr fontId="6" type="noConversion"/>
  </si>
  <si>
    <t>使用权资产评估核实表</t>
    <phoneticPr fontId="6" type="noConversion"/>
  </si>
  <si>
    <t>无形资产—土地使用权评估核实表</t>
    <phoneticPr fontId="6" type="noConversion"/>
  </si>
  <si>
    <t>无形资产—矿业权评估核实表</t>
    <phoneticPr fontId="52" type="noConversion"/>
  </si>
  <si>
    <t>无形资产—其他无形资产评估核实表</t>
    <phoneticPr fontId="6" type="noConversion"/>
  </si>
  <si>
    <t>开发支出评估核实表</t>
    <phoneticPr fontId="52" type="noConversion"/>
  </si>
  <si>
    <t>商誉评估核实表</t>
    <phoneticPr fontId="6" type="noConversion"/>
  </si>
  <si>
    <t>长期待摊费用评估核实表</t>
    <phoneticPr fontId="6" type="noConversion"/>
  </si>
  <si>
    <t>递延所得税资产评估核实表</t>
    <phoneticPr fontId="6" type="noConversion"/>
  </si>
  <si>
    <t>其他非流动资产评估核实表</t>
    <phoneticPr fontId="6" type="noConversion"/>
  </si>
  <si>
    <t>短期借款评估核实表</t>
    <phoneticPr fontId="6" type="noConversion"/>
  </si>
  <si>
    <t>交易性金融负债评估核实表</t>
    <phoneticPr fontId="6" type="noConversion"/>
  </si>
  <si>
    <t>衍生金融负债评估核实表</t>
    <phoneticPr fontId="6" type="noConversion"/>
  </si>
  <si>
    <t>应付票据评估核实表</t>
    <phoneticPr fontId="6" type="noConversion"/>
  </si>
  <si>
    <t>应付账款评估核实表</t>
    <phoneticPr fontId="6" type="noConversion"/>
  </si>
  <si>
    <t>预收账款评估核实表</t>
    <phoneticPr fontId="6" type="noConversion"/>
  </si>
  <si>
    <t>合同负债评估核实表</t>
    <phoneticPr fontId="6" type="noConversion"/>
  </si>
  <si>
    <t>应付职工薪酬评估核实表</t>
    <phoneticPr fontId="6" type="noConversion"/>
  </si>
  <si>
    <t>应交税费评估核实表</t>
    <phoneticPr fontId="6" type="noConversion"/>
  </si>
  <si>
    <t>应付利息评估核实表</t>
    <phoneticPr fontId="6" type="noConversion"/>
  </si>
  <si>
    <t>应付股利（应付利润）评估核实表</t>
    <phoneticPr fontId="6" type="noConversion"/>
  </si>
  <si>
    <t>其他应付款评估核实表</t>
    <phoneticPr fontId="6" type="noConversion"/>
  </si>
  <si>
    <t>持有待售负债评估核实表</t>
    <phoneticPr fontId="6" type="noConversion"/>
  </si>
  <si>
    <t>一年内到期的非流动负债评估核实表</t>
    <phoneticPr fontId="6" type="noConversion"/>
  </si>
  <si>
    <t>其他流动负债评估核实表</t>
    <phoneticPr fontId="6" type="noConversion"/>
  </si>
  <si>
    <t>长期借款评估核实表</t>
    <phoneticPr fontId="6" type="noConversion"/>
  </si>
  <si>
    <t>应付债券评估核实表</t>
    <phoneticPr fontId="21" type="noConversion"/>
  </si>
  <si>
    <t>租赁负债评估核实表</t>
    <phoneticPr fontId="6" type="noConversion"/>
  </si>
  <si>
    <t>长期应付款评估核实表</t>
    <phoneticPr fontId="6" type="noConversion"/>
  </si>
  <si>
    <t>专项应付款评估核实表</t>
    <phoneticPr fontId="6" type="noConversion"/>
  </si>
  <si>
    <t>预计负债评估核实表</t>
    <phoneticPr fontId="6" type="noConversion"/>
  </si>
  <si>
    <t>递延所得税负债评估核实表</t>
    <phoneticPr fontId="6" type="noConversion"/>
  </si>
  <si>
    <t>其他非流动负债评估核实表</t>
    <phoneticPr fontId="6" type="noConversion"/>
  </si>
  <si>
    <t>ABC</t>
    <phoneticPr fontId="64" type="noConversion"/>
  </si>
  <si>
    <t>DE</t>
    <phoneticPr fontId="64" type="noConversion"/>
  </si>
  <si>
    <t xml:space="preserve">DE </t>
    <phoneticPr fontId="64" type="noConversion"/>
  </si>
  <si>
    <r>
      <t>X</t>
    </r>
    <r>
      <rPr>
        <sz val="10"/>
        <rFont val="宋体"/>
        <family val="3"/>
        <charset val="134"/>
      </rPr>
      <t>银行</t>
    </r>
    <phoneticPr fontId="77" type="noConversion"/>
  </si>
  <si>
    <r>
      <t>Y</t>
    </r>
    <r>
      <rPr>
        <sz val="10"/>
        <rFont val="宋体"/>
        <family val="3"/>
        <charset val="134"/>
      </rPr>
      <t>银行</t>
    </r>
    <phoneticPr fontId="77" type="noConversion"/>
  </si>
  <si>
    <t>31646303004883208</t>
    <phoneticPr fontId="52" type="noConversion"/>
  </si>
  <si>
    <t>31050173360000005986</t>
  </si>
  <si>
    <t>对账单相符（√）</t>
    <phoneticPr fontId="77" type="noConversion"/>
  </si>
  <si>
    <t>　</t>
  </si>
  <si>
    <r>
      <t>B</t>
    </r>
    <r>
      <rPr>
        <sz val="10"/>
        <rFont val="宋体"/>
        <family val="3"/>
        <charset val="134"/>
      </rPr>
      <t>有限公司</t>
    </r>
    <phoneticPr fontId="6" type="noConversion"/>
  </si>
  <si>
    <r>
      <t>C</t>
    </r>
    <r>
      <rPr>
        <sz val="10"/>
        <rFont val="宋体"/>
        <family val="3"/>
        <charset val="134"/>
      </rPr>
      <t>有限公司</t>
    </r>
    <phoneticPr fontId="6" type="noConversion"/>
  </si>
  <si>
    <r>
      <t>D</t>
    </r>
    <r>
      <rPr>
        <sz val="10"/>
        <rFont val="宋体"/>
        <family val="3"/>
        <charset val="134"/>
      </rPr>
      <t>有限公司</t>
    </r>
    <phoneticPr fontId="6" type="noConversion"/>
  </si>
  <si>
    <r>
      <t>E</t>
    </r>
    <r>
      <rPr>
        <sz val="10"/>
        <rFont val="宋体"/>
        <family val="3"/>
        <charset val="134"/>
      </rPr>
      <t>有限公司</t>
    </r>
    <phoneticPr fontId="6" type="noConversion"/>
  </si>
  <si>
    <r>
      <t>F</t>
    </r>
    <r>
      <rPr>
        <sz val="10"/>
        <rFont val="宋体"/>
        <family val="3"/>
        <charset val="134"/>
      </rPr>
      <t>有限公司</t>
    </r>
    <phoneticPr fontId="6" type="noConversion"/>
  </si>
  <si>
    <r>
      <t>G</t>
    </r>
    <r>
      <rPr>
        <sz val="10"/>
        <rFont val="宋体"/>
        <family val="3"/>
        <charset val="134"/>
      </rPr>
      <t>有限公司</t>
    </r>
    <phoneticPr fontId="6" type="noConversion"/>
  </si>
  <si>
    <t>押金</t>
    <phoneticPr fontId="6" type="noConversion"/>
  </si>
  <si>
    <t>保证金</t>
    <phoneticPr fontId="6" type="noConversion"/>
  </si>
  <si>
    <t>股东借款</t>
    <phoneticPr fontId="6" type="noConversion"/>
  </si>
  <si>
    <t>关联方往来</t>
    <phoneticPr fontId="6" type="noConversion"/>
  </si>
  <si>
    <t>XXX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</si>
</sst>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(* #,##0_);_(* \(#,##0\);_(* &quot;-&quot;_);_(@_)"/>
    <numFmt numFmtId="43" formatCode="_(* #,##0.00_);_(* \(#,##0.00\);_(* &quot;-&quot;??_);_(@_)"/>
    <numFmt numFmtId="176" formatCode="_ * #,##0_ ;_ * \-#,##0_ ;_ * &quot;-&quot;_ ;_ @_ "/>
    <numFmt numFmtId="177" formatCode="_ &quot;¥&quot;* #,##0.00_ ;_ &quot;¥&quot;* \-#,##0.00_ ;_ &quot;¥&quot;* &quot;-&quot;??_ ;_ @_ "/>
    <numFmt numFmtId="178" formatCode="_ * #,##0.00_ ;_ * \-#,##0.00_ ;_ * &quot;-&quot;??_ ;_ @_ "/>
    <numFmt numFmtId="179" formatCode="_(&quot;$&quot;* #,##0.0_);_(&quot;$&quot;* \(#,##0.0\);_(&quot;$&quot;* &quot;-&quot;??_);_(@_)"/>
    <numFmt numFmtId="180" formatCode="_(&quot;$&quot;* #,##0_);_(&quot;$&quot;* \(#,##0\);_(&quot;$&quot;* &quot;-&quot;??_);_(@_)"/>
    <numFmt numFmtId="181" formatCode="mm/dd/yy_)"/>
    <numFmt numFmtId="182" formatCode="mmm\ dd\,\ yy"/>
    <numFmt numFmtId="183" formatCode="#,##0.00_ "/>
    <numFmt numFmtId="184" formatCode="0.00_ "/>
    <numFmt numFmtId="185" formatCode="0.00_);[Red]\(0.00\)"/>
    <numFmt numFmtId="186" formatCode="_(&quot;$&quot;* #,##0_);_(&quot;$&quot;* \(#,##0\);_(&quot;$&quot;* &quot;-&quot;_);_(@_)"/>
    <numFmt numFmtId="187" formatCode="_(&quot;$&quot;* #,##0.00_);_(&quot;$&quot;* \(#,##0.00\);_(&quot;$&quot;* &quot;-&quot;??_);_(@_)"/>
    <numFmt numFmtId="188" formatCode="#,##0.0"/>
    <numFmt numFmtId="189" formatCode="_-* #,##0.00_-;\-* #,##0.00_-;_-* &quot;-&quot;??_-;_-@_-"/>
    <numFmt numFmtId="190" formatCode="mmm/yyyy;_-\ &quot;N/A&quot;_-;_-\ &quot;-&quot;_-"/>
    <numFmt numFmtId="191" formatCode="mmm/dd/yyyy;_-\ &quot;N/A&quot;_-;_-\ &quot;-&quot;_-"/>
    <numFmt numFmtId="192" formatCode="_-#,##0_-;\(#,##0\);_-\ \ &quot;-&quot;_-;_-@_-"/>
    <numFmt numFmtId="193" formatCode="_-#,##0.00_-;\(#,##0.00\);_-\ \ &quot;-&quot;_-;_-@_-"/>
    <numFmt numFmtId="194" formatCode="_-#,##0%_-;\(#,##0%\);_-\ &quot;-&quot;_-"/>
    <numFmt numFmtId="195" formatCode="_-#,###,_-;\(#,###,\);_-\ \ &quot;-&quot;_-;_-@_-"/>
    <numFmt numFmtId="196" formatCode="_-#,###.00,_-;\(#,###.00,\);_-\ \ &quot;-&quot;_-;_-@_-"/>
    <numFmt numFmtId="197" formatCode="_([$€-2]* #,##0.00_);_([$€-2]* \(#,##0.00\);_([$€-2]* &quot;-&quot;??_)"/>
    <numFmt numFmtId="198" formatCode="_-* #,##0_-;\-* #,##0_-;_-* &quot;-&quot;??_-;_-@_-"/>
    <numFmt numFmtId="199" formatCode="#,##0\ &quot; &quot;;\(#,##0\)\ ;&quot;—&quot;&quot; &quot;&quot; &quot;&quot; &quot;&quot; &quot;"/>
    <numFmt numFmtId="200" formatCode="_-#0&quot;.&quot;0000_-;\(#0&quot;.&quot;0000\);_-\ \ &quot;-&quot;_-;_-@_-"/>
    <numFmt numFmtId="201" formatCode="_-#0&quot;.&quot;0,_-;\(#0&quot;.&quot;0,\);_-\ \ &quot;-&quot;_-;_-@_-"/>
    <numFmt numFmtId="202" formatCode="0.0%"/>
    <numFmt numFmtId="203" formatCode="_-* #,##0_-;\-* #,##0_-;_-* &quot;-&quot;_-;_-@_-"/>
    <numFmt numFmtId="204" formatCode="&quot;$&quot;#,##0;\-&quot;$&quot;#,##0"/>
    <numFmt numFmtId="205" formatCode="#,##0.00&quot;¥&quot;;\-#,##0.00&quot;¥&quot;"/>
    <numFmt numFmtId="206" formatCode="#,##0.00&quot;¥&quot;;[Red]\-#,##0.00&quot;¥&quot;"/>
    <numFmt numFmtId="207" formatCode="_-* #,##0&quot;¥&quot;_-;\-* #,##0&quot;¥&quot;_-;_-* &quot;-&quot;&quot;¥&quot;_-;_-@_-"/>
    <numFmt numFmtId="208" formatCode="_-* #,##0.00&quot;¥&quot;_-;\-* #,##0.00&quot;¥&quot;_-;_-* &quot;-&quot;??&quot;¥&quot;_-;_-@_-"/>
    <numFmt numFmtId="209" formatCode="0.000%"/>
    <numFmt numFmtId="210" formatCode="&quot;\&quot;#,##0;[Red]&quot;\&quot;&quot;\&quot;&quot;\&quot;&quot;\&quot;&quot;\&quot;&quot;\&quot;&quot;\&quot;\-#,##0"/>
    <numFmt numFmtId="211" formatCode="[$-F800]dddd\,\ mmmm\ dd\,\ yyyy"/>
    <numFmt numFmtId="212" formatCode="#,##0.00_);[Red]\-#,##0.00_);_(* &quot;&quot;_)"/>
    <numFmt numFmtId="213" formatCode="_ [$€-2]* #,##0.00_ ;_ [$€-2]* \-#,##0.00_ ;_ [$€-2]* &quot;-&quot;??_ "/>
  </numFmts>
  <fonts count="108">
    <font>
      <sz val="12"/>
      <name val="Times New Roman"/>
      <family val="1"/>
    </font>
    <font>
      <sz val="12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sz val="10"/>
      <name val="Times New Roman"/>
      <family val="1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8"/>
      <name val="Times New Roman"/>
      <family val="1"/>
    </font>
    <font>
      <sz val="12"/>
      <name val="Times New Roman"/>
      <family val="1"/>
    </font>
    <font>
      <vertAlign val="superscript"/>
      <sz val="10"/>
      <name val="Times New Roman"/>
      <family val="1"/>
    </font>
    <font>
      <u/>
      <sz val="12"/>
      <color indexed="12"/>
      <name val="宋体"/>
      <family val="3"/>
      <charset val="134"/>
    </font>
    <font>
      <sz val="11"/>
      <name val="ＭＳ Ｐゴシック"/>
      <family val="2"/>
      <charset val="134"/>
    </font>
    <font>
      <sz val="12"/>
      <name val="바탕체"/>
      <family val="3"/>
    </font>
    <font>
      <sz val="11"/>
      <name val="蹈框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Times New Roman"/>
      <family val="1"/>
    </font>
    <font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Times New Roman"/>
      <family val="1"/>
    </font>
    <font>
      <b/>
      <sz val="14"/>
      <name val="黑体"/>
      <family val="3"/>
      <charset val="134"/>
    </font>
    <font>
      <b/>
      <sz val="10"/>
      <name val="MS Sans Serif"/>
      <family val="2"/>
    </font>
    <font>
      <b/>
      <sz val="8"/>
      <name val="Arial"/>
      <family val="2"/>
    </font>
    <font>
      <sz val="20"/>
      <name val="Letter Gothic (W1)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8"/>
      <name val="黑体"/>
      <family val="3"/>
      <charset val="134"/>
    </font>
    <font>
      <sz val="18"/>
      <name val="Times New Roman"/>
      <family val="1"/>
    </font>
    <font>
      <sz val="13"/>
      <name val="Times New Roman"/>
      <family val="1"/>
    </font>
    <font>
      <b/>
      <sz val="10"/>
      <color indexed="8"/>
      <name val="宋体"/>
      <family val="3"/>
      <charset val="134"/>
    </font>
    <font>
      <sz val="12"/>
      <name val="???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0"/>
      <name val="Helv"/>
      <family val="2"/>
    </font>
    <font>
      <i/>
      <sz val="12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b/>
      <sz val="12"/>
      <name val="Helv"/>
      <family val="2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sz val="10"/>
      <color indexed="8"/>
      <name val="MS Sans Serif"/>
      <family val="2"/>
    </font>
    <font>
      <sz val="10"/>
      <name val="Tms Rmn"/>
      <family val="1"/>
    </font>
    <font>
      <b/>
      <sz val="14"/>
      <color indexed="9"/>
      <name val="Times New Roman"/>
      <family val="1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8"/>
      <name val="Helv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4"/>
      <name val="黑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0"/>
      <name val="Theahoma"/>
      <family val="2"/>
    </font>
    <font>
      <sz val="10"/>
      <name val="Theahoma"/>
      <family val="2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8"/>
      <name val="宋体"/>
      <family val="3"/>
      <charset val="134"/>
    </font>
    <font>
      <sz val="10"/>
      <name val="Helv"/>
      <family val="2"/>
    </font>
    <font>
      <sz val="8"/>
      <color indexed="8"/>
      <name val="宋体"/>
      <family val="3"/>
      <charset val="134"/>
    </font>
    <font>
      <sz val="8"/>
      <color indexed="8"/>
      <name val="Times New Roman"/>
      <family val="1"/>
    </font>
    <font>
      <sz val="6"/>
      <name val="宋体"/>
      <family val="3"/>
      <charset val="134"/>
    </font>
    <font>
      <sz val="6"/>
      <name val="Times New Roman"/>
      <family val="1"/>
    </font>
    <font>
      <sz val="10"/>
      <name val="Times New Roman"/>
      <family val="1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9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66FFCC"/>
      <name val="Times New Roman"/>
      <family val="1"/>
    </font>
    <font>
      <sz val="12"/>
      <color rgb="FFEAF1E0"/>
      <name val="宋体"/>
      <family val="3"/>
      <charset val="134"/>
    </font>
    <font>
      <sz val="12"/>
      <color rgb="FF66FFCC"/>
      <name val="宋体"/>
      <family val="3"/>
      <charset val="134"/>
    </font>
    <font>
      <sz val="8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2"/>
      <color theme="0" tint="-4.9989318521683403E-2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color rgb="FF000000"/>
      <name val="宋体"/>
      <family val="3"/>
      <charset val="134"/>
    </font>
    <font>
      <sz val="10"/>
      <color theme="1"/>
      <name val="Times New Roman"/>
      <family val="1"/>
    </font>
    <font>
      <b/>
      <sz val="9"/>
      <color rgb="FFFF0000"/>
      <name val="宋体"/>
      <family val="3"/>
      <charset val="134"/>
    </font>
    <font>
      <b/>
      <sz val="12"/>
      <color rgb="FF00206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12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9">
    <xf numFmtId="0" fontId="0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13" fontId="5" fillId="0" borderId="0"/>
    <xf numFmtId="0" fontId="32" fillId="0" borderId="0"/>
    <xf numFmtId="49" fontId="4" fillId="0" borderId="0" applyProtection="0">
      <alignment horizontal="left"/>
    </xf>
    <xf numFmtId="0" fontId="3" fillId="0" borderId="0">
      <protection locked="0"/>
    </xf>
    <xf numFmtId="0" fontId="1" fillId="0" borderId="0"/>
    <xf numFmtId="0" fontId="9" fillId="0" borderId="0"/>
    <xf numFmtId="0" fontId="1" fillId="0" borderId="0"/>
    <xf numFmtId="0" fontId="9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/>
    <xf numFmtId="192" fontId="4" fillId="0" borderId="0" applyFill="0" applyBorder="0" applyProtection="0">
      <alignment horizontal="right"/>
    </xf>
    <xf numFmtId="193" fontId="4" fillId="0" borderId="0" applyFill="0" applyBorder="0" applyProtection="0">
      <alignment horizontal="right"/>
    </xf>
    <xf numFmtId="191" fontId="33" fillId="0" borderId="0" applyFill="0" applyBorder="0" applyProtection="0">
      <alignment horizontal="center"/>
    </xf>
    <xf numFmtId="190" fontId="33" fillId="0" borderId="0" applyFill="0" applyBorder="0" applyProtection="0">
      <alignment horizontal="center"/>
    </xf>
    <xf numFmtId="194" fontId="34" fillId="0" borderId="0" applyFill="0" applyBorder="0" applyProtection="0">
      <alignment horizontal="right"/>
    </xf>
    <xf numFmtId="195" fontId="4" fillId="0" borderId="0" applyFill="0" applyBorder="0" applyProtection="0">
      <alignment horizontal="right"/>
    </xf>
    <xf numFmtId="196" fontId="4" fillId="0" borderId="0" applyFill="0" applyBorder="0" applyProtection="0">
      <alignment horizontal="right"/>
    </xf>
    <xf numFmtId="201" fontId="4" fillId="0" borderId="0" applyFill="0" applyBorder="0" applyProtection="0">
      <alignment horizontal="right"/>
    </xf>
    <xf numFmtId="200" fontId="4" fillId="0" borderId="0" applyFill="0" applyBorder="0" applyProtection="0">
      <alignment horizontal="right"/>
    </xf>
    <xf numFmtId="0" fontId="1" fillId="0" borderId="0"/>
    <xf numFmtId="0" fontId="9" fillId="0" borderId="0"/>
    <xf numFmtId="0" fontId="8" fillId="0" borderId="0">
      <alignment horizontal="center" wrapText="1"/>
      <protection locked="0"/>
    </xf>
    <xf numFmtId="198" fontId="1" fillId="0" borderId="0" applyFill="0" applyBorder="0" applyAlignment="0"/>
    <xf numFmtId="198" fontId="9" fillId="0" borderId="0" applyFill="0" applyBorder="0" applyAlignment="0"/>
    <xf numFmtId="0" fontId="35" fillId="0" borderId="0"/>
    <xf numFmtId="0" fontId="36" fillId="0" borderId="0" applyFill="0" applyBorder="0">
      <alignment horizontal="right"/>
    </xf>
    <xf numFmtId="0" fontId="1" fillId="0" borderId="0" applyFill="0" applyBorder="0">
      <alignment horizontal="right"/>
    </xf>
    <xf numFmtId="0" fontId="9" fillId="0" borderId="0" applyFill="0" applyBorder="0">
      <alignment horizontal="right"/>
    </xf>
    <xf numFmtId="0" fontId="23" fillId="0" borderId="1">
      <alignment horizontal="center"/>
    </xf>
    <xf numFmtId="210" fontId="3" fillId="0" borderId="0"/>
    <xf numFmtId="210" fontId="3" fillId="0" borderId="0"/>
    <xf numFmtId="210" fontId="3" fillId="0" borderId="0"/>
    <xf numFmtId="210" fontId="3" fillId="0" borderId="0"/>
    <xf numFmtId="210" fontId="3" fillId="0" borderId="0"/>
    <xf numFmtId="210" fontId="3" fillId="0" borderId="0"/>
    <xf numFmtId="210" fontId="3" fillId="0" borderId="0"/>
    <xf numFmtId="210" fontId="3" fillId="0" borderId="0"/>
    <xf numFmtId="176" fontId="3" fillId="0" borderId="0" applyFont="0" applyFill="0" applyBorder="0" applyAlignment="0" applyProtection="0"/>
    <xf numFmtId="189" fontId="4" fillId="0" borderId="0" applyFont="0" applyFill="0" applyBorder="0" applyAlignment="0" applyProtection="0"/>
    <xf numFmtId="188" fontId="4" fillId="0" borderId="0"/>
    <xf numFmtId="0" fontId="37" fillId="0" borderId="0" applyNumberFormat="0" applyAlignment="0">
      <alignment horizontal="left"/>
    </xf>
    <xf numFmtId="0" fontId="38" fillId="0" borderId="0" applyNumberFormat="0" applyAlignment="0"/>
    <xf numFmtId="186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5" fontId="2" fillId="0" borderId="0"/>
    <xf numFmtId="0" fontId="39" fillId="0" borderId="0" applyNumberFormat="0" applyAlignment="0">
      <alignment horizontal="left"/>
    </xf>
    <xf numFmtId="0" fontId="15" fillId="2" borderId="2"/>
    <xf numFmtId="197" fontId="4" fillId="0" borderId="0" applyFont="0" applyFill="0" applyBorder="0" applyAlignment="0" applyProtection="0"/>
    <xf numFmtId="0" fontId="3" fillId="0" borderId="0">
      <protection locked="0"/>
    </xf>
    <xf numFmtId="199" fontId="27" fillId="0" borderId="0">
      <alignment horizontal="right"/>
    </xf>
    <xf numFmtId="0" fontId="3" fillId="0" borderId="0"/>
    <xf numFmtId="38" fontId="15" fillId="3" borderId="0" applyNumberFormat="0" applyBorder="0" applyAlignment="0" applyProtection="0"/>
    <xf numFmtId="0" fontId="40" fillId="0" borderId="0">
      <alignment horizontal="left"/>
    </xf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10" fontId="15" fillId="4" borderId="2" applyNumberFormat="0" applyBorder="0" applyAlignment="0" applyProtection="0"/>
    <xf numFmtId="205" fontId="5" fillId="5" borderId="0"/>
    <xf numFmtId="205" fontId="67" fillId="5" borderId="0"/>
    <xf numFmtId="205" fontId="73" fillId="5" borderId="0"/>
    <xf numFmtId="205" fontId="76" fillId="5" borderId="0"/>
    <xf numFmtId="205" fontId="81" fillId="5" borderId="0"/>
    <xf numFmtId="205" fontId="73" fillId="5" borderId="0"/>
    <xf numFmtId="205" fontId="76" fillId="5" borderId="0"/>
    <xf numFmtId="205" fontId="81" fillId="5" borderId="0"/>
    <xf numFmtId="0" fontId="36" fillId="6" borderId="0" applyNumberFormat="0" applyFont="0" applyBorder="0" applyAlignment="0" applyProtection="0">
      <alignment horizontal="right"/>
    </xf>
    <xf numFmtId="38" fontId="29" fillId="0" borderId="0"/>
    <xf numFmtId="38" fontId="41" fillId="0" borderId="0"/>
    <xf numFmtId="38" fontId="42" fillId="0" borderId="0"/>
    <xf numFmtId="38" fontId="36" fillId="0" borderId="0"/>
    <xf numFmtId="0" fontId="27" fillId="0" borderId="0"/>
    <xf numFmtId="0" fontId="27" fillId="0" borderId="0"/>
    <xf numFmtId="0" fontId="1" fillId="0" borderId="0" applyFont="0" applyFill="0">
      <alignment horizontal="fill"/>
    </xf>
    <xf numFmtId="0" fontId="9" fillId="0" borderId="0" applyFont="0" applyFill="0">
      <alignment horizontal="fill"/>
    </xf>
    <xf numFmtId="205" fontId="5" fillId="7" borderId="0"/>
    <xf numFmtId="205" fontId="67" fillId="7" borderId="0"/>
    <xf numFmtId="205" fontId="73" fillId="7" borderId="0"/>
    <xf numFmtId="205" fontId="76" fillId="7" borderId="0"/>
    <xf numFmtId="205" fontId="81" fillId="7" borderId="0"/>
    <xf numFmtId="205" fontId="73" fillId="7" borderId="0"/>
    <xf numFmtId="205" fontId="76" fillId="7" borderId="0"/>
    <xf numFmtId="205" fontId="81" fillId="7" borderId="0"/>
    <xf numFmtId="208" fontId="5" fillId="0" borderId="0" applyFont="0" applyFill="0" applyBorder="0" applyAlignment="0" applyProtection="0"/>
    <xf numFmtId="209" fontId="5" fillId="0" borderId="0" applyFont="0" applyFill="0" applyBorder="0" applyAlignment="0" applyProtection="0"/>
    <xf numFmtId="0" fontId="43" fillId="0" borderId="5"/>
    <xf numFmtId="207" fontId="5" fillId="0" borderId="0" applyFont="0" applyFill="0" applyBorder="0" applyAlignment="0" applyProtection="0"/>
    <xf numFmtId="202" fontId="5" fillId="0" borderId="0" applyFont="0" applyFill="0" applyBorder="0" applyAlignment="0" applyProtection="0"/>
    <xf numFmtId="0" fontId="4" fillId="0" borderId="0"/>
    <xf numFmtId="37" fontId="44" fillId="0" borderId="0"/>
    <xf numFmtId="39" fontId="5" fillId="0" borderId="0"/>
    <xf numFmtId="39" fontId="67" fillId="0" borderId="0"/>
    <xf numFmtId="39" fontId="73" fillId="0" borderId="0"/>
    <xf numFmtId="39" fontId="76" fillId="0" borderId="0"/>
    <xf numFmtId="39" fontId="81" fillId="0" borderId="0"/>
    <xf numFmtId="39" fontId="73" fillId="0" borderId="0"/>
    <xf numFmtId="39" fontId="76" fillId="0" borderId="0"/>
    <xf numFmtId="39" fontId="81" fillId="0" borderId="0"/>
    <xf numFmtId="0" fontId="4" fillId="0" borderId="0"/>
    <xf numFmtId="0" fontId="45" fillId="0" borderId="0"/>
    <xf numFmtId="189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4" fontId="8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5" fillId="3" borderId="2"/>
    <xf numFmtId="204" fontId="46" fillId="0" borderId="0"/>
    <xf numFmtId="0" fontId="2" fillId="0" borderId="0" applyNumberFormat="0" applyFont="0" applyFill="0" applyBorder="0" applyAlignment="0" applyProtection="0">
      <alignment horizontal="left"/>
    </xf>
    <xf numFmtId="206" fontId="5" fillId="0" borderId="0" applyNumberFormat="0" applyFill="0" applyBorder="0" applyAlignment="0" applyProtection="0">
      <alignment horizontal="left"/>
    </xf>
    <xf numFmtId="206" fontId="67" fillId="0" borderId="0" applyNumberFormat="0" applyFill="0" applyBorder="0" applyAlignment="0" applyProtection="0">
      <alignment horizontal="left"/>
    </xf>
    <xf numFmtId="206" fontId="73" fillId="0" borderId="0" applyNumberFormat="0" applyFill="0" applyBorder="0" applyAlignment="0" applyProtection="0">
      <alignment horizontal="left"/>
    </xf>
    <xf numFmtId="206" fontId="76" fillId="0" borderId="0" applyNumberFormat="0" applyFill="0" applyBorder="0" applyAlignment="0" applyProtection="0">
      <alignment horizontal="left"/>
    </xf>
    <xf numFmtId="206" fontId="81" fillId="0" borderId="0" applyNumberFormat="0" applyFill="0" applyBorder="0" applyAlignment="0" applyProtection="0">
      <alignment horizontal="left"/>
    </xf>
    <xf numFmtId="206" fontId="73" fillId="0" borderId="0" applyNumberFormat="0" applyFill="0" applyBorder="0" applyAlignment="0" applyProtection="0">
      <alignment horizontal="left"/>
    </xf>
    <xf numFmtId="206" fontId="76" fillId="0" borderId="0" applyNumberFormat="0" applyFill="0" applyBorder="0" applyAlignment="0" applyProtection="0">
      <alignment horizontal="left"/>
    </xf>
    <xf numFmtId="206" fontId="81" fillId="0" borderId="0" applyNumberFormat="0" applyFill="0" applyBorder="0" applyAlignment="0" applyProtection="0">
      <alignment horizontal="left"/>
    </xf>
    <xf numFmtId="0" fontId="47" fillId="8" borderId="0" applyNumberFormat="0"/>
    <xf numFmtId="0" fontId="48" fillId="0" borderId="2">
      <alignment horizontal="center"/>
    </xf>
    <xf numFmtId="0" fontId="48" fillId="0" borderId="0">
      <alignment horizontal="center" vertical="center"/>
    </xf>
    <xf numFmtId="0" fontId="49" fillId="9" borderId="0" applyNumberFormat="0" applyFill="0">
      <alignment horizontal="left" vertical="center"/>
    </xf>
    <xf numFmtId="0" fontId="43" fillId="0" borderId="0"/>
    <xf numFmtId="40" fontId="50" fillId="0" borderId="0" applyBorder="0">
      <alignment horizontal="right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83" fillId="0" borderId="0"/>
    <xf numFmtId="0" fontId="83" fillId="0" borderId="0"/>
    <xf numFmtId="0" fontId="83" fillId="0" borderId="0"/>
    <xf numFmtId="0" fontId="63" fillId="0" borderId="0"/>
    <xf numFmtId="0" fontId="63" fillId="0" borderId="0"/>
    <xf numFmtId="0" fontId="63" fillId="0" borderId="0"/>
    <xf numFmtId="0" fontId="1" fillId="0" borderId="0"/>
    <xf numFmtId="0" fontId="63" fillId="0" borderId="0"/>
    <xf numFmtId="0" fontId="83" fillId="0" borderId="0"/>
    <xf numFmtId="0" fontId="5" fillId="0" borderId="0"/>
    <xf numFmtId="0" fontId="9" fillId="0" borderId="0"/>
    <xf numFmtId="0" fontId="83" fillId="0" borderId="0"/>
    <xf numFmtId="0" fontId="5" fillId="0" borderId="0"/>
    <xf numFmtId="0" fontId="9" fillId="0" borderId="0" applyNumberFormat="0" applyFill="0" applyBorder="0" applyAlignment="0" applyProtection="0"/>
    <xf numFmtId="0" fontId="84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75" fillId="0" borderId="0" applyNumberFormat="0" applyFill="0" applyBorder="0" applyAlignment="0" applyProtection="0">
      <alignment vertical="top"/>
      <protection locked="0"/>
    </xf>
    <xf numFmtId="0" fontId="79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0" fontId="75" fillId="0" borderId="0" applyNumberFormat="0" applyFill="0" applyBorder="0" applyAlignment="0" applyProtection="0">
      <alignment vertical="top"/>
      <protection locked="0"/>
    </xf>
    <xf numFmtId="0" fontId="79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7" fillId="0" borderId="0" applyFill="0" applyBorder="0" applyAlignment="0"/>
    <xf numFmtId="0" fontId="66" fillId="0" borderId="0" applyFill="0" applyBorder="0" applyAlignment="0"/>
    <xf numFmtId="0" fontId="74" fillId="0" borderId="0" applyFill="0" applyBorder="0" applyAlignment="0"/>
    <xf numFmtId="0" fontId="78" fillId="0" borderId="0" applyFill="0" applyBorder="0" applyAlignment="0"/>
    <xf numFmtId="0" fontId="80" fillId="0" borderId="0" applyFill="0" applyBorder="0" applyAlignment="0"/>
    <xf numFmtId="0" fontId="74" fillId="0" borderId="0" applyFill="0" applyBorder="0" applyAlignment="0"/>
    <xf numFmtId="0" fontId="78" fillId="0" borderId="0" applyFill="0" applyBorder="0" applyAlignment="0"/>
    <xf numFmtId="0" fontId="80" fillId="0" borderId="0" applyFill="0" applyBorder="0" applyAlignment="0"/>
    <xf numFmtId="180" fontId="5" fillId="0" borderId="0" applyFont="0" applyFill="0" applyBorder="0" applyAlignment="0" applyProtection="0"/>
    <xf numFmtId="182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81" fontId="5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8" fontId="9" fillId="0" borderId="0" applyFont="0" applyFill="0" applyBorder="0" applyAlignment="0" applyProtection="0"/>
    <xf numFmtId="192" fontId="5" fillId="0" borderId="0"/>
    <xf numFmtId="43" fontId="63" fillId="0" borderId="0"/>
    <xf numFmtId="43" fontId="5" fillId="0" borderId="0"/>
    <xf numFmtId="0" fontId="14" fillId="0" borderId="0"/>
    <xf numFmtId="0" fontId="86" fillId="0" borderId="0"/>
    <xf numFmtId="0" fontId="3" fillId="0" borderId="0"/>
    <xf numFmtId="189" fontId="3" fillId="0" borderId="2" applyNumberFormat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/>
  </cellStyleXfs>
  <cellXfs count="582">
    <xf numFmtId="0" fontId="0" fillId="0" borderId="0" xfId="0"/>
    <xf numFmtId="49" fontId="4" fillId="0" borderId="2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49" fontId="7" fillId="0" borderId="6" xfId="0" applyNumberFormat="1" applyFont="1" applyFill="1" applyBorder="1" applyAlignment="1">
      <alignment horizontal="left" vertical="center"/>
    </xf>
    <xf numFmtId="178" fontId="4" fillId="0" borderId="2" xfId="195" applyFont="1" applyFill="1" applyBorder="1" applyAlignment="1">
      <alignment horizontal="right" vertical="center" shrinkToFit="1"/>
    </xf>
    <xf numFmtId="178" fontId="4" fillId="0" borderId="6" xfId="195" applyFont="1" applyFill="1" applyBorder="1" applyAlignment="1">
      <alignment horizontal="right" vertical="center" shrinkToFit="1"/>
    </xf>
    <xf numFmtId="0" fontId="4" fillId="0" borderId="2" xfId="0" applyFont="1" applyFill="1" applyBorder="1" applyAlignment="1">
      <alignment horizontal="left" vertical="center" shrinkToFit="1"/>
    </xf>
    <xf numFmtId="0" fontId="4" fillId="0" borderId="2" xfId="0" applyFont="1" applyFill="1" applyBorder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0" fontId="4" fillId="0" borderId="7" xfId="166" applyFont="1" applyBorder="1" applyAlignment="1">
      <alignment vertical="center" shrinkToFit="1"/>
    </xf>
    <xf numFmtId="0" fontId="56" fillId="0" borderId="7" xfId="0" applyFon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0" fontId="4" fillId="10" borderId="2" xfId="0" applyFont="1" applyFill="1" applyBorder="1" applyAlignment="1">
      <alignment horizontal="left" vertical="center"/>
    </xf>
    <xf numFmtId="0" fontId="0" fillId="11" borderId="0" xfId="0" applyFill="1" applyProtection="1"/>
    <xf numFmtId="0" fontId="0" fillId="11" borderId="0" xfId="0" applyFill="1" applyAlignment="1" applyProtection="1">
      <alignment horizontal="center"/>
    </xf>
    <xf numFmtId="0" fontId="0" fillId="11" borderId="0" xfId="0" applyFill="1" applyBorder="1" applyProtection="1"/>
    <xf numFmtId="0" fontId="94" fillId="0" borderId="2" xfId="169" applyFont="1" applyFill="1" applyBorder="1" applyAlignment="1" applyProtection="1">
      <protection locked="0"/>
    </xf>
    <xf numFmtId="49" fontId="6" fillId="0" borderId="2" xfId="0" applyNumberFormat="1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4" fillId="12" borderId="2" xfId="0" applyFont="1" applyFill="1" applyBorder="1" applyProtection="1">
      <protection locked="0"/>
    </xf>
    <xf numFmtId="0" fontId="94" fillId="0" borderId="8" xfId="169" applyFont="1" applyFill="1" applyBorder="1" applyAlignment="1" applyProtection="1">
      <protection locked="0"/>
    </xf>
    <xf numFmtId="49" fontId="6" fillId="0" borderId="8" xfId="0" applyNumberFormat="1" applyFont="1" applyFill="1" applyBorder="1" applyProtection="1">
      <protection locked="0"/>
    </xf>
    <xf numFmtId="0" fontId="0" fillId="12" borderId="8" xfId="0" applyFill="1" applyBorder="1" applyProtection="1"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54" fillId="11" borderId="9" xfId="0" applyFont="1" applyFill="1" applyBorder="1" applyAlignment="1">
      <alignment vertical="center"/>
    </xf>
    <xf numFmtId="0" fontId="54" fillId="11" borderId="9" xfId="0" applyFont="1" applyFill="1" applyBorder="1" applyAlignment="1">
      <alignment vertical="center" shrinkToFit="1"/>
    </xf>
    <xf numFmtId="178" fontId="4" fillId="0" borderId="2" xfId="195" applyFont="1" applyFill="1" applyBorder="1" applyAlignment="1" applyProtection="1">
      <alignment horizontal="right" vertical="center" shrinkToFit="1"/>
    </xf>
    <xf numFmtId="183" fontId="4" fillId="13" borderId="2" xfId="195" applyNumberFormat="1" applyFont="1" applyFill="1" applyBorder="1" applyAlignment="1">
      <alignment horizontal="right" vertical="center" shrinkToFit="1"/>
    </xf>
    <xf numFmtId="178" fontId="4" fillId="13" borderId="2" xfId="195" applyFont="1" applyFill="1" applyBorder="1" applyAlignment="1">
      <alignment horizontal="right" vertical="center"/>
    </xf>
    <xf numFmtId="0" fontId="4" fillId="13" borderId="2" xfId="0" applyFont="1" applyFill="1" applyBorder="1" applyAlignment="1">
      <alignment vertical="center" shrinkToFit="1"/>
    </xf>
    <xf numFmtId="178" fontId="4" fillId="13" borderId="2" xfId="195" applyFont="1" applyFill="1" applyBorder="1" applyAlignment="1">
      <alignment horizontal="right" vertical="center" shrinkToFit="1"/>
    </xf>
    <xf numFmtId="178" fontId="4" fillId="13" borderId="6" xfId="195" applyFont="1" applyFill="1" applyBorder="1" applyAlignment="1">
      <alignment horizontal="right" vertical="center"/>
    </xf>
    <xf numFmtId="0" fontId="94" fillId="0" borderId="2" xfId="169" applyFont="1" applyFill="1" applyBorder="1" applyAlignment="1" applyProtection="1">
      <alignment horizontal="left"/>
      <protection locked="0"/>
    </xf>
    <xf numFmtId="49" fontId="6" fillId="0" borderId="2" xfId="0" applyNumberFormat="1" applyFont="1" applyFill="1" applyBorder="1" applyAlignment="1" applyProtection="1">
      <alignment horizontal="left"/>
      <protection locked="0"/>
    </xf>
    <xf numFmtId="0" fontId="94" fillId="0" borderId="8" xfId="169" applyFont="1" applyFill="1" applyBorder="1" applyAlignment="1" applyProtection="1">
      <alignment horizontal="left"/>
      <protection locked="0"/>
    </xf>
    <xf numFmtId="0" fontId="4" fillId="14" borderId="0" xfId="0" applyNumberFormat="1" applyFont="1" applyFill="1" applyAlignment="1" applyProtection="1">
      <alignment vertical="center" shrinkToFit="1"/>
    </xf>
    <xf numFmtId="0" fontId="4" fillId="14" borderId="0" xfId="0" applyNumberFormat="1" applyFont="1" applyFill="1" applyAlignment="1" applyProtection="1">
      <alignment vertical="center"/>
    </xf>
    <xf numFmtId="184" fontId="4" fillId="13" borderId="2" xfId="195" applyNumberFormat="1" applyFont="1" applyFill="1" applyBorder="1" applyAlignment="1">
      <alignment horizontal="right" vertical="center" shrinkToFit="1"/>
    </xf>
    <xf numFmtId="0" fontId="4" fillId="13" borderId="2" xfId="0" applyFont="1" applyFill="1" applyBorder="1" applyAlignment="1">
      <alignment vertical="center"/>
    </xf>
    <xf numFmtId="185" fontId="4" fillId="14" borderId="0" xfId="0" applyNumberFormat="1" applyFont="1" applyFill="1" applyAlignment="1">
      <alignment horizontal="center" vertical="center"/>
    </xf>
    <xf numFmtId="185" fontId="4" fillId="14" borderId="0" xfId="0" applyNumberFormat="1" applyFont="1" applyFill="1" applyAlignment="1">
      <alignment vertical="center"/>
    </xf>
    <xf numFmtId="0" fontId="4" fillId="14" borderId="0" xfId="0" applyFont="1" applyFill="1" applyAlignment="1">
      <alignment vertical="center"/>
    </xf>
    <xf numFmtId="49" fontId="4" fillId="14" borderId="2" xfId="0" applyNumberFormat="1" applyFont="1" applyFill="1" applyBorder="1" applyAlignment="1">
      <alignment horizontal="center" vertical="center"/>
    </xf>
    <xf numFmtId="49" fontId="7" fillId="14" borderId="10" xfId="0" applyNumberFormat="1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61" fillId="14" borderId="11" xfId="161" applyFont="1" applyFill="1" applyBorder="1" applyAlignment="1" applyProtection="1">
      <alignment horizontal="left" vertical="center" indent="1"/>
      <protection hidden="1"/>
    </xf>
    <xf numFmtId="0" fontId="61" fillId="14" borderId="12" xfId="161" applyFont="1" applyFill="1" applyBorder="1" applyAlignment="1" applyProtection="1">
      <alignment horizontal="center" vertical="center" wrapText="1"/>
      <protection hidden="1"/>
    </xf>
    <xf numFmtId="0" fontId="61" fillId="14" borderId="12" xfId="161" applyFont="1" applyFill="1" applyBorder="1" applyAlignment="1" applyProtection="1">
      <alignment horizontal="center" vertical="center"/>
      <protection hidden="1"/>
    </xf>
    <xf numFmtId="0" fontId="61" fillId="14" borderId="13" xfId="161" applyFont="1" applyFill="1" applyBorder="1" applyAlignment="1" applyProtection="1">
      <alignment horizontal="center" vertical="center" wrapText="1"/>
      <protection hidden="1"/>
    </xf>
    <xf numFmtId="0" fontId="61" fillId="14" borderId="11" xfId="161" applyFont="1" applyFill="1" applyBorder="1" applyAlignment="1" applyProtection="1">
      <alignment horizontal="center" vertical="center"/>
      <protection hidden="1"/>
    </xf>
    <xf numFmtId="0" fontId="62" fillId="14" borderId="14" xfId="0" applyFont="1" applyFill="1" applyBorder="1" applyAlignment="1" applyProtection="1">
      <alignment horizontal="right"/>
    </xf>
    <xf numFmtId="0" fontId="4" fillId="14" borderId="15" xfId="0" applyFont="1" applyFill="1" applyBorder="1" applyAlignment="1" applyProtection="1">
      <alignment horizontal="center"/>
    </xf>
    <xf numFmtId="0" fontId="62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0" fontId="0" fillId="14" borderId="16" xfId="0" applyFill="1" applyBorder="1" applyProtection="1"/>
    <xf numFmtId="0" fontId="0" fillId="14" borderId="17" xfId="0" applyFill="1" applyBorder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center"/>
    </xf>
    <xf numFmtId="0" fontId="0" fillId="14" borderId="0" xfId="0" applyFill="1" applyBorder="1" applyProtection="1"/>
    <xf numFmtId="0" fontId="0" fillId="14" borderId="18" xfId="0" applyFill="1" applyBorder="1" applyProtection="1"/>
    <xf numFmtId="0" fontId="62" fillId="14" borderId="17" xfId="0" applyFont="1" applyFill="1" applyBorder="1" applyAlignment="1" applyProtection="1">
      <alignment horizontal="right" vertical="center"/>
    </xf>
    <xf numFmtId="0" fontId="62" fillId="14" borderId="0" xfId="0" applyFont="1" applyFill="1" applyBorder="1" applyAlignment="1" applyProtection="1">
      <alignment horizontal="right" vertical="center"/>
    </xf>
    <xf numFmtId="0" fontId="62" fillId="14" borderId="18" xfId="0" applyFont="1" applyFill="1" applyBorder="1" applyAlignment="1" applyProtection="1">
      <alignment horizontal="right" vertical="center"/>
    </xf>
    <xf numFmtId="0" fontId="62" fillId="14" borderId="19" xfId="0" applyFont="1" applyFill="1" applyBorder="1" applyAlignment="1" applyProtection="1">
      <alignment horizontal="right" vertical="center"/>
    </xf>
    <xf numFmtId="0" fontId="62" fillId="14" borderId="20" xfId="0" applyFont="1" applyFill="1" applyBorder="1" applyAlignment="1" applyProtection="1">
      <alignment horizontal="right" vertical="center"/>
    </xf>
    <xf numFmtId="0" fontId="62" fillId="14" borderId="21" xfId="0" applyFont="1" applyFill="1" applyBorder="1" applyAlignment="1" applyProtection="1">
      <alignment horizontal="right" vertical="center"/>
    </xf>
    <xf numFmtId="0" fontId="0" fillId="14" borderId="0" xfId="0" applyFill="1" applyBorder="1" applyAlignment="1" applyProtection="1">
      <alignment horizontal="center"/>
    </xf>
    <xf numFmtId="0" fontId="95" fillId="14" borderId="22" xfId="0" applyFont="1" applyFill="1" applyBorder="1" applyAlignment="1" applyProtection="1">
      <alignment horizontal="center" vertical="center" wrapText="1"/>
      <protection locked="0"/>
    </xf>
    <xf numFmtId="0" fontId="61" fillId="14" borderId="22" xfId="0" applyFont="1" applyFill="1" applyBorder="1" applyAlignment="1" applyProtection="1">
      <alignment horizontal="center" vertical="center"/>
    </xf>
    <xf numFmtId="0" fontId="61" fillId="14" borderId="23" xfId="0" applyFont="1" applyFill="1" applyBorder="1" applyAlignment="1" applyProtection="1">
      <alignment horizontal="center" vertical="center"/>
    </xf>
    <xf numFmtId="0" fontId="62" fillId="14" borderId="8" xfId="0" applyFont="1" applyFill="1" applyBorder="1" applyAlignment="1" applyProtection="1">
      <alignment horizontal="center" vertical="center"/>
    </xf>
    <xf numFmtId="0" fontId="62" fillId="15" borderId="0" xfId="0" applyFont="1" applyFill="1" applyAlignment="1" applyProtection="1">
      <alignment horizontal="right"/>
    </xf>
    <xf numFmtId="0" fontId="4" fillId="15" borderId="0" xfId="0" applyFont="1" applyFill="1" applyProtection="1"/>
    <xf numFmtId="0" fontId="4" fillId="15" borderId="0" xfId="0" applyFont="1" applyFill="1" applyAlignment="1" applyProtection="1">
      <alignment horizontal="center"/>
    </xf>
    <xf numFmtId="0" fontId="0" fillId="15" borderId="0" xfId="0" applyFill="1" applyProtection="1"/>
    <xf numFmtId="0" fontId="96" fillId="14" borderId="24" xfId="0" applyFont="1" applyFill="1" applyBorder="1" applyAlignment="1" applyProtection="1">
      <alignment horizontal="center"/>
      <protection locked="0"/>
    </xf>
    <xf numFmtId="0" fontId="96" fillId="14" borderId="25" xfId="0" applyFont="1" applyFill="1" applyBorder="1" applyAlignment="1" applyProtection="1">
      <alignment horizontal="center"/>
      <protection locked="0"/>
    </xf>
    <xf numFmtId="0" fontId="29" fillId="11" borderId="0" xfId="0" applyFont="1" applyFill="1" applyAlignment="1">
      <alignment vertical="center"/>
    </xf>
    <xf numFmtId="0" fontId="4" fillId="11" borderId="0" xfId="0" applyFont="1" applyFill="1" applyAlignment="1">
      <alignment vertical="center"/>
    </xf>
    <xf numFmtId="0" fontId="7" fillId="11" borderId="0" xfId="0" applyFont="1" applyFill="1" applyAlignment="1">
      <alignment horizontal="center" vertical="center"/>
    </xf>
    <xf numFmtId="49" fontId="4" fillId="11" borderId="0" xfId="0" applyNumberFormat="1" applyFont="1" applyFill="1" applyAlignment="1">
      <alignment vertical="center"/>
    </xf>
    <xf numFmtId="185" fontId="7" fillId="14" borderId="0" xfId="0" applyNumberFormat="1" applyFont="1" applyFill="1" applyAlignment="1">
      <alignment horizontal="center" vertical="center"/>
    </xf>
    <xf numFmtId="185" fontId="4" fillId="14" borderId="0" xfId="0" applyNumberFormat="1" applyFont="1" applyFill="1" applyAlignment="1">
      <alignment horizontal="right" vertical="center"/>
    </xf>
    <xf numFmtId="0" fontId="7" fillId="13" borderId="6" xfId="0" applyFont="1" applyFill="1" applyBorder="1" applyAlignment="1">
      <alignment horizontal="center" vertical="center" shrinkToFit="1"/>
    </xf>
    <xf numFmtId="0" fontId="97" fillId="16" borderId="14" xfId="0" applyFont="1" applyFill="1" applyBorder="1" applyProtection="1"/>
    <xf numFmtId="0" fontId="97" fillId="16" borderId="15" xfId="0" applyFont="1" applyFill="1" applyBorder="1" applyProtection="1"/>
    <xf numFmtId="0" fontId="97" fillId="16" borderId="15" xfId="0" applyFont="1" applyFill="1" applyBorder="1" applyAlignment="1" applyProtection="1">
      <alignment horizontal="center"/>
    </xf>
    <xf numFmtId="0" fontId="97" fillId="16" borderId="16" xfId="0" applyFont="1" applyFill="1" applyBorder="1" applyProtection="1"/>
    <xf numFmtId="0" fontId="97" fillId="16" borderId="19" xfId="0" applyFont="1" applyFill="1" applyBorder="1" applyProtection="1"/>
    <xf numFmtId="0" fontId="97" fillId="16" borderId="20" xfId="0" applyFont="1" applyFill="1" applyBorder="1" applyProtection="1"/>
    <xf numFmtId="0" fontId="97" fillId="16" borderId="20" xfId="0" applyFont="1" applyFill="1" applyBorder="1" applyAlignment="1" applyProtection="1">
      <alignment horizontal="center"/>
    </xf>
    <xf numFmtId="0" fontId="97" fillId="16" borderId="21" xfId="0" applyFont="1" applyFill="1" applyBorder="1" applyProtection="1"/>
    <xf numFmtId="0" fontId="27" fillId="11" borderId="0" xfId="0" applyFont="1" applyFill="1" applyAlignment="1">
      <alignment vertical="center"/>
    </xf>
    <xf numFmtId="0" fontId="26" fillId="11" borderId="0" xfId="0" applyFont="1" applyFill="1" applyAlignment="1">
      <alignment horizontal="center" vertical="center"/>
    </xf>
    <xf numFmtId="0" fontId="27" fillId="11" borderId="0" xfId="0" applyFont="1" applyFill="1"/>
    <xf numFmtId="0" fontId="30" fillId="11" borderId="0" xfId="0" applyFont="1" applyFill="1" applyAlignment="1">
      <alignment vertical="center"/>
    </xf>
    <xf numFmtId="0" fontId="20" fillId="0" borderId="2" xfId="0" applyFont="1" applyFill="1" applyBorder="1" applyAlignment="1">
      <alignment horizontal="center" vertical="center"/>
    </xf>
    <xf numFmtId="0" fontId="59" fillId="0" borderId="2" xfId="169" applyFont="1" applyFill="1" applyBorder="1" applyAlignment="1" applyProtection="1">
      <alignment horizontal="left" vertical="center" indent="1"/>
    </xf>
    <xf numFmtId="0" fontId="4" fillId="11" borderId="0" xfId="0" applyFont="1" applyFill="1" applyAlignment="1">
      <alignment horizontal="center" vertical="center"/>
    </xf>
    <xf numFmtId="0" fontId="25" fillId="11" borderId="0" xfId="0" applyFont="1" applyFill="1" applyAlignment="1">
      <alignment vertical="center"/>
    </xf>
    <xf numFmtId="0" fontId="4" fillId="11" borderId="0" xfId="0" applyFont="1" applyFill="1" applyAlignment="1"/>
    <xf numFmtId="0" fontId="7" fillId="11" borderId="0" xfId="0" applyFont="1" applyFill="1" applyAlignment="1">
      <alignment vertical="center"/>
    </xf>
    <xf numFmtId="49" fontId="7" fillId="11" borderId="0" xfId="0" applyNumberFormat="1" applyFont="1" applyFill="1" applyAlignment="1">
      <alignment vertical="center"/>
    </xf>
    <xf numFmtId="0" fontId="7" fillId="11" borderId="9" xfId="0" applyFont="1" applyFill="1" applyBorder="1" applyAlignment="1">
      <alignment vertical="center"/>
    </xf>
    <xf numFmtId="0" fontId="4" fillId="11" borderId="0" xfId="0" applyNumberFormat="1" applyFont="1" applyFill="1" applyAlignment="1">
      <alignment vertical="center"/>
    </xf>
    <xf numFmtId="0" fontId="19" fillId="0" borderId="6" xfId="169" applyFont="1" applyFill="1" applyBorder="1" applyAlignment="1" applyProtection="1">
      <alignment horizontal="left" vertical="center" indent="1"/>
    </xf>
    <xf numFmtId="49" fontId="4" fillId="0" borderId="10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13" borderId="2" xfId="0" applyFont="1" applyFill="1" applyBorder="1" applyAlignment="1">
      <alignment horizontal="center" vertical="center"/>
    </xf>
    <xf numFmtId="185" fontId="27" fillId="14" borderId="0" xfId="0" applyNumberFormat="1" applyFont="1" applyFill="1" applyAlignment="1">
      <alignment vertical="center"/>
    </xf>
    <xf numFmtId="185" fontId="60" fillId="14" borderId="0" xfId="0" applyNumberFormat="1" applyFont="1" applyFill="1" applyAlignment="1">
      <alignment horizontal="right" vertical="center"/>
    </xf>
    <xf numFmtId="185" fontId="27" fillId="14" borderId="0" xfId="0" applyNumberFormat="1" applyFont="1" applyFill="1" applyAlignment="1">
      <alignment horizontal="left" vertical="center"/>
    </xf>
    <xf numFmtId="185" fontId="27" fillId="14" borderId="0" xfId="0" applyNumberFormat="1" applyFont="1" applyFill="1" applyAlignment="1">
      <alignment horizontal="center" vertical="center"/>
    </xf>
    <xf numFmtId="185" fontId="4" fillId="14" borderId="0" xfId="0" applyNumberFormat="1" applyFont="1" applyFill="1" applyAlignment="1">
      <alignment horizontal="right" vertical="top"/>
    </xf>
    <xf numFmtId="185" fontId="18" fillId="14" borderId="0" xfId="0" applyNumberFormat="1" applyFont="1" applyFill="1" applyAlignment="1">
      <alignment vertical="center"/>
    </xf>
    <xf numFmtId="0" fontId="27" fillId="14" borderId="0" xfId="0" applyFont="1" applyFill="1" applyAlignment="1">
      <alignment vertical="center"/>
    </xf>
    <xf numFmtId="0" fontId="60" fillId="14" borderId="0" xfId="0" applyFont="1" applyFill="1" applyAlignment="1">
      <alignment horizontal="right" vertical="top"/>
    </xf>
    <xf numFmtId="0" fontId="60" fillId="14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7" fillId="14" borderId="0" xfId="0" applyFont="1" applyFill="1" applyAlignment="1">
      <alignment horizontal="right" vertical="center"/>
    </xf>
    <xf numFmtId="0" fontId="19" fillId="14" borderId="6" xfId="0" applyFont="1" applyFill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185" fontId="4" fillId="14" borderId="26" xfId="0" applyNumberFormat="1" applyFont="1" applyFill="1" applyBorder="1" applyAlignment="1">
      <alignment vertical="center"/>
    </xf>
    <xf numFmtId="0" fontId="7" fillId="14" borderId="0" xfId="0" applyFont="1" applyFill="1" applyAlignment="1">
      <alignment vertical="center"/>
    </xf>
    <xf numFmtId="0" fontId="20" fillId="14" borderId="0" xfId="0" applyFont="1" applyFill="1" applyBorder="1" applyAlignment="1">
      <alignment horizontal="right" vertical="center"/>
    </xf>
    <xf numFmtId="0" fontId="20" fillId="14" borderId="2" xfId="0" applyFont="1" applyFill="1" applyBorder="1" applyAlignment="1">
      <alignment horizontal="center" vertical="center"/>
    </xf>
    <xf numFmtId="0" fontId="20" fillId="14" borderId="6" xfId="0" applyFont="1" applyFill="1" applyBorder="1" applyAlignment="1">
      <alignment horizontal="center" vertical="center"/>
    </xf>
    <xf numFmtId="0" fontId="19" fillId="14" borderId="2" xfId="0" applyFont="1" applyFill="1" applyBorder="1" applyAlignment="1">
      <alignment horizontal="center" vertical="center"/>
    </xf>
    <xf numFmtId="185" fontId="4" fillId="14" borderId="0" xfId="0" applyNumberFormat="1" applyFont="1" applyFill="1" applyAlignment="1">
      <alignment horizontal="center" vertical="center" shrinkToFit="1"/>
    </xf>
    <xf numFmtId="185" fontId="4" fillId="14" borderId="0" xfId="0" applyNumberFormat="1" applyFont="1" applyFill="1" applyAlignment="1">
      <alignment horizontal="right" vertical="center" shrinkToFit="1"/>
    </xf>
    <xf numFmtId="49" fontId="7" fillId="14" borderId="10" xfId="0" applyNumberFormat="1" applyFont="1" applyFill="1" applyBorder="1" applyAlignment="1">
      <alignment horizontal="center" vertical="center" shrinkToFit="1"/>
    </xf>
    <xf numFmtId="49" fontId="4" fillId="14" borderId="2" xfId="0" applyNumberFormat="1" applyFont="1" applyFill="1" applyBorder="1" applyAlignment="1">
      <alignment horizontal="center" vertical="center" shrinkToFit="1"/>
    </xf>
    <xf numFmtId="0" fontId="4" fillId="11" borderId="0" xfId="0" applyFont="1" applyFill="1" applyAlignment="1">
      <alignment vertical="center" shrinkToFit="1"/>
    </xf>
    <xf numFmtId="0" fontId="4" fillId="11" borderId="0" xfId="0" applyFont="1" applyFill="1" applyAlignment="1">
      <alignment horizontal="center" vertical="center" shrinkToFit="1"/>
    </xf>
    <xf numFmtId="0" fontId="4" fillId="11" borderId="0" xfId="0" applyNumberFormat="1" applyFont="1" applyFill="1" applyAlignment="1">
      <alignment horizontal="center" vertical="center"/>
    </xf>
    <xf numFmtId="183" fontId="4" fillId="11" borderId="0" xfId="0" applyNumberFormat="1" applyFont="1" applyFill="1" applyAlignment="1">
      <alignment vertical="center"/>
    </xf>
    <xf numFmtId="183" fontId="4" fillId="11" borderId="0" xfId="0" applyNumberFormat="1" applyFont="1" applyFill="1" applyAlignment="1">
      <alignment vertical="center" shrinkToFit="1"/>
    </xf>
    <xf numFmtId="0" fontId="4" fillId="11" borderId="9" xfId="0" applyFont="1" applyFill="1" applyBorder="1" applyAlignment="1">
      <alignment vertical="center"/>
    </xf>
    <xf numFmtId="0" fontId="4" fillId="11" borderId="0" xfId="0" applyFont="1" applyFill="1" applyBorder="1" applyAlignment="1">
      <alignment vertical="center"/>
    </xf>
    <xf numFmtId="0" fontId="4" fillId="11" borderId="0" xfId="163" applyFont="1" applyFill="1" applyAlignment="1">
      <alignment vertical="center"/>
    </xf>
    <xf numFmtId="49" fontId="4" fillId="11" borderId="0" xfId="0" applyNumberFormat="1" applyFont="1" applyFill="1" applyAlignment="1">
      <alignment horizontal="center" vertical="center"/>
    </xf>
    <xf numFmtId="0" fontId="4" fillId="0" borderId="2" xfId="0" applyFont="1" applyFill="1" applyBorder="1" applyAlignment="1">
      <alignment horizontal="right" vertical="center" shrinkToFit="1"/>
    </xf>
    <xf numFmtId="178" fontId="7" fillId="0" borderId="2" xfId="195" applyFont="1" applyFill="1" applyBorder="1" applyAlignment="1">
      <alignment horizontal="center" vertical="center" shrinkToFit="1"/>
    </xf>
    <xf numFmtId="14" fontId="4" fillId="0" borderId="2" xfId="0" applyNumberFormat="1" applyFont="1" applyFill="1" applyBorder="1" applyAlignment="1">
      <alignment horizontal="center" vertical="center" shrinkToFit="1"/>
    </xf>
    <xf numFmtId="178" fontId="4" fillId="0" borderId="2" xfId="195" applyFont="1" applyFill="1" applyBorder="1" applyAlignment="1">
      <alignment horizontal="center" vertical="center" shrinkToFit="1"/>
    </xf>
    <xf numFmtId="178" fontId="4" fillId="0" borderId="2" xfId="195" applyFont="1" applyFill="1" applyBorder="1" applyAlignment="1">
      <alignment vertical="center" shrinkToFit="1"/>
    </xf>
    <xf numFmtId="49" fontId="4" fillId="0" borderId="2" xfId="0" applyNumberFormat="1" applyFont="1" applyFill="1" applyBorder="1" applyAlignment="1">
      <alignment horizontal="center" vertical="center" shrinkToFit="1"/>
    </xf>
    <xf numFmtId="49" fontId="4" fillId="0" borderId="2" xfId="0" applyNumberFormat="1" applyFont="1" applyFill="1" applyBorder="1" applyAlignment="1">
      <alignment horizontal="left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178" fontId="4" fillId="0" borderId="0" xfId="195" applyFont="1" applyFill="1" applyAlignment="1">
      <alignment vertical="center" shrinkToFit="1"/>
    </xf>
    <xf numFmtId="0" fontId="7" fillId="0" borderId="2" xfId="0" applyFont="1" applyFill="1" applyBorder="1" applyAlignment="1">
      <alignment horizontal="left" vertical="center" shrinkToFit="1"/>
    </xf>
    <xf numFmtId="178" fontId="4" fillId="0" borderId="0" xfId="195" applyFont="1" applyFill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left" vertical="center" shrinkToFit="1"/>
    </xf>
    <xf numFmtId="49" fontId="7" fillId="0" borderId="2" xfId="0" applyNumberFormat="1" applyFont="1" applyFill="1" applyBorder="1" applyAlignment="1">
      <alignment horizontal="left" vertical="center" shrinkToFit="1"/>
    </xf>
    <xf numFmtId="0" fontId="4" fillId="0" borderId="2" xfId="195" applyNumberFormat="1" applyFont="1" applyFill="1" applyBorder="1" applyAlignment="1">
      <alignment vertical="center" shrinkToFit="1"/>
    </xf>
    <xf numFmtId="49" fontId="4" fillId="0" borderId="2" xfId="195" applyNumberFormat="1" applyFont="1" applyFill="1" applyBorder="1" applyAlignment="1">
      <alignment vertical="center" shrinkToFit="1"/>
    </xf>
    <xf numFmtId="49" fontId="7" fillId="0" borderId="2" xfId="0" applyNumberFormat="1" applyFont="1" applyFill="1" applyBorder="1" applyAlignment="1">
      <alignment horizontal="center" vertical="center"/>
    </xf>
    <xf numFmtId="185" fontId="4" fillId="14" borderId="0" xfId="0" applyNumberFormat="1" applyFont="1" applyFill="1" applyBorder="1" applyAlignment="1">
      <alignment horizontal="center" vertical="center"/>
    </xf>
    <xf numFmtId="0" fontId="4" fillId="14" borderId="0" xfId="0" applyNumberFormat="1" applyFont="1" applyFill="1" applyBorder="1" applyAlignment="1">
      <alignment horizontal="center" vertical="center"/>
    </xf>
    <xf numFmtId="0" fontId="4" fillId="14" borderId="0" xfId="0" applyNumberFormat="1" applyFont="1" applyFill="1" applyBorder="1" applyAlignment="1">
      <alignment horizontal="center" vertical="center" shrinkToFit="1"/>
    </xf>
    <xf numFmtId="0" fontId="4" fillId="14" borderId="0" xfId="0" applyNumberFormat="1" applyFont="1" applyFill="1" applyBorder="1" applyAlignment="1">
      <alignment vertical="center"/>
    </xf>
    <xf numFmtId="0" fontId="4" fillId="14" borderId="0" xfId="0" applyNumberFormat="1" applyFont="1" applyFill="1" applyBorder="1" applyAlignment="1" applyProtection="1">
      <alignment vertical="center"/>
    </xf>
    <xf numFmtId="0" fontId="4" fillId="14" borderId="26" xfId="0" applyFont="1" applyFill="1" applyBorder="1" applyAlignment="1">
      <alignment vertical="center"/>
    </xf>
    <xf numFmtId="0" fontId="4" fillId="14" borderId="26" xfId="0" applyFont="1" applyFill="1" applyBorder="1" applyAlignment="1">
      <alignment vertical="center" shrinkToFit="1"/>
    </xf>
    <xf numFmtId="0" fontId="7" fillId="14" borderId="26" xfId="0" applyFont="1" applyFill="1" applyBorder="1" applyAlignment="1">
      <alignment vertical="center" shrinkToFit="1"/>
    </xf>
    <xf numFmtId="0" fontId="7" fillId="14" borderId="26" xfId="0" applyFont="1" applyFill="1" applyBorder="1" applyAlignment="1">
      <alignment vertical="center"/>
    </xf>
    <xf numFmtId="0" fontId="7" fillId="14" borderId="7" xfId="0" applyFont="1" applyFill="1" applyBorder="1" applyAlignment="1">
      <alignment horizontal="center" vertical="center" shrinkToFit="1"/>
    </xf>
    <xf numFmtId="185" fontId="7" fillId="14" borderId="0" xfId="0" applyNumberFormat="1" applyFont="1" applyFill="1" applyAlignment="1">
      <alignment horizontal="center" vertical="center" shrinkToFit="1"/>
    </xf>
    <xf numFmtId="0" fontId="4" fillId="14" borderId="0" xfId="0" applyNumberFormat="1" applyFont="1" applyFill="1" applyAlignment="1">
      <alignment horizontal="center" vertical="center"/>
    </xf>
    <xf numFmtId="0" fontId="4" fillId="14" borderId="0" xfId="0" applyNumberFormat="1" applyFont="1" applyFill="1" applyAlignment="1">
      <alignment horizontal="center" vertical="center" shrinkToFit="1"/>
    </xf>
    <xf numFmtId="0" fontId="4" fillId="14" borderId="0" xfId="0" applyFont="1" applyFill="1" applyAlignment="1">
      <alignment vertical="center" shrinkToFit="1"/>
    </xf>
    <xf numFmtId="0" fontId="58" fillId="14" borderId="2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 shrinkToFit="1"/>
    </xf>
    <xf numFmtId="0" fontId="4" fillId="14" borderId="0" xfId="0" applyNumberFormat="1" applyFont="1" applyFill="1" applyAlignment="1">
      <alignment vertical="center" shrinkToFit="1"/>
    </xf>
    <xf numFmtId="0" fontId="4" fillId="14" borderId="0" xfId="0" applyNumberFormat="1" applyFont="1" applyFill="1" applyAlignment="1">
      <alignment vertical="center"/>
    </xf>
    <xf numFmtId="0" fontId="4" fillId="14" borderId="0" xfId="0" applyNumberFormat="1" applyFont="1" applyFill="1" applyAlignment="1">
      <alignment horizontal="right" vertical="center"/>
    </xf>
    <xf numFmtId="183" fontId="4" fillId="14" borderId="0" xfId="0" applyNumberFormat="1" applyFont="1" applyFill="1" applyAlignment="1">
      <alignment vertical="center"/>
    </xf>
    <xf numFmtId="183" fontId="4" fillId="14" borderId="0" xfId="0" applyNumberFormat="1" applyFont="1" applyFill="1" applyAlignment="1">
      <alignment vertical="center" shrinkToFit="1"/>
    </xf>
    <xf numFmtId="183" fontId="7" fillId="14" borderId="2" xfId="0" applyNumberFormat="1" applyFont="1" applyFill="1" applyBorder="1" applyAlignment="1">
      <alignment horizontal="center" vertical="center"/>
    </xf>
    <xf numFmtId="183" fontId="7" fillId="14" borderId="2" xfId="0" applyNumberFormat="1" applyFont="1" applyFill="1" applyBorder="1" applyAlignment="1">
      <alignment horizontal="center" vertical="center" shrinkToFit="1"/>
    </xf>
    <xf numFmtId="183" fontId="4" fillId="14" borderId="0" xfId="0" applyNumberFormat="1" applyFont="1" applyFill="1" applyBorder="1" applyAlignment="1">
      <alignment horizontal="center" vertical="center" wrapText="1"/>
    </xf>
    <xf numFmtId="0" fontId="4" fillId="14" borderId="0" xfId="163" applyFont="1" applyFill="1" applyAlignment="1">
      <alignment vertical="center"/>
    </xf>
    <xf numFmtId="178" fontId="4" fillId="14" borderId="2" xfId="0" applyNumberFormat="1" applyFont="1" applyFill="1" applyBorder="1" applyAlignment="1">
      <alignment horizontal="right" vertical="center"/>
    </xf>
    <xf numFmtId="178" fontId="4" fillId="14" borderId="2" xfId="163" applyNumberFormat="1" applyFont="1" applyFill="1" applyBorder="1" applyAlignment="1">
      <alignment horizontal="center" vertical="center" wrapText="1"/>
    </xf>
    <xf numFmtId="0" fontId="4" fillId="14" borderId="0" xfId="0" applyNumberFormat="1" applyFont="1" applyFill="1" applyAlignment="1" applyProtection="1">
      <alignment horizontal="right" vertical="center"/>
    </xf>
    <xf numFmtId="0" fontId="7" fillId="14" borderId="2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 wrapText="1"/>
    </xf>
    <xf numFmtId="0" fontId="29" fillId="11" borderId="0" xfId="0" applyFont="1" applyFill="1" applyAlignment="1">
      <alignment horizontal="center" vertical="center" wrapText="1"/>
    </xf>
    <xf numFmtId="0" fontId="4" fillId="11" borderId="0" xfId="0" applyFont="1" applyFill="1" applyBorder="1" applyAlignment="1">
      <alignment horizontal="left" vertical="center"/>
    </xf>
    <xf numFmtId="0" fontId="0" fillId="11" borderId="0" xfId="0" applyFill="1"/>
    <xf numFmtId="0" fontId="0" fillId="11" borderId="0" xfId="0" applyFill="1" applyAlignment="1">
      <alignment shrinkToFit="1"/>
    </xf>
    <xf numFmtId="14" fontId="4" fillId="0" borderId="2" xfId="0" applyNumberFormat="1" applyFont="1" applyFill="1" applyBorder="1" applyAlignment="1">
      <alignment horizontal="right" vertical="center" shrinkToFit="1"/>
    </xf>
    <xf numFmtId="0" fontId="4" fillId="0" borderId="2" xfId="0" applyNumberFormat="1" applyFont="1" applyFill="1" applyBorder="1" applyAlignment="1">
      <alignment horizontal="right" vertical="center" shrinkToFit="1"/>
    </xf>
    <xf numFmtId="49" fontId="4" fillId="0" borderId="2" xfId="0" applyNumberFormat="1" applyFont="1" applyFill="1" applyBorder="1" applyAlignment="1">
      <alignment vertical="center"/>
    </xf>
    <xf numFmtId="0" fontId="56" fillId="0" borderId="2" xfId="0" applyFont="1" applyFill="1" applyBorder="1" applyAlignment="1">
      <alignment horizontal="left" vertical="center" shrinkToFit="1"/>
    </xf>
    <xf numFmtId="49" fontId="4" fillId="0" borderId="6" xfId="0" applyNumberFormat="1" applyFont="1" applyFill="1" applyBorder="1" applyAlignment="1">
      <alignment vertical="center"/>
    </xf>
    <xf numFmtId="49" fontId="4" fillId="0" borderId="6" xfId="0" applyNumberFormat="1" applyFont="1" applyFill="1" applyBorder="1" applyAlignment="1">
      <alignment horizontal="left" vertical="center"/>
    </xf>
    <xf numFmtId="49" fontId="56" fillId="0" borderId="6" xfId="0" applyNumberFormat="1" applyFont="1" applyFill="1" applyBorder="1" applyAlignment="1">
      <alignment horizontal="left" vertical="center"/>
    </xf>
    <xf numFmtId="49" fontId="56" fillId="0" borderId="2" xfId="0" applyNumberFormat="1" applyFont="1" applyFill="1" applyBorder="1" applyAlignment="1">
      <alignment horizontal="left" vertical="center"/>
    </xf>
    <xf numFmtId="0" fontId="57" fillId="0" borderId="2" xfId="169" applyFont="1" applyFill="1" applyBorder="1" applyAlignment="1" applyProtection="1">
      <alignment vertical="center"/>
    </xf>
    <xf numFmtId="0" fontId="20" fillId="0" borderId="2" xfId="0" applyFont="1" applyFill="1" applyBorder="1" applyAlignment="1">
      <alignment vertical="center"/>
    </xf>
    <xf numFmtId="184" fontId="4" fillId="0" borderId="2" xfId="0" applyNumberFormat="1" applyFont="1" applyFill="1" applyBorder="1" applyAlignment="1">
      <alignment horizontal="center" vertical="center" shrinkToFit="1"/>
    </xf>
    <xf numFmtId="178" fontId="56" fillId="0" borderId="6" xfId="195" applyFont="1" applyFill="1" applyBorder="1" applyAlignment="1">
      <alignment horizontal="right" vertical="center" shrinkToFit="1"/>
    </xf>
    <xf numFmtId="49" fontId="4" fillId="0" borderId="2" xfId="0" applyNumberFormat="1" applyFont="1" applyFill="1" applyBorder="1" applyAlignment="1">
      <alignment horizontal="left" vertical="center"/>
    </xf>
    <xf numFmtId="0" fontId="57" fillId="0" borderId="6" xfId="169" applyFont="1" applyFill="1" applyBorder="1" applyAlignment="1" applyProtection="1">
      <alignment vertical="center"/>
    </xf>
    <xf numFmtId="0" fontId="4" fillId="0" borderId="6" xfId="0" applyFont="1" applyFill="1" applyBorder="1" applyAlignment="1" applyProtection="1">
      <alignment vertical="center"/>
    </xf>
    <xf numFmtId="178" fontId="4" fillId="0" borderId="10" xfId="195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/>
    </xf>
    <xf numFmtId="0" fontId="58" fillId="14" borderId="2" xfId="0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 wrapText="1"/>
    </xf>
    <xf numFmtId="0" fontId="7" fillId="14" borderId="1" xfId="166" applyFont="1" applyFill="1" applyBorder="1" applyAlignment="1">
      <alignment horizontal="center" vertical="center" wrapText="1"/>
    </xf>
    <xf numFmtId="0" fontId="58" fillId="14" borderId="27" xfId="0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shrinkToFit="1"/>
    </xf>
    <xf numFmtId="0" fontId="7" fillId="14" borderId="6" xfId="0" applyFont="1" applyFill="1" applyBorder="1" applyAlignment="1">
      <alignment horizontal="center" vertical="center" wrapText="1"/>
    </xf>
    <xf numFmtId="185" fontId="4" fillId="14" borderId="0" xfId="0" applyNumberFormat="1" applyFont="1" applyFill="1" applyAlignment="1">
      <alignment vertical="center" shrinkToFit="1"/>
    </xf>
    <xf numFmtId="0" fontId="4" fillId="14" borderId="0" xfId="0" applyFont="1" applyFill="1" applyAlignment="1">
      <alignment horizontal="right" vertical="center"/>
    </xf>
    <xf numFmtId="49" fontId="7" fillId="14" borderId="2" xfId="0" applyNumberFormat="1" applyFont="1" applyFill="1" applyBorder="1" applyAlignment="1">
      <alignment horizontal="center" vertical="center" shrinkToFit="1"/>
    </xf>
    <xf numFmtId="0" fontId="7" fillId="14" borderId="2" xfId="166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left" vertical="center" wrapText="1"/>
    </xf>
    <xf numFmtId="185" fontId="7" fillId="14" borderId="26" xfId="0" applyNumberFormat="1" applyFont="1" applyFill="1" applyBorder="1" applyAlignment="1">
      <alignment vertical="center"/>
    </xf>
    <xf numFmtId="49" fontId="4" fillId="14" borderId="10" xfId="0" applyNumberFormat="1" applyFont="1" applyFill="1" applyBorder="1" applyAlignment="1">
      <alignment horizontal="center" vertical="center" shrinkToFit="1"/>
    </xf>
    <xf numFmtId="185" fontId="7" fillId="14" borderId="0" xfId="0" applyNumberFormat="1" applyFont="1" applyFill="1" applyAlignment="1">
      <alignment vertical="center"/>
    </xf>
    <xf numFmtId="0" fontId="20" fillId="13" borderId="2" xfId="0" applyFont="1" applyFill="1" applyBorder="1" applyAlignment="1">
      <alignment horizontal="center" vertical="center"/>
    </xf>
    <xf numFmtId="0" fontId="61" fillId="13" borderId="2" xfId="0" applyFont="1" applyFill="1" applyBorder="1" applyAlignment="1" applyProtection="1">
      <alignment horizontal="left" vertical="center"/>
    </xf>
    <xf numFmtId="0" fontId="31" fillId="13" borderId="6" xfId="169" applyFont="1" applyFill="1" applyBorder="1" applyAlignment="1" applyProtection="1">
      <alignment horizontal="left" vertical="center"/>
    </xf>
    <xf numFmtId="0" fontId="4" fillId="13" borderId="2" xfId="0" applyFont="1" applyFill="1" applyBorder="1" applyAlignment="1" applyProtection="1">
      <alignment vertical="center"/>
    </xf>
    <xf numFmtId="178" fontId="4" fillId="13" borderId="6" xfId="0" applyNumberFormat="1" applyFont="1" applyFill="1" applyBorder="1" applyAlignment="1">
      <alignment horizontal="right" vertical="center"/>
    </xf>
    <xf numFmtId="178" fontId="4" fillId="13" borderId="2" xfId="0" applyNumberFormat="1" applyFont="1" applyFill="1" applyBorder="1" applyAlignment="1">
      <alignment horizontal="right" vertical="center"/>
    </xf>
    <xf numFmtId="14" fontId="4" fillId="13" borderId="2" xfId="0" applyNumberFormat="1" applyFont="1" applyFill="1" applyBorder="1" applyAlignment="1">
      <alignment horizontal="center" vertical="center" shrinkToFit="1"/>
    </xf>
    <xf numFmtId="178" fontId="4" fillId="13" borderId="2" xfId="195" applyFont="1" applyFill="1" applyBorder="1" applyAlignment="1">
      <alignment vertical="center" shrinkToFit="1"/>
    </xf>
    <xf numFmtId="0" fontId="4" fillId="13" borderId="2" xfId="0" applyFont="1" applyFill="1" applyBorder="1" applyAlignment="1">
      <alignment horizontal="left" vertical="center" shrinkToFit="1"/>
    </xf>
    <xf numFmtId="178" fontId="4" fillId="13" borderId="2" xfId="0" applyNumberFormat="1" applyFont="1" applyFill="1" applyBorder="1" applyAlignment="1">
      <alignment horizontal="right" vertical="center" shrinkToFit="1"/>
    </xf>
    <xf numFmtId="49" fontId="4" fillId="13" borderId="2" xfId="195" applyNumberFormat="1" applyFont="1" applyFill="1" applyBorder="1" applyAlignment="1">
      <alignment vertical="center" shrinkToFit="1"/>
    </xf>
    <xf numFmtId="0" fontId="4" fillId="13" borderId="2" xfId="0" applyFont="1" applyFill="1" applyBorder="1" applyAlignment="1">
      <alignment horizontal="center" vertical="center" shrinkToFit="1"/>
    </xf>
    <xf numFmtId="49" fontId="4" fillId="13" borderId="2" xfId="195" applyNumberFormat="1" applyFont="1" applyFill="1" applyBorder="1" applyAlignment="1">
      <alignment horizontal="center" vertical="center" shrinkToFit="1"/>
    </xf>
    <xf numFmtId="178" fontId="4" fillId="13" borderId="2" xfId="195" applyFont="1" applyFill="1" applyBorder="1" applyAlignment="1">
      <alignment vertical="center"/>
    </xf>
    <xf numFmtId="178" fontId="4" fillId="13" borderId="2" xfId="195" applyFont="1" applyFill="1" applyBorder="1" applyAlignment="1">
      <alignment horizontal="right" vertical="center" wrapText="1"/>
    </xf>
    <xf numFmtId="0" fontId="7" fillId="13" borderId="2" xfId="0" applyFont="1" applyFill="1" applyBorder="1" applyAlignment="1">
      <alignment horizontal="center" vertical="center" shrinkToFit="1"/>
    </xf>
    <xf numFmtId="178" fontId="4" fillId="13" borderId="2" xfId="195" applyFont="1" applyFill="1" applyBorder="1" applyAlignment="1">
      <alignment horizontal="center" vertical="center" shrinkToFit="1"/>
    </xf>
    <xf numFmtId="178" fontId="4" fillId="13" borderId="6" xfId="195" applyFont="1" applyFill="1" applyBorder="1" applyAlignment="1">
      <alignment horizontal="right" vertical="center" shrinkToFit="1"/>
    </xf>
    <xf numFmtId="178" fontId="4" fillId="13" borderId="6" xfId="0" applyNumberFormat="1" applyFont="1" applyFill="1" applyBorder="1" applyAlignment="1">
      <alignment horizontal="right" vertical="center" shrinkToFit="1"/>
    </xf>
    <xf numFmtId="178" fontId="4" fillId="13" borderId="7" xfId="0" applyNumberFormat="1" applyFont="1" applyFill="1" applyBorder="1" applyAlignment="1">
      <alignment horizontal="right" vertical="center" shrinkToFit="1"/>
    </xf>
    <xf numFmtId="178" fontId="4" fillId="13" borderId="7" xfId="195" applyFont="1" applyFill="1" applyBorder="1" applyAlignment="1">
      <alignment horizontal="right" vertical="center" shrinkToFit="1"/>
    </xf>
    <xf numFmtId="0" fontId="4" fillId="13" borderId="6" xfId="0" applyFont="1" applyFill="1" applyBorder="1" applyAlignment="1">
      <alignment shrinkToFit="1"/>
    </xf>
    <xf numFmtId="0" fontId="4" fillId="13" borderId="2" xfId="0" applyFont="1" applyFill="1" applyBorder="1" applyAlignment="1">
      <alignment horizontal="right" vertical="center" shrinkToFit="1"/>
    </xf>
    <xf numFmtId="0" fontId="4" fillId="13" borderId="2" xfId="0" applyNumberFormat="1" applyFont="1" applyFill="1" applyBorder="1" applyAlignment="1">
      <alignment horizontal="center" vertical="center" shrinkToFit="1"/>
    </xf>
    <xf numFmtId="49" fontId="4" fillId="13" borderId="2" xfId="0" applyNumberFormat="1" applyFont="1" applyFill="1" applyBorder="1" applyAlignment="1">
      <alignment horizontal="left" vertical="center"/>
    </xf>
    <xf numFmtId="0" fontId="57" fillId="13" borderId="6" xfId="0" applyFont="1" applyFill="1" applyBorder="1" applyAlignment="1">
      <alignment vertical="center"/>
    </xf>
    <xf numFmtId="0" fontId="4" fillId="13" borderId="2" xfId="0" applyNumberFormat="1" applyFont="1" applyFill="1" applyBorder="1" applyAlignment="1">
      <alignment horizontal="right" vertical="center" shrinkToFit="1"/>
    </xf>
    <xf numFmtId="178" fontId="4" fillId="13" borderId="2" xfId="0" applyNumberFormat="1" applyFont="1" applyFill="1" applyBorder="1" applyAlignment="1">
      <alignment horizontal="left" vertical="center" shrinkToFit="1"/>
    </xf>
    <xf numFmtId="0" fontId="56" fillId="13" borderId="2" xfId="0" applyFont="1" applyFill="1" applyBorder="1" applyAlignment="1">
      <alignment horizontal="center" vertical="center" shrinkToFit="1"/>
    </xf>
    <xf numFmtId="0" fontId="25" fillId="13" borderId="2" xfId="0" applyFont="1" applyFill="1" applyBorder="1" applyAlignment="1">
      <alignment horizontal="left" vertical="center" shrinkToFit="1"/>
    </xf>
    <xf numFmtId="14" fontId="4" fillId="13" borderId="2" xfId="0" applyNumberFormat="1" applyFont="1" applyFill="1" applyBorder="1" applyAlignment="1">
      <alignment horizontal="right" vertical="center" shrinkToFit="1"/>
    </xf>
    <xf numFmtId="0" fontId="4" fillId="13" borderId="6" xfId="0" applyFont="1" applyFill="1" applyBorder="1" applyAlignment="1">
      <alignment horizontal="right" vertical="center" shrinkToFit="1"/>
    </xf>
    <xf numFmtId="178" fontId="4" fillId="0" borderId="2" xfId="0" applyNumberFormat="1" applyFont="1" applyFill="1" applyBorder="1" applyAlignment="1">
      <alignment horizontal="left" vertical="center" shrinkToFit="1"/>
    </xf>
    <xf numFmtId="178" fontId="4" fillId="0" borderId="2" xfId="0" applyNumberFormat="1" applyFont="1" applyFill="1" applyBorder="1" applyAlignment="1">
      <alignment horizontal="center" vertical="center" shrinkToFit="1"/>
    </xf>
    <xf numFmtId="178" fontId="4" fillId="0" borderId="2" xfId="0" applyNumberFormat="1" applyFont="1" applyFill="1" applyBorder="1" applyAlignment="1" applyProtection="1">
      <alignment horizontal="left" vertical="center" shrinkToFit="1"/>
    </xf>
    <xf numFmtId="0" fontId="4" fillId="13" borderId="2" xfId="0" applyFont="1" applyFill="1" applyBorder="1" applyAlignment="1">
      <alignment horizontal="left" vertical="center"/>
    </xf>
    <xf numFmtId="211" fontId="4" fillId="14" borderId="0" xfId="0" applyNumberFormat="1" applyFont="1" applyFill="1" applyAlignment="1">
      <alignment horizontal="left" vertical="center"/>
    </xf>
    <xf numFmtId="185" fontId="7" fillId="14" borderId="0" xfId="0" applyNumberFormat="1" applyFont="1" applyFill="1" applyAlignment="1">
      <alignment vertical="top"/>
    </xf>
    <xf numFmtId="0" fontId="98" fillId="15" borderId="0" xfId="169" quotePrefix="1" applyFont="1" applyFill="1" applyAlignment="1" applyProtection="1">
      <alignment wrapText="1"/>
    </xf>
    <xf numFmtId="0" fontId="78" fillId="14" borderId="2" xfId="0" applyFont="1" applyFill="1" applyBorder="1" applyAlignment="1" applyProtection="1">
      <alignment horizontal="center" vertical="center"/>
    </xf>
    <xf numFmtId="0" fontId="78" fillId="14" borderId="2" xfId="0" applyFont="1" applyFill="1" applyBorder="1" applyAlignment="1" applyProtection="1">
      <alignment horizontal="center" vertical="center" shrinkToFit="1"/>
    </xf>
    <xf numFmtId="0" fontId="78" fillId="14" borderId="2" xfId="0" applyFont="1" applyFill="1" applyBorder="1" applyAlignment="1">
      <alignment horizontal="center" vertical="center" shrinkToFit="1"/>
    </xf>
    <xf numFmtId="0" fontId="99" fillId="16" borderId="17" xfId="0" applyFont="1" applyFill="1" applyBorder="1" applyAlignment="1" applyProtection="1">
      <alignment vertical="center"/>
    </xf>
    <xf numFmtId="0" fontId="99" fillId="16" borderId="0" xfId="0" applyFont="1" applyFill="1" applyBorder="1" applyAlignment="1" applyProtection="1">
      <alignment vertical="center"/>
    </xf>
    <xf numFmtId="0" fontId="99" fillId="16" borderId="18" xfId="0" applyFont="1" applyFill="1" applyBorder="1" applyAlignment="1" applyProtection="1">
      <alignment vertical="center"/>
    </xf>
    <xf numFmtId="0" fontId="51" fillId="0" borderId="2" xfId="153" applyFont="1" applyBorder="1" applyAlignment="1" applyProtection="1">
      <alignment horizontal="center" vertical="center"/>
      <protection locked="0"/>
    </xf>
    <xf numFmtId="212" fontId="4" fillId="0" borderId="2" xfId="153" applyNumberFormat="1" applyFont="1" applyBorder="1" applyAlignment="1" applyProtection="1">
      <alignment horizontal="right" vertical="center"/>
      <protection locked="0"/>
    </xf>
    <xf numFmtId="0" fontId="4" fillId="17" borderId="2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 wrapText="1"/>
    </xf>
    <xf numFmtId="0" fontId="8" fillId="17" borderId="2" xfId="0" applyFont="1" applyFill="1" applyBorder="1" applyAlignment="1">
      <alignment horizontal="center" vertical="center" wrapText="1"/>
    </xf>
    <xf numFmtId="0" fontId="17" fillId="11" borderId="0" xfId="0" applyFont="1" applyFill="1" applyAlignment="1">
      <alignment vertical="center"/>
    </xf>
    <xf numFmtId="0" fontId="17" fillId="17" borderId="2" xfId="0" applyFont="1" applyFill="1" applyBorder="1" applyAlignment="1">
      <alignment horizontal="center" vertical="center"/>
    </xf>
    <xf numFmtId="0" fontId="85" fillId="17" borderId="2" xfId="159" applyFont="1" applyFill="1" applyBorder="1" applyAlignment="1" applyProtection="1">
      <alignment horizontal="center" vertical="center" wrapText="1"/>
      <protection locked="0"/>
    </xf>
    <xf numFmtId="0" fontId="52" fillId="17" borderId="2" xfId="154" applyFont="1" applyFill="1" applyBorder="1" applyAlignment="1" applyProtection="1">
      <alignment horizontal="center" vertical="center" wrapText="1"/>
      <protection locked="0"/>
    </xf>
    <xf numFmtId="0" fontId="85" fillId="17" borderId="7" xfId="154" applyFont="1" applyFill="1" applyBorder="1" applyAlignment="1" applyProtection="1">
      <alignment horizontal="center" vertical="center" wrapText="1"/>
      <protection locked="0"/>
    </xf>
    <xf numFmtId="0" fontId="85" fillId="17" borderId="2" xfId="162" applyFont="1" applyFill="1" applyBorder="1" applyAlignment="1">
      <alignment horizontal="center" vertical="center" wrapText="1" shrinkToFit="1"/>
    </xf>
    <xf numFmtId="0" fontId="51" fillId="11" borderId="0" xfId="0" applyFont="1" applyFill="1" applyAlignment="1">
      <alignment vertical="center"/>
    </xf>
    <xf numFmtId="0" fontId="85" fillId="17" borderId="2" xfId="153" applyFont="1" applyFill="1" applyBorder="1" applyAlignment="1" applyProtection="1">
      <alignment vertical="center" wrapText="1"/>
      <protection locked="0"/>
    </xf>
    <xf numFmtId="0" fontId="85" fillId="17" borderId="2" xfId="165" applyFont="1" applyFill="1" applyBorder="1" applyAlignment="1">
      <alignment horizontal="center" vertical="center" wrapText="1"/>
    </xf>
    <xf numFmtId="0" fontId="85" fillId="17" borderId="2" xfId="153" applyFont="1" applyFill="1" applyBorder="1" applyAlignment="1" applyProtection="1">
      <alignment horizontal="center" vertical="center" shrinkToFit="1"/>
      <protection locked="0"/>
    </xf>
    <xf numFmtId="0" fontId="85" fillId="17" borderId="2" xfId="164" applyFont="1" applyFill="1" applyBorder="1" applyAlignment="1">
      <alignment horizontal="center" vertical="center" wrapText="1"/>
    </xf>
    <xf numFmtId="0" fontId="85" fillId="17" borderId="2" xfId="156" applyFont="1" applyFill="1" applyBorder="1" applyAlignment="1" applyProtection="1">
      <alignment horizontal="center" vertical="center" wrapText="1"/>
      <protection locked="0"/>
    </xf>
    <xf numFmtId="0" fontId="85" fillId="17" borderId="2" xfId="154" applyFont="1" applyFill="1" applyBorder="1" applyAlignment="1" applyProtection="1">
      <alignment vertical="center" wrapText="1"/>
      <protection locked="0"/>
    </xf>
    <xf numFmtId="0" fontId="85" fillId="17" borderId="2" xfId="154" applyFont="1" applyFill="1" applyBorder="1" applyAlignment="1" applyProtection="1">
      <alignment horizontal="center" vertical="center" shrinkToFit="1"/>
      <protection locked="0"/>
    </xf>
    <xf numFmtId="0" fontId="85" fillId="17" borderId="2" xfId="155" applyFont="1" applyFill="1" applyBorder="1" applyAlignment="1" applyProtection="1">
      <alignment horizontal="center" vertical="center" wrapText="1" shrinkToFit="1"/>
      <protection locked="0"/>
    </xf>
    <xf numFmtId="183" fontId="8" fillId="17" borderId="2" xfId="168" applyNumberFormat="1" applyFont="1" applyFill="1" applyBorder="1" applyAlignment="1">
      <alignment horizontal="center" vertical="center"/>
    </xf>
    <xf numFmtId="0" fontId="85" fillId="17" borderId="1" xfId="162" applyFont="1" applyFill="1" applyBorder="1" applyAlignment="1">
      <alignment horizontal="center" vertical="center" wrapText="1"/>
    </xf>
    <xf numFmtId="0" fontId="87" fillId="17" borderId="2" xfId="155" applyFont="1" applyFill="1" applyBorder="1" applyAlignment="1" applyProtection="1">
      <alignment horizontal="center" vertical="center" wrapText="1"/>
      <protection locked="0"/>
    </xf>
    <xf numFmtId="0" fontId="85" fillId="17" borderId="2" xfId="151" applyFont="1" applyFill="1" applyBorder="1" applyAlignment="1">
      <alignment horizontal="center" vertical="center" shrinkToFit="1"/>
    </xf>
    <xf numFmtId="0" fontId="87" fillId="17" borderId="2" xfId="154" applyFont="1" applyFill="1" applyBorder="1" applyAlignment="1" applyProtection="1">
      <alignment horizontal="center" vertical="center" wrapText="1"/>
      <protection locked="0"/>
    </xf>
    <xf numFmtId="0" fontId="85" fillId="17" borderId="2" xfId="154" applyFont="1" applyFill="1" applyBorder="1" applyAlignment="1" applyProtection="1">
      <alignment horizontal="center" vertical="center" wrapText="1" shrinkToFit="1"/>
      <protection locked="0"/>
    </xf>
    <xf numFmtId="0" fontId="85" fillId="17" borderId="2" xfId="154" applyFont="1" applyFill="1" applyBorder="1" applyAlignment="1" applyProtection="1">
      <alignment horizontal="center" vertical="center"/>
      <protection locked="0"/>
    </xf>
    <xf numFmtId="0" fontId="8" fillId="11" borderId="0" xfId="0" applyFont="1" applyFill="1" applyAlignment="1">
      <alignment vertical="center"/>
    </xf>
    <xf numFmtId="0" fontId="85" fillId="17" borderId="2" xfId="167" applyFont="1" applyFill="1" applyBorder="1" applyAlignment="1">
      <alignment horizontal="center" vertical="center" wrapText="1"/>
    </xf>
    <xf numFmtId="0" fontId="85" fillId="17" borderId="1" xfId="153" applyFont="1" applyFill="1" applyBorder="1" applyAlignment="1" applyProtection="1">
      <alignment horizontal="center" vertical="center" wrapText="1"/>
      <protection locked="0"/>
    </xf>
    <xf numFmtId="0" fontId="85" fillId="17" borderId="2" xfId="154" applyFont="1" applyFill="1" applyBorder="1" applyAlignment="1" applyProtection="1">
      <alignment horizontal="center" vertical="center" wrapText="1"/>
      <protection locked="0"/>
    </xf>
    <xf numFmtId="0" fontId="89" fillId="17" borderId="1" xfId="153" applyFont="1" applyFill="1" applyBorder="1" applyAlignment="1" applyProtection="1">
      <alignment horizontal="center" vertical="center" wrapText="1"/>
      <protection locked="0"/>
    </xf>
    <xf numFmtId="0" fontId="89" fillId="0" borderId="7" xfId="154" applyFont="1" applyBorder="1" applyAlignment="1" applyProtection="1">
      <alignment horizontal="center" vertical="center" wrapText="1"/>
      <protection locked="0"/>
    </xf>
    <xf numFmtId="0" fontId="89" fillId="10" borderId="7" xfId="154" applyFont="1" applyFill="1" applyBorder="1" applyAlignment="1" applyProtection="1">
      <alignment horizontal="center" vertical="center" wrapText="1"/>
      <protection locked="0"/>
    </xf>
    <xf numFmtId="0" fontId="89" fillId="10" borderId="2" xfId="154" applyFont="1" applyFill="1" applyBorder="1" applyAlignment="1" applyProtection="1">
      <alignment vertical="center" wrapText="1"/>
      <protection locked="0"/>
    </xf>
    <xf numFmtId="0" fontId="85" fillId="17" borderId="6" xfId="154" applyFont="1" applyFill="1" applyBorder="1" applyAlignment="1" applyProtection="1">
      <alignment horizontal="center" vertical="center" wrapText="1"/>
      <protection locked="0"/>
    </xf>
    <xf numFmtId="0" fontId="85" fillId="17" borderId="10" xfId="154" applyFont="1" applyFill="1" applyBorder="1" applyAlignment="1" applyProtection="1">
      <alignment horizontal="center" vertical="center" wrapText="1"/>
      <protection locked="0"/>
    </xf>
    <xf numFmtId="0" fontId="89" fillId="17" borderId="7" xfId="154" applyFont="1" applyFill="1" applyBorder="1" applyAlignment="1" applyProtection="1">
      <alignment horizontal="center" vertical="center" wrapText="1"/>
      <protection locked="0"/>
    </xf>
    <xf numFmtId="0" fontId="89" fillId="17" borderId="2" xfId="154" applyFont="1" applyFill="1" applyBorder="1" applyAlignment="1" applyProtection="1">
      <alignment vertical="center" wrapText="1"/>
      <protection locked="0"/>
    </xf>
    <xf numFmtId="0" fontId="100" fillId="0" borderId="2" xfId="162" applyFont="1" applyBorder="1" applyAlignment="1">
      <alignment horizontal="center" vertical="center" wrapText="1"/>
    </xf>
    <xf numFmtId="0" fontId="87" fillId="0" borderId="10" xfId="155" applyFont="1" applyBorder="1" applyAlignment="1" applyProtection="1">
      <alignment horizontal="center" vertical="center" wrapText="1"/>
      <protection locked="0"/>
    </xf>
    <xf numFmtId="0" fontId="89" fillId="0" borderId="2" xfId="155" applyFont="1" applyBorder="1" applyAlignment="1" applyProtection="1">
      <alignment horizontal="center" vertical="center" wrapText="1" shrinkToFit="1"/>
      <protection locked="0"/>
    </xf>
    <xf numFmtId="0" fontId="52" fillId="17" borderId="2" xfId="152" applyFont="1" applyFill="1" applyBorder="1" applyAlignment="1">
      <alignment horizontal="center" vertical="center"/>
    </xf>
    <xf numFmtId="0" fontId="52" fillId="17" borderId="10" xfId="154" applyFont="1" applyFill="1" applyBorder="1" applyAlignment="1" applyProtection="1">
      <alignment horizontal="center" vertical="center" wrapText="1"/>
      <protection locked="0"/>
    </xf>
    <xf numFmtId="0" fontId="52" fillId="17" borderId="2" xfId="154" applyFont="1" applyFill="1" applyBorder="1" applyAlignment="1" applyProtection="1">
      <alignment horizontal="center" vertical="center" shrinkToFit="1"/>
      <protection locked="0"/>
    </xf>
    <xf numFmtId="0" fontId="85" fillId="17" borderId="7" xfId="162" applyFont="1" applyFill="1" applyBorder="1" applyAlignment="1">
      <alignment horizontal="center" vertical="center" wrapText="1"/>
    </xf>
    <xf numFmtId="0" fontId="89" fillId="17" borderId="7" xfId="162" applyFont="1" applyFill="1" applyBorder="1" applyAlignment="1">
      <alignment horizontal="center" vertical="center" wrapText="1"/>
    </xf>
    <xf numFmtId="0" fontId="85" fillId="17" borderId="10" xfId="154" applyFont="1" applyFill="1" applyBorder="1" applyAlignment="1" applyProtection="1">
      <alignment horizontal="center" vertical="center" shrinkToFit="1"/>
      <protection locked="0"/>
    </xf>
    <xf numFmtId="0" fontId="87" fillId="17" borderId="2" xfId="154" applyFont="1" applyFill="1" applyBorder="1" applyAlignment="1" applyProtection="1">
      <alignment horizontal="center" vertical="center" shrinkToFit="1"/>
      <protection locked="0"/>
    </xf>
    <xf numFmtId="0" fontId="65" fillId="14" borderId="17" xfId="0" applyFont="1" applyFill="1" applyBorder="1" applyAlignment="1" applyProtection="1">
      <alignment horizontal="center" vertical="center"/>
    </xf>
    <xf numFmtId="0" fontId="65" fillId="14" borderId="0" xfId="0" applyFont="1" applyFill="1" applyBorder="1" applyAlignment="1" applyProtection="1">
      <alignment horizontal="center" vertical="center"/>
    </xf>
    <xf numFmtId="0" fontId="65" fillId="14" borderId="18" xfId="0" applyFont="1" applyFill="1" applyBorder="1" applyAlignment="1" applyProtection="1">
      <alignment horizontal="center" vertical="center"/>
    </xf>
    <xf numFmtId="0" fontId="101" fillId="18" borderId="22" xfId="169" applyFont="1" applyFill="1" applyBorder="1" applyAlignment="1" applyProtection="1"/>
    <xf numFmtId="0" fontId="63" fillId="11" borderId="0" xfId="0" applyFont="1" applyFill="1" applyProtection="1"/>
    <xf numFmtId="49" fontId="52" fillId="0" borderId="2" xfId="0" applyNumberFormat="1" applyFont="1" applyFill="1" applyBorder="1" applyProtection="1">
      <protection locked="0"/>
    </xf>
    <xf numFmtId="0" fontId="102" fillId="15" borderId="0" xfId="169" quotePrefix="1" applyFont="1" applyFill="1" applyAlignment="1" applyProtection="1">
      <alignment wrapText="1"/>
    </xf>
    <xf numFmtId="0" fontId="51" fillId="0" borderId="2" xfId="0" applyFont="1" applyFill="1" applyBorder="1" applyAlignment="1">
      <alignment horizontal="left" vertical="center"/>
    </xf>
    <xf numFmtId="0" fontId="51" fillId="0" borderId="6" xfId="0" applyFont="1" applyFill="1" applyBorder="1" applyAlignment="1">
      <alignment vertical="center"/>
    </xf>
    <xf numFmtId="0" fontId="51" fillId="0" borderId="2" xfId="0" applyFont="1" applyFill="1" applyBorder="1" applyAlignment="1">
      <alignment vertical="center"/>
    </xf>
    <xf numFmtId="185" fontId="91" fillId="14" borderId="0" xfId="0" applyNumberFormat="1" applyFont="1" applyFill="1" applyAlignment="1">
      <alignment horizontal="right" vertical="center" shrinkToFit="1"/>
    </xf>
    <xf numFmtId="0" fontId="91" fillId="14" borderId="0" xfId="0" applyNumberFormat="1" applyFont="1" applyFill="1" applyAlignment="1">
      <alignment horizontal="right" vertical="center"/>
    </xf>
    <xf numFmtId="178" fontId="4" fillId="11" borderId="0" xfId="195" applyFont="1" applyFill="1" applyAlignment="1">
      <alignment vertical="center" shrinkToFit="1"/>
    </xf>
    <xf numFmtId="185" fontId="4" fillId="13" borderId="2" xfId="195" applyNumberFormat="1" applyFont="1" applyFill="1" applyBorder="1" applyAlignment="1">
      <alignment horizontal="right" vertical="center"/>
    </xf>
    <xf numFmtId="185" fontId="4" fillId="13" borderId="6" xfId="195" applyNumberFormat="1" applyFont="1" applyFill="1" applyBorder="1" applyAlignment="1">
      <alignment horizontal="right" vertical="center"/>
    </xf>
    <xf numFmtId="0" fontId="19" fillId="0" borderId="2" xfId="169" applyFont="1" applyFill="1" applyBorder="1" applyAlignment="1" applyProtection="1">
      <alignment horizontal="left" vertical="center" indent="1"/>
    </xf>
    <xf numFmtId="185" fontId="4" fillId="14" borderId="0" xfId="0" applyNumberFormat="1" applyFont="1" applyFill="1" applyAlignment="1" applyProtection="1">
      <alignment vertical="center" shrinkToFit="1"/>
    </xf>
    <xf numFmtId="185" fontId="78" fillId="14" borderId="2" xfId="0" applyNumberFormat="1" applyFont="1" applyFill="1" applyBorder="1" applyAlignment="1" applyProtection="1">
      <alignment horizontal="center" vertical="center" shrinkToFit="1"/>
    </xf>
    <xf numFmtId="185" fontId="4" fillId="13" borderId="2" xfId="195" applyNumberFormat="1" applyFont="1" applyFill="1" applyBorder="1" applyAlignment="1">
      <alignment horizontal="right" vertical="center" shrinkToFit="1"/>
    </xf>
    <xf numFmtId="185" fontId="4" fillId="11" borderId="0" xfId="0" applyNumberFormat="1" applyFont="1" applyFill="1" applyAlignment="1">
      <alignment vertical="center" shrinkToFit="1"/>
    </xf>
    <xf numFmtId="185" fontId="7" fillId="14" borderId="2" xfId="0" applyNumberFormat="1" applyFont="1" applyFill="1" applyBorder="1" applyAlignment="1">
      <alignment horizontal="center" vertical="center" shrinkToFit="1"/>
    </xf>
    <xf numFmtId="185" fontId="7" fillId="14" borderId="26" xfId="0" applyNumberFormat="1" applyFont="1" applyFill="1" applyBorder="1" applyAlignment="1">
      <alignment vertical="center" shrinkToFit="1"/>
    </xf>
    <xf numFmtId="185" fontId="4" fillId="14" borderId="0" xfId="0" applyNumberFormat="1" applyFont="1" applyFill="1" applyBorder="1" applyAlignment="1">
      <alignment vertical="center" shrinkToFit="1"/>
    </xf>
    <xf numFmtId="185" fontId="4" fillId="14" borderId="0" xfId="0" applyNumberFormat="1" applyFont="1" applyFill="1" applyBorder="1" applyAlignment="1" applyProtection="1">
      <alignment vertical="center" shrinkToFit="1"/>
    </xf>
    <xf numFmtId="185" fontId="7" fillId="14" borderId="7" xfId="0" applyNumberFormat="1" applyFont="1" applyFill="1" applyBorder="1" applyAlignment="1">
      <alignment horizontal="center" vertical="center" shrinkToFit="1"/>
    </xf>
    <xf numFmtId="185" fontId="4" fillId="11" borderId="0" xfId="195" applyNumberFormat="1" applyFont="1" applyFill="1" applyAlignment="1">
      <alignment vertical="center" shrinkToFit="1"/>
    </xf>
    <xf numFmtId="177" fontId="4" fillId="14" borderId="0" xfId="0" applyNumberFormat="1" applyFont="1" applyFill="1" applyAlignment="1">
      <alignment horizontal="center" vertical="center" shrinkToFit="1"/>
    </xf>
    <xf numFmtId="177" fontId="4" fillId="14" borderId="0" xfId="0" applyNumberFormat="1" applyFont="1" applyFill="1" applyAlignment="1">
      <alignment vertical="center" shrinkToFit="1"/>
    </xf>
    <xf numFmtId="177" fontId="7" fillId="14" borderId="2" xfId="0" applyNumberFormat="1" applyFont="1" applyFill="1" applyBorder="1" applyAlignment="1">
      <alignment horizontal="center" vertical="center" shrinkToFit="1"/>
    </xf>
    <xf numFmtId="177" fontId="4" fillId="13" borderId="2" xfId="195" applyNumberFormat="1" applyFont="1" applyFill="1" applyBorder="1" applyAlignment="1">
      <alignment horizontal="right" vertical="center" shrinkToFit="1"/>
    </xf>
    <xf numFmtId="177" fontId="4" fillId="11" borderId="0" xfId="0" applyNumberFormat="1" applyFont="1" applyFill="1" applyAlignment="1">
      <alignment vertical="center" shrinkToFit="1"/>
    </xf>
    <xf numFmtId="185" fontId="4" fillId="14" borderId="2" xfId="0" applyNumberFormat="1" applyFont="1" applyFill="1" applyBorder="1" applyAlignment="1">
      <alignment horizontal="center" vertical="center" shrinkToFit="1"/>
    </xf>
    <xf numFmtId="185" fontId="54" fillId="11" borderId="9" xfId="0" applyNumberFormat="1" applyFont="1" applyFill="1" applyBorder="1" applyAlignment="1">
      <alignment vertical="center" shrinkToFit="1"/>
    </xf>
    <xf numFmtId="185" fontId="4" fillId="13" borderId="6" xfId="195" applyNumberFormat="1" applyFont="1" applyFill="1" applyBorder="1" applyAlignment="1">
      <alignment horizontal="right" vertical="center" shrinkToFit="1"/>
    </xf>
    <xf numFmtId="185" fontId="4" fillId="11" borderId="0" xfId="0" applyNumberFormat="1" applyFont="1" applyFill="1" applyAlignment="1">
      <alignment vertical="center"/>
    </xf>
    <xf numFmtId="185" fontId="7" fillId="14" borderId="2" xfId="0" applyNumberFormat="1" applyFont="1" applyFill="1" applyBorder="1" applyAlignment="1">
      <alignment horizontal="center" vertical="center" wrapText="1" shrinkToFit="1"/>
    </xf>
    <xf numFmtId="185" fontId="7" fillId="14" borderId="1" xfId="0" applyNumberFormat="1" applyFont="1" applyFill="1" applyBorder="1" applyAlignment="1">
      <alignment horizontal="center" vertical="center" shrinkToFit="1"/>
    </xf>
    <xf numFmtId="185" fontId="0" fillId="11" borderId="0" xfId="0" applyNumberFormat="1" applyFill="1" applyAlignment="1">
      <alignment shrinkToFit="1"/>
    </xf>
    <xf numFmtId="185" fontId="4" fillId="14" borderId="0" xfId="0" applyNumberFormat="1" applyFont="1" applyFill="1" applyBorder="1" applyAlignment="1">
      <alignment horizontal="right" vertical="center" shrinkToFit="1"/>
    </xf>
    <xf numFmtId="0" fontId="51" fillId="14" borderId="2" xfId="0" applyFont="1" applyFill="1" applyBorder="1" applyAlignment="1">
      <alignment horizontal="center" vertical="center"/>
    </xf>
    <xf numFmtId="0" fontId="51" fillId="14" borderId="2" xfId="0" applyFont="1" applyFill="1" applyBorder="1" applyAlignment="1">
      <alignment horizontal="center" vertical="center" wrapText="1"/>
    </xf>
    <xf numFmtId="185" fontId="7" fillId="14" borderId="1" xfId="0" applyNumberFormat="1" applyFont="1" applyFill="1" applyBorder="1" applyAlignment="1">
      <alignment horizontal="center" vertical="center" wrapText="1" shrinkToFit="1"/>
    </xf>
    <xf numFmtId="0" fontId="7" fillId="14" borderId="6" xfId="160" applyFont="1" applyFill="1" applyBorder="1" applyAlignment="1">
      <alignment horizontal="center" vertical="center" wrapText="1"/>
    </xf>
    <xf numFmtId="0" fontId="103" fillId="14" borderId="22" xfId="169" applyFont="1" applyFill="1" applyBorder="1" applyAlignment="1" applyProtection="1"/>
    <xf numFmtId="0" fontId="104" fillId="14" borderId="22" xfId="169" applyFont="1" applyFill="1" applyBorder="1" applyAlignment="1" applyProtection="1"/>
    <xf numFmtId="49" fontId="52" fillId="0" borderId="2" xfId="0" applyNumberFormat="1" applyFont="1" applyFill="1" applyBorder="1" applyAlignment="1" applyProtection="1">
      <alignment horizontal="left"/>
      <protection locked="0"/>
    </xf>
    <xf numFmtId="0" fontId="95" fillId="18" borderId="22" xfId="169" applyFont="1" applyFill="1" applyBorder="1" applyAlignment="1" applyProtection="1"/>
    <xf numFmtId="0" fontId="92" fillId="0" borderId="2" xfId="0" applyFont="1" applyFill="1" applyBorder="1" applyAlignment="1">
      <alignment horizontal="left" vertical="center" shrinkToFit="1"/>
    </xf>
    <xf numFmtId="0" fontId="51" fillId="0" borderId="2" xfId="0" applyFont="1" applyFill="1" applyBorder="1" applyAlignment="1">
      <alignment horizontal="left" vertical="center" shrinkToFit="1"/>
    </xf>
    <xf numFmtId="0" fontId="92" fillId="0" borderId="2" xfId="0" applyFont="1" applyFill="1" applyBorder="1" applyAlignment="1">
      <alignment horizontal="center" vertical="center" shrinkToFit="1"/>
    </xf>
    <xf numFmtId="0" fontId="95" fillId="14" borderId="22" xfId="169" applyFont="1" applyFill="1" applyBorder="1" applyAlignment="1" applyProtection="1"/>
    <xf numFmtId="0" fontId="93" fillId="0" borderId="2" xfId="0" applyFont="1" applyFill="1" applyBorder="1" applyAlignment="1">
      <alignment horizontal="center" vertical="center" shrinkToFit="1"/>
    </xf>
    <xf numFmtId="0" fontId="101" fillId="14" borderId="22" xfId="169" applyFont="1" applyFill="1" applyBorder="1" applyAlignment="1" applyProtection="1"/>
    <xf numFmtId="0" fontId="28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 vertical="center" wrapText="1"/>
    </xf>
    <xf numFmtId="185" fontId="7" fillId="14" borderId="0" xfId="0" applyNumberFormat="1" applyFont="1" applyFill="1" applyAlignment="1">
      <alignment horizontal="center" vertical="center"/>
    </xf>
    <xf numFmtId="185" fontId="4" fillId="14" borderId="0" xfId="0" applyNumberFormat="1" applyFont="1" applyFill="1" applyAlignment="1">
      <alignment horizontal="center" vertical="center"/>
    </xf>
    <xf numFmtId="0" fontId="4" fillId="14" borderId="0" xfId="0" applyNumberFormat="1" applyFont="1" applyFill="1" applyAlignment="1">
      <alignment horizontal="center" vertical="center"/>
    </xf>
    <xf numFmtId="0" fontId="7" fillId="13" borderId="10" xfId="0" applyFont="1" applyFill="1" applyBorder="1" applyAlignment="1">
      <alignment horizontal="center" vertical="center" shrinkToFit="1"/>
    </xf>
    <xf numFmtId="0" fontId="56" fillId="13" borderId="4" xfId="0" applyFont="1" applyFill="1" applyBorder="1" applyAlignment="1">
      <alignment horizontal="center" vertical="center" shrinkToFit="1"/>
    </xf>
    <xf numFmtId="0" fontId="51" fillId="13" borderId="2" xfId="0" applyFont="1" applyFill="1" applyBorder="1" applyAlignment="1">
      <alignment horizontal="center" vertical="center" shrinkToFit="1"/>
    </xf>
    <xf numFmtId="0" fontId="56" fillId="13" borderId="2" xfId="0" applyFont="1" applyFill="1" applyBorder="1" applyAlignment="1">
      <alignment horizontal="center" vertical="center" shrinkToFit="1"/>
    </xf>
    <xf numFmtId="0" fontId="56" fillId="13" borderId="10" xfId="0" applyFont="1" applyFill="1" applyBorder="1" applyAlignment="1">
      <alignment horizontal="center" vertical="center" shrinkToFit="1"/>
    </xf>
    <xf numFmtId="49" fontId="52" fillId="17" borderId="0" xfId="158" applyNumberFormat="1" applyFont="1" applyFill="1" applyAlignment="1">
      <alignment horizontal="center" vertical="center" wrapText="1"/>
    </xf>
    <xf numFmtId="0" fontId="52" fillId="17" borderId="0" xfId="153" applyFont="1" applyFill="1" applyAlignment="1" applyProtection="1">
      <alignment horizontal="center" vertical="center" wrapText="1"/>
      <protection locked="0"/>
    </xf>
    <xf numFmtId="0" fontId="65" fillId="14" borderId="17" xfId="0" applyFont="1" applyFill="1" applyBorder="1" applyAlignment="1" applyProtection="1">
      <alignment horizontal="center" vertical="center"/>
    </xf>
    <xf numFmtId="0" fontId="65" fillId="14" borderId="0" xfId="0" applyFont="1" applyFill="1" applyBorder="1" applyAlignment="1" applyProtection="1">
      <alignment horizontal="center" vertical="center"/>
    </xf>
    <xf numFmtId="0" fontId="65" fillId="14" borderId="18" xfId="0" applyFont="1" applyFill="1" applyBorder="1" applyAlignment="1" applyProtection="1">
      <alignment horizontal="center" vertical="center"/>
    </xf>
    <xf numFmtId="0" fontId="72" fillId="14" borderId="10" xfId="0" applyFont="1" applyFill="1" applyBorder="1" applyAlignment="1" applyProtection="1">
      <alignment horizontal="left" vertical="center"/>
      <protection locked="0"/>
    </xf>
    <xf numFmtId="0" fontId="65" fillId="14" borderId="4" xfId="0" applyFont="1" applyFill="1" applyBorder="1" applyAlignment="1" applyProtection="1">
      <alignment horizontal="left" vertical="center"/>
      <protection locked="0"/>
    </xf>
    <xf numFmtId="0" fontId="65" fillId="14" borderId="28" xfId="0" applyFont="1" applyFill="1" applyBorder="1" applyAlignment="1" applyProtection="1">
      <alignment horizontal="left" vertical="center"/>
      <protection locked="0"/>
    </xf>
    <xf numFmtId="0" fontId="51" fillId="0" borderId="10" xfId="0" applyFont="1" applyFill="1" applyBorder="1" applyAlignment="1" applyProtection="1">
      <alignment horizontal="left" vertical="center"/>
      <protection locked="0"/>
    </xf>
    <xf numFmtId="0" fontId="65" fillId="0" borderId="4" xfId="0" applyFont="1" applyFill="1" applyBorder="1" applyAlignment="1" applyProtection="1">
      <alignment horizontal="left" vertical="center"/>
      <protection locked="0"/>
    </xf>
    <xf numFmtId="0" fontId="65" fillId="0" borderId="28" xfId="0" applyFont="1" applyFill="1" applyBorder="1" applyAlignment="1" applyProtection="1">
      <alignment horizontal="left" vertical="center"/>
      <protection locked="0"/>
    </xf>
    <xf numFmtId="0" fontId="105" fillId="0" borderId="29" xfId="0" applyFont="1" applyFill="1" applyBorder="1" applyAlignment="1" applyProtection="1">
      <alignment horizontal="center" vertical="center"/>
      <protection locked="0"/>
    </xf>
    <xf numFmtId="0" fontId="105" fillId="0" borderId="30" xfId="0" applyFont="1" applyFill="1" applyBorder="1" applyAlignment="1" applyProtection="1">
      <alignment horizontal="center" vertical="center"/>
      <protection locked="0"/>
    </xf>
    <xf numFmtId="0" fontId="105" fillId="0" borderId="31" xfId="0" applyFont="1" applyFill="1" applyBorder="1" applyAlignment="1" applyProtection="1">
      <alignment horizontal="center" vertical="center"/>
      <protection locked="0"/>
    </xf>
    <xf numFmtId="0" fontId="106" fillId="14" borderId="29" xfId="0" applyFont="1" applyFill="1" applyBorder="1" applyAlignment="1" applyProtection="1">
      <alignment horizontal="left" vertical="center"/>
    </xf>
    <xf numFmtId="0" fontId="106" fillId="14" borderId="30" xfId="0" applyFont="1" applyFill="1" applyBorder="1" applyAlignment="1" applyProtection="1">
      <alignment horizontal="left" vertical="center"/>
    </xf>
    <xf numFmtId="0" fontId="106" fillId="14" borderId="32" xfId="0" applyFont="1" applyFill="1" applyBorder="1" applyAlignment="1" applyProtection="1">
      <alignment horizontal="left" vertical="center"/>
    </xf>
    <xf numFmtId="0" fontId="0" fillId="14" borderId="33" xfId="0" applyFill="1" applyBorder="1" applyAlignment="1" applyProtection="1">
      <alignment horizontal="center" vertical="center"/>
    </xf>
    <xf numFmtId="0" fontId="0" fillId="14" borderId="34" xfId="0" applyFill="1" applyBorder="1" applyAlignment="1" applyProtection="1">
      <alignment horizontal="center" vertical="center"/>
    </xf>
    <xf numFmtId="0" fontId="61" fillId="14" borderId="17" xfId="0" applyFont="1" applyFill="1" applyBorder="1" applyAlignment="1" applyProtection="1">
      <alignment horizontal="center" vertical="center"/>
    </xf>
    <xf numFmtId="0" fontId="61" fillId="14" borderId="0" xfId="0" applyFont="1" applyFill="1" applyBorder="1" applyAlignment="1" applyProtection="1">
      <alignment horizontal="center" vertical="center"/>
    </xf>
    <xf numFmtId="0" fontId="61" fillId="14" borderId="18" xfId="0" applyFont="1" applyFill="1" applyBorder="1" applyAlignment="1" applyProtection="1">
      <alignment horizontal="center" vertical="center"/>
    </xf>
    <xf numFmtId="0" fontId="51" fillId="14" borderId="17" xfId="0" applyFont="1" applyFill="1" applyBorder="1" applyAlignment="1" applyProtection="1">
      <alignment horizontal="center" vertical="center"/>
    </xf>
    <xf numFmtId="0" fontId="107" fillId="11" borderId="17" xfId="0" applyFont="1" applyFill="1" applyBorder="1" applyAlignment="1" applyProtection="1">
      <alignment horizontal="center" wrapText="1"/>
    </xf>
    <xf numFmtId="0" fontId="107" fillId="11" borderId="0" xfId="0" applyFont="1" applyFill="1" applyBorder="1" applyAlignment="1" applyProtection="1">
      <alignment horizontal="center" wrapText="1"/>
    </xf>
    <xf numFmtId="0" fontId="59" fillId="14" borderId="2" xfId="0" applyFont="1" applyFill="1" applyBorder="1" applyAlignment="1">
      <alignment horizontal="center" vertical="center"/>
    </xf>
    <xf numFmtId="0" fontId="20" fillId="14" borderId="2" xfId="0" applyFont="1" applyFill="1" applyBorder="1" applyAlignment="1">
      <alignment horizontal="center" vertical="center"/>
    </xf>
    <xf numFmtId="0" fontId="20" fillId="13" borderId="10" xfId="0" applyFont="1" applyFill="1" applyBorder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185" fontId="4" fillId="14" borderId="0" xfId="0" applyNumberFormat="1" applyFont="1" applyFill="1" applyAlignment="1">
      <alignment horizontal="right" vertical="center"/>
    </xf>
    <xf numFmtId="49" fontId="4" fillId="14" borderId="26" xfId="0" applyNumberFormat="1" applyFont="1" applyFill="1" applyBorder="1" applyAlignment="1">
      <alignment horizontal="right" vertical="center"/>
    </xf>
    <xf numFmtId="49" fontId="7" fillId="13" borderId="10" xfId="0" applyNumberFormat="1" applyFont="1" applyFill="1" applyBorder="1" applyAlignment="1">
      <alignment horizontal="center" vertical="center"/>
    </xf>
    <xf numFmtId="49" fontId="7" fillId="13" borderId="6" xfId="0" applyNumberFormat="1" applyFont="1" applyFill="1" applyBorder="1" applyAlignment="1">
      <alignment horizontal="center" vertical="center"/>
    </xf>
    <xf numFmtId="49" fontId="4" fillId="14" borderId="26" xfId="0" applyNumberFormat="1" applyFont="1" applyFill="1" applyBorder="1" applyAlignment="1">
      <alignment horizontal="right" vertical="center" shrinkToFit="1"/>
    </xf>
    <xf numFmtId="0" fontId="7" fillId="13" borderId="10" xfId="0" applyFont="1" applyFill="1" applyBorder="1" applyAlignment="1" applyProtection="1">
      <alignment horizontal="center" vertical="center" shrinkToFit="1"/>
    </xf>
    <xf numFmtId="0" fontId="7" fillId="13" borderId="6" xfId="0" applyFont="1" applyFill="1" applyBorder="1" applyAlignment="1" applyProtection="1">
      <alignment horizontal="center" vertical="center" shrinkToFit="1"/>
    </xf>
    <xf numFmtId="0" fontId="51" fillId="0" borderId="35" xfId="153" applyFont="1" applyBorder="1" applyAlignment="1" applyProtection="1">
      <alignment horizontal="left" vertical="center"/>
      <protection locked="0"/>
    </xf>
    <xf numFmtId="0" fontId="4" fillId="0" borderId="26" xfId="153" applyFont="1" applyBorder="1" applyAlignment="1" applyProtection="1">
      <alignment horizontal="left" vertical="center"/>
      <protection locked="0"/>
    </xf>
    <xf numFmtId="0" fontId="4" fillId="0" borderId="36" xfId="153" applyFont="1" applyBorder="1" applyAlignment="1" applyProtection="1">
      <alignment horizontal="left" vertical="center"/>
      <protection locked="0"/>
    </xf>
    <xf numFmtId="0" fontId="85" fillId="17" borderId="1" xfId="153" applyFont="1" applyFill="1" applyBorder="1" applyAlignment="1" applyProtection="1">
      <alignment horizontal="center" vertical="center" wrapText="1"/>
      <protection locked="0"/>
    </xf>
    <xf numFmtId="0" fontId="85" fillId="17" borderId="7" xfId="153" applyFont="1" applyFill="1" applyBorder="1" applyAlignment="1" applyProtection="1">
      <alignment horizontal="center" vertical="center" wrapText="1"/>
      <protection locked="0"/>
    </xf>
    <xf numFmtId="0" fontId="85" fillId="17" borderId="2" xfId="153" applyFont="1" applyFill="1" applyBorder="1" applyAlignment="1" applyProtection="1">
      <alignment horizontal="center" vertical="center" wrapText="1"/>
      <protection locked="0"/>
    </xf>
    <xf numFmtId="0" fontId="85" fillId="17" borderId="10" xfId="153" applyFont="1" applyFill="1" applyBorder="1" applyAlignment="1" applyProtection="1">
      <alignment horizontal="center" vertical="center" wrapText="1"/>
      <protection locked="0"/>
    </xf>
    <xf numFmtId="0" fontId="85" fillId="17" borderId="6" xfId="153" applyFont="1" applyFill="1" applyBorder="1" applyAlignment="1" applyProtection="1">
      <alignment horizontal="center" vertical="center" wrapText="1"/>
      <protection locked="0"/>
    </xf>
    <xf numFmtId="0" fontId="28" fillId="14" borderId="0" xfId="0" applyFont="1" applyFill="1" applyBorder="1" applyAlignment="1">
      <alignment horizontal="center" vertical="center" wrapText="1"/>
    </xf>
    <xf numFmtId="185" fontId="7" fillId="14" borderId="0" xfId="0" applyNumberFormat="1" applyFont="1" applyFill="1" applyBorder="1" applyAlignment="1">
      <alignment horizontal="center" vertical="center"/>
    </xf>
    <xf numFmtId="185" fontId="4" fillId="14" borderId="0" xfId="0" applyNumberFormat="1" applyFont="1" applyFill="1" applyBorder="1" applyAlignment="1">
      <alignment horizontal="center" vertical="center"/>
    </xf>
    <xf numFmtId="0" fontId="85" fillId="17" borderId="10" xfId="164" applyFont="1" applyFill="1" applyBorder="1" applyAlignment="1">
      <alignment horizontal="center" vertical="center" wrapText="1"/>
    </xf>
    <xf numFmtId="0" fontId="85" fillId="17" borderId="6" xfId="164" applyFont="1" applyFill="1" applyBorder="1" applyAlignment="1">
      <alignment horizontal="center" vertical="center" wrapText="1"/>
    </xf>
    <xf numFmtId="0" fontId="85" fillId="17" borderId="2" xfId="164" applyFont="1" applyFill="1" applyBorder="1" applyAlignment="1">
      <alignment horizontal="center" vertical="center" wrapText="1"/>
    </xf>
    <xf numFmtId="0" fontId="8" fillId="17" borderId="2" xfId="164" applyFont="1" applyFill="1" applyBorder="1" applyAlignment="1">
      <alignment horizontal="center" vertical="center" wrapText="1"/>
    </xf>
    <xf numFmtId="0" fontId="85" fillId="17" borderId="2" xfId="156" applyFont="1" applyFill="1" applyBorder="1" applyAlignment="1" applyProtection="1">
      <alignment horizontal="center" vertical="center" wrapText="1"/>
      <protection locked="0"/>
    </xf>
    <xf numFmtId="0" fontId="8" fillId="17" borderId="2" xfId="156" applyFont="1" applyFill="1" applyBorder="1" applyAlignment="1" applyProtection="1">
      <alignment horizontal="center" vertical="center" wrapText="1"/>
      <protection locked="0"/>
    </xf>
    <xf numFmtId="49" fontId="7" fillId="13" borderId="10" xfId="0" applyNumberFormat="1" applyFont="1" applyFill="1" applyBorder="1" applyAlignment="1">
      <alignment horizontal="center" vertical="center" shrinkToFit="1"/>
    </xf>
    <xf numFmtId="49" fontId="4" fillId="13" borderId="6" xfId="0" applyNumberFormat="1" applyFont="1" applyFill="1" applyBorder="1" applyAlignment="1">
      <alignment horizontal="center" vertical="center" shrinkToFit="1"/>
    </xf>
    <xf numFmtId="0" fontId="85" fillId="17" borderId="1" xfId="156" applyFont="1" applyFill="1" applyBorder="1" applyAlignment="1" applyProtection="1">
      <alignment horizontal="center" vertical="center" wrapText="1"/>
      <protection locked="0"/>
    </xf>
    <xf numFmtId="0" fontId="85" fillId="17" borderId="7" xfId="156" applyFont="1" applyFill="1" applyBorder="1" applyAlignment="1" applyProtection="1">
      <alignment horizontal="center" vertical="center" wrapText="1"/>
      <protection locked="0"/>
    </xf>
    <xf numFmtId="0" fontId="8" fillId="17" borderId="7" xfId="156" applyFont="1" applyFill="1" applyBorder="1" applyAlignment="1" applyProtection="1">
      <alignment horizontal="center" vertical="center" wrapText="1"/>
      <protection locked="0"/>
    </xf>
    <xf numFmtId="0" fontId="7" fillId="13" borderId="6" xfId="0" applyFont="1" applyFill="1" applyBorder="1" applyAlignment="1">
      <alignment horizontal="center" vertical="center" shrinkToFit="1"/>
    </xf>
    <xf numFmtId="0" fontId="85" fillId="17" borderId="1" xfId="152" applyFont="1" applyFill="1" applyBorder="1" applyAlignment="1">
      <alignment horizontal="center" vertical="center" wrapText="1"/>
    </xf>
    <xf numFmtId="0" fontId="85" fillId="17" borderId="7" xfId="152" applyFont="1" applyFill="1" applyBorder="1" applyAlignment="1">
      <alignment horizontal="center" vertical="center" wrapText="1"/>
    </xf>
    <xf numFmtId="0" fontId="85" fillId="17" borderId="1" xfId="154" applyFont="1" applyFill="1" applyBorder="1" applyAlignment="1" applyProtection="1">
      <alignment horizontal="center" vertical="center" wrapText="1"/>
      <protection locked="0"/>
    </xf>
    <xf numFmtId="0" fontId="85" fillId="17" borderId="7" xfId="154" applyFont="1" applyFill="1" applyBorder="1" applyAlignment="1" applyProtection="1">
      <alignment horizontal="center" vertical="center" wrapText="1"/>
      <protection locked="0"/>
    </xf>
    <xf numFmtId="0" fontId="85" fillId="17" borderId="2" xfId="154" applyFont="1" applyFill="1" applyBorder="1" applyAlignment="1" applyProtection="1">
      <alignment horizontal="center" vertical="center" wrapText="1"/>
      <protection locked="0"/>
    </xf>
    <xf numFmtId="0" fontId="85" fillId="0" borderId="1" xfId="153" applyFont="1" applyBorder="1" applyAlignment="1" applyProtection="1">
      <alignment horizontal="center" vertical="center" wrapText="1"/>
      <protection locked="0"/>
    </xf>
    <xf numFmtId="0" fontId="85" fillId="0" borderId="7" xfId="153" applyFont="1" applyBorder="1" applyAlignment="1" applyProtection="1">
      <alignment horizontal="center" vertical="center" wrapText="1"/>
      <protection locked="0"/>
    </xf>
    <xf numFmtId="0" fontId="85" fillId="0" borderId="2" xfId="162" applyFont="1" applyBorder="1" applyAlignment="1">
      <alignment horizontal="center" vertical="center" wrapText="1"/>
    </xf>
    <xf numFmtId="0" fontId="85" fillId="0" borderId="1" xfId="154" applyFont="1" applyBorder="1" applyAlignment="1" applyProtection="1">
      <alignment horizontal="center" vertical="center" wrapText="1"/>
      <protection locked="0"/>
    </xf>
    <xf numFmtId="0" fontId="85" fillId="0" borderId="7" xfId="154" applyFont="1" applyBorder="1" applyAlignment="1" applyProtection="1">
      <alignment horizontal="center" vertical="center" wrapText="1"/>
      <protection locked="0"/>
    </xf>
    <xf numFmtId="0" fontId="87" fillId="0" borderId="1" xfId="155" applyFont="1" applyBorder="1" applyAlignment="1" applyProtection="1">
      <alignment horizontal="center" vertical="center" wrapText="1"/>
      <protection locked="0"/>
    </xf>
    <xf numFmtId="0" fontId="88" fillId="0" borderId="7" xfId="155" applyFont="1" applyBorder="1" applyAlignment="1" applyProtection="1">
      <alignment horizontal="center" vertical="center" wrapText="1"/>
      <protection locked="0"/>
    </xf>
    <xf numFmtId="0" fontId="87" fillId="0" borderId="7" xfId="155" applyFont="1" applyBorder="1" applyAlignment="1" applyProtection="1">
      <alignment horizontal="center" vertical="center" wrapText="1"/>
      <protection locked="0"/>
    </xf>
    <xf numFmtId="0" fontId="52" fillId="17" borderId="1" xfId="153" applyFont="1" applyFill="1" applyBorder="1" applyAlignment="1" applyProtection="1">
      <alignment horizontal="center" vertical="center" wrapText="1"/>
      <protection locked="0"/>
    </xf>
    <xf numFmtId="0" fontId="52" fillId="17" borderId="7" xfId="153" applyFont="1" applyFill="1" applyBorder="1" applyAlignment="1" applyProtection="1">
      <alignment horizontal="center" vertical="center" wrapText="1"/>
      <protection locked="0"/>
    </xf>
    <xf numFmtId="0" fontId="52" fillId="17" borderId="2" xfId="154" applyFont="1" applyFill="1" applyBorder="1" applyAlignment="1" applyProtection="1">
      <alignment horizontal="center" vertical="center" wrapText="1"/>
      <protection locked="0"/>
    </xf>
    <xf numFmtId="0" fontId="52" fillId="17" borderId="1" xfId="154" applyFont="1" applyFill="1" applyBorder="1" applyAlignment="1" applyProtection="1">
      <alignment horizontal="center" vertical="center" wrapText="1"/>
      <protection locked="0"/>
    </xf>
    <xf numFmtId="0" fontId="52" fillId="17" borderId="7" xfId="154" applyFont="1" applyFill="1" applyBorder="1" applyAlignment="1" applyProtection="1">
      <alignment horizontal="center" vertical="center" wrapText="1"/>
      <protection locked="0"/>
    </xf>
    <xf numFmtId="0" fontId="52" fillId="17" borderId="10" xfId="155" applyFont="1" applyFill="1" applyBorder="1" applyAlignment="1" applyProtection="1">
      <alignment horizontal="center" vertical="center"/>
      <protection locked="0"/>
    </xf>
    <xf numFmtId="0" fontId="52" fillId="17" borderId="4" xfId="155" applyFont="1" applyFill="1" applyBorder="1" applyAlignment="1" applyProtection="1">
      <alignment horizontal="center" vertical="center"/>
      <protection locked="0"/>
    </xf>
    <xf numFmtId="0" fontId="7" fillId="14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wrapText="1"/>
    </xf>
    <xf numFmtId="0" fontId="4" fillId="14" borderId="7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center" vertical="center" shrinkToFit="1"/>
    </xf>
    <xf numFmtId="0" fontId="4" fillId="14" borderId="2" xfId="0" applyFont="1" applyFill="1" applyBorder="1" applyAlignment="1">
      <alignment horizontal="center" vertical="center" shrinkToFit="1"/>
    </xf>
    <xf numFmtId="177" fontId="7" fillId="14" borderId="1" xfId="0" applyNumberFormat="1" applyFont="1" applyFill="1" applyBorder="1" applyAlignment="1">
      <alignment horizontal="center" vertical="center" shrinkToFit="1"/>
    </xf>
    <xf numFmtId="177" fontId="4" fillId="14" borderId="7" xfId="0" applyNumberFormat="1" applyFont="1" applyFill="1" applyBorder="1" applyAlignment="1">
      <alignment horizontal="center" vertical="center" shrinkToFit="1"/>
    </xf>
    <xf numFmtId="0" fontId="85" fillId="17" borderId="2" xfId="165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85" fillId="17" borderId="2" xfId="165" applyFont="1" applyFill="1" applyBorder="1" applyAlignment="1">
      <alignment horizontal="center" vertical="center" shrinkToFit="1"/>
    </xf>
    <xf numFmtId="0" fontId="89" fillId="17" borderId="1" xfId="165" applyFont="1" applyFill="1" applyBorder="1" applyAlignment="1">
      <alignment horizontal="center" vertical="center" wrapText="1"/>
    </xf>
    <xf numFmtId="0" fontId="89" fillId="17" borderId="7" xfId="165" applyFont="1" applyFill="1" applyBorder="1" applyAlignment="1">
      <alignment horizontal="center" vertical="center" wrapText="1"/>
    </xf>
    <xf numFmtId="177" fontId="7" fillId="14" borderId="7" xfId="0" applyNumberFormat="1" applyFont="1" applyFill="1" applyBorder="1" applyAlignment="1">
      <alignment horizontal="center" vertical="center" shrinkToFit="1"/>
    </xf>
    <xf numFmtId="0" fontId="29" fillId="14" borderId="0" xfId="0" applyFont="1" applyFill="1" applyAlignment="1">
      <alignment horizontal="center" vertical="center"/>
    </xf>
    <xf numFmtId="0" fontId="7" fillId="14" borderId="2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183" fontId="7" fillId="14" borderId="2" xfId="0" applyNumberFormat="1" applyFont="1" applyFill="1" applyBorder="1" applyAlignment="1">
      <alignment horizontal="center" vertical="center"/>
    </xf>
    <xf numFmtId="183" fontId="7" fillId="14" borderId="2" xfId="0" applyNumberFormat="1" applyFont="1" applyFill="1" applyBorder="1" applyAlignment="1">
      <alignment horizontal="center" vertical="center" shrinkToFit="1"/>
    </xf>
    <xf numFmtId="183" fontId="4" fillId="14" borderId="2" xfId="0" applyNumberFormat="1" applyFont="1" applyFill="1" applyBorder="1" applyAlignment="1">
      <alignment horizontal="center" vertical="center" shrinkToFit="1"/>
    </xf>
    <xf numFmtId="0" fontId="89" fillId="17" borderId="2" xfId="165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/>
    </xf>
    <xf numFmtId="0" fontId="7" fillId="14" borderId="7" xfId="0" applyFont="1" applyFill="1" applyBorder="1" applyAlignment="1">
      <alignment horizontal="center" vertical="center"/>
    </xf>
    <xf numFmtId="185" fontId="7" fillId="14" borderId="1" xfId="0" applyNumberFormat="1" applyFont="1" applyFill="1" applyBorder="1" applyAlignment="1">
      <alignment horizontal="center" vertical="center" shrinkToFit="1"/>
    </xf>
    <xf numFmtId="185" fontId="7" fillId="14" borderId="7" xfId="0" applyNumberFormat="1" applyFont="1" applyFill="1" applyBorder="1" applyAlignment="1">
      <alignment horizontal="center" vertical="center" shrinkToFit="1"/>
    </xf>
    <xf numFmtId="0" fontId="7" fillId="14" borderId="10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0" fontId="85" fillId="17" borderId="10" xfId="152" applyFont="1" applyFill="1" applyBorder="1" applyAlignment="1">
      <alignment horizontal="center" vertical="center"/>
    </xf>
    <xf numFmtId="0" fontId="85" fillId="17" borderId="4" xfId="152" applyFont="1" applyFill="1" applyBorder="1" applyAlignment="1">
      <alignment horizontal="center" vertical="center"/>
    </xf>
    <xf numFmtId="0" fontId="85" fillId="17" borderId="6" xfId="152" applyFont="1" applyFill="1" applyBorder="1" applyAlignment="1">
      <alignment horizontal="center" vertical="center"/>
    </xf>
    <xf numFmtId="0" fontId="85" fillId="17" borderId="2" xfId="152" applyFont="1" applyFill="1" applyBorder="1" applyAlignment="1">
      <alignment horizontal="center" vertical="center"/>
    </xf>
    <xf numFmtId="183" fontId="4" fillId="14" borderId="2" xfId="0" applyNumberFormat="1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shrinkToFit="1"/>
    </xf>
    <xf numFmtId="0" fontId="4" fillId="14" borderId="7" xfId="0" applyFont="1" applyFill="1" applyBorder="1" applyAlignment="1">
      <alignment horizontal="center" vertical="center" shrinkToFit="1"/>
    </xf>
    <xf numFmtId="185" fontId="7" fillId="14" borderId="2" xfId="0" applyNumberFormat="1" applyFont="1" applyFill="1" applyBorder="1" applyAlignment="1">
      <alignment horizontal="center" vertical="center" shrinkToFit="1"/>
    </xf>
    <xf numFmtId="185" fontId="4" fillId="14" borderId="2" xfId="0" applyNumberFormat="1" applyFont="1" applyFill="1" applyBorder="1" applyAlignment="1">
      <alignment horizontal="center" vertical="center" shrinkToFit="1"/>
    </xf>
    <xf numFmtId="0" fontId="4" fillId="13" borderId="6" xfId="0" applyFont="1" applyFill="1" applyBorder="1" applyAlignment="1">
      <alignment horizontal="center" vertical="center"/>
    </xf>
    <xf numFmtId="185" fontId="4" fillId="14" borderId="0" xfId="0" applyNumberFormat="1" applyFont="1" applyFill="1" applyAlignment="1">
      <alignment horizontal="right" vertical="center" shrinkToFit="1"/>
    </xf>
    <xf numFmtId="49" fontId="7" fillId="13" borderId="2" xfId="0" applyNumberFormat="1" applyFont="1" applyFill="1" applyBorder="1" applyAlignment="1">
      <alignment horizontal="center" vertical="center" shrinkToFit="1"/>
    </xf>
    <xf numFmtId="49" fontId="4" fillId="13" borderId="2" xfId="0" applyNumberFormat="1" applyFont="1" applyFill="1" applyBorder="1" applyAlignment="1">
      <alignment horizontal="center" vertical="center" shrinkToFit="1"/>
    </xf>
    <xf numFmtId="0" fontId="85" fillId="17" borderId="1" xfId="164" applyFont="1" applyFill="1" applyBorder="1" applyAlignment="1">
      <alignment horizontal="center" vertical="center" wrapText="1"/>
    </xf>
    <xf numFmtId="0" fontId="85" fillId="17" borderId="7" xfId="164" applyFont="1" applyFill="1" applyBorder="1" applyAlignment="1">
      <alignment horizontal="center" vertical="center" wrapText="1"/>
    </xf>
    <xf numFmtId="0" fontId="4" fillId="13" borderId="6" xfId="0" applyFont="1" applyFill="1" applyBorder="1" applyAlignment="1">
      <alignment horizontal="center" vertical="center" shrinkToFit="1"/>
    </xf>
    <xf numFmtId="0" fontId="85" fillId="17" borderId="1" xfId="155" applyFont="1" applyFill="1" applyBorder="1" applyAlignment="1" applyProtection="1">
      <alignment horizontal="center" vertical="center" shrinkToFit="1"/>
      <protection locked="0"/>
    </xf>
    <xf numFmtId="0" fontId="85" fillId="17" borderId="7" xfId="155" applyFont="1" applyFill="1" applyBorder="1" applyAlignment="1" applyProtection="1">
      <alignment horizontal="center" vertical="center" shrinkToFit="1"/>
      <protection locked="0"/>
    </xf>
    <xf numFmtId="0" fontId="87" fillId="17" borderId="1" xfId="155" applyFont="1" applyFill="1" applyBorder="1" applyAlignment="1" applyProtection="1">
      <alignment horizontal="center" vertical="center" wrapText="1"/>
      <protection locked="0"/>
    </xf>
    <xf numFmtId="0" fontId="87" fillId="17" borderId="7" xfId="155" applyFont="1" applyFill="1" applyBorder="1" applyAlignment="1" applyProtection="1">
      <alignment horizontal="center" vertical="center" wrapText="1"/>
      <protection locked="0"/>
    </xf>
    <xf numFmtId="0" fontId="85" fillId="17" borderId="2" xfId="162" applyFont="1" applyFill="1" applyBorder="1" applyAlignment="1">
      <alignment horizontal="center" vertical="center" wrapText="1"/>
    </xf>
    <xf numFmtId="0" fontId="85" fillId="17" borderId="2" xfId="157" applyFont="1" applyFill="1" applyBorder="1" applyAlignment="1" applyProtection="1">
      <alignment horizontal="center" vertical="center" wrapText="1"/>
      <protection locked="0"/>
    </xf>
    <xf numFmtId="0" fontId="51" fillId="13" borderId="10" xfId="0" applyFont="1" applyFill="1" applyBorder="1" applyAlignment="1">
      <alignment horizontal="center" vertical="center" shrinkToFit="1"/>
    </xf>
    <xf numFmtId="0" fontId="4" fillId="13" borderId="10" xfId="0" applyFont="1" applyFill="1" applyBorder="1" applyAlignment="1">
      <alignment horizontal="center" vertical="center" shrinkToFit="1"/>
    </xf>
    <xf numFmtId="0" fontId="4" fillId="13" borderId="4" xfId="0" applyFont="1" applyFill="1" applyBorder="1" applyAlignment="1">
      <alignment horizontal="center" vertical="center" shrinkToFit="1"/>
    </xf>
    <xf numFmtId="0" fontId="7" fillId="13" borderId="4" xfId="0" applyFont="1" applyFill="1" applyBorder="1" applyAlignment="1">
      <alignment horizontal="center" vertical="center" shrinkToFit="1"/>
    </xf>
    <xf numFmtId="185" fontId="7" fillId="14" borderId="2" xfId="0" applyNumberFormat="1" applyFont="1" applyFill="1" applyBorder="1" applyAlignment="1">
      <alignment horizontal="center" vertical="center" wrapText="1"/>
    </xf>
    <xf numFmtId="185" fontId="4" fillId="14" borderId="2" xfId="0" applyNumberFormat="1" applyFont="1" applyFill="1" applyBorder="1" applyAlignment="1">
      <alignment horizontal="center" vertical="center"/>
    </xf>
    <xf numFmtId="0" fontId="7" fillId="14" borderId="1" xfId="166" applyFont="1" applyFill="1" applyBorder="1" applyAlignment="1">
      <alignment horizontal="center" vertical="center" wrapText="1"/>
    </xf>
    <xf numFmtId="0" fontId="4" fillId="14" borderId="7" xfId="166" applyFont="1" applyFill="1" applyBorder="1" applyAlignment="1">
      <alignment horizontal="center" vertical="center" wrapText="1"/>
    </xf>
    <xf numFmtId="0" fontId="53" fillId="14" borderId="0" xfId="0" applyFont="1" applyFill="1" applyAlignment="1">
      <alignment horizontal="center" vertical="center" wrapText="1"/>
    </xf>
    <xf numFmtId="0" fontId="69" fillId="13" borderId="10" xfId="0" applyFont="1" applyFill="1" applyBorder="1" applyAlignment="1">
      <alignment horizontal="center" vertical="center" shrinkToFit="1"/>
    </xf>
    <xf numFmtId="0" fontId="70" fillId="13" borderId="4" xfId="0" applyFont="1" applyFill="1" applyBorder="1" applyAlignment="1">
      <alignment horizontal="center" vertical="center" shrinkToFit="1"/>
    </xf>
    <xf numFmtId="0" fontId="70" fillId="13" borderId="6" xfId="0" applyFont="1" applyFill="1" applyBorder="1" applyAlignment="1">
      <alignment horizontal="center" vertical="center" shrinkToFit="1"/>
    </xf>
    <xf numFmtId="0" fontId="19" fillId="13" borderId="10" xfId="169" applyFont="1" applyFill="1" applyBorder="1" applyAlignment="1" applyProtection="1">
      <alignment horizontal="center" vertical="center"/>
    </xf>
    <xf numFmtId="0" fontId="57" fillId="13" borderId="6" xfId="169" applyFont="1" applyFill="1" applyBorder="1" applyAlignment="1" applyProtection="1">
      <alignment horizontal="center" vertical="center"/>
    </xf>
    <xf numFmtId="49" fontId="56" fillId="13" borderId="10" xfId="0" applyNumberFormat="1" applyFont="1" applyFill="1" applyBorder="1" applyAlignment="1">
      <alignment horizontal="center" vertical="center"/>
    </xf>
    <xf numFmtId="49" fontId="56" fillId="13" borderId="6" xfId="0" applyNumberFormat="1" applyFont="1" applyFill="1" applyBorder="1" applyAlignment="1">
      <alignment horizontal="center" vertical="center"/>
    </xf>
    <xf numFmtId="0" fontId="57" fillId="13" borderId="10" xfId="0" applyFont="1" applyFill="1" applyBorder="1" applyAlignment="1">
      <alignment horizontal="center" vertical="center"/>
    </xf>
    <xf numFmtId="0" fontId="57" fillId="13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91" fillId="14" borderId="0" xfId="0" applyNumberFormat="1" applyFont="1" applyFill="1" applyAlignment="1">
      <alignment horizontal="right" vertical="center" shrinkToFit="1"/>
    </xf>
    <xf numFmtId="0" fontId="4" fillId="14" borderId="0" xfId="0" applyNumberFormat="1" applyFont="1" applyFill="1" applyAlignment="1">
      <alignment horizontal="right" vertical="center" shrinkToFit="1"/>
    </xf>
    <xf numFmtId="0" fontId="7" fillId="14" borderId="26" xfId="0" applyFont="1" applyFill="1" applyBorder="1" applyAlignment="1">
      <alignment horizontal="right" vertical="center" shrinkToFit="1"/>
    </xf>
    <xf numFmtId="0" fontId="7" fillId="13" borderId="2" xfId="0" applyFont="1" applyFill="1" applyBorder="1" applyAlignment="1">
      <alignment horizontal="center" vertical="center" shrinkToFit="1"/>
    </xf>
    <xf numFmtId="185" fontId="7" fillId="14" borderId="1" xfId="0" applyNumberFormat="1" applyFont="1" applyFill="1" applyBorder="1" applyAlignment="1">
      <alignment horizontal="center" vertical="center" wrapText="1" shrinkToFit="1"/>
    </xf>
    <xf numFmtId="185" fontId="4" fillId="14" borderId="7" xfId="0" applyNumberFormat="1" applyFont="1" applyFill="1" applyBorder="1" applyAlignment="1">
      <alignment horizontal="center" vertical="center" wrapText="1" shrinkToFit="1"/>
    </xf>
    <xf numFmtId="0" fontId="7" fillId="14" borderId="2" xfId="160" applyFont="1" applyFill="1" applyBorder="1" applyAlignment="1">
      <alignment horizontal="center" vertical="center" wrapText="1"/>
    </xf>
    <xf numFmtId="0" fontId="4" fillId="14" borderId="2" xfId="160" applyFont="1" applyFill="1" applyBorder="1" applyAlignment="1">
      <alignment horizontal="center" vertical="center" wrapText="1"/>
    </xf>
    <xf numFmtId="0" fontId="71" fillId="14" borderId="2" xfId="0" applyFont="1" applyFill="1" applyBorder="1" applyAlignment="1">
      <alignment horizontal="center" vertical="center" wrapText="1"/>
    </xf>
    <xf numFmtId="0" fontId="56" fillId="13" borderId="6" xfId="0" applyFont="1" applyFill="1" applyBorder="1" applyAlignment="1">
      <alignment horizontal="center" vertical="center" shrinkToFit="1"/>
    </xf>
    <xf numFmtId="49" fontId="4" fillId="13" borderId="10" xfId="0" applyNumberFormat="1" applyFont="1" applyFill="1" applyBorder="1" applyAlignment="1">
      <alignment horizontal="center" vertical="center"/>
    </xf>
    <xf numFmtId="49" fontId="4" fillId="13" borderId="6" xfId="0" applyNumberFormat="1" applyFont="1" applyFill="1" applyBorder="1" applyAlignment="1">
      <alignment horizontal="center" vertical="center"/>
    </xf>
    <xf numFmtId="49" fontId="56" fillId="13" borderId="10" xfId="0" applyNumberFormat="1" applyFont="1" applyFill="1" applyBorder="1" applyAlignment="1">
      <alignment horizontal="center" vertical="center" shrinkToFit="1"/>
    </xf>
    <xf numFmtId="49" fontId="56" fillId="13" borderId="4" xfId="0" applyNumberFormat="1" applyFont="1" applyFill="1" applyBorder="1" applyAlignment="1">
      <alignment horizontal="center" vertical="center" shrinkToFit="1"/>
    </xf>
    <xf numFmtId="49" fontId="56" fillId="13" borderId="6" xfId="0" applyNumberFormat="1" applyFont="1" applyFill="1" applyBorder="1" applyAlignment="1">
      <alignment horizontal="center" vertical="center" shrinkToFit="1"/>
    </xf>
    <xf numFmtId="0" fontId="51" fillId="17" borderId="2" xfId="153" applyFont="1" applyFill="1" applyBorder="1" applyAlignment="1" applyProtection="1">
      <alignment horizontal="center" vertical="center" wrapText="1"/>
      <protection locked="0"/>
    </xf>
    <xf numFmtId="49" fontId="4" fillId="13" borderId="4" xfId="0" applyNumberFormat="1" applyFont="1" applyFill="1" applyBorder="1" applyAlignment="1">
      <alignment horizontal="center" vertical="center" shrinkToFit="1"/>
    </xf>
    <xf numFmtId="185" fontId="58" fillId="14" borderId="2" xfId="0" applyNumberFormat="1" applyFont="1" applyFill="1" applyBorder="1" applyAlignment="1">
      <alignment horizontal="center" vertical="center" wrapText="1" shrinkToFit="1"/>
    </xf>
    <xf numFmtId="0" fontId="7" fillId="14" borderId="7" xfId="0" applyFont="1" applyFill="1" applyBorder="1" applyAlignment="1">
      <alignment horizontal="center" vertical="center" shrinkToFit="1"/>
    </xf>
    <xf numFmtId="0" fontId="51" fillId="17" borderId="1" xfId="153" applyFont="1" applyFill="1" applyBorder="1" applyAlignment="1" applyProtection="1">
      <alignment horizontal="center" vertical="center" wrapText="1"/>
      <protection locked="0"/>
    </xf>
    <xf numFmtId="0" fontId="51" fillId="17" borderId="7" xfId="153" applyFont="1" applyFill="1" applyBorder="1" applyAlignment="1" applyProtection="1">
      <alignment horizontal="center" vertical="center" wrapText="1"/>
      <protection locked="0"/>
    </xf>
    <xf numFmtId="49" fontId="51" fillId="17" borderId="1" xfId="158" applyNumberFormat="1" applyFont="1" applyFill="1" applyBorder="1" applyAlignment="1">
      <alignment horizontal="center" vertical="center" wrapText="1"/>
    </xf>
    <xf numFmtId="49" fontId="51" fillId="17" borderId="7" xfId="158" applyNumberFormat="1" applyFont="1" applyFill="1" applyBorder="1" applyAlignment="1">
      <alignment horizontal="center" vertical="center" wrapText="1"/>
    </xf>
    <xf numFmtId="0" fontId="7" fillId="14" borderId="6" xfId="160" applyFont="1" applyFill="1" applyBorder="1" applyAlignment="1">
      <alignment horizontal="center" vertical="center" wrapText="1"/>
    </xf>
    <xf numFmtId="49" fontId="52" fillId="17" borderId="1" xfId="158" applyNumberFormat="1" applyFont="1" applyFill="1" applyBorder="1" applyAlignment="1">
      <alignment horizontal="center" vertical="center" wrapText="1"/>
    </xf>
    <xf numFmtId="49" fontId="52" fillId="17" borderId="7" xfId="158" applyNumberFormat="1" applyFont="1" applyFill="1" applyBorder="1" applyAlignment="1">
      <alignment horizontal="center" vertical="center" wrapText="1"/>
    </xf>
    <xf numFmtId="49" fontId="85" fillId="17" borderId="1" xfId="158" applyNumberFormat="1" applyFont="1" applyFill="1" applyBorder="1" applyAlignment="1">
      <alignment horizontal="center" vertical="center" wrapText="1"/>
    </xf>
    <xf numFmtId="49" fontId="85" fillId="17" borderId="7" xfId="158" applyNumberFormat="1" applyFont="1" applyFill="1" applyBorder="1" applyAlignment="1">
      <alignment horizontal="center" vertical="center" wrapText="1"/>
    </xf>
    <xf numFmtId="0" fontId="85" fillId="17" borderId="2" xfId="159" applyFont="1" applyFill="1" applyBorder="1" applyAlignment="1" applyProtection="1">
      <alignment horizontal="center" vertical="center" wrapText="1"/>
      <protection locked="0"/>
    </xf>
    <xf numFmtId="0" fontId="8" fillId="17" borderId="2" xfId="159" applyFont="1" applyFill="1" applyBorder="1" applyAlignment="1" applyProtection="1">
      <alignment horizontal="center" vertical="center" wrapText="1"/>
      <protection locked="0"/>
    </xf>
    <xf numFmtId="0" fontId="85" fillId="17" borderId="10" xfId="159" applyFont="1" applyFill="1" applyBorder="1" applyAlignment="1" applyProtection="1">
      <alignment horizontal="center" vertical="center" wrapText="1"/>
      <protection locked="0"/>
    </xf>
    <xf numFmtId="0" fontId="85" fillId="17" borderId="4" xfId="159" applyFont="1" applyFill="1" applyBorder="1" applyAlignment="1" applyProtection="1">
      <alignment horizontal="center" vertical="center" wrapText="1"/>
      <protection locked="0"/>
    </xf>
    <xf numFmtId="0" fontId="85" fillId="17" borderId="6" xfId="159" applyFont="1" applyFill="1" applyBorder="1" applyAlignment="1" applyProtection="1">
      <alignment horizontal="center" vertical="center" wrapText="1"/>
      <protection locked="0"/>
    </xf>
    <xf numFmtId="49" fontId="7" fillId="13" borderId="6" xfId="0" applyNumberFormat="1" applyFont="1" applyFill="1" applyBorder="1" applyAlignment="1">
      <alignment horizontal="center" vertical="center" shrinkToFit="1"/>
    </xf>
    <xf numFmtId="0" fontId="85" fillId="17" borderId="10" xfId="154" applyFont="1" applyFill="1" applyBorder="1" applyAlignment="1" applyProtection="1">
      <alignment horizontal="center" vertical="center" wrapText="1"/>
      <protection locked="0"/>
    </xf>
    <xf numFmtId="0" fontId="85" fillId="17" borderId="4" xfId="154" applyFont="1" applyFill="1" applyBorder="1" applyAlignment="1" applyProtection="1">
      <alignment horizontal="center" vertical="center" wrapText="1"/>
      <protection locked="0"/>
    </xf>
    <xf numFmtId="0" fontId="85" fillId="17" borderId="2" xfId="154" applyFont="1" applyFill="1" applyBorder="1" applyAlignment="1" applyProtection="1">
      <alignment horizontal="center" vertical="center"/>
      <protection locked="0"/>
    </xf>
    <xf numFmtId="0" fontId="87" fillId="17" borderId="2" xfId="154" applyFont="1" applyFill="1" applyBorder="1" applyAlignment="1" applyProtection="1">
      <alignment horizontal="center" vertical="center" shrinkToFit="1"/>
      <protection locked="0"/>
    </xf>
    <xf numFmtId="0" fontId="85" fillId="17" borderId="1" xfId="154" applyFont="1" applyFill="1" applyBorder="1" applyAlignment="1" applyProtection="1">
      <alignment horizontal="center" vertical="center" shrinkToFit="1"/>
      <protection locked="0"/>
    </xf>
    <xf numFmtId="0" fontId="85" fillId="17" borderId="7" xfId="154" applyFont="1" applyFill="1" applyBorder="1" applyAlignment="1" applyProtection="1">
      <alignment horizontal="center" vertical="center" shrinkToFit="1"/>
      <protection locked="0"/>
    </xf>
    <xf numFmtId="0" fontId="87" fillId="17" borderId="2" xfId="154" applyFont="1" applyFill="1" applyBorder="1" applyAlignment="1" applyProtection="1">
      <alignment horizontal="center" vertical="center" wrapText="1"/>
      <protection locked="0"/>
    </xf>
    <xf numFmtId="0" fontId="87" fillId="17" borderId="1" xfId="154" applyFont="1" applyFill="1" applyBorder="1" applyAlignment="1" applyProtection="1">
      <alignment horizontal="center" vertical="center" wrapText="1"/>
      <protection locked="0"/>
    </xf>
    <xf numFmtId="0" fontId="87" fillId="17" borderId="7" xfId="154" applyFont="1" applyFill="1" applyBorder="1" applyAlignment="1" applyProtection="1">
      <alignment horizontal="center" vertical="center" wrapText="1"/>
      <protection locked="0"/>
    </xf>
    <xf numFmtId="0" fontId="4" fillId="13" borderId="10" xfId="0" applyFont="1" applyFill="1" applyBorder="1" applyAlignment="1">
      <alignment horizontal="center" vertical="center"/>
    </xf>
    <xf numFmtId="0" fontId="28" fillId="14" borderId="0" xfId="0" applyFont="1" applyFill="1" applyAlignment="1">
      <alignment horizontal="center" vertical="center"/>
    </xf>
    <xf numFmtId="0" fontId="4" fillId="13" borderId="2" xfId="0" applyFont="1" applyFill="1" applyBorder="1" applyAlignment="1">
      <alignment horizontal="center" vertical="center" shrinkToFit="1"/>
    </xf>
    <xf numFmtId="0" fontId="85" fillId="17" borderId="2" xfId="201" applyFont="1" applyFill="1" applyBorder="1" applyAlignment="1">
      <alignment horizontal="center" vertical="center" wrapText="1"/>
    </xf>
    <xf numFmtId="0" fontId="8" fillId="17" borderId="2" xfId="0" applyFont="1" applyFill="1" applyBorder="1" applyAlignment="1">
      <alignment vertical="center"/>
    </xf>
  </cellXfs>
  <cellStyles count="209">
    <cellStyle name="??" xfId="1" xr:uid="{93E12E32-96BB-436A-918B-2A5B59419515}"/>
    <cellStyle name="?? [0]" xfId="2" xr:uid="{0FFDE733-C475-4A3D-B447-426DD3DA05A7}"/>
    <cellStyle name="?? 2 5 2" xfId="3" xr:uid="{58FBC9A2-5A16-464F-8246-C9FD96688729}"/>
    <cellStyle name="??_0N-HANDLING " xfId="4" xr:uid="{8EF033B0-BD90-4170-8E70-F8FD2489B2EF}"/>
    <cellStyle name="@_text" xfId="5" xr:uid="{11505DE3-8398-4EA2-994E-44905828DDF3}"/>
    <cellStyle name="_(中企华)审计评估联合申报明细表.V1" xfId="6" xr:uid="{A6231572-819D-42E1-A530-50E42A5D2B70}"/>
    <cellStyle name="_CBRE明细表" xfId="7" xr:uid="{99B30DF6-2BF0-4107-A1D8-0602FA8F6D80}"/>
    <cellStyle name="_CBRE明细表 2" xfId="8" xr:uid="{87471D40-6B9A-4537-97ED-6E83EF592ACE}"/>
    <cellStyle name="_ET_STYLE_NoName_00_" xfId="9" xr:uid="{CE9E9C03-37DA-45E9-B65E-DD94B3D3FD78}"/>
    <cellStyle name="_ET_STYLE_NoName_00_ 2" xfId="10" xr:uid="{116AAA76-9484-4BA1-BD32-BFC49C6A8CDA}"/>
    <cellStyle name="_KPMG original version" xfId="11" xr:uid="{7C9AD6F3-281F-435A-B713-AD09EAC609C9}"/>
    <cellStyle name="_KPMG original version_(中企华)审计评估联合申报明细表.V1" xfId="12" xr:uid="{C1D451A5-EA88-4C04-8961-3AD153CC0309}"/>
    <cellStyle name="_KPMG original version_附件1：审计评估联合申报明细表" xfId="13" xr:uid="{A4DCF61D-3E85-459E-89AC-12D82F49CC5E}"/>
    <cellStyle name="_long term loan - others 300504" xfId="14" xr:uid="{A7A1D729-3A2E-46D7-BBFA-0578DC1863AB}"/>
    <cellStyle name="_long term loan - others 300504_(中企华)审计评估联合申报明细表.V1" xfId="15" xr:uid="{6D6EB451-1C00-403E-82FF-7EF15F49C338}"/>
    <cellStyle name="_long term loan - others 300504_KPMG original version" xfId="16" xr:uid="{8C8BCB06-8590-4B3F-8749-7BD4B6772D36}"/>
    <cellStyle name="_long term loan - others 300504_KPMG original version_(中企华)审计评估联合申报明细表.V1" xfId="17" xr:uid="{0645BF99-2449-4700-B1BA-03D1330663A2}"/>
    <cellStyle name="_long term loan - others 300504_KPMG original version_附件1：审计评估联合申报明细表" xfId="18" xr:uid="{D35CF900-417B-444D-9114-D66F3123E750}"/>
    <cellStyle name="_long term loan - others 300504_Shenhua PBC package 050530" xfId="19" xr:uid="{B876BAFF-A093-442C-943F-17309AF328F4}"/>
    <cellStyle name="_long term loan - others 300504_Shenhua PBC package 050530_(中企华)审计评估联合申报明细表.V1" xfId="20" xr:uid="{46268614-F759-4935-9ADF-993BE638A267}"/>
    <cellStyle name="_long term loan - others 300504_Shenhua PBC package 050530_附件1：审计评估联合申报明细表" xfId="21" xr:uid="{521B8F91-FA9F-4C4E-BAC3-680580ADA527}"/>
    <cellStyle name="_long term loan - others 300504_附件1：审计评估联合申报明细表" xfId="22" xr:uid="{5D95AF34-19B0-4116-ADDF-9EF84FC40472}"/>
    <cellStyle name="_long term loan - others 300504_审计调查表.V3" xfId="23" xr:uid="{0E717116-CF1E-4B9D-A5C9-1DA8DBE6B6B9}"/>
    <cellStyle name="_Part III.200406.Loan and Liabilities details.(Site Name)" xfId="24" xr:uid="{123CCB20-757F-4595-B308-B57F88446DE2}"/>
    <cellStyle name="_Part III.200406.Loan and Liabilities details.(Site Name)_(中企华)审计评估联合申报明细表.V1" xfId="25" xr:uid="{83CDA618-0FF1-4EFD-8C50-D24C15947686}"/>
    <cellStyle name="_Part III.200406.Loan and Liabilities details.(Site Name)_KPMG original version" xfId="26" xr:uid="{3E292566-3E2B-4577-9514-646F6F496E88}"/>
    <cellStyle name="_Part III.200406.Loan and Liabilities details.(Site Name)_KPMG original version_(中企华)审计评估联合申报明细表.V1" xfId="27" xr:uid="{EFEBB43B-5EF1-435C-AD5D-72E1EEF00D84}"/>
    <cellStyle name="_Part III.200406.Loan and Liabilities details.(Site Name)_KPMG original version_附件1：审计评估联合申报明细表" xfId="28" xr:uid="{11069A66-CF25-4421-B4B7-D438E8782C2B}"/>
    <cellStyle name="_Part III.200406.Loan and Liabilities details.(Site Name)_Shenhua PBC package 050530" xfId="29" xr:uid="{C8D398C6-14E8-4834-B27B-8A698A390943}"/>
    <cellStyle name="_Part III.200406.Loan and Liabilities details.(Site Name)_Shenhua PBC package 050530_(中企华)审计评估联合申报明细表.V1" xfId="30" xr:uid="{DBD0B854-1F7E-4266-8AF1-D2AF4FF5E0CC}"/>
    <cellStyle name="_Part III.200406.Loan and Liabilities details.(Site Name)_Shenhua PBC package 050530_附件1：审计评估联合申报明细表" xfId="31" xr:uid="{C4A43109-8E00-4CBC-82FD-833A0AC371E1}"/>
    <cellStyle name="_Part III.200406.Loan and Liabilities details.(Site Name)_附件1：审计评估联合申报明细表" xfId="32" xr:uid="{8263DE29-86A5-49D0-91A7-4A2FE02381A5}"/>
    <cellStyle name="_Part III.200406.Loan and Liabilities details.(Site Name)_审计调查表.V3" xfId="33" xr:uid="{5265C229-58AB-4A89-99D0-FC5082863B4A}"/>
    <cellStyle name="_Shenhua PBC package 050530" xfId="34" xr:uid="{E3E88191-4789-47C1-A7D8-1D1C8A264491}"/>
    <cellStyle name="_Shenhua PBC package 050530_(中企华)审计评估联合申报明细表.V1" xfId="35" xr:uid="{28DF4025-BA08-4A39-9EBA-2558DBBE5C1E}"/>
    <cellStyle name="_Shenhua PBC package 050530_附件1：审计评估联合申报明细表" xfId="36" xr:uid="{78636A81-C96F-45AC-849B-F8D2A0FDD0DB}"/>
    <cellStyle name="_房屋建筑评估申报表" xfId="37" xr:uid="{46565325-B075-4341-8A09-97BFC61FD885}"/>
    <cellStyle name="_附件1：审计评估联合申报明细表" xfId="38" xr:uid="{5032C99C-EEDE-4ED2-A569-1550C3D03DF4}"/>
    <cellStyle name="_审计调查表.V3" xfId="39" xr:uid="{9588DF65-AF01-42DF-BA9D-C6A56AEB9845}"/>
    <cellStyle name="_文函专递0211-施工企业调查表（附件）" xfId="40" xr:uid="{84A1C5BA-471C-4E0A-BA64-DC0C344F7209}"/>
    <cellStyle name="{Comma [0]}" xfId="41" xr:uid="{B66541BF-482A-48FE-9268-681973E3F24A}"/>
    <cellStyle name="{Comma}" xfId="42" xr:uid="{A788258D-27AB-4BA4-ADD6-54BD185AC75A}"/>
    <cellStyle name="{Date}" xfId="43" xr:uid="{EF69C1BC-0CAC-42D1-AE7C-83FD77D8D289}"/>
    <cellStyle name="{Month}" xfId="44" xr:uid="{C676860F-2FFF-447E-B77B-1BAA2A6D3D7E}"/>
    <cellStyle name="{Percent}" xfId="45" xr:uid="{38274424-EA08-4628-882B-A80C5AA0CDA7}"/>
    <cellStyle name="{Thousand [0]}" xfId="46" xr:uid="{D72B0870-718B-4948-B0F8-A84CA95AA3D2}"/>
    <cellStyle name="{Thousand}" xfId="47" xr:uid="{B011D6E0-46D8-4983-860C-B88F62425B02}"/>
    <cellStyle name="{Z'0000(1 dec)}" xfId="48" xr:uid="{C411A223-B2C3-4669-8FF1-1FE299C6BCFD}"/>
    <cellStyle name="{Z'0000(4 dec)}" xfId="49" xr:uid="{5D374FAA-8964-41BF-BFFC-1B164D9B9773}"/>
    <cellStyle name="0,0_x000d__x000a_NA_x000d__x000a_" xfId="50" xr:uid="{48E773CA-64D7-4FEA-9613-B99869FC92D7}"/>
    <cellStyle name="0,0_x000d__x000a_NA_x000d__x000a_ 2" xfId="51" xr:uid="{0F69982F-6028-4529-83C4-A3B3EC993B8C}"/>
    <cellStyle name="args.style" xfId="52" xr:uid="{8413F240-EF74-40C4-9E4D-9FC1C891BB81}"/>
    <cellStyle name="Calc Currency (0)" xfId="53" xr:uid="{6C7059F9-5CCE-4816-B073-54232E68EE29}"/>
    <cellStyle name="Calc Currency (0) 2" xfId="54" xr:uid="{571DCDA2-293A-47C0-AED7-0A6CC75B0D57}"/>
    <cellStyle name="category" xfId="55" xr:uid="{8DF5D75E-48A1-424F-BB18-8F56007A5922}"/>
    <cellStyle name="Column Headings" xfId="56" xr:uid="{8BC4F537-4222-45DE-A3E0-4FC45BDF6DB4}"/>
    <cellStyle name="Column$Headings" xfId="57" xr:uid="{4C4CECA9-F8EC-45FF-8873-3E889EEB1366}"/>
    <cellStyle name="Column$Headings 2" xfId="58" xr:uid="{1CE4CFD9-55DB-4F03-A2F1-2F870E0A863D}"/>
    <cellStyle name="Column_Title" xfId="59" xr:uid="{47415A31-CCC2-4847-B414-29ABCE8F0EC6}"/>
    <cellStyle name="Comma  - Style1" xfId="60" xr:uid="{7502DA7E-BDC6-4A02-ABB0-90926B1319C7}"/>
    <cellStyle name="Comma  - Style2" xfId="61" xr:uid="{682DD0CF-7CE3-4A9F-AB20-109DB9025065}"/>
    <cellStyle name="Comma  - Style3" xfId="62" xr:uid="{B81CF307-0976-4428-80E9-5A1A50B266D0}"/>
    <cellStyle name="Comma  - Style4" xfId="63" xr:uid="{A07CD1BA-BE6C-470A-BD0A-E3A2B1F86D8A}"/>
    <cellStyle name="Comma  - Style5" xfId="64" xr:uid="{E6453B2D-7DE6-40D0-99E3-19447F8DB1D0}"/>
    <cellStyle name="Comma  - Style6" xfId="65" xr:uid="{D96754A8-DFAF-49F0-99FC-035BFB1D0FCE}"/>
    <cellStyle name="Comma  - Style7" xfId="66" xr:uid="{476A1E29-1E52-4D07-99DC-3AC28AA71598}"/>
    <cellStyle name="Comma  - Style8" xfId="67" xr:uid="{1179FE22-34CC-4095-ADE7-52745444FC31}"/>
    <cellStyle name="Comma [0]_laroux" xfId="68" xr:uid="{9C99AFD9-1695-4C55-B60B-C2F47FE6C123}"/>
    <cellStyle name="Comma_02(2003.12.31 PBC package.040304)" xfId="69" xr:uid="{48E201FB-B092-47E3-A53B-99CE05570DA0}"/>
    <cellStyle name="comma-d" xfId="70" xr:uid="{C495C871-F373-4FDF-810A-B090C19BA0E8}"/>
    <cellStyle name="Copied" xfId="71" xr:uid="{38220A4B-E587-494A-A1FE-A37D7DA10CEA}"/>
    <cellStyle name="COST1" xfId="72" xr:uid="{C60703BA-722F-4159-AB36-F000F3E90F92}"/>
    <cellStyle name="Currency [0]_353HHC" xfId="73" xr:uid="{E1813107-6472-4885-BEE1-FC859C518B7C}"/>
    <cellStyle name="Currency_353HHC" xfId="74" xr:uid="{841C3DC5-84F5-49C1-A5BE-C475DC873E15}"/>
    <cellStyle name="Date" xfId="75" xr:uid="{FD58F90A-B39B-450A-9119-8ABD3D8F1BBD}"/>
    <cellStyle name="Entered" xfId="76" xr:uid="{5E0490D3-5DF0-44C6-99FC-0C1F89C4DCD9}"/>
    <cellStyle name="entry box" xfId="77" xr:uid="{ACDAD699-1F1A-4F3F-AF0B-F62EE4669457}"/>
    <cellStyle name="Euro" xfId="78" xr:uid="{A1CA6EF9-0FA8-43D2-9E75-9385EE4EAF11}"/>
    <cellStyle name="e鯪9Y_x000b_" xfId="79" xr:uid="{C5C3D178-8130-48FF-A404-0F042467729E}"/>
    <cellStyle name="Format Number Column" xfId="80" xr:uid="{FCAB07D5-BF32-4283-9486-E273CDBB9937}"/>
    <cellStyle name="gcd" xfId="81" xr:uid="{DB55D120-F893-433C-8743-348303B6BC84}"/>
    <cellStyle name="Grey" xfId="82" xr:uid="{161AA75A-9C96-4A3D-A989-4623B718BADB}"/>
    <cellStyle name="HEADER" xfId="83" xr:uid="{45805118-FAF1-469B-880A-7E95E7438033}"/>
    <cellStyle name="Header1" xfId="84" xr:uid="{CEBDA426-1B85-487C-A788-F28B94D55CBF}"/>
    <cellStyle name="Header2" xfId="85" xr:uid="{560DA251-91F9-4E6C-99D9-8138D2FBAC70}"/>
    <cellStyle name="Input [yellow]" xfId="86" xr:uid="{86D14FAD-35A9-48A7-B1B5-F1CA530A392A}"/>
    <cellStyle name="Input Cells" xfId="87" xr:uid="{CAC15A61-5D5F-49B9-88C2-7DEBA6A98601}"/>
    <cellStyle name="Input Cells 2" xfId="88" xr:uid="{D94EAC6B-A1D1-49B6-B62B-68A9D75ECCB9}"/>
    <cellStyle name="Input Cells 2 2" xfId="89" xr:uid="{FE520B12-A20F-4F83-9197-E9D465107345}"/>
    <cellStyle name="Input Cells 2 3" xfId="90" xr:uid="{F2FBBB9E-7E38-4FAC-8BCF-427A61062AD2}"/>
    <cellStyle name="Input Cells 2 4" xfId="91" xr:uid="{A8A3145E-2A71-4518-B4EA-6358FED752B8}"/>
    <cellStyle name="Input Cells 3" xfId="92" xr:uid="{12845EFE-2775-457E-8DD6-3B63BB7F9E76}"/>
    <cellStyle name="Input Cells 4" xfId="93" xr:uid="{9ECB38DC-0C06-4BC5-B000-9351C2C57DEB}"/>
    <cellStyle name="Input Cells 5" xfId="94" xr:uid="{FD4D0077-2EF9-4E80-8CD8-E3B28203180F}"/>
    <cellStyle name="InputArea" xfId="95" xr:uid="{D084A9AF-EE97-4AE6-9BC0-538EEE50B384}"/>
    <cellStyle name="KPMG Heading 1" xfId="96" xr:uid="{72339356-AC27-4808-B895-13FEBDB28AAF}"/>
    <cellStyle name="KPMG Heading 2" xfId="97" xr:uid="{2CF19A02-6D86-4259-A8BF-DFA1FCC7E3C2}"/>
    <cellStyle name="KPMG Heading 3" xfId="98" xr:uid="{E6EDBC7D-7BAD-4CCE-BEFA-4737A6637784}"/>
    <cellStyle name="KPMG Heading 4" xfId="99" xr:uid="{89585170-7B62-4B0D-BE32-7DD278570744}"/>
    <cellStyle name="KPMG Normal" xfId="100" xr:uid="{80E7047A-3665-4F49-AF85-6D56D08976F8}"/>
    <cellStyle name="KPMG Normal Text" xfId="101" xr:uid="{C932D6C1-2358-4381-9846-7D2E73866C17}"/>
    <cellStyle name="Lines Fill" xfId="102" xr:uid="{7F6A4DE5-9FF1-4DD5-9B9E-25F575542324}"/>
    <cellStyle name="Lines Fill 2" xfId="103" xr:uid="{8C186C14-3586-4B34-9ECA-CBDCBBB15C2F}"/>
    <cellStyle name="Linked Cells" xfId="104" xr:uid="{9423EB21-9751-4888-910B-8C5E99B7BB48}"/>
    <cellStyle name="Linked Cells 2" xfId="105" xr:uid="{5B65D68A-BD41-44CA-A031-E86E67CF749C}"/>
    <cellStyle name="Linked Cells 2 2" xfId="106" xr:uid="{5D35581E-7720-4A3C-9396-9D3A63AEBC1D}"/>
    <cellStyle name="Linked Cells 2 3" xfId="107" xr:uid="{574D0197-4EE9-4FBB-A129-1D0ACC56AE7C}"/>
    <cellStyle name="Linked Cells 2 4" xfId="108" xr:uid="{D7F26360-8123-4870-8740-7E3EEB8480E3}"/>
    <cellStyle name="Linked Cells 3" xfId="109" xr:uid="{1C146066-D414-4795-9440-B3BE38BADEA8}"/>
    <cellStyle name="Linked Cells 4" xfId="110" xr:uid="{3042B661-0852-4210-9DF2-BA9679FED546}"/>
    <cellStyle name="Linked Cells 5" xfId="111" xr:uid="{8B850411-D950-4C68-9392-19449CB80515}"/>
    <cellStyle name="Milliers [0]_!!!GO" xfId="112" xr:uid="{3C9DE2EB-1024-4E96-8E22-19275511E482}"/>
    <cellStyle name="Milliers_!!!GO" xfId="113" xr:uid="{D61D3844-5D58-4589-A561-1C0C0523CC7E}"/>
    <cellStyle name="Model" xfId="114" xr:uid="{91F0DFBC-C16A-42CE-BF96-8ED62AFC63EA}"/>
    <cellStyle name="Monétaire [0]_!!!GO" xfId="115" xr:uid="{43838FFE-D566-4836-9AE8-7A5DD51CEB9C}"/>
    <cellStyle name="Monétaire_!!!GO" xfId="116" xr:uid="{9FAA3312-006A-4A11-9617-0878B1D38AC9}"/>
    <cellStyle name="New Times Roman" xfId="117" xr:uid="{1E4E48D0-6C70-46CE-8081-9A930D70907F}"/>
    <cellStyle name="no dec" xfId="118" xr:uid="{51404CAB-46A3-4456-B5BD-B9F7613421B1}"/>
    <cellStyle name="Normal - Style1" xfId="119" xr:uid="{CD6A92A0-42F6-4B48-9694-5691CA6C7334}"/>
    <cellStyle name="Normal - Style1 2" xfId="120" xr:uid="{4764A03E-A503-49CB-A6B6-EC68D7DDBB33}"/>
    <cellStyle name="Normal - Style1 2 2" xfId="121" xr:uid="{FDA8FE95-3AD1-4E6E-B069-35A27A37C17B}"/>
    <cellStyle name="Normal - Style1 2 3" xfId="122" xr:uid="{7E0921FF-F362-4152-B2A3-C992028B99C2}"/>
    <cellStyle name="Normal - Style1 2 4" xfId="123" xr:uid="{2B83973A-727A-4DCB-BD0A-1EC070D736A4}"/>
    <cellStyle name="Normal - Style1 3" xfId="124" xr:uid="{B1D3DAF3-2AE0-416F-9C39-6F6AFC959D8A}"/>
    <cellStyle name="Normal - Style1 4" xfId="125" xr:uid="{8CD6A65E-84EF-405E-BCA1-302DA8027FEE}"/>
    <cellStyle name="Normal - Style1 5" xfId="126" xr:uid="{C090A363-EA4D-4949-AC07-0EB91FF3A6AF}"/>
    <cellStyle name="Normal_0105第二套审计报表定稿" xfId="127" xr:uid="{940A6AD3-9C43-4875-931A-91EB53372332}"/>
    <cellStyle name="Normalny_Arkusz1" xfId="128" xr:uid="{1BA08E12-E97E-4EC6-91BC-DBEBD1FD4FBE}"/>
    <cellStyle name="Œ…‹æØ‚è [0.00]_Region Orders (2)" xfId="129" xr:uid="{40FCB0F9-E11E-4FBD-A58C-F59B688D6C9F}"/>
    <cellStyle name="Œ…‹æØ‚è_Region Orders (2)" xfId="130" xr:uid="{E4ABA327-DC68-4A50-B55D-6B606D9918B8}"/>
    <cellStyle name="per.style" xfId="131" xr:uid="{94502568-EE50-4A7C-8A1F-AF69036248B6}"/>
    <cellStyle name="Percent [2]" xfId="132" xr:uid="{1C899456-4797-47CB-AA3E-9D92C2225298}"/>
    <cellStyle name="Percent_PICC package Sept2002 (V120021005)1" xfId="133" xr:uid="{DD28F2EA-021D-4971-873E-276D601A3D34}"/>
    <cellStyle name="Prefilled" xfId="134" xr:uid="{7E443AEA-9723-4F94-952C-86DC2FFA5788}"/>
    <cellStyle name="pricing" xfId="135" xr:uid="{4BEE6574-F8D9-4AA6-936B-C006345AFB62}"/>
    <cellStyle name="PSChar" xfId="136" xr:uid="{CC716120-AA42-4F39-B505-99B417E79FCA}"/>
    <cellStyle name="RevList" xfId="137" xr:uid="{538509DF-D6E6-4EC1-8EE9-D600FBC61ED5}"/>
    <cellStyle name="RevList 2" xfId="138" xr:uid="{5DF43D1F-2653-4C4A-B164-9F2EF5CF67E0}"/>
    <cellStyle name="RevList 2 2" xfId="139" xr:uid="{241812D6-5D5A-467B-BF09-F0C74D7CAB08}"/>
    <cellStyle name="RevList 2 3" xfId="140" xr:uid="{FE116813-389D-4C96-83F6-115BF99F313F}"/>
    <cellStyle name="RevList 2 4" xfId="141" xr:uid="{E0594F32-B363-4A71-800D-2D670B293E14}"/>
    <cellStyle name="RevList 3" xfId="142" xr:uid="{4A24B177-D269-459C-B9D3-D9345066FE68}"/>
    <cellStyle name="RevList 4" xfId="143" xr:uid="{E92C292D-B354-427E-A37B-BD794301C323}"/>
    <cellStyle name="RevList 5" xfId="144" xr:uid="{1C142DB7-5E7D-425D-915D-7B9777C8D398}"/>
    <cellStyle name="Sheet Head" xfId="145" xr:uid="{7BCA6489-2703-40CE-AD1E-7C60A0DDBB46}"/>
    <cellStyle name="style" xfId="146" xr:uid="{BCAB633A-CA1C-4A2E-AC76-C617C13FF60D}"/>
    <cellStyle name="style1" xfId="147" xr:uid="{1DC616CF-D619-4C56-A64F-249F5F0DDA70}"/>
    <cellStyle name="style2" xfId="148" xr:uid="{BABE744E-6BA2-4B28-96EF-4308F019DE8E}"/>
    <cellStyle name="subhead" xfId="149" xr:uid="{931062EF-82E7-4087-B543-760DE6745DB2}"/>
    <cellStyle name="Subtotal" xfId="150" xr:uid="{37EA54CE-9C53-4F89-A545-13CD9337D803}"/>
    <cellStyle name="常规" xfId="0" builtinId="0"/>
    <cellStyle name="常规 2" xfId="151" xr:uid="{46DFFDA8-30D9-428C-A697-4758A4B1BD72}"/>
    <cellStyle name="常规 22" xfId="152" xr:uid="{C7ED7D86-3E89-466E-9C60-50DD80B29F68}"/>
    <cellStyle name="常规_01流动资产" xfId="153" xr:uid="{E33EA4FA-7F18-46CF-8AF7-DC0032D4542D}"/>
    <cellStyle name="常规_01流动资产_1" xfId="154" xr:uid="{EF9C6743-C2EF-4558-8816-6E002A1B5FAE}"/>
    <cellStyle name="常规_01流动资产_1 2" xfId="155" xr:uid="{5802B0B3-40D7-4577-996B-D2F5AC59FB4C}"/>
    <cellStyle name="常规_01流动资产_1_模块1：交易性金融资产" xfId="156" xr:uid="{1D26871E-0A8E-4322-A111-FD7FBB250E40}"/>
    <cellStyle name="常规_02长期投资" xfId="157" xr:uid="{ACA02E6F-16E7-4BD9-B4F3-F3C75A17B744}"/>
    <cellStyle name="常规_05机器设备" xfId="158" xr:uid="{C1351C9D-A207-47FE-9123-5AB5F445C25C}"/>
    <cellStyle name="常规_09负债" xfId="159" xr:uid="{F06FAA1F-F0AB-4ED5-9505-6A50E8DC285A}"/>
    <cellStyle name="常规_Sheet1" xfId="160" xr:uid="{205DEB71-ECA8-47E9-AF2E-E166912456BF}"/>
    <cellStyle name="常规_博会评估" xfId="161" xr:uid="{560FB5FE-6DD0-4876-9E6C-EBC4B0C7C7C6}"/>
    <cellStyle name="常规_财务类成本法工作底稿" xfId="162" xr:uid="{1A5ADECE-7C63-4B74-B08D-B35FDFAE94A8}"/>
    <cellStyle name="常规_存货" xfId="163" xr:uid="{9881C2DA-D5CA-4E1E-A10E-F9175DA3792A}"/>
    <cellStyle name="常规_底稿-步骤及复核表编写要求及举例2009" xfId="164" xr:uid="{568AE492-53CB-47F6-81B7-ABC0AF8AB6DE}"/>
    <cellStyle name="常规_流动资产类底稿" xfId="165" xr:uid="{0928BB07-EF35-47E3-8024-2EB8C9FD95D3}"/>
    <cellStyle name="常规_评估空白套表1" xfId="166" xr:uid="{3655E805-CBC0-4028-BBE1-67CFAC3E8F0A}"/>
    <cellStyle name="常规_评估明细表格式--新准则用--国资(有链接)2稿" xfId="167" xr:uid="{C7D2671E-80B0-4D5F-B8FC-D6E4802994E8}"/>
    <cellStyle name="常规_勿忘农流动资产底稿7-10" xfId="168" xr:uid="{1AD506B6-42F0-44CE-B81C-12B9A0C18B93}"/>
    <cellStyle name="超链接" xfId="169" builtinId="8"/>
    <cellStyle name="超链接 2" xfId="170" xr:uid="{6C24EAA3-B683-421D-A7A5-71C461A31190}"/>
    <cellStyle name="超链接 2 2" xfId="171" xr:uid="{C2361073-6F3C-4E44-BE2B-2B78D317CEDA}"/>
    <cellStyle name="超链接 2 3" xfId="172" xr:uid="{81A3E79F-4A67-4A65-BF69-240613A89639}"/>
    <cellStyle name="超链接 2 4" xfId="173" xr:uid="{26179F82-A1DA-4F32-B40C-04F915DE7936}"/>
    <cellStyle name="超链接 3" xfId="174" xr:uid="{BBAEBBC6-0902-427C-8D5C-B9A1F81D2DB6}"/>
    <cellStyle name="超链接 4" xfId="175" xr:uid="{721E2293-406D-47A6-AB92-1BA077A5DEF1}"/>
    <cellStyle name="超链接 5" xfId="176" xr:uid="{36AC54CC-4BA3-4F07-B9F8-697AEE12E5BB}"/>
    <cellStyle name="分级显示行_1_4附件二凯旋评估表" xfId="177" xr:uid="{03E8BFC1-C93E-4385-AF63-0BD9AB51C89C}"/>
    <cellStyle name="公司标准表" xfId="178" xr:uid="{821D1B7C-B938-4156-AFE2-A089DB1300C8}"/>
    <cellStyle name="公司标准表 2" xfId="179" xr:uid="{C552E080-6BA0-42D4-9BFE-3E305200A096}"/>
    <cellStyle name="公司标准表 2 2" xfId="180" xr:uid="{EC95B089-6099-4758-84EC-382759974345}"/>
    <cellStyle name="公司标准表 2 3" xfId="181" xr:uid="{596407BD-4F33-4D87-842A-550990FB9CDB}"/>
    <cellStyle name="公司标准表 2 4" xfId="182" xr:uid="{1652F070-B1DC-407A-A858-906588203C6E}"/>
    <cellStyle name="公司标准表 3" xfId="183" xr:uid="{8B30D66F-9FBC-4F9B-873D-BECB881770CD}"/>
    <cellStyle name="公司标准表 4" xfId="184" xr:uid="{47A78587-54B8-473A-A163-A8962754A7F2}"/>
    <cellStyle name="公司标准表 5" xfId="185" xr:uid="{9CD974B9-81AF-4F2E-A0C2-A8AACDD0C8F9}"/>
    <cellStyle name="霓付 [0]_97MBO" xfId="186" xr:uid="{F7C59CEF-648C-46C7-A061-31AC6C60F8C0}"/>
    <cellStyle name="霓付_97MBO" xfId="187" xr:uid="{D6012F8C-677C-4E0C-8ADC-764AA6221DB4}"/>
    <cellStyle name="烹拳 [0]_97MBO" xfId="188" xr:uid="{CA64FFC4-16D1-43F5-8EF8-9A01645928F6}"/>
    <cellStyle name="烹拳_97MBO" xfId="189" xr:uid="{9F2200C5-B4F6-4B92-A0AD-D425016A1D38}"/>
    <cellStyle name="普通_ 白土" xfId="190" xr:uid="{1B06AE80-8F5B-4827-93C0-F26FCC3D63CB}"/>
    <cellStyle name="千分位[0]_ 白土" xfId="191" xr:uid="{B8C20EB8-1A75-49E6-BC1D-9F44811946A5}"/>
    <cellStyle name="千分位_ 白土" xfId="192" xr:uid="{53200808-33DD-44FD-ABDD-7535D6C66C82}"/>
    <cellStyle name="千位[0]_ 应交税金审定表" xfId="193" xr:uid="{C474CC41-729F-4C67-8505-02FC471A47D9}"/>
    <cellStyle name="千位_ 应交税金审定表" xfId="194" xr:uid="{317085D3-82C3-4702-B70D-76F876F48AE7}"/>
    <cellStyle name="千位分隔" xfId="195" builtinId="3"/>
    <cellStyle name="千位分隔 2" xfId="196" xr:uid="{EBC25581-F9CA-4598-A43B-84EA741C0893}"/>
    <cellStyle name="千位分隔 2 2 4" xfId="197" xr:uid="{0D40F19A-B527-481C-90F9-EFC455EA7D4D}"/>
    <cellStyle name="千位分隔 2 6 4" xfId="198" xr:uid="{BE75A1C5-241B-4EAF-859A-8984F4BC81BE}"/>
    <cellStyle name="千位分隔 2 6 4 2" xfId="199" xr:uid="{859AC518-5414-4D1E-BCB7-04948D49E100}"/>
    <cellStyle name="钎霖_laroux" xfId="200" xr:uid="{ECEE2A1D-712B-4080-9316-F776AA3AE878}"/>
    <cellStyle name="样式 1" xfId="201" xr:uid="{423752A5-B7E4-4E64-A4A9-7BA68829E34F}"/>
    <cellStyle name="一般_NEGS" xfId="202" xr:uid="{252F21A5-1867-4C42-96CA-C243FF6C46DF}"/>
    <cellStyle name="资产" xfId="203" xr:uid="{0B279ED7-FDA3-46B0-934D-66A482DAFF00}"/>
    <cellStyle name="콤마 [0]_BOILER-CO1" xfId="204" xr:uid="{B963A700-849D-41A6-8F58-6201B1A2F7A2}"/>
    <cellStyle name="콤마_BOILER-CO1" xfId="205" xr:uid="{29CDC9F4-6E92-4840-BD4E-D23CDAC8FDBD}"/>
    <cellStyle name="통화 [0]_BOILER-CO1" xfId="206" xr:uid="{628F6963-A005-4072-A9F0-5E948B9182DB}"/>
    <cellStyle name="통화_BOILER-CO1" xfId="207" xr:uid="{E8C43DF0-6929-41C9-9762-FF3C04B01AD4}"/>
    <cellStyle name="표준_0N-HANDLING " xfId="208" xr:uid="{7EB67A54-B06E-4DB9-BB94-626FF4EA7C6C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</xdr:colOff>
      <xdr:row>14</xdr:row>
      <xdr:rowOff>161925</xdr:rowOff>
    </xdr:from>
    <xdr:to>
      <xdr:col>13</xdr:col>
      <xdr:colOff>142875</xdr:colOff>
      <xdr:row>17</xdr:row>
      <xdr:rowOff>104775</xdr:rowOff>
    </xdr:to>
    <xdr:pic>
      <xdr:nvPicPr>
        <xdr:cNvPr id="110785" name="图片 4">
          <a:extLst>
            <a:ext uri="{FF2B5EF4-FFF2-40B4-BE49-F238E27FC236}">
              <a16:creationId xmlns:a16="http://schemas.microsoft.com/office/drawing/2014/main" id="{E793DC35-7392-5E87-1080-BDB97F25B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3400425"/>
          <a:ext cx="61912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51210</xdr:colOff>
      <xdr:row>10</xdr:row>
      <xdr:rowOff>102421</xdr:rowOff>
    </xdr:from>
    <xdr:to>
      <xdr:col>18</xdr:col>
      <xdr:colOff>136831</xdr:colOff>
      <xdr:row>12</xdr:row>
      <xdr:rowOff>159712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93A5D49A-C192-4FF4-937F-FD40E5208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6210" y="2406856"/>
          <a:ext cx="3301588" cy="507937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63500</xdr:rowOff>
        </xdr:from>
        <xdr:to>
          <xdr:col>0</xdr:col>
          <xdr:colOff>1054100</xdr:colOff>
          <xdr:row>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选择单个表格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1193800</xdr:colOff>
          <xdr:row>1</xdr:row>
          <xdr:rowOff>63500</xdr:rowOff>
        </xdr:from>
        <xdr:to>
          <xdr:col>1</xdr:col>
          <xdr:colOff>431800</xdr:colOff>
          <xdr:row>1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选择全部表格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1</xdr:row>
          <xdr:rowOff>63500</xdr:rowOff>
        </xdr:from>
        <xdr:to>
          <xdr:col>3</xdr:col>
          <xdr:colOff>241300</xdr:colOff>
          <xdr:row>1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批量打印设置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1</xdr:row>
          <xdr:rowOff>165100</xdr:rowOff>
        </xdr:from>
        <xdr:to>
          <xdr:col>1</xdr:col>
          <xdr:colOff>2260600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12700</xdr:rowOff>
        </xdr:from>
        <xdr:to>
          <xdr:col>2</xdr:col>
          <xdr:colOff>292100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1066800</xdr:colOff>
          <xdr:row>2</xdr:row>
          <xdr:rowOff>0</xdr:rowOff>
        </xdr:from>
        <xdr:to>
          <xdr:col>2</xdr:col>
          <xdr:colOff>254000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1117600</xdr:colOff>
          <xdr:row>2</xdr:row>
          <xdr:rowOff>0</xdr:rowOff>
        </xdr:from>
        <xdr:to>
          <xdr:col>1</xdr:col>
          <xdr:colOff>2133600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1066800</xdr:colOff>
          <xdr:row>2</xdr:row>
          <xdr:rowOff>0</xdr:rowOff>
        </xdr:from>
        <xdr:to>
          <xdr:col>1</xdr:col>
          <xdr:colOff>2082800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977900</xdr:colOff>
          <xdr:row>3</xdr:row>
          <xdr:rowOff>12700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2</xdr:row>
          <xdr:rowOff>0</xdr:rowOff>
        </xdr:from>
        <xdr:to>
          <xdr:col>3</xdr:col>
          <xdr:colOff>0</xdr:colOff>
          <xdr:row>3</xdr:row>
          <xdr:rowOff>12700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977900</xdr:colOff>
          <xdr:row>3</xdr:row>
          <xdr:rowOff>12700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7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990600</xdr:colOff>
          <xdr:row>3</xdr:row>
          <xdr:rowOff>12700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07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2</xdr:row>
          <xdr:rowOff>0</xdr:rowOff>
        </xdr:from>
        <xdr:to>
          <xdr:col>2</xdr:col>
          <xdr:colOff>990600</xdr:colOff>
          <xdr:row>3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927100</xdr:colOff>
          <xdr:row>3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3</xdr:col>
          <xdr:colOff>368300</xdr:colOff>
          <xdr:row>3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3</xdr:col>
          <xdr:colOff>177800</xdr:colOff>
          <xdr:row>3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1041400</xdr:colOff>
          <xdr:row>3</xdr:row>
          <xdr:rowOff>12700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3</xdr:col>
          <xdr:colOff>228600</xdr:colOff>
          <xdr:row>3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1041400</xdr:colOff>
          <xdr:row>3</xdr:row>
          <xdr:rowOff>12700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C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3</xdr:col>
          <xdr:colOff>228600</xdr:colOff>
          <xdr:row>3</xdr:row>
          <xdr:rowOff>12700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C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D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2</xdr:row>
          <xdr:rowOff>0</xdr:rowOff>
        </xdr:from>
        <xdr:to>
          <xdr:col>3</xdr:col>
          <xdr:colOff>190500</xdr:colOff>
          <xdr:row>3</xdr:row>
          <xdr:rowOff>12700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D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3</xdr:col>
          <xdr:colOff>279400</xdr:colOff>
          <xdr:row>3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736600</xdr:colOff>
          <xdr:row>3</xdr:row>
          <xdr:rowOff>12700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901700</xdr:colOff>
          <xdr:row>3</xdr:row>
          <xdr:rowOff>12700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1155700</xdr:colOff>
          <xdr:row>2</xdr:row>
          <xdr:rowOff>0</xdr:rowOff>
        </xdr:from>
        <xdr:to>
          <xdr:col>2</xdr:col>
          <xdr:colOff>520700</xdr:colOff>
          <xdr:row>3</xdr:row>
          <xdr:rowOff>12700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1003300</xdr:colOff>
          <xdr:row>3</xdr:row>
          <xdr:rowOff>12700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2</xdr:row>
          <xdr:rowOff>0</xdr:rowOff>
        </xdr:from>
        <xdr:to>
          <xdr:col>3</xdr:col>
          <xdr:colOff>38100</xdr:colOff>
          <xdr:row>3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2</xdr:row>
          <xdr:rowOff>0</xdr:rowOff>
        </xdr:from>
        <xdr:to>
          <xdr:col>3</xdr:col>
          <xdr:colOff>406400</xdr:colOff>
          <xdr:row>3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330200</xdr:colOff>
          <xdr:row>3</xdr:row>
          <xdr:rowOff>12700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1117600</xdr:colOff>
          <xdr:row>2</xdr:row>
          <xdr:rowOff>0</xdr:rowOff>
        </xdr:from>
        <xdr:to>
          <xdr:col>2</xdr:col>
          <xdr:colOff>88900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</xdr:row>
          <xdr:rowOff>0</xdr:rowOff>
        </xdr:from>
        <xdr:to>
          <xdr:col>3</xdr:col>
          <xdr:colOff>711200</xdr:colOff>
          <xdr:row>3</xdr:row>
          <xdr:rowOff>12700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1016000</xdr:colOff>
          <xdr:row>3</xdr:row>
          <xdr:rowOff>12700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</xdr:row>
          <xdr:rowOff>0</xdr:rowOff>
        </xdr:from>
        <xdr:to>
          <xdr:col>4</xdr:col>
          <xdr:colOff>355600</xdr:colOff>
          <xdr:row>3</xdr:row>
          <xdr:rowOff>12700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2</xdr:col>
          <xdr:colOff>12700</xdr:colOff>
          <xdr:row>3</xdr:row>
          <xdr:rowOff>12700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2</xdr:row>
          <xdr:rowOff>0</xdr:rowOff>
        </xdr:from>
        <xdr:to>
          <xdr:col>4</xdr:col>
          <xdr:colOff>190500</xdr:colOff>
          <xdr:row>3</xdr:row>
          <xdr:rowOff>12700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939800</xdr:colOff>
          <xdr:row>3</xdr:row>
          <xdr:rowOff>12700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2</xdr:row>
          <xdr:rowOff>0</xdr:rowOff>
        </xdr:from>
        <xdr:to>
          <xdr:col>3</xdr:col>
          <xdr:colOff>342900</xdr:colOff>
          <xdr:row>3</xdr:row>
          <xdr:rowOff>12700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0</xdr:rowOff>
        </xdr:from>
        <xdr:to>
          <xdr:col>2</xdr:col>
          <xdr:colOff>292100</xdr:colOff>
          <xdr:row>3</xdr:row>
          <xdr:rowOff>12700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2</xdr:row>
          <xdr:rowOff>0</xdr:rowOff>
        </xdr:from>
        <xdr:to>
          <xdr:col>4</xdr:col>
          <xdr:colOff>406400</xdr:colOff>
          <xdr:row>3</xdr:row>
          <xdr:rowOff>12700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939800</xdr:colOff>
          <xdr:row>3</xdr:row>
          <xdr:rowOff>12700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0</xdr:rowOff>
        </xdr:from>
        <xdr:to>
          <xdr:col>3</xdr:col>
          <xdr:colOff>647700</xdr:colOff>
          <xdr:row>3</xdr:row>
          <xdr:rowOff>12700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1016000</xdr:colOff>
          <xdr:row>3</xdr:row>
          <xdr:rowOff>12700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2</xdr:row>
          <xdr:rowOff>0</xdr:rowOff>
        </xdr:from>
        <xdr:to>
          <xdr:col>4</xdr:col>
          <xdr:colOff>0</xdr:colOff>
          <xdr:row>3</xdr:row>
          <xdr:rowOff>12700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0</xdr:rowOff>
        </xdr:from>
        <xdr:to>
          <xdr:col>1</xdr:col>
          <xdr:colOff>1028700</xdr:colOff>
          <xdr:row>3</xdr:row>
          <xdr:rowOff>12700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3</xdr:col>
          <xdr:colOff>444500</xdr:colOff>
          <xdr:row>3</xdr:row>
          <xdr:rowOff>12700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D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3</xdr:col>
          <xdr:colOff>279400</xdr:colOff>
          <xdr:row>3</xdr:row>
          <xdr:rowOff>12700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D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E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0</xdr:rowOff>
        </xdr:from>
        <xdr:to>
          <xdr:col>2</xdr:col>
          <xdr:colOff>723900</xdr:colOff>
          <xdr:row>3</xdr:row>
          <xdr:rowOff>12700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E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977900</xdr:colOff>
          <xdr:row>3</xdr:row>
          <xdr:rowOff>12700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F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736600</xdr:colOff>
          <xdr:row>3</xdr:row>
          <xdr:rowOff>12700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F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20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3</xdr:col>
          <xdr:colOff>228600</xdr:colOff>
          <xdr:row>3</xdr:row>
          <xdr:rowOff>12700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20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3</xdr:col>
          <xdr:colOff>228600</xdr:colOff>
          <xdr:row>3</xdr:row>
          <xdr:rowOff>12700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114300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1168400</xdr:colOff>
          <xdr:row>2</xdr:row>
          <xdr:rowOff>0</xdr:rowOff>
        </xdr:from>
        <xdr:to>
          <xdr:col>2</xdr:col>
          <xdr:colOff>38100</xdr:colOff>
          <xdr:row>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2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2</xdr:row>
          <xdr:rowOff>0</xdr:rowOff>
        </xdr:from>
        <xdr:to>
          <xdr:col>1</xdr:col>
          <xdr:colOff>1066800</xdr:colOff>
          <xdr:row>3</xdr:row>
          <xdr:rowOff>12700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2</xdr:row>
          <xdr:rowOff>0</xdr:rowOff>
        </xdr:from>
        <xdr:to>
          <xdr:col>3</xdr:col>
          <xdr:colOff>457200</xdr:colOff>
          <xdr:row>3</xdr:row>
          <xdr:rowOff>12700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1054100</xdr:colOff>
          <xdr:row>3</xdr:row>
          <xdr:rowOff>12700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1308100</xdr:colOff>
          <xdr:row>2</xdr:row>
          <xdr:rowOff>0</xdr:rowOff>
        </xdr:from>
        <xdr:to>
          <xdr:col>3</xdr:col>
          <xdr:colOff>381000</xdr:colOff>
          <xdr:row>3</xdr:row>
          <xdr:rowOff>12700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2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2</xdr:row>
          <xdr:rowOff>0</xdr:rowOff>
        </xdr:from>
        <xdr:to>
          <xdr:col>3</xdr:col>
          <xdr:colOff>190500</xdr:colOff>
          <xdr:row>3</xdr:row>
          <xdr:rowOff>12700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26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1054100</xdr:colOff>
          <xdr:row>3</xdr:row>
          <xdr:rowOff>12700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1308100</xdr:colOff>
          <xdr:row>2</xdr:row>
          <xdr:rowOff>0</xdr:rowOff>
        </xdr:from>
        <xdr:to>
          <xdr:col>3</xdr:col>
          <xdr:colOff>304800</xdr:colOff>
          <xdr:row>3</xdr:row>
          <xdr:rowOff>12700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990600</xdr:colOff>
          <xdr:row>3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355600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1016000</xdr:colOff>
          <xdr:row>3</xdr:row>
          <xdr:rowOff>12700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1282700</xdr:colOff>
          <xdr:row>2</xdr:row>
          <xdr:rowOff>0</xdr:rowOff>
        </xdr:from>
        <xdr:to>
          <xdr:col>3</xdr:col>
          <xdr:colOff>254000</xdr:colOff>
          <xdr:row>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2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1054100</xdr:colOff>
          <xdr:row>3</xdr:row>
          <xdr:rowOff>12700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A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1308100</xdr:colOff>
          <xdr:row>2</xdr:row>
          <xdr:rowOff>0</xdr:rowOff>
        </xdr:from>
        <xdr:to>
          <xdr:col>3</xdr:col>
          <xdr:colOff>304800</xdr:colOff>
          <xdr:row>3</xdr:row>
          <xdr:rowOff>12700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A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800100</xdr:colOff>
          <xdr:row>3</xdr:row>
          <xdr:rowOff>12700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2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2</xdr:col>
          <xdr:colOff>38100</xdr:colOff>
          <xdr:row>3</xdr:row>
          <xdr:rowOff>12700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2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</xdr:row>
          <xdr:rowOff>177800</xdr:rowOff>
        </xdr:from>
        <xdr:to>
          <xdr:col>2</xdr:col>
          <xdr:colOff>419100</xdr:colOff>
          <xdr:row>1</xdr:row>
          <xdr:rowOff>355600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673100</xdr:colOff>
          <xdr:row>1</xdr:row>
          <xdr:rowOff>177800</xdr:rowOff>
        </xdr:from>
        <xdr:to>
          <xdr:col>4</xdr:col>
          <xdr:colOff>12700</xdr:colOff>
          <xdr:row>1</xdr:row>
          <xdr:rowOff>355600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2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</xdr:row>
          <xdr:rowOff>177800</xdr:rowOff>
        </xdr:from>
        <xdr:to>
          <xdr:col>2</xdr:col>
          <xdr:colOff>304800</xdr:colOff>
          <xdr:row>1</xdr:row>
          <xdr:rowOff>355600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D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558800</xdr:colOff>
          <xdr:row>1</xdr:row>
          <xdr:rowOff>177800</xdr:rowOff>
        </xdr:from>
        <xdr:to>
          <xdr:col>3</xdr:col>
          <xdr:colOff>876300</xdr:colOff>
          <xdr:row>1</xdr:row>
          <xdr:rowOff>355600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D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177800</xdr:rowOff>
        </xdr:from>
        <xdr:to>
          <xdr:col>2</xdr:col>
          <xdr:colOff>571500</xdr:colOff>
          <xdr:row>2</xdr:row>
          <xdr:rowOff>50800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E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127000</xdr:colOff>
          <xdr:row>2</xdr:row>
          <xdr:rowOff>50800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E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</xdr:row>
          <xdr:rowOff>228600</xdr:rowOff>
        </xdr:from>
        <xdr:to>
          <xdr:col>2</xdr:col>
          <xdr:colOff>381000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F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228600</xdr:rowOff>
        </xdr:from>
        <xdr:to>
          <xdr:col>4</xdr:col>
          <xdr:colOff>63500</xdr:colOff>
          <xdr:row>3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F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0</xdr:rowOff>
        </xdr:from>
        <xdr:to>
          <xdr:col>2</xdr:col>
          <xdr:colOff>165100</xdr:colOff>
          <xdr:row>3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0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2</xdr:col>
          <xdr:colOff>457200</xdr:colOff>
          <xdr:row>3</xdr:row>
          <xdr:rowOff>12700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1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2</xdr:row>
          <xdr:rowOff>0</xdr:rowOff>
        </xdr:from>
        <xdr:to>
          <xdr:col>5</xdr:col>
          <xdr:colOff>101600</xdr:colOff>
          <xdr:row>3</xdr:row>
          <xdr:rowOff>12700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1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1016000</xdr:colOff>
          <xdr:row>3</xdr:row>
          <xdr:rowOff>12700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32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2</xdr:row>
          <xdr:rowOff>0</xdr:rowOff>
        </xdr:from>
        <xdr:to>
          <xdr:col>4</xdr:col>
          <xdr:colOff>38100</xdr:colOff>
          <xdr:row>3</xdr:row>
          <xdr:rowOff>12700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32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0</xdr:rowOff>
        </xdr:from>
        <xdr:to>
          <xdr:col>2</xdr:col>
          <xdr:colOff>228600</xdr:colOff>
          <xdr:row>3</xdr:row>
          <xdr:rowOff>12700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3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2</xdr:row>
          <xdr:rowOff>0</xdr:rowOff>
        </xdr:from>
        <xdr:to>
          <xdr:col>4</xdr:col>
          <xdr:colOff>787400</xdr:colOff>
          <xdr:row>3</xdr:row>
          <xdr:rowOff>12700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3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2</xdr:col>
          <xdr:colOff>444500</xdr:colOff>
          <xdr:row>3</xdr:row>
          <xdr:rowOff>12700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3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698500</xdr:colOff>
          <xdr:row>2</xdr:row>
          <xdr:rowOff>0</xdr:rowOff>
        </xdr:from>
        <xdr:to>
          <xdr:col>4</xdr:col>
          <xdr:colOff>127000</xdr:colOff>
          <xdr:row>3</xdr:row>
          <xdr:rowOff>12700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3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2</xdr:col>
          <xdr:colOff>469900</xdr:colOff>
          <xdr:row>3</xdr:row>
          <xdr:rowOff>12700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2</xdr:row>
          <xdr:rowOff>0</xdr:rowOff>
        </xdr:from>
        <xdr:to>
          <xdr:col>4</xdr:col>
          <xdr:colOff>228600</xdr:colOff>
          <xdr:row>3</xdr:row>
          <xdr:rowOff>12700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5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2</xdr:col>
          <xdr:colOff>406400</xdr:colOff>
          <xdr:row>3</xdr:row>
          <xdr:rowOff>12700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3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673100</xdr:colOff>
          <xdr:row>2</xdr:row>
          <xdr:rowOff>0</xdr:rowOff>
        </xdr:from>
        <xdr:to>
          <xdr:col>4</xdr:col>
          <xdr:colOff>101600</xdr:colOff>
          <xdr:row>3</xdr:row>
          <xdr:rowOff>12700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3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</xdr:row>
          <xdr:rowOff>0</xdr:rowOff>
        </xdr:from>
        <xdr:to>
          <xdr:col>2</xdr:col>
          <xdr:colOff>457200</xdr:colOff>
          <xdr:row>3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3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368300</xdr:colOff>
          <xdr:row>3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3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0</xdr:rowOff>
        </xdr:from>
        <xdr:to>
          <xdr:col>2</xdr:col>
          <xdr:colOff>88900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3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1003300</xdr:colOff>
          <xdr:row>3</xdr:row>
          <xdr:rowOff>12700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39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3</xdr:col>
          <xdr:colOff>457200</xdr:colOff>
          <xdr:row>3</xdr:row>
          <xdr:rowOff>12700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39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177800</xdr:colOff>
          <xdr:row>3</xdr:row>
          <xdr:rowOff>12700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3A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2</xdr:row>
          <xdr:rowOff>0</xdr:rowOff>
        </xdr:from>
        <xdr:to>
          <xdr:col>4</xdr:col>
          <xdr:colOff>355600</xdr:colOff>
          <xdr:row>3</xdr:row>
          <xdr:rowOff>12700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3A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0</xdr:rowOff>
        </xdr:from>
        <xdr:to>
          <xdr:col>1</xdr:col>
          <xdr:colOff>1079500</xdr:colOff>
          <xdr:row>3</xdr:row>
          <xdr:rowOff>12700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3B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</xdr:row>
          <xdr:rowOff>0</xdr:rowOff>
        </xdr:from>
        <xdr:to>
          <xdr:col>4</xdr:col>
          <xdr:colOff>190500</xdr:colOff>
          <xdr:row>3</xdr:row>
          <xdr:rowOff>12700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3B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3C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876300</xdr:colOff>
          <xdr:row>3</xdr:row>
          <xdr:rowOff>12700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3C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2</xdr:col>
          <xdr:colOff>127000</xdr:colOff>
          <xdr:row>3</xdr:row>
          <xdr:rowOff>12700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3D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</xdr:row>
          <xdr:rowOff>0</xdr:rowOff>
        </xdr:from>
        <xdr:to>
          <xdr:col>4</xdr:col>
          <xdr:colOff>190500</xdr:colOff>
          <xdr:row>3</xdr:row>
          <xdr:rowOff>12700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3D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2</xdr:col>
          <xdr:colOff>368300</xdr:colOff>
          <xdr:row>3</xdr:row>
          <xdr:rowOff>12700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622300</xdr:colOff>
          <xdr:row>2</xdr:row>
          <xdr:rowOff>0</xdr:rowOff>
        </xdr:from>
        <xdr:to>
          <xdr:col>4</xdr:col>
          <xdr:colOff>584200</xdr:colOff>
          <xdr:row>3</xdr:row>
          <xdr:rowOff>12700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E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190500</xdr:colOff>
          <xdr:row>3</xdr:row>
          <xdr:rowOff>12700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F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965200</xdr:colOff>
          <xdr:row>2</xdr:row>
          <xdr:rowOff>0</xdr:rowOff>
        </xdr:from>
        <xdr:to>
          <xdr:col>1</xdr:col>
          <xdr:colOff>1993900</xdr:colOff>
          <xdr:row>3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4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0</xdr:rowOff>
        </xdr:from>
        <xdr:to>
          <xdr:col>2</xdr:col>
          <xdr:colOff>508000</xdr:colOff>
          <xdr:row>3</xdr:row>
          <xdr:rowOff>12700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41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</xdr:row>
          <xdr:rowOff>0</xdr:rowOff>
        </xdr:from>
        <xdr:to>
          <xdr:col>5</xdr:col>
          <xdr:colOff>0</xdr:colOff>
          <xdr:row>3</xdr:row>
          <xdr:rowOff>12700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4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2</xdr:row>
          <xdr:rowOff>63500</xdr:rowOff>
        </xdr:from>
        <xdr:to>
          <xdr:col>2</xdr:col>
          <xdr:colOff>63500</xdr:colOff>
          <xdr:row>3</xdr:row>
          <xdr:rowOff>38100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4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2</xdr:row>
          <xdr:rowOff>63500</xdr:rowOff>
        </xdr:from>
        <xdr:to>
          <xdr:col>4</xdr:col>
          <xdr:colOff>114300</xdr:colOff>
          <xdr:row>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42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4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0</xdr:rowOff>
        </xdr:from>
        <xdr:to>
          <xdr:col>3</xdr:col>
          <xdr:colOff>228600</xdr:colOff>
          <xdr:row>3</xdr:row>
          <xdr:rowOff>12700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4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863600</xdr:colOff>
          <xdr:row>3</xdr:row>
          <xdr:rowOff>12700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4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1117600</xdr:colOff>
          <xdr:row>2</xdr:row>
          <xdr:rowOff>0</xdr:rowOff>
        </xdr:from>
        <xdr:to>
          <xdr:col>2</xdr:col>
          <xdr:colOff>241300</xdr:colOff>
          <xdr:row>3</xdr:row>
          <xdr:rowOff>12700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4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876300</xdr:colOff>
          <xdr:row>3</xdr:row>
          <xdr:rowOff>12700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4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1130300</xdr:colOff>
          <xdr:row>2</xdr:row>
          <xdr:rowOff>0</xdr:rowOff>
        </xdr:from>
        <xdr:to>
          <xdr:col>2</xdr:col>
          <xdr:colOff>368300</xdr:colOff>
          <xdr:row>3</xdr:row>
          <xdr:rowOff>12700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4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4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2</xdr:row>
          <xdr:rowOff>0</xdr:rowOff>
        </xdr:from>
        <xdr:to>
          <xdr:col>3</xdr:col>
          <xdr:colOff>76200</xdr:colOff>
          <xdr:row>3</xdr:row>
          <xdr:rowOff>12700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4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749300</xdr:colOff>
          <xdr:row>3</xdr:row>
          <xdr:rowOff>12700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4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</xdr:row>
          <xdr:rowOff>0</xdr:rowOff>
        </xdr:from>
        <xdr:to>
          <xdr:col>1</xdr:col>
          <xdr:colOff>2032000</xdr:colOff>
          <xdr:row>3</xdr:row>
          <xdr:rowOff>12700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4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800100</xdr:colOff>
          <xdr:row>3</xdr:row>
          <xdr:rowOff>12700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48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2</xdr:col>
          <xdr:colOff>38100</xdr:colOff>
          <xdr:row>3</xdr:row>
          <xdr:rowOff>12700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48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</xdr:row>
          <xdr:rowOff>0</xdr:rowOff>
        </xdr:from>
        <xdr:to>
          <xdr:col>1</xdr:col>
          <xdr:colOff>2019300</xdr:colOff>
          <xdr:row>3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49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4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3</xdr:col>
          <xdr:colOff>177800</xdr:colOff>
          <xdr:row>3</xdr:row>
          <xdr:rowOff>12700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4A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4B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0</xdr:rowOff>
        </xdr:from>
        <xdr:to>
          <xdr:col>2</xdr:col>
          <xdr:colOff>165100</xdr:colOff>
          <xdr:row>3</xdr:row>
          <xdr:rowOff>12700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4B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4C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2</xdr:row>
          <xdr:rowOff>0</xdr:rowOff>
        </xdr:from>
        <xdr:to>
          <xdr:col>3</xdr:col>
          <xdr:colOff>190500</xdr:colOff>
          <xdr:row>3</xdr:row>
          <xdr:rowOff>12700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4C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901700</xdr:colOff>
          <xdr:row>3</xdr:row>
          <xdr:rowOff>12700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4D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1168400</xdr:colOff>
          <xdr:row>2</xdr:row>
          <xdr:rowOff>0</xdr:rowOff>
        </xdr:from>
        <xdr:to>
          <xdr:col>2</xdr:col>
          <xdr:colOff>406400</xdr:colOff>
          <xdr:row>3</xdr:row>
          <xdr:rowOff>12700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4D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0</xdr:rowOff>
        </xdr:from>
        <xdr:to>
          <xdr:col>1</xdr:col>
          <xdr:colOff>1054100</xdr:colOff>
          <xdr:row>3</xdr:row>
          <xdr:rowOff>12700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4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1308100</xdr:colOff>
          <xdr:row>2</xdr:row>
          <xdr:rowOff>0</xdr:rowOff>
        </xdr:from>
        <xdr:to>
          <xdr:col>2</xdr:col>
          <xdr:colOff>304800</xdr:colOff>
          <xdr:row>3</xdr:row>
          <xdr:rowOff>12700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4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977900</xdr:colOff>
          <xdr:row>3</xdr:row>
          <xdr:rowOff>12700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4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2</xdr:row>
          <xdr:rowOff>0</xdr:rowOff>
        </xdr:from>
        <xdr:to>
          <xdr:col>2</xdr:col>
          <xdr:colOff>279400</xdr:colOff>
          <xdr:row>3</xdr:row>
          <xdr:rowOff>12700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4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977900</xdr:colOff>
          <xdr:row>3</xdr:row>
          <xdr:rowOff>12700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50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1231900</xdr:colOff>
          <xdr:row>2</xdr:row>
          <xdr:rowOff>0</xdr:rowOff>
        </xdr:from>
        <xdr:to>
          <xdr:col>2</xdr:col>
          <xdr:colOff>279400</xdr:colOff>
          <xdr:row>3</xdr:row>
          <xdr:rowOff>12700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50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787400</xdr:colOff>
          <xdr:row>3</xdr:row>
          <xdr:rowOff>12700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5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1041400</xdr:colOff>
          <xdr:row>2</xdr:row>
          <xdr:rowOff>0</xdr:rowOff>
        </xdr:from>
        <xdr:to>
          <xdr:col>1</xdr:col>
          <xdr:colOff>2057400</xdr:colOff>
          <xdr:row>3</xdr:row>
          <xdr:rowOff>12700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5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749300</xdr:colOff>
          <xdr:row>3</xdr:row>
          <xdr:rowOff>12700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52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</xdr:row>
          <xdr:rowOff>0</xdr:rowOff>
        </xdr:from>
        <xdr:to>
          <xdr:col>2</xdr:col>
          <xdr:colOff>38100</xdr:colOff>
          <xdr:row>3</xdr:row>
          <xdr:rowOff>12700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52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889000</xdr:colOff>
          <xdr:row>3</xdr:row>
          <xdr:rowOff>12700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53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2</xdr:row>
          <xdr:rowOff>0</xdr:rowOff>
        </xdr:from>
        <xdr:to>
          <xdr:col>2</xdr:col>
          <xdr:colOff>381000</xdr:colOff>
          <xdr:row>3</xdr:row>
          <xdr:rowOff>12700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53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863600</xdr:colOff>
          <xdr:row>3</xdr:row>
          <xdr:rowOff>12700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54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1117600</xdr:colOff>
          <xdr:row>2</xdr:row>
          <xdr:rowOff>0</xdr:rowOff>
        </xdr:from>
        <xdr:to>
          <xdr:col>2</xdr:col>
          <xdr:colOff>266700</xdr:colOff>
          <xdr:row>3</xdr:row>
          <xdr:rowOff>12700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54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927100</xdr:colOff>
          <xdr:row>3</xdr:row>
          <xdr:rowOff>12700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55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2</xdr:row>
          <xdr:rowOff>0</xdr:rowOff>
        </xdr:from>
        <xdr:to>
          <xdr:col>2</xdr:col>
          <xdr:colOff>292100</xdr:colOff>
          <xdr:row>3</xdr:row>
          <xdr:rowOff>12700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55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56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266700</xdr:colOff>
          <xdr:row>3</xdr:row>
          <xdr:rowOff>12700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56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787400</xdr:colOff>
          <xdr:row>3</xdr:row>
          <xdr:rowOff>12700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57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2</xdr:col>
          <xdr:colOff>355600</xdr:colOff>
          <xdr:row>3</xdr:row>
          <xdr:rowOff>12700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57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58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266700</xdr:colOff>
          <xdr:row>3</xdr:row>
          <xdr:rowOff>12700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58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1168400</xdr:colOff>
          <xdr:row>2</xdr:row>
          <xdr:rowOff>0</xdr:rowOff>
        </xdr:from>
        <xdr:to>
          <xdr:col>2</xdr:col>
          <xdr:colOff>241300</xdr:colOff>
          <xdr:row>3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59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965200</xdr:colOff>
          <xdr:row>3</xdr:row>
          <xdr:rowOff>12700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5A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584200</xdr:colOff>
          <xdr:row>3</xdr:row>
          <xdr:rowOff>12700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5A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114300</xdr:rowOff>
        </xdr:from>
        <xdr:to>
          <xdr:col>1</xdr:col>
          <xdr:colOff>952500</xdr:colOff>
          <xdr:row>3</xdr:row>
          <xdr:rowOff>127000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5B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114300</xdr:rowOff>
        </xdr:from>
        <xdr:to>
          <xdr:col>2</xdr:col>
          <xdr:colOff>520700</xdr:colOff>
          <xdr:row>3</xdr:row>
          <xdr:rowOff>127000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5B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952500</xdr:colOff>
          <xdr:row>3</xdr:row>
          <xdr:rowOff>12700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5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2</xdr:row>
          <xdr:rowOff>0</xdr:rowOff>
        </xdr:from>
        <xdr:to>
          <xdr:col>2</xdr:col>
          <xdr:colOff>254000</xdr:colOff>
          <xdr:row>3</xdr:row>
          <xdr:rowOff>12700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5C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990600</xdr:colOff>
          <xdr:row>3</xdr:row>
          <xdr:rowOff>12700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5D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2</xdr:row>
          <xdr:rowOff>0</xdr:rowOff>
        </xdr:from>
        <xdr:to>
          <xdr:col>2</xdr:col>
          <xdr:colOff>647700</xdr:colOff>
          <xdr:row>3</xdr:row>
          <xdr:rowOff>12700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5D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939800</xdr:colOff>
          <xdr:row>3</xdr:row>
          <xdr:rowOff>12700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5E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1193800</xdr:colOff>
          <xdr:row>2</xdr:row>
          <xdr:rowOff>0</xdr:rowOff>
        </xdr:from>
        <xdr:to>
          <xdr:col>2</xdr:col>
          <xdr:colOff>330200</xdr:colOff>
          <xdr:row>3</xdr:row>
          <xdr:rowOff>12700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5E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889000</xdr:colOff>
          <xdr:row>3</xdr:row>
          <xdr:rowOff>12700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5F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2</xdr:row>
          <xdr:rowOff>0</xdr:rowOff>
        </xdr:from>
        <xdr:to>
          <xdr:col>2</xdr:col>
          <xdr:colOff>76200</xdr:colOff>
          <xdr:row>3</xdr:row>
          <xdr:rowOff>12700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5F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0</xdr:rowOff>
        </xdr:from>
        <xdr:to>
          <xdr:col>1</xdr:col>
          <xdr:colOff>850900</xdr:colOff>
          <xdr:row>3</xdr:row>
          <xdr:rowOff>12700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60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0</xdr:rowOff>
        </xdr:from>
        <xdr:to>
          <xdr:col>1</xdr:col>
          <xdr:colOff>2120900</xdr:colOff>
          <xdr:row>3</xdr:row>
          <xdr:rowOff>12700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60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</xdr:row>
          <xdr:rowOff>0</xdr:rowOff>
        </xdr:from>
        <xdr:to>
          <xdr:col>1</xdr:col>
          <xdr:colOff>914400</xdr:colOff>
          <xdr:row>3</xdr:row>
          <xdr:rowOff>12700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6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打开功能菜单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2</xdr:row>
          <xdr:rowOff>0</xdr:rowOff>
        </xdr:from>
        <xdr:to>
          <xdr:col>2</xdr:col>
          <xdr:colOff>254000</xdr:colOff>
          <xdr:row>3</xdr:row>
          <xdr:rowOff>12700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61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返回参数设置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9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10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5" Type="http://schemas.openxmlformats.org/officeDocument/2006/relationships/ctrlProp" Target="../ctrlProps/ctrlProp111.xml"/><Relationship Id="rId4" Type="http://schemas.openxmlformats.org/officeDocument/2006/relationships/ctrlProp" Target="../ctrlProps/ctrlProp11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5" Type="http://schemas.openxmlformats.org/officeDocument/2006/relationships/ctrlProp" Target="../ctrlProps/ctrlProp117.xml"/><Relationship Id="rId4" Type="http://schemas.openxmlformats.org/officeDocument/2006/relationships/ctrlProp" Target="../ctrlProps/ctrlProp116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120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Relationship Id="rId5" Type="http://schemas.openxmlformats.org/officeDocument/2006/relationships/ctrlProp" Target="../ctrlProps/ctrlProp130.xml"/><Relationship Id="rId4" Type="http://schemas.openxmlformats.org/officeDocument/2006/relationships/ctrlProp" Target="../ctrlProps/ctrlProp12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Relationship Id="rId5" Type="http://schemas.openxmlformats.org/officeDocument/2006/relationships/ctrlProp" Target="../ctrlProps/ctrlProp132.xml"/><Relationship Id="rId4" Type="http://schemas.openxmlformats.org/officeDocument/2006/relationships/ctrlProp" Target="../ctrlProps/ctrlProp13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Relationship Id="rId5" Type="http://schemas.openxmlformats.org/officeDocument/2006/relationships/ctrlProp" Target="../ctrlProps/ctrlProp136.xml"/><Relationship Id="rId4" Type="http://schemas.openxmlformats.org/officeDocument/2006/relationships/ctrlProp" Target="../ctrlProps/ctrlProp13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137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Relationship Id="rId5" Type="http://schemas.openxmlformats.org/officeDocument/2006/relationships/ctrlProp" Target="../ctrlProps/ctrlProp139.xml"/><Relationship Id="rId4" Type="http://schemas.openxmlformats.org/officeDocument/2006/relationships/ctrlProp" Target="../ctrlProps/ctrlProp138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Relationship Id="rId5" Type="http://schemas.openxmlformats.org/officeDocument/2006/relationships/ctrlProp" Target="../ctrlProps/ctrlProp141.xml"/><Relationship Id="rId4" Type="http://schemas.openxmlformats.org/officeDocument/2006/relationships/ctrlProp" Target="../ctrlProps/ctrlProp140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Relationship Id="rId5" Type="http://schemas.openxmlformats.org/officeDocument/2006/relationships/ctrlProp" Target="../ctrlProps/ctrlProp143.xml"/><Relationship Id="rId4" Type="http://schemas.openxmlformats.org/officeDocument/2006/relationships/ctrlProp" Target="../ctrlProps/ctrlProp142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Relationship Id="rId5" Type="http://schemas.openxmlformats.org/officeDocument/2006/relationships/ctrlProp" Target="../ctrlProps/ctrlProp145.xml"/><Relationship Id="rId4" Type="http://schemas.openxmlformats.org/officeDocument/2006/relationships/ctrlProp" Target="../ctrlProps/ctrlProp144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Relationship Id="rId5" Type="http://schemas.openxmlformats.org/officeDocument/2006/relationships/ctrlProp" Target="../ctrlProps/ctrlProp147.xml"/><Relationship Id="rId4" Type="http://schemas.openxmlformats.org/officeDocument/2006/relationships/ctrlProp" Target="../ctrlProps/ctrlProp146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Relationship Id="rId5" Type="http://schemas.openxmlformats.org/officeDocument/2006/relationships/ctrlProp" Target="../ctrlProps/ctrlProp149.xml"/><Relationship Id="rId4" Type="http://schemas.openxmlformats.org/officeDocument/2006/relationships/ctrlProp" Target="../ctrlProps/ctrlProp14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1.v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Relationship Id="rId5" Type="http://schemas.openxmlformats.org/officeDocument/2006/relationships/ctrlProp" Target="../ctrlProps/ctrlProp151.xml"/><Relationship Id="rId4" Type="http://schemas.openxmlformats.org/officeDocument/2006/relationships/ctrlProp" Target="../ctrlProps/ctrlProp150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Relationship Id="rId5" Type="http://schemas.openxmlformats.org/officeDocument/2006/relationships/ctrlProp" Target="../ctrlProps/ctrlProp153.xml"/><Relationship Id="rId4" Type="http://schemas.openxmlformats.org/officeDocument/2006/relationships/ctrlProp" Target="../ctrlProps/ctrlProp15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Relationship Id="rId5" Type="http://schemas.openxmlformats.org/officeDocument/2006/relationships/ctrlProp" Target="../ctrlProps/ctrlProp155.xml"/><Relationship Id="rId4" Type="http://schemas.openxmlformats.org/officeDocument/2006/relationships/ctrlProp" Target="../ctrlProps/ctrlProp15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Relationship Id="rId5" Type="http://schemas.openxmlformats.org/officeDocument/2006/relationships/ctrlProp" Target="../ctrlProps/ctrlProp157.xml"/><Relationship Id="rId4" Type="http://schemas.openxmlformats.org/officeDocument/2006/relationships/ctrlProp" Target="../ctrlProps/ctrlProp15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Relationship Id="rId5" Type="http://schemas.openxmlformats.org/officeDocument/2006/relationships/ctrlProp" Target="../ctrlProps/ctrlProp159.xml"/><Relationship Id="rId4" Type="http://schemas.openxmlformats.org/officeDocument/2006/relationships/ctrlProp" Target="../ctrlProps/ctrlProp158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Relationship Id="rId5" Type="http://schemas.openxmlformats.org/officeDocument/2006/relationships/ctrlProp" Target="../ctrlProps/ctrlProp161.xml"/><Relationship Id="rId4" Type="http://schemas.openxmlformats.org/officeDocument/2006/relationships/ctrlProp" Target="../ctrlProps/ctrlProp160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Relationship Id="rId5" Type="http://schemas.openxmlformats.org/officeDocument/2006/relationships/ctrlProp" Target="../ctrlProps/ctrlProp163.xml"/><Relationship Id="rId4" Type="http://schemas.openxmlformats.org/officeDocument/2006/relationships/ctrlProp" Target="../ctrlProps/ctrlProp162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Relationship Id="rId5" Type="http://schemas.openxmlformats.org/officeDocument/2006/relationships/ctrlProp" Target="../ctrlProps/ctrlProp165.xml"/><Relationship Id="rId4" Type="http://schemas.openxmlformats.org/officeDocument/2006/relationships/ctrlProp" Target="../ctrlProps/ctrlProp164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Relationship Id="rId5" Type="http://schemas.openxmlformats.org/officeDocument/2006/relationships/ctrlProp" Target="../ctrlProps/ctrlProp167.xml"/><Relationship Id="rId4" Type="http://schemas.openxmlformats.org/officeDocument/2006/relationships/ctrlProp" Target="../ctrlProps/ctrlProp166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Relationship Id="rId4" Type="http://schemas.openxmlformats.org/officeDocument/2006/relationships/ctrlProp" Target="../ctrlProps/ctrlProp16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Relationship Id="rId5" Type="http://schemas.openxmlformats.org/officeDocument/2006/relationships/ctrlProp" Target="../ctrlProps/ctrlProp170.xml"/><Relationship Id="rId4" Type="http://schemas.openxmlformats.org/officeDocument/2006/relationships/ctrlProp" Target="../ctrlProps/ctrlProp16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Relationship Id="rId5" Type="http://schemas.openxmlformats.org/officeDocument/2006/relationships/ctrlProp" Target="../ctrlProps/ctrlProp172.xml"/><Relationship Id="rId4" Type="http://schemas.openxmlformats.org/officeDocument/2006/relationships/ctrlProp" Target="../ctrlProps/ctrlProp171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Relationship Id="rId5" Type="http://schemas.openxmlformats.org/officeDocument/2006/relationships/ctrlProp" Target="../ctrlProps/ctrlProp174.xml"/><Relationship Id="rId4" Type="http://schemas.openxmlformats.org/officeDocument/2006/relationships/ctrlProp" Target="../ctrlProps/ctrlProp173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Relationship Id="rId5" Type="http://schemas.openxmlformats.org/officeDocument/2006/relationships/ctrlProp" Target="../ctrlProps/ctrlProp176.xml"/><Relationship Id="rId4" Type="http://schemas.openxmlformats.org/officeDocument/2006/relationships/ctrlProp" Target="../ctrlProps/ctrlProp175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Relationship Id="rId5" Type="http://schemas.openxmlformats.org/officeDocument/2006/relationships/ctrlProp" Target="../ctrlProps/ctrlProp178.xml"/><Relationship Id="rId4" Type="http://schemas.openxmlformats.org/officeDocument/2006/relationships/ctrlProp" Target="../ctrlProps/ctrlProp17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Relationship Id="rId5" Type="http://schemas.openxmlformats.org/officeDocument/2006/relationships/ctrlProp" Target="../ctrlProps/ctrlProp180.xml"/><Relationship Id="rId4" Type="http://schemas.openxmlformats.org/officeDocument/2006/relationships/ctrlProp" Target="../ctrlProps/ctrlProp179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Relationship Id="rId5" Type="http://schemas.openxmlformats.org/officeDocument/2006/relationships/ctrlProp" Target="../ctrlProps/ctrlProp182.xml"/><Relationship Id="rId4" Type="http://schemas.openxmlformats.org/officeDocument/2006/relationships/ctrlProp" Target="../ctrlProps/ctrlProp181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Relationship Id="rId5" Type="http://schemas.openxmlformats.org/officeDocument/2006/relationships/ctrlProp" Target="../ctrlProps/ctrlProp184.xml"/><Relationship Id="rId4" Type="http://schemas.openxmlformats.org/officeDocument/2006/relationships/ctrlProp" Target="../ctrlProps/ctrlProp1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A3F76-BACE-41CF-B811-37BAA6FEEC58}">
  <sheetPr codeName="Sheet2"/>
  <dimension ref="A1:W102"/>
  <sheetViews>
    <sheetView zoomScaleNormal="100" workbookViewId="0">
      <pane ySplit="4" topLeftCell="A18" activePane="bottomLeft" state="frozen"/>
      <selection activeCell="F17" sqref="F17"/>
      <selection pane="bottomLeft" activeCell="I30" sqref="I30"/>
    </sheetView>
  </sheetViews>
  <sheetFormatPr baseColWidth="10" defaultColWidth="9" defaultRowHeight="16"/>
  <cols>
    <col min="1" max="1" width="21.6640625" style="14" customWidth="1"/>
    <col min="2" max="2" width="8.6640625" style="14" customWidth="1"/>
    <col min="3" max="3" width="11" style="14" customWidth="1"/>
    <col min="4" max="4" width="8.6640625" style="14" customWidth="1"/>
    <col min="5" max="5" width="9" style="14" hidden="1" customWidth="1"/>
    <col min="6" max="6" width="14" style="14" hidden="1" customWidth="1"/>
    <col min="7" max="7" width="9" style="14" hidden="1" customWidth="1"/>
    <col min="8" max="8" width="5" style="15" customWidth="1"/>
    <col min="9" max="9" width="4.5" style="14" customWidth="1"/>
    <col min="10" max="10" width="11" style="14" customWidth="1"/>
    <col min="11" max="11" width="5.5" style="14" customWidth="1"/>
    <col min="12" max="12" width="2.5" style="15" customWidth="1"/>
    <col min="13" max="13" width="4.1640625" style="14" customWidth="1"/>
    <col min="14" max="14" width="2.5" style="15" customWidth="1"/>
    <col min="15" max="15" width="4.1640625" style="14" customWidth="1"/>
    <col min="16" max="16" width="2.6640625" style="15" customWidth="1"/>
    <col min="17" max="17" width="3.6640625" style="14" customWidth="1"/>
    <col min="18" max="18" width="6.1640625" style="14" customWidth="1"/>
    <col min="19" max="16384" width="9" style="14"/>
  </cols>
  <sheetData>
    <row r="1" spans="1:23" ht="16.5" customHeight="1" thickTop="1">
      <c r="A1" s="87"/>
      <c r="B1" s="88"/>
      <c r="C1" s="88"/>
      <c r="D1" s="88"/>
      <c r="E1" s="88"/>
      <c r="F1" s="88"/>
      <c r="G1" s="88"/>
      <c r="H1" s="89"/>
      <c r="I1" s="88"/>
      <c r="J1" s="88"/>
      <c r="K1" s="88"/>
      <c r="L1" s="89"/>
      <c r="M1" s="88"/>
      <c r="N1" s="89"/>
      <c r="O1" s="88"/>
      <c r="P1" s="89"/>
      <c r="Q1" s="88"/>
      <c r="R1" s="90"/>
    </row>
    <row r="2" spans="1:23" s="16" customFormat="1" ht="24.75" customHeight="1">
      <c r="A2" s="268"/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70"/>
    </row>
    <row r="3" spans="1:23" ht="15.75" customHeight="1" thickBot="1">
      <c r="A3" s="91"/>
      <c r="B3" s="92"/>
      <c r="C3" s="92"/>
      <c r="D3" s="92"/>
      <c r="E3" s="92"/>
      <c r="F3" s="92"/>
      <c r="G3" s="92"/>
      <c r="H3" s="93"/>
      <c r="I3" s="92"/>
      <c r="J3" s="92"/>
      <c r="K3" s="92"/>
      <c r="L3" s="93"/>
      <c r="M3" s="92"/>
      <c r="N3" s="93"/>
      <c r="O3" s="92"/>
      <c r="P3" s="93"/>
      <c r="Q3" s="92"/>
      <c r="R3" s="94"/>
    </row>
    <row r="4" spans="1:23" ht="18" customHeight="1" thickTop="1">
      <c r="A4" s="48" t="s">
        <v>524</v>
      </c>
      <c r="B4" s="49" t="s">
        <v>525</v>
      </c>
      <c r="C4" s="50" t="s">
        <v>526</v>
      </c>
      <c r="D4" s="50" t="s">
        <v>520</v>
      </c>
      <c r="E4" s="49" t="s">
        <v>521</v>
      </c>
      <c r="F4" s="50" t="s">
        <v>522</v>
      </c>
      <c r="G4" s="50" t="s">
        <v>523</v>
      </c>
      <c r="H4" s="51" t="s">
        <v>519</v>
      </c>
      <c r="I4" s="51" t="s">
        <v>557</v>
      </c>
      <c r="J4" s="52" t="s">
        <v>533</v>
      </c>
      <c r="K4" s="395" t="s">
        <v>955</v>
      </c>
      <c r="L4" s="396"/>
      <c r="M4" s="397"/>
      <c r="N4" s="398" t="s">
        <v>527</v>
      </c>
      <c r="O4" s="399"/>
      <c r="P4" s="399"/>
      <c r="Q4" s="399"/>
      <c r="R4" s="400"/>
      <c r="S4" s="407" t="s">
        <v>952</v>
      </c>
      <c r="T4" s="408"/>
      <c r="U4" s="408"/>
      <c r="V4" s="408"/>
      <c r="W4" s="408"/>
    </row>
    <row r="5" spans="1:23" ht="18" customHeight="1">
      <c r="A5" s="324" t="s">
        <v>516</v>
      </c>
      <c r="B5" s="33"/>
      <c r="C5" s="34"/>
      <c r="D5" s="33"/>
      <c r="E5" s="19"/>
      <c r="F5" s="19"/>
      <c r="G5" s="19"/>
      <c r="H5" s="78" t="s">
        <v>595</v>
      </c>
      <c r="I5" s="264" t="s">
        <v>673</v>
      </c>
      <c r="J5" s="70" t="s">
        <v>939</v>
      </c>
      <c r="K5" s="392" t="s">
        <v>956</v>
      </c>
      <c r="L5" s="393"/>
      <c r="M5" s="393"/>
      <c r="N5" s="393"/>
      <c r="O5" s="393"/>
      <c r="P5" s="393"/>
      <c r="Q5" s="393"/>
      <c r="R5" s="394"/>
      <c r="S5" s="407"/>
      <c r="T5" s="408"/>
      <c r="U5" s="408"/>
      <c r="V5" s="408"/>
      <c r="W5" s="408"/>
    </row>
    <row r="6" spans="1:23" ht="18" customHeight="1">
      <c r="A6" s="324" t="s">
        <v>588</v>
      </c>
      <c r="B6" s="33"/>
      <c r="C6" s="34"/>
      <c r="D6" s="33"/>
      <c r="E6" s="19"/>
      <c r="F6" s="19"/>
      <c r="G6" s="19"/>
      <c r="H6" s="78" t="s">
        <v>595</v>
      </c>
      <c r="I6" s="264" t="s">
        <v>559</v>
      </c>
      <c r="J6" s="71" t="s">
        <v>528</v>
      </c>
      <c r="K6" s="389" t="s">
        <v>542</v>
      </c>
      <c r="L6" s="390"/>
      <c r="M6" s="390"/>
      <c r="N6" s="390"/>
      <c r="O6" s="390"/>
      <c r="P6" s="390"/>
      <c r="Q6" s="390"/>
      <c r="R6" s="391"/>
    </row>
    <row r="7" spans="1:23" ht="18" customHeight="1" thickBot="1">
      <c r="A7" s="324" t="s">
        <v>925</v>
      </c>
      <c r="B7" s="33"/>
      <c r="C7" s="34"/>
      <c r="D7" s="33"/>
      <c r="E7" s="20"/>
      <c r="F7" s="19"/>
      <c r="G7" s="19"/>
      <c r="H7" s="78" t="s">
        <v>595</v>
      </c>
      <c r="I7" s="264" t="s">
        <v>566</v>
      </c>
      <c r="J7" s="72" t="s">
        <v>529</v>
      </c>
      <c r="K7" s="24">
        <v>2024</v>
      </c>
      <c r="L7" s="73" t="s">
        <v>530</v>
      </c>
      <c r="M7" s="24">
        <v>12</v>
      </c>
      <c r="N7" s="73" t="s">
        <v>531</v>
      </c>
      <c r="O7" s="24">
        <v>31</v>
      </c>
      <c r="P7" s="73" t="s">
        <v>532</v>
      </c>
      <c r="Q7" s="401"/>
      <c r="R7" s="402"/>
    </row>
    <row r="8" spans="1:23" ht="18" customHeight="1" thickTop="1" thickBot="1">
      <c r="A8" s="324" t="s">
        <v>926</v>
      </c>
      <c r="B8" s="33"/>
      <c r="C8" s="34"/>
      <c r="D8" s="33"/>
      <c r="E8" s="20"/>
      <c r="F8" s="19"/>
      <c r="G8" s="19"/>
      <c r="H8" s="78" t="s">
        <v>595</v>
      </c>
      <c r="I8" s="264" t="s">
        <v>567</v>
      </c>
      <c r="J8" s="74"/>
      <c r="K8" s="75"/>
      <c r="L8" s="76"/>
      <c r="M8" s="75"/>
      <c r="N8" s="76"/>
      <c r="O8" s="75"/>
      <c r="P8" s="76"/>
      <c r="Q8" s="77"/>
      <c r="R8" s="77"/>
    </row>
    <row r="9" spans="1:23" ht="18" customHeight="1" thickTop="1">
      <c r="A9" s="365" t="s">
        <v>589</v>
      </c>
      <c r="B9" s="33"/>
      <c r="C9" s="34"/>
      <c r="D9" s="33"/>
      <c r="E9" s="20">
        <v>19</v>
      </c>
      <c r="F9" s="19">
        <v>7</v>
      </c>
      <c r="G9" s="19">
        <v>1</v>
      </c>
      <c r="H9" s="78" t="s">
        <v>1058</v>
      </c>
      <c r="I9" s="264" t="s">
        <v>558</v>
      </c>
      <c r="J9" s="53"/>
      <c r="K9" s="54"/>
      <c r="L9" s="55"/>
      <c r="M9" s="54"/>
      <c r="N9" s="55"/>
      <c r="O9" s="54"/>
      <c r="P9" s="55"/>
      <c r="Q9" s="56"/>
      <c r="R9" s="57"/>
    </row>
    <row r="10" spans="1:23" ht="18" customHeight="1">
      <c r="A10" s="367" t="s">
        <v>586</v>
      </c>
      <c r="B10" s="33" t="s">
        <v>1050</v>
      </c>
      <c r="C10" s="366" t="s">
        <v>958</v>
      </c>
      <c r="D10" s="33" t="s">
        <v>1051</v>
      </c>
      <c r="E10" s="20">
        <v>19</v>
      </c>
      <c r="F10" s="19">
        <v>7</v>
      </c>
      <c r="G10" s="19">
        <v>1</v>
      </c>
      <c r="H10" s="78" t="s">
        <v>595</v>
      </c>
      <c r="I10" s="264" t="s">
        <v>560</v>
      </c>
      <c r="J10" s="58"/>
      <c r="K10" s="59"/>
      <c r="L10" s="60"/>
      <c r="M10" s="59"/>
      <c r="N10" s="60"/>
      <c r="O10" s="59"/>
      <c r="P10" s="60"/>
      <c r="Q10" s="61"/>
      <c r="R10" s="62"/>
    </row>
    <row r="11" spans="1:23" ht="18" customHeight="1">
      <c r="A11" s="367" t="s">
        <v>587</v>
      </c>
      <c r="B11" s="33" t="s">
        <v>1050</v>
      </c>
      <c r="C11" s="366" t="s">
        <v>958</v>
      </c>
      <c r="D11" s="33" t="s">
        <v>1052</v>
      </c>
      <c r="E11" s="20">
        <v>19</v>
      </c>
      <c r="F11" s="19">
        <v>7</v>
      </c>
      <c r="G11" s="19">
        <v>1</v>
      </c>
      <c r="H11" s="78" t="s">
        <v>595</v>
      </c>
      <c r="I11" s="264" t="s">
        <v>561</v>
      </c>
      <c r="J11" s="63"/>
      <c r="K11" s="64"/>
      <c r="L11" s="64"/>
      <c r="M11" s="64"/>
      <c r="N11" s="64"/>
      <c r="O11" s="64"/>
      <c r="P11" s="64"/>
      <c r="Q11" s="64"/>
      <c r="R11" s="65"/>
    </row>
    <row r="12" spans="1:23" ht="18" customHeight="1">
      <c r="A12" s="364" t="s">
        <v>517</v>
      </c>
      <c r="B12" s="33"/>
      <c r="C12" s="34"/>
      <c r="D12" s="33"/>
      <c r="E12" s="19"/>
      <c r="F12" s="19"/>
      <c r="G12" s="19"/>
      <c r="H12" s="78" t="s">
        <v>953</v>
      </c>
      <c r="I12" s="264" t="s">
        <v>562</v>
      </c>
      <c r="J12" s="386"/>
      <c r="K12" s="387"/>
      <c r="L12" s="387"/>
      <c r="M12" s="387"/>
      <c r="N12" s="387"/>
      <c r="O12" s="387"/>
      <c r="P12" s="387"/>
      <c r="Q12" s="387"/>
      <c r="R12" s="388"/>
    </row>
    <row r="13" spans="1:23" ht="18" customHeight="1">
      <c r="A13" s="365" t="s">
        <v>556</v>
      </c>
      <c r="B13" s="33"/>
      <c r="C13" s="34"/>
      <c r="D13" s="33"/>
      <c r="E13" s="20">
        <v>19</v>
      </c>
      <c r="F13" s="19">
        <v>7</v>
      </c>
      <c r="G13" s="19">
        <v>1</v>
      </c>
      <c r="H13" s="78" t="s">
        <v>953</v>
      </c>
      <c r="I13" s="264" t="s">
        <v>563</v>
      </c>
      <c r="J13" s="386"/>
      <c r="K13" s="387"/>
      <c r="L13" s="387"/>
      <c r="M13" s="387"/>
      <c r="N13" s="387"/>
      <c r="O13" s="387"/>
      <c r="P13" s="387"/>
      <c r="Q13" s="387"/>
      <c r="R13" s="388"/>
    </row>
    <row r="14" spans="1:23" ht="18" customHeight="1">
      <c r="A14" s="365" t="s">
        <v>518</v>
      </c>
      <c r="B14" s="17"/>
      <c r="C14" s="18"/>
      <c r="D14" s="33"/>
      <c r="E14" s="20">
        <v>19</v>
      </c>
      <c r="F14" s="19">
        <v>7</v>
      </c>
      <c r="G14" s="19">
        <v>1</v>
      </c>
      <c r="H14" s="78" t="s">
        <v>953</v>
      </c>
      <c r="I14" s="264" t="s">
        <v>564</v>
      </c>
      <c r="J14" s="63"/>
      <c r="K14" s="64"/>
      <c r="L14" s="64"/>
      <c r="M14" s="64"/>
      <c r="N14" s="64"/>
      <c r="O14" s="64"/>
      <c r="P14" s="64"/>
      <c r="Q14" s="64"/>
      <c r="R14" s="65"/>
    </row>
    <row r="15" spans="1:23" ht="18" customHeight="1">
      <c r="A15" s="365" t="s">
        <v>729</v>
      </c>
      <c r="B15" s="17"/>
      <c r="C15" s="18"/>
      <c r="D15" s="33"/>
      <c r="E15" s="20">
        <v>19</v>
      </c>
      <c r="F15" s="19">
        <v>7</v>
      </c>
      <c r="G15" s="19">
        <v>1</v>
      </c>
      <c r="H15" s="78" t="s">
        <v>953</v>
      </c>
      <c r="I15" s="264" t="s">
        <v>565</v>
      </c>
      <c r="J15" s="58"/>
      <c r="K15" s="61"/>
      <c r="L15" s="69"/>
      <c r="M15" s="61"/>
      <c r="N15" s="69"/>
      <c r="O15" s="61"/>
      <c r="P15" s="69"/>
      <c r="Q15" s="61"/>
      <c r="R15" s="62"/>
    </row>
    <row r="16" spans="1:23" ht="18" customHeight="1">
      <c r="A16" s="365" t="s">
        <v>934</v>
      </c>
      <c r="B16" s="17"/>
      <c r="C16" s="18"/>
      <c r="D16" s="33"/>
      <c r="E16" s="20">
        <v>19</v>
      </c>
      <c r="F16" s="19">
        <v>7</v>
      </c>
      <c r="G16" s="19">
        <v>1</v>
      </c>
      <c r="H16" s="78" t="s">
        <v>953</v>
      </c>
      <c r="I16" s="264" t="s">
        <v>933</v>
      </c>
      <c r="J16" s="58"/>
      <c r="K16" s="61"/>
      <c r="L16" s="69"/>
      <c r="M16" s="61"/>
      <c r="N16" s="69"/>
      <c r="O16" s="61"/>
      <c r="P16" s="69"/>
      <c r="Q16" s="61"/>
      <c r="R16" s="62"/>
    </row>
    <row r="17" spans="1:19" ht="18" customHeight="1">
      <c r="A17" s="365" t="s">
        <v>730</v>
      </c>
      <c r="B17" s="17"/>
      <c r="C17" s="18"/>
      <c r="D17" s="33"/>
      <c r="E17" s="20">
        <v>17</v>
      </c>
      <c r="F17" s="19">
        <v>7</v>
      </c>
      <c r="G17" s="19">
        <v>3</v>
      </c>
      <c r="H17" s="78" t="s">
        <v>953</v>
      </c>
      <c r="I17" s="264" t="s">
        <v>784</v>
      </c>
      <c r="J17" s="58"/>
      <c r="K17" s="61"/>
      <c r="L17" s="69"/>
      <c r="M17" s="61"/>
      <c r="N17" s="69"/>
      <c r="O17" s="61"/>
      <c r="P17" s="69"/>
      <c r="Q17" s="61"/>
      <c r="R17" s="62"/>
      <c r="S17" s="325"/>
    </row>
    <row r="18" spans="1:19" ht="18" customHeight="1">
      <c r="A18" s="365" t="s">
        <v>868</v>
      </c>
      <c r="B18" s="17"/>
      <c r="C18" s="18"/>
      <c r="D18" s="33"/>
      <c r="E18" s="20">
        <v>17</v>
      </c>
      <c r="F18" s="19">
        <v>7</v>
      </c>
      <c r="G18" s="19">
        <v>3</v>
      </c>
      <c r="H18" s="78" t="s">
        <v>953</v>
      </c>
      <c r="I18" s="264" t="s">
        <v>737</v>
      </c>
      <c r="J18" s="403"/>
      <c r="K18" s="404"/>
      <c r="L18" s="404"/>
      <c r="M18" s="404"/>
      <c r="N18" s="404"/>
      <c r="O18" s="404"/>
      <c r="P18" s="404"/>
      <c r="Q18" s="404"/>
      <c r="R18" s="405"/>
      <c r="S18" s="325"/>
    </row>
    <row r="19" spans="1:19" ht="18" customHeight="1">
      <c r="A19" s="371" t="s">
        <v>731</v>
      </c>
      <c r="B19" s="33" t="s">
        <v>1050</v>
      </c>
      <c r="C19" s="366" t="s">
        <v>958</v>
      </c>
      <c r="D19" s="33" t="s">
        <v>1052</v>
      </c>
      <c r="E19" s="20">
        <v>17</v>
      </c>
      <c r="F19" s="19">
        <v>7</v>
      </c>
      <c r="G19" s="19">
        <v>3</v>
      </c>
      <c r="H19" s="78" t="s">
        <v>595</v>
      </c>
      <c r="I19" s="264" t="s">
        <v>738</v>
      </c>
      <c r="J19" s="386"/>
      <c r="K19" s="387"/>
      <c r="L19" s="387"/>
      <c r="M19" s="387"/>
      <c r="N19" s="387"/>
      <c r="O19" s="387"/>
      <c r="P19" s="387"/>
      <c r="Q19" s="387"/>
      <c r="R19" s="388"/>
    </row>
    <row r="20" spans="1:19" ht="18" customHeight="1">
      <c r="A20" s="365" t="s">
        <v>732</v>
      </c>
      <c r="B20" s="17"/>
      <c r="C20" s="18"/>
      <c r="D20" s="33"/>
      <c r="E20" s="20">
        <v>17</v>
      </c>
      <c r="F20" s="19">
        <v>7</v>
      </c>
      <c r="G20" s="19">
        <v>3</v>
      </c>
      <c r="H20" s="78" t="s">
        <v>953</v>
      </c>
      <c r="I20" s="264" t="s">
        <v>826</v>
      </c>
      <c r="J20" s="386"/>
      <c r="K20" s="387"/>
      <c r="L20" s="387"/>
      <c r="M20" s="387"/>
      <c r="N20" s="387"/>
      <c r="O20" s="387"/>
      <c r="P20" s="387"/>
      <c r="Q20" s="387"/>
      <c r="R20" s="388"/>
      <c r="S20" s="325"/>
    </row>
    <row r="21" spans="1:19" ht="18" customHeight="1">
      <c r="A21" s="365" t="s">
        <v>733</v>
      </c>
      <c r="B21" s="17"/>
      <c r="C21" s="18"/>
      <c r="D21" s="33"/>
      <c r="E21" s="20">
        <v>17</v>
      </c>
      <c r="F21" s="19">
        <v>7</v>
      </c>
      <c r="G21" s="19">
        <v>3</v>
      </c>
      <c r="H21" s="78" t="s">
        <v>953</v>
      </c>
      <c r="I21" s="264" t="s">
        <v>739</v>
      </c>
      <c r="J21" s="63"/>
      <c r="K21" s="64"/>
      <c r="L21" s="64"/>
      <c r="M21" s="64"/>
      <c r="N21" s="64"/>
      <c r="O21" s="64"/>
      <c r="P21" s="64"/>
      <c r="Q21" s="64"/>
      <c r="R21" s="65"/>
    </row>
    <row r="22" spans="1:19" ht="18" customHeight="1">
      <c r="A22" s="365" t="s">
        <v>734</v>
      </c>
      <c r="B22" s="17"/>
      <c r="C22" s="18"/>
      <c r="D22" s="33"/>
      <c r="E22" s="20">
        <v>19</v>
      </c>
      <c r="F22" s="19">
        <v>7</v>
      </c>
      <c r="G22" s="19">
        <v>1</v>
      </c>
      <c r="H22" s="78" t="s">
        <v>953</v>
      </c>
      <c r="I22" s="264" t="s">
        <v>740</v>
      </c>
      <c r="J22" s="386"/>
      <c r="K22" s="387"/>
      <c r="L22" s="387"/>
      <c r="M22" s="387"/>
      <c r="N22" s="387"/>
      <c r="O22" s="387"/>
      <c r="P22" s="387"/>
      <c r="Q22" s="387"/>
      <c r="R22" s="388"/>
    </row>
    <row r="23" spans="1:19" ht="18" customHeight="1">
      <c r="A23" s="365" t="s">
        <v>735</v>
      </c>
      <c r="B23" s="17"/>
      <c r="C23" s="18"/>
      <c r="D23" s="33"/>
      <c r="E23" s="20">
        <v>19</v>
      </c>
      <c r="F23" s="19">
        <v>7</v>
      </c>
      <c r="G23" s="19">
        <v>1</v>
      </c>
      <c r="H23" s="78" t="s">
        <v>953</v>
      </c>
      <c r="I23" s="264" t="s">
        <v>750</v>
      </c>
      <c r="J23" s="63"/>
      <c r="K23" s="64"/>
      <c r="L23" s="64"/>
      <c r="M23" s="64"/>
      <c r="N23" s="64"/>
      <c r="O23" s="64"/>
      <c r="P23" s="64"/>
      <c r="Q23" s="64"/>
      <c r="R23" s="65"/>
    </row>
    <row r="24" spans="1:19" ht="18" customHeight="1">
      <c r="A24" s="371" t="s">
        <v>736</v>
      </c>
      <c r="B24" s="33" t="s">
        <v>1050</v>
      </c>
      <c r="C24" s="366" t="s">
        <v>958</v>
      </c>
      <c r="D24" s="33" t="s">
        <v>1052</v>
      </c>
      <c r="E24" s="20">
        <v>17</v>
      </c>
      <c r="F24" s="19">
        <v>7</v>
      </c>
      <c r="G24" s="19">
        <v>3</v>
      </c>
      <c r="H24" s="78" t="s">
        <v>595</v>
      </c>
      <c r="I24" s="264" t="s">
        <v>752</v>
      </c>
      <c r="J24" s="406" t="s">
        <v>954</v>
      </c>
      <c r="K24" s="387"/>
      <c r="L24" s="387"/>
      <c r="M24" s="387"/>
      <c r="N24" s="387"/>
      <c r="O24" s="387"/>
      <c r="P24" s="387"/>
      <c r="Q24" s="387"/>
      <c r="R24" s="388"/>
    </row>
    <row r="25" spans="1:19" ht="18" customHeight="1">
      <c r="A25" s="364" t="s">
        <v>741</v>
      </c>
      <c r="B25" s="17"/>
      <c r="C25" s="18"/>
      <c r="D25" s="33"/>
      <c r="E25" s="19"/>
      <c r="F25" s="19"/>
      <c r="G25" s="19"/>
      <c r="H25" s="78" t="s">
        <v>953</v>
      </c>
      <c r="I25" s="264" t="s">
        <v>751</v>
      </c>
      <c r="J25" s="63"/>
      <c r="K25" s="64"/>
      <c r="L25" s="64"/>
      <c r="M25" s="64"/>
      <c r="N25" s="64"/>
      <c r="O25" s="64"/>
      <c r="P25" s="64"/>
      <c r="Q25" s="64"/>
      <c r="R25" s="65"/>
    </row>
    <row r="26" spans="1:19" ht="18" customHeight="1">
      <c r="A26" s="371" t="s">
        <v>742</v>
      </c>
      <c r="B26" s="17"/>
      <c r="C26" s="18"/>
      <c r="D26" s="33"/>
      <c r="E26" s="20">
        <v>19</v>
      </c>
      <c r="F26" s="19">
        <v>8</v>
      </c>
      <c r="G26" s="19">
        <v>1</v>
      </c>
      <c r="H26" s="78" t="s">
        <v>595</v>
      </c>
      <c r="I26" s="264" t="s">
        <v>753</v>
      </c>
      <c r="J26" s="386"/>
      <c r="K26" s="387"/>
      <c r="L26" s="387"/>
      <c r="M26" s="387"/>
      <c r="N26" s="387"/>
      <c r="O26" s="387"/>
      <c r="P26" s="387"/>
      <c r="Q26" s="387"/>
      <c r="R26" s="388"/>
    </row>
    <row r="27" spans="1:19" ht="18" customHeight="1">
      <c r="A27" s="365" t="s">
        <v>743</v>
      </c>
      <c r="B27" s="17"/>
      <c r="C27" s="18"/>
      <c r="D27" s="33"/>
      <c r="E27" s="20">
        <v>19</v>
      </c>
      <c r="F27" s="19">
        <v>8</v>
      </c>
      <c r="G27" s="19">
        <v>1</v>
      </c>
      <c r="H27" s="78" t="s">
        <v>953</v>
      </c>
      <c r="I27" s="264" t="s">
        <v>754</v>
      </c>
      <c r="J27" s="63"/>
      <c r="K27" s="64"/>
      <c r="L27" s="64"/>
      <c r="M27" s="64"/>
      <c r="N27" s="64"/>
      <c r="O27" s="64"/>
      <c r="P27" s="64"/>
      <c r="Q27" s="64"/>
      <c r="R27" s="65"/>
    </row>
    <row r="28" spans="1:19" ht="18" customHeight="1">
      <c r="A28" s="365" t="s">
        <v>744</v>
      </c>
      <c r="B28" s="17"/>
      <c r="C28" s="18"/>
      <c r="D28" s="33"/>
      <c r="E28" s="20">
        <v>19</v>
      </c>
      <c r="F28" s="19">
        <v>8</v>
      </c>
      <c r="G28" s="19">
        <v>1</v>
      </c>
      <c r="H28" s="78" t="s">
        <v>953</v>
      </c>
      <c r="I28" s="264" t="s">
        <v>755</v>
      </c>
      <c r="J28" s="386"/>
      <c r="K28" s="387"/>
      <c r="L28" s="387"/>
      <c r="M28" s="387"/>
      <c r="N28" s="387"/>
      <c r="O28" s="387"/>
      <c r="P28" s="387"/>
      <c r="Q28" s="387"/>
      <c r="R28" s="388"/>
    </row>
    <row r="29" spans="1:19" ht="18" customHeight="1">
      <c r="A29" s="365" t="s">
        <v>745</v>
      </c>
      <c r="B29" s="17"/>
      <c r="C29" s="18"/>
      <c r="D29" s="33"/>
      <c r="E29" s="20">
        <v>19</v>
      </c>
      <c r="F29" s="19">
        <v>8</v>
      </c>
      <c r="G29" s="19">
        <v>1</v>
      </c>
      <c r="H29" s="78" t="s">
        <v>953</v>
      </c>
      <c r="I29" s="264" t="s">
        <v>756</v>
      </c>
      <c r="J29" s="63"/>
      <c r="K29" s="64"/>
      <c r="L29" s="64"/>
      <c r="M29" s="64"/>
      <c r="N29" s="64"/>
      <c r="O29" s="64"/>
      <c r="P29" s="64"/>
      <c r="Q29" s="64"/>
      <c r="R29" s="65"/>
    </row>
    <row r="30" spans="1:19" ht="18" customHeight="1">
      <c r="A30" s="371" t="s">
        <v>746</v>
      </c>
      <c r="B30" s="17"/>
      <c r="C30" s="18"/>
      <c r="D30" s="33"/>
      <c r="E30" s="20">
        <v>19</v>
      </c>
      <c r="F30" s="19">
        <v>8</v>
      </c>
      <c r="G30" s="19">
        <v>1</v>
      </c>
      <c r="H30" s="78" t="s">
        <v>595</v>
      </c>
      <c r="I30" s="264" t="s">
        <v>757</v>
      </c>
      <c r="J30" s="386"/>
      <c r="K30" s="387"/>
      <c r="L30" s="387"/>
      <c r="M30" s="387"/>
      <c r="N30" s="387"/>
      <c r="O30" s="387"/>
      <c r="P30" s="387"/>
      <c r="Q30" s="387"/>
      <c r="R30" s="388"/>
    </row>
    <row r="31" spans="1:19" ht="18" customHeight="1">
      <c r="A31" s="365" t="s">
        <v>747</v>
      </c>
      <c r="B31" s="17"/>
      <c r="C31" s="18"/>
      <c r="D31" s="33"/>
      <c r="E31" s="20">
        <v>19</v>
      </c>
      <c r="F31" s="19">
        <v>8</v>
      </c>
      <c r="G31" s="19">
        <v>1</v>
      </c>
      <c r="H31" s="78" t="s">
        <v>953</v>
      </c>
      <c r="I31" s="264" t="s">
        <v>758</v>
      </c>
      <c r="J31" s="63"/>
      <c r="K31" s="64"/>
      <c r="L31" s="64"/>
      <c r="M31" s="64"/>
      <c r="N31" s="64"/>
      <c r="O31" s="64"/>
      <c r="P31" s="64"/>
      <c r="Q31" s="64"/>
      <c r="R31" s="65"/>
    </row>
    <row r="32" spans="1:19" ht="18" customHeight="1">
      <c r="A32" s="365" t="s">
        <v>748</v>
      </c>
      <c r="B32" s="17"/>
      <c r="C32" s="18"/>
      <c r="D32" s="33"/>
      <c r="E32" s="20">
        <v>19</v>
      </c>
      <c r="F32" s="19">
        <v>8</v>
      </c>
      <c r="G32" s="19">
        <v>1</v>
      </c>
      <c r="H32" s="78" t="s">
        <v>953</v>
      </c>
      <c r="I32" s="264" t="s">
        <v>759</v>
      </c>
      <c r="J32" s="386"/>
      <c r="K32" s="387"/>
      <c r="L32" s="387"/>
      <c r="M32" s="387"/>
      <c r="N32" s="387"/>
      <c r="O32" s="387"/>
      <c r="P32" s="387"/>
      <c r="Q32" s="387"/>
      <c r="R32" s="388"/>
    </row>
    <row r="33" spans="1:19" ht="18" customHeight="1">
      <c r="A33" s="365" t="s">
        <v>749</v>
      </c>
      <c r="B33" s="17"/>
      <c r="C33" s="18"/>
      <c r="D33" s="33"/>
      <c r="E33" s="20">
        <v>19</v>
      </c>
      <c r="F33" s="19">
        <v>8</v>
      </c>
      <c r="G33" s="19">
        <v>1</v>
      </c>
      <c r="H33" s="78" t="s">
        <v>953</v>
      </c>
      <c r="I33" s="264" t="s">
        <v>760</v>
      </c>
      <c r="J33" s="63"/>
      <c r="K33" s="64"/>
      <c r="L33" s="64"/>
      <c r="M33" s="64"/>
      <c r="N33" s="64"/>
      <c r="O33" s="64"/>
      <c r="P33" s="64"/>
      <c r="Q33" s="64"/>
      <c r="R33" s="65"/>
    </row>
    <row r="34" spans="1:19" ht="18" customHeight="1">
      <c r="A34" s="365" t="s">
        <v>761</v>
      </c>
      <c r="B34" s="17"/>
      <c r="C34" s="18"/>
      <c r="D34" s="33"/>
      <c r="E34" s="20">
        <v>17</v>
      </c>
      <c r="F34" s="19">
        <v>7</v>
      </c>
      <c r="G34" s="19">
        <v>3</v>
      </c>
      <c r="H34" s="78" t="s">
        <v>953</v>
      </c>
      <c r="I34" s="264" t="s">
        <v>762</v>
      </c>
      <c r="J34" s="63"/>
      <c r="K34" s="64"/>
      <c r="L34" s="64"/>
      <c r="M34" s="64"/>
      <c r="N34" s="64"/>
      <c r="O34" s="64"/>
      <c r="P34" s="64"/>
      <c r="Q34" s="64"/>
      <c r="R34" s="65"/>
      <c r="S34" s="325"/>
    </row>
    <row r="35" spans="1:19" ht="18" customHeight="1">
      <c r="A35" s="365" t="s">
        <v>822</v>
      </c>
      <c r="B35" s="17"/>
      <c r="C35" s="18"/>
      <c r="D35" s="33"/>
      <c r="E35" s="20">
        <v>19</v>
      </c>
      <c r="F35" s="19">
        <v>7</v>
      </c>
      <c r="G35" s="19">
        <v>1</v>
      </c>
      <c r="H35" s="78" t="s">
        <v>953</v>
      </c>
      <c r="I35" s="264" t="s">
        <v>825</v>
      </c>
      <c r="J35" s="63"/>
      <c r="K35" s="64"/>
      <c r="L35" s="64"/>
      <c r="M35" s="64"/>
      <c r="N35" s="64"/>
      <c r="O35" s="64"/>
      <c r="P35" s="64"/>
      <c r="Q35" s="64"/>
      <c r="R35" s="65"/>
      <c r="S35" s="325"/>
    </row>
    <row r="36" spans="1:19" ht="18" customHeight="1">
      <c r="A36" s="365" t="s">
        <v>823</v>
      </c>
      <c r="B36" s="17"/>
      <c r="C36" s="18"/>
      <c r="D36" s="33"/>
      <c r="E36" s="20">
        <v>19</v>
      </c>
      <c r="F36" s="19">
        <v>7</v>
      </c>
      <c r="G36" s="19">
        <v>1</v>
      </c>
      <c r="H36" s="78" t="s">
        <v>953</v>
      </c>
      <c r="I36" s="264" t="s">
        <v>906</v>
      </c>
      <c r="J36" s="386"/>
      <c r="K36" s="387"/>
      <c r="L36" s="387"/>
      <c r="M36" s="387"/>
      <c r="N36" s="387"/>
      <c r="O36" s="387"/>
      <c r="P36" s="387"/>
      <c r="Q36" s="387"/>
      <c r="R36" s="388"/>
    </row>
    <row r="37" spans="1:19" ht="18" customHeight="1">
      <c r="A37" s="365" t="s">
        <v>824</v>
      </c>
      <c r="B37" s="17"/>
      <c r="C37" s="18"/>
      <c r="D37" s="33"/>
      <c r="E37" s="20">
        <v>19</v>
      </c>
      <c r="F37" s="19">
        <v>7</v>
      </c>
      <c r="G37" s="19">
        <v>1</v>
      </c>
      <c r="H37" s="78" t="s">
        <v>953</v>
      </c>
      <c r="I37" s="264" t="s">
        <v>907</v>
      </c>
      <c r="J37" s="63"/>
      <c r="K37" s="64"/>
      <c r="L37" s="64"/>
      <c r="M37" s="64"/>
      <c r="N37" s="64"/>
      <c r="O37" s="64"/>
      <c r="P37" s="64"/>
      <c r="Q37" s="64"/>
      <c r="R37" s="65"/>
    </row>
    <row r="38" spans="1:19" ht="18" customHeight="1">
      <c r="A38" s="373" t="s">
        <v>872</v>
      </c>
      <c r="B38" s="17"/>
      <c r="C38" s="18"/>
      <c r="D38" s="33"/>
      <c r="E38" s="19"/>
      <c r="F38" s="19"/>
      <c r="G38" s="19"/>
      <c r="H38" s="78" t="s">
        <v>595</v>
      </c>
      <c r="I38" s="264" t="s">
        <v>568</v>
      </c>
      <c r="J38" s="386"/>
      <c r="K38" s="387"/>
      <c r="L38" s="387"/>
      <c r="M38" s="387"/>
      <c r="N38" s="387"/>
      <c r="O38" s="387"/>
      <c r="P38" s="387"/>
      <c r="Q38" s="387"/>
      <c r="R38" s="388"/>
    </row>
    <row r="39" spans="1:19" ht="18" customHeight="1">
      <c r="A39" s="364" t="s">
        <v>873</v>
      </c>
      <c r="B39" s="17"/>
      <c r="C39" s="18"/>
      <c r="D39" s="33"/>
      <c r="E39" s="19"/>
      <c r="F39" s="19"/>
      <c r="G39" s="19"/>
      <c r="H39" s="78" t="s">
        <v>953</v>
      </c>
      <c r="I39" s="264" t="s">
        <v>569</v>
      </c>
      <c r="J39" s="63"/>
      <c r="K39" s="64"/>
      <c r="L39" s="64"/>
      <c r="M39" s="64"/>
      <c r="N39" s="64"/>
      <c r="O39" s="64"/>
      <c r="P39" s="64"/>
      <c r="Q39" s="64"/>
      <c r="R39" s="65"/>
    </row>
    <row r="40" spans="1:19" ht="18" customHeight="1">
      <c r="A40" s="365" t="s">
        <v>869</v>
      </c>
      <c r="B40" s="17"/>
      <c r="C40" s="18"/>
      <c r="D40" s="33"/>
      <c r="E40" s="20">
        <v>17</v>
      </c>
      <c r="F40" s="19">
        <v>7</v>
      </c>
      <c r="G40" s="19">
        <v>3</v>
      </c>
      <c r="H40" s="78" t="s">
        <v>953</v>
      </c>
      <c r="I40" s="264" t="s">
        <v>570</v>
      </c>
      <c r="J40" s="386"/>
      <c r="K40" s="387"/>
      <c r="L40" s="387"/>
      <c r="M40" s="387"/>
      <c r="N40" s="387"/>
      <c r="O40" s="387"/>
      <c r="P40" s="387"/>
      <c r="Q40" s="387"/>
      <c r="R40" s="388"/>
    </row>
    <row r="41" spans="1:19" ht="18" customHeight="1">
      <c r="A41" s="365" t="s">
        <v>870</v>
      </c>
      <c r="B41" s="17"/>
      <c r="C41" s="18"/>
      <c r="D41" s="33"/>
      <c r="E41" s="20">
        <v>17</v>
      </c>
      <c r="F41" s="19">
        <v>7</v>
      </c>
      <c r="G41" s="19">
        <v>3</v>
      </c>
      <c r="H41" s="78" t="s">
        <v>953</v>
      </c>
      <c r="I41" s="264" t="s">
        <v>571</v>
      </c>
      <c r="J41" s="63"/>
      <c r="K41" s="64"/>
      <c r="L41" s="64"/>
      <c r="M41" s="64"/>
      <c r="N41" s="64"/>
      <c r="O41" s="64"/>
      <c r="P41" s="64"/>
      <c r="Q41" s="64"/>
      <c r="R41" s="65"/>
    </row>
    <row r="42" spans="1:19" ht="18" customHeight="1">
      <c r="A42" s="365" t="s">
        <v>871</v>
      </c>
      <c r="B42" s="17"/>
      <c r="C42" s="18"/>
      <c r="D42" s="33"/>
      <c r="E42" s="20">
        <v>17</v>
      </c>
      <c r="F42" s="19">
        <v>7</v>
      </c>
      <c r="G42" s="19">
        <v>3</v>
      </c>
      <c r="H42" s="78" t="s">
        <v>953</v>
      </c>
      <c r="I42" s="264" t="s">
        <v>572</v>
      </c>
      <c r="J42" s="386"/>
      <c r="K42" s="387"/>
      <c r="L42" s="387"/>
      <c r="M42" s="387"/>
      <c r="N42" s="387"/>
      <c r="O42" s="387"/>
      <c r="P42" s="387"/>
      <c r="Q42" s="387"/>
      <c r="R42" s="388"/>
    </row>
    <row r="43" spans="1:19" ht="18" customHeight="1">
      <c r="A43" s="365" t="s">
        <v>931</v>
      </c>
      <c r="B43" s="17"/>
      <c r="C43" s="18"/>
      <c r="D43" s="33"/>
      <c r="E43" s="20">
        <v>17</v>
      </c>
      <c r="F43" s="19">
        <v>7</v>
      </c>
      <c r="G43" s="19">
        <v>3</v>
      </c>
      <c r="H43" s="78" t="s">
        <v>953</v>
      </c>
      <c r="I43" s="264" t="s">
        <v>932</v>
      </c>
      <c r="J43" s="63"/>
      <c r="K43" s="64"/>
      <c r="L43" s="64"/>
      <c r="M43" s="64"/>
      <c r="N43" s="64"/>
      <c r="O43" s="64"/>
      <c r="P43" s="64"/>
      <c r="Q43" s="64"/>
      <c r="R43" s="65"/>
    </row>
    <row r="44" spans="1:19" ht="18" customHeight="1">
      <c r="A44" s="365" t="s">
        <v>874</v>
      </c>
      <c r="B44" s="17"/>
      <c r="C44" s="18"/>
      <c r="D44" s="33"/>
      <c r="E44" s="20">
        <v>17</v>
      </c>
      <c r="F44" s="19">
        <v>7</v>
      </c>
      <c r="G44" s="19">
        <v>3</v>
      </c>
      <c r="H44" s="78" t="s">
        <v>953</v>
      </c>
      <c r="I44" s="264" t="s">
        <v>573</v>
      </c>
      <c r="J44" s="386"/>
      <c r="K44" s="387"/>
      <c r="L44" s="387"/>
      <c r="M44" s="387"/>
      <c r="N44" s="387"/>
      <c r="O44" s="387"/>
      <c r="P44" s="387"/>
      <c r="Q44" s="387"/>
      <c r="R44" s="388"/>
    </row>
    <row r="45" spans="1:19" ht="18" customHeight="1">
      <c r="A45" s="365" t="s">
        <v>875</v>
      </c>
      <c r="B45" s="17"/>
      <c r="C45" s="18"/>
      <c r="D45" s="33"/>
      <c r="E45" s="20">
        <v>17</v>
      </c>
      <c r="F45" s="19">
        <v>7</v>
      </c>
      <c r="G45" s="19">
        <v>3</v>
      </c>
      <c r="H45" s="78" t="s">
        <v>953</v>
      </c>
      <c r="I45" s="264" t="s">
        <v>574</v>
      </c>
      <c r="J45" s="63"/>
      <c r="K45" s="64"/>
      <c r="L45" s="64"/>
      <c r="M45" s="64"/>
      <c r="N45" s="64"/>
      <c r="O45" s="64"/>
      <c r="P45" s="64"/>
      <c r="Q45" s="64"/>
      <c r="R45" s="65"/>
    </row>
    <row r="46" spans="1:19" ht="18" customHeight="1">
      <c r="A46" s="365" t="s">
        <v>786</v>
      </c>
      <c r="B46" s="17"/>
      <c r="C46" s="18"/>
      <c r="D46" s="33"/>
      <c r="E46" s="20">
        <v>17</v>
      </c>
      <c r="F46" s="19">
        <v>7</v>
      </c>
      <c r="G46" s="19">
        <v>3</v>
      </c>
      <c r="H46" s="78" t="s">
        <v>953</v>
      </c>
      <c r="I46" s="264" t="s">
        <v>796</v>
      </c>
      <c r="J46" s="63"/>
      <c r="K46" s="64"/>
      <c r="L46" s="64"/>
      <c r="M46" s="64"/>
      <c r="N46" s="64"/>
      <c r="O46" s="64"/>
      <c r="P46" s="64"/>
      <c r="Q46" s="64"/>
      <c r="R46" s="65"/>
      <c r="S46" s="325"/>
    </row>
    <row r="47" spans="1:19" ht="18" customHeight="1">
      <c r="A47" s="365" t="s">
        <v>787</v>
      </c>
      <c r="B47" s="17"/>
      <c r="C47" s="18"/>
      <c r="D47" s="33"/>
      <c r="E47" s="20">
        <v>19</v>
      </c>
      <c r="F47" s="19">
        <v>7</v>
      </c>
      <c r="G47" s="19">
        <v>1</v>
      </c>
      <c r="H47" s="78" t="s">
        <v>953</v>
      </c>
      <c r="I47" s="264" t="s">
        <v>798</v>
      </c>
      <c r="J47" s="63"/>
      <c r="K47" s="64"/>
      <c r="L47" s="64"/>
      <c r="M47" s="64"/>
      <c r="N47" s="64"/>
      <c r="O47" s="64"/>
      <c r="P47" s="64"/>
      <c r="Q47" s="64"/>
      <c r="R47" s="65"/>
      <c r="S47" s="325"/>
    </row>
    <row r="48" spans="1:19" ht="18" customHeight="1">
      <c r="A48" s="365" t="s">
        <v>788</v>
      </c>
      <c r="B48" s="17"/>
      <c r="C48" s="18"/>
      <c r="D48" s="33"/>
      <c r="E48" s="20">
        <v>17</v>
      </c>
      <c r="F48" s="19">
        <v>9</v>
      </c>
      <c r="G48" s="19">
        <v>3</v>
      </c>
      <c r="H48" s="78" t="s">
        <v>953</v>
      </c>
      <c r="I48" s="264" t="s">
        <v>792</v>
      </c>
      <c r="J48" s="386"/>
      <c r="K48" s="387"/>
      <c r="L48" s="387"/>
      <c r="M48" s="387"/>
      <c r="N48" s="387"/>
      <c r="O48" s="387"/>
      <c r="P48" s="387"/>
      <c r="Q48" s="387"/>
      <c r="R48" s="388"/>
    </row>
    <row r="49" spans="1:18" ht="18" customHeight="1">
      <c r="A49" s="365" t="s">
        <v>789</v>
      </c>
      <c r="B49" s="17"/>
      <c r="C49" s="18"/>
      <c r="D49" s="33"/>
      <c r="E49" s="20">
        <v>19</v>
      </c>
      <c r="F49" s="19">
        <v>8</v>
      </c>
      <c r="G49" s="19">
        <v>1</v>
      </c>
      <c r="H49" s="78" t="s">
        <v>953</v>
      </c>
      <c r="I49" s="264" t="s">
        <v>793</v>
      </c>
      <c r="J49" s="63"/>
      <c r="K49" s="64"/>
      <c r="L49" s="64"/>
      <c r="M49" s="64"/>
      <c r="N49" s="64"/>
      <c r="O49" s="64"/>
      <c r="P49" s="64"/>
      <c r="Q49" s="64"/>
      <c r="R49" s="65"/>
    </row>
    <row r="50" spans="1:18" ht="18" customHeight="1">
      <c r="A50" s="365" t="s">
        <v>790</v>
      </c>
      <c r="B50" s="17"/>
      <c r="C50" s="18"/>
      <c r="D50" s="33"/>
      <c r="E50" s="20">
        <v>17</v>
      </c>
      <c r="F50" s="19">
        <v>8</v>
      </c>
      <c r="G50" s="19">
        <v>3</v>
      </c>
      <c r="H50" s="78" t="s">
        <v>953</v>
      </c>
      <c r="I50" s="264" t="s">
        <v>794</v>
      </c>
      <c r="J50" s="386"/>
      <c r="K50" s="387"/>
      <c r="L50" s="387"/>
      <c r="M50" s="387"/>
      <c r="N50" s="387"/>
      <c r="O50" s="387"/>
      <c r="P50" s="387"/>
      <c r="Q50" s="387"/>
      <c r="R50" s="388"/>
    </row>
    <row r="51" spans="1:18" ht="18" customHeight="1">
      <c r="A51" s="365" t="s">
        <v>791</v>
      </c>
      <c r="B51" s="17"/>
      <c r="C51" s="18"/>
      <c r="D51" s="33"/>
      <c r="E51" s="20">
        <v>19</v>
      </c>
      <c r="F51" s="19">
        <v>8</v>
      </c>
      <c r="G51" s="19">
        <v>1</v>
      </c>
      <c r="H51" s="78" t="s">
        <v>953</v>
      </c>
      <c r="I51" s="264" t="s">
        <v>795</v>
      </c>
      <c r="J51" s="63"/>
      <c r="K51" s="64"/>
      <c r="L51" s="64"/>
      <c r="M51" s="64"/>
      <c r="N51" s="64"/>
      <c r="O51" s="64"/>
      <c r="P51" s="64"/>
      <c r="Q51" s="64"/>
      <c r="R51" s="65"/>
    </row>
    <row r="52" spans="1:18" ht="18" customHeight="1">
      <c r="A52" s="364" t="s">
        <v>799</v>
      </c>
      <c r="B52" s="17"/>
      <c r="C52" s="18"/>
      <c r="D52" s="33"/>
      <c r="E52" s="20"/>
      <c r="F52" s="19"/>
      <c r="G52" s="19"/>
      <c r="H52" s="78" t="s">
        <v>953</v>
      </c>
      <c r="I52" s="264" t="s">
        <v>814</v>
      </c>
      <c r="J52" s="386"/>
      <c r="K52" s="387"/>
      <c r="L52" s="387"/>
      <c r="M52" s="387"/>
      <c r="N52" s="387"/>
      <c r="O52" s="387"/>
      <c r="P52" s="387"/>
      <c r="Q52" s="387"/>
      <c r="R52" s="388"/>
    </row>
    <row r="53" spans="1:18" ht="18" customHeight="1">
      <c r="A53" s="365" t="s">
        <v>800</v>
      </c>
      <c r="B53" s="17"/>
      <c r="C53" s="18"/>
      <c r="D53" s="33"/>
      <c r="E53" s="20">
        <v>17</v>
      </c>
      <c r="F53" s="19">
        <v>8</v>
      </c>
      <c r="G53" s="19">
        <v>3</v>
      </c>
      <c r="H53" s="78" t="s">
        <v>953</v>
      </c>
      <c r="I53" s="264" t="s">
        <v>898</v>
      </c>
      <c r="J53" s="63"/>
      <c r="K53" s="64"/>
      <c r="L53" s="64"/>
      <c r="M53" s="64"/>
      <c r="N53" s="64"/>
      <c r="O53" s="64"/>
      <c r="P53" s="64"/>
      <c r="Q53" s="64"/>
      <c r="R53" s="65"/>
    </row>
    <row r="54" spans="1:18" ht="18" customHeight="1">
      <c r="A54" s="365" t="s">
        <v>801</v>
      </c>
      <c r="B54" s="17"/>
      <c r="C54" s="18"/>
      <c r="D54" s="33"/>
      <c r="E54" s="20">
        <v>17</v>
      </c>
      <c r="F54" s="19">
        <v>8</v>
      </c>
      <c r="G54" s="19">
        <v>3</v>
      </c>
      <c r="H54" s="78" t="s">
        <v>953</v>
      </c>
      <c r="I54" s="264" t="s">
        <v>899</v>
      </c>
      <c r="J54" s="386"/>
      <c r="K54" s="387"/>
      <c r="L54" s="387"/>
      <c r="M54" s="387"/>
      <c r="N54" s="387"/>
      <c r="O54" s="387"/>
      <c r="P54" s="387"/>
      <c r="Q54" s="387"/>
      <c r="R54" s="388"/>
    </row>
    <row r="55" spans="1:18" ht="18" customHeight="1">
      <c r="A55" s="365" t="s">
        <v>802</v>
      </c>
      <c r="B55" s="17"/>
      <c r="C55" s="18"/>
      <c r="D55" s="33"/>
      <c r="E55" s="20">
        <v>17</v>
      </c>
      <c r="F55" s="19">
        <v>8</v>
      </c>
      <c r="G55" s="19">
        <v>3</v>
      </c>
      <c r="H55" s="78" t="s">
        <v>953</v>
      </c>
      <c r="I55" s="264" t="s">
        <v>900</v>
      </c>
      <c r="J55" s="63"/>
      <c r="K55" s="64"/>
      <c r="L55" s="64"/>
      <c r="M55" s="64"/>
      <c r="N55" s="64"/>
      <c r="O55" s="64"/>
      <c r="P55" s="64"/>
      <c r="Q55" s="64"/>
      <c r="R55" s="65"/>
    </row>
    <row r="56" spans="1:18" ht="18" customHeight="1">
      <c r="A56" s="365" t="s">
        <v>803</v>
      </c>
      <c r="B56" s="17"/>
      <c r="C56" s="18"/>
      <c r="D56" s="33"/>
      <c r="E56" s="20">
        <v>17</v>
      </c>
      <c r="F56" s="19">
        <v>8</v>
      </c>
      <c r="G56" s="19">
        <v>3</v>
      </c>
      <c r="H56" s="78" t="s">
        <v>953</v>
      </c>
      <c r="I56" s="264" t="s">
        <v>901</v>
      </c>
      <c r="J56" s="386"/>
      <c r="K56" s="387"/>
      <c r="L56" s="387"/>
      <c r="M56" s="387"/>
      <c r="N56" s="387"/>
      <c r="O56" s="387"/>
      <c r="P56" s="387"/>
      <c r="Q56" s="387"/>
      <c r="R56" s="388"/>
    </row>
    <row r="57" spans="1:18" ht="18" customHeight="1">
      <c r="A57" s="365" t="s">
        <v>804</v>
      </c>
      <c r="B57" s="17"/>
      <c r="C57" s="18"/>
      <c r="D57" s="33"/>
      <c r="E57" s="20">
        <v>17</v>
      </c>
      <c r="F57" s="19">
        <v>8</v>
      </c>
      <c r="G57" s="19">
        <v>3</v>
      </c>
      <c r="H57" s="78" t="s">
        <v>953</v>
      </c>
      <c r="I57" s="264" t="s">
        <v>902</v>
      </c>
      <c r="J57" s="63"/>
      <c r="K57" s="64"/>
      <c r="L57" s="64"/>
      <c r="M57" s="64"/>
      <c r="N57" s="64"/>
      <c r="O57" s="64"/>
      <c r="P57" s="64"/>
      <c r="Q57" s="64"/>
      <c r="R57" s="65"/>
    </row>
    <row r="58" spans="1:18" ht="18" customHeight="1">
      <c r="A58" s="365" t="s">
        <v>805</v>
      </c>
      <c r="B58" s="17"/>
      <c r="C58" s="18"/>
      <c r="D58" s="33"/>
      <c r="E58" s="20">
        <v>17</v>
      </c>
      <c r="F58" s="19">
        <v>8</v>
      </c>
      <c r="G58" s="19">
        <v>3</v>
      </c>
      <c r="H58" s="78" t="s">
        <v>953</v>
      </c>
      <c r="I58" s="264" t="s">
        <v>903</v>
      </c>
      <c r="J58" s="386"/>
      <c r="K58" s="387"/>
      <c r="L58" s="387"/>
      <c r="M58" s="387"/>
      <c r="N58" s="387"/>
      <c r="O58" s="387"/>
      <c r="P58" s="387"/>
      <c r="Q58" s="387"/>
      <c r="R58" s="388"/>
    </row>
    <row r="59" spans="1:18" ht="18" customHeight="1">
      <c r="A59" s="365" t="s">
        <v>806</v>
      </c>
      <c r="B59" s="17"/>
      <c r="C59" s="18"/>
      <c r="D59" s="33"/>
      <c r="E59" s="20">
        <v>19</v>
      </c>
      <c r="F59" s="19">
        <v>7</v>
      </c>
      <c r="G59" s="19">
        <v>1</v>
      </c>
      <c r="H59" s="78" t="s">
        <v>953</v>
      </c>
      <c r="I59" s="264" t="s">
        <v>904</v>
      </c>
      <c r="J59" s="63"/>
      <c r="K59" s="64"/>
      <c r="L59" s="64"/>
      <c r="M59" s="64"/>
      <c r="N59" s="64"/>
      <c r="O59" s="64"/>
      <c r="P59" s="64"/>
      <c r="Q59" s="64"/>
      <c r="R59" s="65"/>
    </row>
    <row r="60" spans="1:18" ht="18" customHeight="1">
      <c r="A60" s="364" t="s">
        <v>807</v>
      </c>
      <c r="B60" s="17"/>
      <c r="C60" s="18"/>
      <c r="D60" s="33"/>
      <c r="E60" s="20"/>
      <c r="F60" s="19"/>
      <c r="G60" s="19"/>
      <c r="H60" s="78" t="s">
        <v>953</v>
      </c>
      <c r="I60" s="327" t="s">
        <v>815</v>
      </c>
      <c r="J60" s="386"/>
      <c r="K60" s="387"/>
      <c r="L60" s="387"/>
      <c r="M60" s="387"/>
      <c r="N60" s="387"/>
      <c r="O60" s="387"/>
      <c r="P60" s="387"/>
      <c r="Q60" s="387"/>
      <c r="R60" s="388"/>
    </row>
    <row r="61" spans="1:18" ht="18" customHeight="1">
      <c r="A61" s="365" t="s">
        <v>808</v>
      </c>
      <c r="B61" s="17"/>
      <c r="C61" s="18"/>
      <c r="D61" s="33"/>
      <c r="E61" s="20">
        <v>17</v>
      </c>
      <c r="F61" s="19">
        <v>7</v>
      </c>
      <c r="G61" s="19">
        <v>3</v>
      </c>
      <c r="H61" s="78" t="s">
        <v>953</v>
      </c>
      <c r="I61" s="327" t="s">
        <v>816</v>
      </c>
      <c r="J61" s="63"/>
      <c r="K61" s="64"/>
      <c r="L61" s="64"/>
      <c r="M61" s="64"/>
      <c r="N61" s="64"/>
      <c r="O61" s="64"/>
      <c r="P61" s="64"/>
      <c r="Q61" s="64"/>
      <c r="R61" s="65"/>
    </row>
    <row r="62" spans="1:18" ht="18" customHeight="1">
      <c r="A62" s="365" t="s">
        <v>809</v>
      </c>
      <c r="B62" s="17"/>
      <c r="C62" s="18"/>
      <c r="D62" s="33"/>
      <c r="E62" s="20">
        <v>17</v>
      </c>
      <c r="F62" s="19">
        <v>8</v>
      </c>
      <c r="G62" s="19">
        <v>3</v>
      </c>
      <c r="H62" s="78" t="s">
        <v>953</v>
      </c>
      <c r="I62" s="327" t="s">
        <v>817</v>
      </c>
      <c r="J62" s="386"/>
      <c r="K62" s="387"/>
      <c r="L62" s="387"/>
      <c r="M62" s="387"/>
      <c r="N62" s="387"/>
      <c r="O62" s="387"/>
      <c r="P62" s="387"/>
      <c r="Q62" s="387"/>
      <c r="R62" s="388"/>
    </row>
    <row r="63" spans="1:18" ht="18" customHeight="1">
      <c r="A63" s="365" t="s">
        <v>810</v>
      </c>
      <c r="B63" s="17"/>
      <c r="C63" s="18"/>
      <c r="D63" s="33"/>
      <c r="E63" s="20">
        <v>17</v>
      </c>
      <c r="F63" s="19">
        <v>8</v>
      </c>
      <c r="G63" s="19">
        <v>3</v>
      </c>
      <c r="H63" s="78" t="s">
        <v>953</v>
      </c>
      <c r="I63" s="327" t="s">
        <v>818</v>
      </c>
      <c r="J63" s="63"/>
      <c r="K63" s="64"/>
      <c r="L63" s="64"/>
      <c r="M63" s="64"/>
      <c r="N63" s="64"/>
      <c r="O63" s="64"/>
      <c r="P63" s="64"/>
      <c r="Q63" s="64"/>
      <c r="R63" s="65"/>
    </row>
    <row r="64" spans="1:18" ht="18" customHeight="1">
      <c r="A64" s="365" t="s">
        <v>811</v>
      </c>
      <c r="B64" s="17"/>
      <c r="C64" s="18"/>
      <c r="D64" s="33"/>
      <c r="E64" s="20">
        <v>19</v>
      </c>
      <c r="F64" s="19">
        <v>7</v>
      </c>
      <c r="G64" s="19">
        <v>1</v>
      </c>
      <c r="H64" s="78" t="s">
        <v>953</v>
      </c>
      <c r="I64" s="327" t="s">
        <v>819</v>
      </c>
      <c r="J64" s="386"/>
      <c r="K64" s="387"/>
      <c r="L64" s="387"/>
      <c r="M64" s="387"/>
      <c r="N64" s="387"/>
      <c r="O64" s="387"/>
      <c r="P64" s="387"/>
      <c r="Q64" s="387"/>
      <c r="R64" s="388"/>
    </row>
    <row r="65" spans="1:19" ht="18" customHeight="1">
      <c r="A65" s="365" t="s">
        <v>812</v>
      </c>
      <c r="B65" s="17"/>
      <c r="C65" s="18"/>
      <c r="D65" s="33"/>
      <c r="E65" s="20">
        <v>17</v>
      </c>
      <c r="F65" s="19">
        <v>8</v>
      </c>
      <c r="G65" s="19">
        <v>3</v>
      </c>
      <c r="H65" s="78" t="s">
        <v>953</v>
      </c>
      <c r="I65" s="327" t="s">
        <v>820</v>
      </c>
      <c r="J65" s="63"/>
      <c r="K65" s="64"/>
      <c r="L65" s="64"/>
      <c r="M65" s="64"/>
      <c r="N65" s="64"/>
      <c r="O65" s="64"/>
      <c r="P65" s="64"/>
      <c r="Q65" s="64"/>
      <c r="R65" s="65"/>
    </row>
    <row r="66" spans="1:19" ht="18" customHeight="1">
      <c r="A66" s="365" t="s">
        <v>813</v>
      </c>
      <c r="B66" s="17"/>
      <c r="C66" s="18"/>
      <c r="D66" s="33"/>
      <c r="E66" s="20">
        <v>17</v>
      </c>
      <c r="F66" s="19">
        <v>8</v>
      </c>
      <c r="G66" s="19">
        <v>3</v>
      </c>
      <c r="H66" s="78" t="s">
        <v>953</v>
      </c>
      <c r="I66" s="327" t="s">
        <v>821</v>
      </c>
      <c r="J66" s="386"/>
      <c r="K66" s="387"/>
      <c r="L66" s="387"/>
      <c r="M66" s="387"/>
      <c r="N66" s="387"/>
      <c r="O66" s="387"/>
      <c r="P66" s="387"/>
      <c r="Q66" s="387"/>
      <c r="R66" s="388"/>
    </row>
    <row r="67" spans="1:19" ht="18" customHeight="1">
      <c r="A67" s="371" t="s">
        <v>910</v>
      </c>
      <c r="B67" s="17"/>
      <c r="C67" s="18"/>
      <c r="D67" s="33"/>
      <c r="E67" s="20">
        <v>17</v>
      </c>
      <c r="F67" s="19">
        <v>8</v>
      </c>
      <c r="G67" s="19">
        <v>3</v>
      </c>
      <c r="H67" s="78" t="s">
        <v>595</v>
      </c>
      <c r="I67" s="327" t="s">
        <v>909</v>
      </c>
      <c r="J67" s="321"/>
      <c r="K67" s="322"/>
      <c r="L67" s="322"/>
      <c r="M67" s="322"/>
      <c r="N67" s="322"/>
      <c r="O67" s="322"/>
      <c r="P67" s="322"/>
      <c r="Q67" s="322"/>
      <c r="R67" s="323"/>
    </row>
    <row r="68" spans="1:19" ht="18" customHeight="1">
      <c r="A68" s="364" t="s">
        <v>915</v>
      </c>
      <c r="B68" s="17"/>
      <c r="C68" s="18"/>
      <c r="D68" s="33"/>
      <c r="E68" s="19"/>
      <c r="F68" s="19"/>
      <c r="G68" s="19"/>
      <c r="H68" s="78" t="s">
        <v>953</v>
      </c>
      <c r="I68" s="327" t="s">
        <v>827</v>
      </c>
      <c r="J68" s="63"/>
      <c r="K68" s="64"/>
      <c r="L68" s="64"/>
      <c r="M68" s="64"/>
      <c r="N68" s="64"/>
      <c r="O68" s="64"/>
      <c r="P68" s="64"/>
      <c r="Q68" s="64"/>
      <c r="R68" s="65"/>
    </row>
    <row r="69" spans="1:19" ht="18" customHeight="1">
      <c r="A69" s="365" t="s">
        <v>916</v>
      </c>
      <c r="B69" s="17"/>
      <c r="C69" s="18"/>
      <c r="D69" s="33"/>
      <c r="E69" s="20">
        <v>19</v>
      </c>
      <c r="F69" s="19">
        <v>7</v>
      </c>
      <c r="G69" s="19">
        <v>1</v>
      </c>
      <c r="H69" s="78" t="s">
        <v>953</v>
      </c>
      <c r="I69" s="327" t="s">
        <v>828</v>
      </c>
      <c r="J69" s="386"/>
      <c r="K69" s="387"/>
      <c r="L69" s="387"/>
      <c r="M69" s="387"/>
      <c r="N69" s="387"/>
      <c r="O69" s="387"/>
      <c r="P69" s="387"/>
      <c r="Q69" s="387"/>
      <c r="R69" s="388"/>
    </row>
    <row r="70" spans="1:19" ht="18" customHeight="1">
      <c r="A70" s="365" t="s">
        <v>917</v>
      </c>
      <c r="B70" s="17"/>
      <c r="C70" s="18"/>
      <c r="D70" s="33"/>
      <c r="E70" s="20">
        <v>19</v>
      </c>
      <c r="F70" s="19">
        <v>7</v>
      </c>
      <c r="G70" s="19">
        <v>1</v>
      </c>
      <c r="H70" s="78" t="s">
        <v>953</v>
      </c>
      <c r="I70" s="327" t="s">
        <v>829</v>
      </c>
      <c r="J70" s="63"/>
      <c r="K70" s="64"/>
      <c r="L70" s="64"/>
      <c r="M70" s="64"/>
      <c r="N70" s="64"/>
      <c r="O70" s="64"/>
      <c r="P70" s="64"/>
      <c r="Q70" s="64"/>
      <c r="R70" s="65"/>
    </row>
    <row r="71" spans="1:19" ht="18" customHeight="1">
      <c r="A71" s="371" t="s">
        <v>918</v>
      </c>
      <c r="B71" s="17"/>
      <c r="C71" s="18"/>
      <c r="D71" s="33"/>
      <c r="E71" s="20">
        <v>19</v>
      </c>
      <c r="F71" s="19">
        <v>7</v>
      </c>
      <c r="G71" s="19">
        <v>1</v>
      </c>
      <c r="H71" s="78" t="s">
        <v>595</v>
      </c>
      <c r="I71" s="327" t="s">
        <v>830</v>
      </c>
      <c r="J71" s="386"/>
      <c r="K71" s="387"/>
      <c r="L71" s="387"/>
      <c r="M71" s="387"/>
      <c r="N71" s="387"/>
      <c r="O71" s="387"/>
      <c r="P71" s="387"/>
      <c r="Q71" s="387"/>
      <c r="R71" s="388"/>
    </row>
    <row r="72" spans="1:19" ht="18" customHeight="1">
      <c r="A72" s="365" t="s">
        <v>919</v>
      </c>
      <c r="B72" s="17"/>
      <c r="C72" s="18"/>
      <c r="D72" s="33"/>
      <c r="E72" s="20">
        <v>19</v>
      </c>
      <c r="F72" s="19">
        <v>7</v>
      </c>
      <c r="G72" s="19">
        <v>1</v>
      </c>
      <c r="H72" s="78" t="s">
        <v>953</v>
      </c>
      <c r="I72" s="327" t="s">
        <v>831</v>
      </c>
      <c r="J72" s="63"/>
      <c r="K72" s="64"/>
      <c r="L72" s="64"/>
      <c r="M72" s="64"/>
      <c r="N72" s="64"/>
      <c r="O72" s="64"/>
      <c r="P72" s="64"/>
      <c r="Q72" s="64"/>
      <c r="R72" s="65"/>
    </row>
    <row r="73" spans="1:19" ht="18" customHeight="1">
      <c r="A73" s="365" t="s">
        <v>920</v>
      </c>
      <c r="B73" s="17"/>
      <c r="C73" s="18"/>
      <c r="D73" s="33"/>
      <c r="E73" s="20">
        <v>17</v>
      </c>
      <c r="F73" s="19">
        <v>7</v>
      </c>
      <c r="G73" s="19">
        <v>3</v>
      </c>
      <c r="H73" s="78" t="s">
        <v>953</v>
      </c>
      <c r="I73" s="327" t="s">
        <v>832</v>
      </c>
      <c r="J73" s="386"/>
      <c r="K73" s="387"/>
      <c r="L73" s="387"/>
      <c r="M73" s="387"/>
      <c r="N73" s="387"/>
      <c r="O73" s="387"/>
      <c r="P73" s="387"/>
      <c r="Q73" s="387"/>
      <c r="R73" s="388"/>
    </row>
    <row r="74" spans="1:19" ht="18" customHeight="1">
      <c r="A74" s="365" t="s">
        <v>921</v>
      </c>
      <c r="B74" s="17"/>
      <c r="C74" s="18"/>
      <c r="D74" s="33"/>
      <c r="E74" s="20">
        <v>19</v>
      </c>
      <c r="F74" s="19">
        <v>7</v>
      </c>
      <c r="G74" s="19">
        <v>1</v>
      </c>
      <c r="H74" s="78" t="s">
        <v>953</v>
      </c>
      <c r="I74" s="327" t="s">
        <v>833</v>
      </c>
      <c r="J74" s="63"/>
      <c r="K74" s="64"/>
      <c r="L74" s="64"/>
      <c r="M74" s="64"/>
      <c r="N74" s="64"/>
      <c r="O74" s="64"/>
      <c r="P74" s="64"/>
      <c r="Q74" s="64"/>
      <c r="R74" s="65"/>
    </row>
    <row r="75" spans="1:19" ht="18" customHeight="1">
      <c r="A75" s="371" t="s">
        <v>922</v>
      </c>
      <c r="B75" s="17"/>
      <c r="C75" s="18"/>
      <c r="D75" s="33"/>
      <c r="E75" s="20">
        <v>19</v>
      </c>
      <c r="F75" s="19">
        <v>7</v>
      </c>
      <c r="G75" s="19">
        <v>1</v>
      </c>
      <c r="H75" s="78" t="s">
        <v>595</v>
      </c>
      <c r="I75" s="327" t="s">
        <v>834</v>
      </c>
      <c r="J75" s="386"/>
      <c r="K75" s="387"/>
      <c r="L75" s="387"/>
      <c r="M75" s="387"/>
      <c r="N75" s="387"/>
      <c r="O75" s="387"/>
      <c r="P75" s="387"/>
      <c r="Q75" s="387"/>
      <c r="R75" s="388"/>
    </row>
    <row r="76" spans="1:19" ht="18" customHeight="1">
      <c r="A76" s="365" t="s">
        <v>923</v>
      </c>
      <c r="B76" s="17"/>
      <c r="C76" s="18"/>
      <c r="D76" s="33"/>
      <c r="E76" s="20">
        <v>19</v>
      </c>
      <c r="F76" s="19">
        <v>7</v>
      </c>
      <c r="G76" s="19">
        <v>1</v>
      </c>
      <c r="H76" s="78" t="s">
        <v>953</v>
      </c>
      <c r="I76" s="327" t="s">
        <v>835</v>
      </c>
      <c r="J76" s="63"/>
      <c r="K76" s="64"/>
      <c r="L76" s="64"/>
      <c r="M76" s="64"/>
      <c r="N76" s="64"/>
      <c r="O76" s="64"/>
      <c r="P76" s="64"/>
      <c r="Q76" s="64"/>
      <c r="R76" s="65"/>
    </row>
    <row r="77" spans="1:19" ht="18" customHeight="1">
      <c r="A77" s="364" t="s">
        <v>877</v>
      </c>
      <c r="B77" s="17"/>
      <c r="C77" s="18"/>
      <c r="D77" s="33"/>
      <c r="E77" s="20"/>
      <c r="F77" s="19"/>
      <c r="G77" s="19"/>
      <c r="H77" s="78" t="s">
        <v>953</v>
      </c>
      <c r="I77" s="264" t="s">
        <v>575</v>
      </c>
      <c r="J77" s="386"/>
      <c r="K77" s="387"/>
      <c r="L77" s="387"/>
      <c r="M77" s="387"/>
      <c r="N77" s="387"/>
      <c r="O77" s="387"/>
      <c r="P77" s="387"/>
      <c r="Q77" s="387"/>
      <c r="R77" s="388"/>
    </row>
    <row r="78" spans="1:19" ht="18" customHeight="1">
      <c r="A78" s="365" t="s">
        <v>764</v>
      </c>
      <c r="B78" s="17"/>
      <c r="C78" s="18"/>
      <c r="D78" s="33"/>
      <c r="E78" s="20">
        <v>19</v>
      </c>
      <c r="F78" s="19">
        <v>7</v>
      </c>
      <c r="G78" s="19">
        <v>1</v>
      </c>
      <c r="H78" s="78" t="s">
        <v>953</v>
      </c>
      <c r="I78" s="264" t="s">
        <v>576</v>
      </c>
      <c r="J78" s="63"/>
      <c r="K78" s="64"/>
      <c r="L78" s="64"/>
      <c r="M78" s="64"/>
      <c r="N78" s="64"/>
      <c r="O78" s="64"/>
      <c r="P78" s="64"/>
      <c r="Q78" s="64"/>
      <c r="R78" s="65"/>
    </row>
    <row r="79" spans="1:19" ht="18" customHeight="1">
      <c r="A79" s="365" t="s">
        <v>876</v>
      </c>
      <c r="B79" s="17"/>
      <c r="C79" s="18"/>
      <c r="D79" s="33"/>
      <c r="E79" s="20">
        <v>19</v>
      </c>
      <c r="F79" s="19">
        <v>7</v>
      </c>
      <c r="G79" s="19">
        <v>1</v>
      </c>
      <c r="H79" s="78" t="s">
        <v>953</v>
      </c>
      <c r="I79" s="264" t="s">
        <v>577</v>
      </c>
      <c r="J79" s="386"/>
      <c r="K79" s="387"/>
      <c r="L79" s="387"/>
      <c r="M79" s="387"/>
      <c r="N79" s="387"/>
      <c r="O79" s="387"/>
      <c r="P79" s="387"/>
      <c r="Q79" s="387"/>
      <c r="R79" s="388"/>
    </row>
    <row r="80" spans="1:19" ht="18" customHeight="1">
      <c r="A80" s="365" t="s">
        <v>763</v>
      </c>
      <c r="B80" s="17"/>
      <c r="C80" s="18"/>
      <c r="D80" s="33"/>
      <c r="E80" s="20">
        <v>17</v>
      </c>
      <c r="F80" s="19">
        <v>7</v>
      </c>
      <c r="G80" s="19">
        <v>3</v>
      </c>
      <c r="H80" s="78" t="s">
        <v>953</v>
      </c>
      <c r="I80" s="264" t="s">
        <v>785</v>
      </c>
      <c r="J80" s="321"/>
      <c r="K80" s="322"/>
      <c r="L80" s="322"/>
      <c r="M80" s="322"/>
      <c r="N80" s="322"/>
      <c r="O80" s="322"/>
      <c r="P80" s="322"/>
      <c r="Q80" s="322"/>
      <c r="R80" s="323"/>
      <c r="S80" s="325"/>
    </row>
    <row r="81" spans="1:19" ht="18" customHeight="1">
      <c r="A81" s="365" t="s">
        <v>765</v>
      </c>
      <c r="B81" s="17"/>
      <c r="C81" s="18"/>
      <c r="D81" s="33"/>
      <c r="E81" s="20">
        <v>19</v>
      </c>
      <c r="F81" s="19">
        <v>7</v>
      </c>
      <c r="G81" s="19">
        <v>1</v>
      </c>
      <c r="H81" s="78" t="s">
        <v>953</v>
      </c>
      <c r="I81" s="264" t="s">
        <v>578</v>
      </c>
      <c r="J81" s="63"/>
      <c r="K81" s="64"/>
      <c r="L81" s="64"/>
      <c r="M81" s="64"/>
      <c r="N81" s="64"/>
      <c r="O81" s="64"/>
      <c r="P81" s="64"/>
      <c r="Q81" s="64"/>
      <c r="R81" s="65"/>
    </row>
    <row r="82" spans="1:19" ht="18" customHeight="1">
      <c r="A82" s="365" t="s">
        <v>766</v>
      </c>
      <c r="B82" s="17"/>
      <c r="C82" s="18"/>
      <c r="D82" s="33"/>
      <c r="E82" s="20">
        <v>19</v>
      </c>
      <c r="F82" s="19">
        <v>7</v>
      </c>
      <c r="G82" s="19">
        <v>1</v>
      </c>
      <c r="H82" s="78" t="s">
        <v>953</v>
      </c>
      <c r="I82" s="264" t="s">
        <v>580</v>
      </c>
      <c r="J82" s="386"/>
      <c r="K82" s="387"/>
      <c r="L82" s="387"/>
      <c r="M82" s="387"/>
      <c r="N82" s="387"/>
      <c r="O82" s="387"/>
      <c r="P82" s="387"/>
      <c r="Q82" s="387"/>
      <c r="R82" s="388"/>
    </row>
    <row r="83" spans="1:19" ht="18" customHeight="1">
      <c r="A83" s="365" t="s">
        <v>767</v>
      </c>
      <c r="B83" s="17"/>
      <c r="C83" s="18"/>
      <c r="D83" s="33"/>
      <c r="E83" s="20">
        <v>19</v>
      </c>
      <c r="F83" s="19">
        <v>7</v>
      </c>
      <c r="G83" s="19">
        <v>1</v>
      </c>
      <c r="H83" s="78" t="s">
        <v>953</v>
      </c>
      <c r="I83" s="264" t="s">
        <v>579</v>
      </c>
      <c r="J83" s="63"/>
      <c r="K83" s="64"/>
      <c r="L83" s="64"/>
      <c r="M83" s="64"/>
      <c r="N83" s="64"/>
      <c r="O83" s="64"/>
      <c r="P83" s="64"/>
      <c r="Q83" s="64"/>
      <c r="R83" s="65"/>
    </row>
    <row r="84" spans="1:19" ht="18" customHeight="1">
      <c r="A84" s="365" t="s">
        <v>768</v>
      </c>
      <c r="B84" s="17"/>
      <c r="C84" s="18"/>
      <c r="D84" s="33"/>
      <c r="E84" s="20">
        <v>19</v>
      </c>
      <c r="F84" s="19">
        <v>7</v>
      </c>
      <c r="G84" s="19">
        <v>1</v>
      </c>
      <c r="H84" s="78" t="s">
        <v>953</v>
      </c>
      <c r="I84" s="264" t="s">
        <v>777</v>
      </c>
      <c r="J84" s="63"/>
      <c r="K84" s="64"/>
      <c r="L84" s="64"/>
      <c r="M84" s="64"/>
      <c r="N84" s="64"/>
      <c r="O84" s="64"/>
      <c r="P84" s="64"/>
      <c r="Q84" s="64"/>
      <c r="R84" s="65"/>
      <c r="S84" s="325"/>
    </row>
    <row r="85" spans="1:19" ht="18" customHeight="1">
      <c r="A85" s="365" t="s">
        <v>769</v>
      </c>
      <c r="B85" s="17"/>
      <c r="C85" s="18"/>
      <c r="D85" s="33"/>
      <c r="E85" s="20">
        <v>19</v>
      </c>
      <c r="F85" s="19">
        <v>7</v>
      </c>
      <c r="G85" s="19">
        <v>1</v>
      </c>
      <c r="H85" s="78" t="s">
        <v>953</v>
      </c>
      <c r="I85" s="264" t="s">
        <v>581</v>
      </c>
      <c r="J85" s="386"/>
      <c r="K85" s="387"/>
      <c r="L85" s="387"/>
      <c r="M85" s="387"/>
      <c r="N85" s="387"/>
      <c r="O85" s="387"/>
      <c r="P85" s="387"/>
      <c r="Q85" s="387"/>
      <c r="R85" s="388"/>
    </row>
    <row r="86" spans="1:19" ht="18" customHeight="1">
      <c r="A86" s="365" t="s">
        <v>770</v>
      </c>
      <c r="B86" s="17"/>
      <c r="C86" s="18"/>
      <c r="D86" s="33"/>
      <c r="E86" s="20">
        <v>19</v>
      </c>
      <c r="F86" s="19">
        <v>7</v>
      </c>
      <c r="G86" s="19">
        <v>1</v>
      </c>
      <c r="H86" s="78" t="s">
        <v>953</v>
      </c>
      <c r="I86" s="264" t="s">
        <v>582</v>
      </c>
      <c r="J86" s="63"/>
      <c r="K86" s="64"/>
      <c r="L86" s="64"/>
      <c r="M86" s="64"/>
      <c r="N86" s="64"/>
      <c r="O86" s="64"/>
      <c r="P86" s="64"/>
      <c r="Q86" s="64"/>
      <c r="R86" s="65"/>
    </row>
    <row r="87" spans="1:19" ht="18" customHeight="1">
      <c r="A87" s="365" t="s">
        <v>771</v>
      </c>
      <c r="B87" s="17"/>
      <c r="C87" s="18"/>
      <c r="D87" s="33"/>
      <c r="E87" s="20">
        <v>19</v>
      </c>
      <c r="F87" s="19">
        <v>7</v>
      </c>
      <c r="G87" s="19">
        <v>1</v>
      </c>
      <c r="H87" s="78" t="s">
        <v>953</v>
      </c>
      <c r="I87" s="264" t="s">
        <v>583</v>
      </c>
      <c r="J87" s="386"/>
      <c r="K87" s="387"/>
      <c r="L87" s="387"/>
      <c r="M87" s="387"/>
      <c r="N87" s="387"/>
      <c r="O87" s="387"/>
      <c r="P87" s="387"/>
      <c r="Q87" s="387"/>
      <c r="R87" s="388"/>
    </row>
    <row r="88" spans="1:19" ht="18" customHeight="1">
      <c r="A88" s="365" t="s">
        <v>772</v>
      </c>
      <c r="B88" s="17"/>
      <c r="C88" s="18"/>
      <c r="D88" s="33"/>
      <c r="E88" s="20">
        <v>19</v>
      </c>
      <c r="F88" s="19">
        <v>7</v>
      </c>
      <c r="G88" s="19">
        <v>1</v>
      </c>
      <c r="H88" s="78" t="s">
        <v>953</v>
      </c>
      <c r="I88" s="264" t="s">
        <v>781</v>
      </c>
      <c r="J88" s="63"/>
      <c r="K88" s="64"/>
      <c r="L88" s="64"/>
      <c r="M88" s="64"/>
      <c r="N88" s="64"/>
      <c r="O88" s="64"/>
      <c r="P88" s="64"/>
      <c r="Q88" s="64"/>
      <c r="R88" s="65"/>
    </row>
    <row r="89" spans="1:19" ht="18" customHeight="1">
      <c r="A89" s="365" t="s">
        <v>773</v>
      </c>
      <c r="B89" s="17"/>
      <c r="C89" s="326"/>
      <c r="D89" s="33"/>
      <c r="E89" s="20">
        <v>19</v>
      </c>
      <c r="F89" s="19">
        <v>7</v>
      </c>
      <c r="G89" s="19">
        <v>1</v>
      </c>
      <c r="H89" s="78" t="s">
        <v>953</v>
      </c>
      <c r="I89" s="264" t="s">
        <v>780</v>
      </c>
      <c r="J89" s="386"/>
      <c r="K89" s="387"/>
      <c r="L89" s="387"/>
      <c r="M89" s="387"/>
      <c r="N89" s="387"/>
      <c r="O89" s="387"/>
      <c r="P89" s="387"/>
      <c r="Q89" s="387"/>
      <c r="R89" s="388"/>
    </row>
    <row r="90" spans="1:19" ht="18" customHeight="1">
      <c r="A90" s="365" t="s">
        <v>774</v>
      </c>
      <c r="B90" s="17"/>
      <c r="C90" s="18"/>
      <c r="D90" s="33"/>
      <c r="E90" s="20">
        <v>19</v>
      </c>
      <c r="F90" s="19">
        <v>7</v>
      </c>
      <c r="G90" s="19">
        <v>1</v>
      </c>
      <c r="H90" s="78" t="s">
        <v>953</v>
      </c>
      <c r="I90" s="264" t="s">
        <v>836</v>
      </c>
      <c r="J90" s="321"/>
      <c r="K90" s="322"/>
      <c r="L90" s="322"/>
      <c r="M90" s="322"/>
      <c r="N90" s="322"/>
      <c r="O90" s="322"/>
      <c r="P90" s="322"/>
      <c r="Q90" s="322"/>
      <c r="R90" s="323"/>
      <c r="S90" s="325"/>
    </row>
    <row r="91" spans="1:19" ht="18" customHeight="1">
      <c r="A91" s="365" t="s">
        <v>775</v>
      </c>
      <c r="B91" s="17"/>
      <c r="C91" s="18"/>
      <c r="D91" s="33"/>
      <c r="E91" s="20">
        <v>19</v>
      </c>
      <c r="F91" s="19">
        <v>7</v>
      </c>
      <c r="G91" s="19">
        <v>1</v>
      </c>
      <c r="H91" s="78" t="s">
        <v>953</v>
      </c>
      <c r="I91" s="264" t="s">
        <v>778</v>
      </c>
      <c r="J91" s="63"/>
      <c r="K91" s="64"/>
      <c r="L91" s="64"/>
      <c r="M91" s="64"/>
      <c r="N91" s="64"/>
      <c r="O91" s="64"/>
      <c r="P91" s="64"/>
      <c r="Q91" s="64"/>
      <c r="R91" s="65"/>
    </row>
    <row r="92" spans="1:19" ht="18" customHeight="1">
      <c r="A92" s="365" t="s">
        <v>776</v>
      </c>
      <c r="B92" s="17"/>
      <c r="C92" s="18"/>
      <c r="D92" s="33"/>
      <c r="E92" s="20">
        <v>19</v>
      </c>
      <c r="F92" s="19">
        <v>7</v>
      </c>
      <c r="G92" s="19">
        <v>1</v>
      </c>
      <c r="H92" s="78" t="s">
        <v>953</v>
      </c>
      <c r="I92" s="264" t="s">
        <v>779</v>
      </c>
      <c r="J92" s="386"/>
      <c r="K92" s="387"/>
      <c r="L92" s="387"/>
      <c r="M92" s="387"/>
      <c r="N92" s="387"/>
      <c r="O92" s="387"/>
      <c r="P92" s="387"/>
      <c r="Q92" s="387"/>
      <c r="R92" s="388"/>
    </row>
    <row r="93" spans="1:19" ht="18" customHeight="1">
      <c r="A93" s="364" t="s">
        <v>878</v>
      </c>
      <c r="B93" s="17"/>
      <c r="C93" s="18"/>
      <c r="D93" s="33"/>
      <c r="E93" s="20"/>
      <c r="F93" s="19"/>
      <c r="G93" s="19"/>
      <c r="H93" s="78" t="s">
        <v>953</v>
      </c>
      <c r="I93" s="264" t="s">
        <v>584</v>
      </c>
      <c r="J93" s="63"/>
      <c r="K93" s="64"/>
      <c r="L93" s="64"/>
      <c r="M93" s="64"/>
      <c r="N93" s="64"/>
      <c r="O93" s="64"/>
      <c r="P93" s="64"/>
      <c r="Q93" s="64"/>
      <c r="R93" s="65"/>
    </row>
    <row r="94" spans="1:19" ht="18" customHeight="1">
      <c r="A94" s="365" t="s">
        <v>783</v>
      </c>
      <c r="B94" s="17"/>
      <c r="C94" s="18"/>
      <c r="D94" s="33"/>
      <c r="E94" s="20">
        <v>19</v>
      </c>
      <c r="F94" s="19">
        <v>7</v>
      </c>
      <c r="G94" s="19">
        <v>1</v>
      </c>
      <c r="H94" s="78" t="s">
        <v>953</v>
      </c>
      <c r="I94" s="264" t="s">
        <v>585</v>
      </c>
      <c r="J94" s="386"/>
      <c r="K94" s="387"/>
      <c r="L94" s="387"/>
      <c r="M94" s="387"/>
      <c r="N94" s="387"/>
      <c r="O94" s="387"/>
      <c r="P94" s="387"/>
      <c r="Q94" s="387"/>
      <c r="R94" s="388"/>
    </row>
    <row r="95" spans="1:19" ht="18" customHeight="1">
      <c r="A95" s="365" t="s">
        <v>782</v>
      </c>
      <c r="B95" s="17"/>
      <c r="C95" s="18"/>
      <c r="D95" s="33"/>
      <c r="E95" s="20">
        <v>19</v>
      </c>
      <c r="F95" s="19">
        <v>7</v>
      </c>
      <c r="G95" s="19">
        <v>1</v>
      </c>
      <c r="H95" s="78" t="s">
        <v>953</v>
      </c>
      <c r="I95" s="264" t="s">
        <v>905</v>
      </c>
      <c r="J95" s="63"/>
      <c r="K95" s="64"/>
      <c r="L95" s="64"/>
      <c r="M95" s="64"/>
      <c r="N95" s="64"/>
      <c r="O95" s="64"/>
      <c r="P95" s="64"/>
      <c r="Q95" s="64"/>
      <c r="R95" s="65"/>
    </row>
    <row r="96" spans="1:19" ht="18" customHeight="1">
      <c r="A96" s="365" t="s">
        <v>838</v>
      </c>
      <c r="B96" s="17"/>
      <c r="C96" s="18"/>
      <c r="D96" s="33"/>
      <c r="E96" s="20">
        <v>19</v>
      </c>
      <c r="F96" s="19">
        <v>7</v>
      </c>
      <c r="G96" s="19">
        <v>1</v>
      </c>
      <c r="H96" s="78" t="s">
        <v>953</v>
      </c>
      <c r="I96" s="264" t="s">
        <v>843</v>
      </c>
      <c r="J96" s="63"/>
      <c r="K96" s="64"/>
      <c r="L96" s="64"/>
      <c r="M96" s="64"/>
      <c r="N96" s="64"/>
      <c r="O96" s="64"/>
      <c r="P96" s="64"/>
      <c r="Q96" s="64"/>
      <c r="R96" s="65"/>
      <c r="S96" s="325"/>
    </row>
    <row r="97" spans="1:18" ht="18" customHeight="1">
      <c r="A97" s="365" t="s">
        <v>837</v>
      </c>
      <c r="B97" s="17"/>
      <c r="C97" s="18"/>
      <c r="D97" s="33"/>
      <c r="E97" s="20">
        <v>19</v>
      </c>
      <c r="F97" s="19">
        <v>8</v>
      </c>
      <c r="G97" s="19">
        <v>1</v>
      </c>
      <c r="H97" s="78" t="s">
        <v>953</v>
      </c>
      <c r="I97" s="264" t="s">
        <v>844</v>
      </c>
      <c r="J97" s="386"/>
      <c r="K97" s="387"/>
      <c r="L97" s="387"/>
      <c r="M97" s="387"/>
      <c r="N97" s="387"/>
      <c r="O97" s="387"/>
      <c r="P97" s="387"/>
      <c r="Q97" s="387"/>
      <c r="R97" s="388"/>
    </row>
    <row r="98" spans="1:18" ht="18" customHeight="1">
      <c r="A98" s="365" t="s">
        <v>839</v>
      </c>
      <c r="B98" s="17"/>
      <c r="C98" s="18"/>
      <c r="D98" s="33"/>
      <c r="E98" s="20">
        <v>19</v>
      </c>
      <c r="F98" s="19">
        <v>7</v>
      </c>
      <c r="G98" s="19">
        <v>1</v>
      </c>
      <c r="H98" s="78" t="s">
        <v>953</v>
      </c>
      <c r="I98" s="264" t="s">
        <v>845</v>
      </c>
      <c r="J98" s="63"/>
      <c r="K98" s="64"/>
      <c r="L98" s="64"/>
      <c r="M98" s="64"/>
      <c r="N98" s="64"/>
      <c r="O98" s="64"/>
      <c r="P98" s="64"/>
      <c r="Q98" s="64"/>
      <c r="R98" s="65"/>
    </row>
    <row r="99" spans="1:18" ht="18" customHeight="1">
      <c r="A99" s="365" t="s">
        <v>840</v>
      </c>
      <c r="B99" s="17"/>
      <c r="C99" s="18"/>
      <c r="D99" s="33"/>
      <c r="E99" s="20">
        <v>19</v>
      </c>
      <c r="F99" s="19">
        <v>7</v>
      </c>
      <c r="G99" s="19">
        <v>1</v>
      </c>
      <c r="H99" s="78" t="s">
        <v>953</v>
      </c>
      <c r="I99" s="264" t="s">
        <v>846</v>
      </c>
      <c r="J99" s="386"/>
      <c r="K99" s="387"/>
      <c r="L99" s="387"/>
      <c r="M99" s="387"/>
      <c r="N99" s="387"/>
      <c r="O99" s="387"/>
      <c r="P99" s="387"/>
      <c r="Q99" s="387"/>
      <c r="R99" s="388"/>
    </row>
    <row r="100" spans="1:18" ht="18" customHeight="1">
      <c r="A100" s="365" t="s">
        <v>841</v>
      </c>
      <c r="B100" s="17"/>
      <c r="C100" s="18"/>
      <c r="D100" s="33"/>
      <c r="E100" s="20">
        <v>19</v>
      </c>
      <c r="F100" s="19">
        <v>7</v>
      </c>
      <c r="G100" s="19">
        <v>1</v>
      </c>
      <c r="H100" s="78" t="s">
        <v>953</v>
      </c>
      <c r="I100" s="264" t="s">
        <v>847</v>
      </c>
      <c r="J100" s="63"/>
      <c r="K100" s="64"/>
      <c r="L100" s="64"/>
      <c r="M100" s="64"/>
      <c r="N100" s="64"/>
      <c r="O100" s="64"/>
      <c r="P100" s="64"/>
      <c r="Q100" s="64"/>
      <c r="R100" s="65"/>
    </row>
    <row r="101" spans="1:18" ht="18" customHeight="1" thickBot="1">
      <c r="A101" s="365" t="s">
        <v>842</v>
      </c>
      <c r="B101" s="21"/>
      <c r="C101" s="22"/>
      <c r="D101" s="35"/>
      <c r="E101" s="20">
        <v>19</v>
      </c>
      <c r="F101" s="19">
        <v>7</v>
      </c>
      <c r="G101" s="23">
        <v>1</v>
      </c>
      <c r="H101" s="79" t="s">
        <v>953</v>
      </c>
      <c r="I101" s="264" t="s">
        <v>924</v>
      </c>
      <c r="J101" s="66"/>
      <c r="K101" s="67"/>
      <c r="L101" s="67"/>
      <c r="M101" s="67"/>
      <c r="N101" s="67"/>
      <c r="O101" s="67"/>
      <c r="P101" s="67"/>
      <c r="Q101" s="67"/>
      <c r="R101" s="68"/>
    </row>
    <row r="102" spans="1:18" ht="17" thickTop="1"/>
  </sheetData>
  <sheetProtection formatCells="0" formatColumns="0" formatRows="0"/>
  <mergeCells count="46">
    <mergeCell ref="S4:W5"/>
    <mergeCell ref="J89:R89"/>
    <mergeCell ref="J92:R92"/>
    <mergeCell ref="J94:R94"/>
    <mergeCell ref="J97:R97"/>
    <mergeCell ref="J62:R62"/>
    <mergeCell ref="J64:R64"/>
    <mergeCell ref="J66:R66"/>
    <mergeCell ref="J69:R69"/>
    <mergeCell ref="J99:R99"/>
    <mergeCell ref="J75:R75"/>
    <mergeCell ref="J77:R77"/>
    <mergeCell ref="J79:R79"/>
    <mergeCell ref="J82:R82"/>
    <mergeCell ref="J85:R85"/>
    <mergeCell ref="J87:R87"/>
    <mergeCell ref="J48:R48"/>
    <mergeCell ref="J71:R71"/>
    <mergeCell ref="J73:R73"/>
    <mergeCell ref="J50:R50"/>
    <mergeCell ref="J52:R52"/>
    <mergeCell ref="J54:R54"/>
    <mergeCell ref="J56:R56"/>
    <mergeCell ref="J58:R58"/>
    <mergeCell ref="J60:R60"/>
    <mergeCell ref="J36:R36"/>
    <mergeCell ref="J38:R38"/>
    <mergeCell ref="J40:R40"/>
    <mergeCell ref="J42:R42"/>
    <mergeCell ref="J44:R44"/>
    <mergeCell ref="J24:R24"/>
    <mergeCell ref="J26:R26"/>
    <mergeCell ref="J28:R28"/>
    <mergeCell ref="J30:R30"/>
    <mergeCell ref="J32:R32"/>
    <mergeCell ref="K4:M4"/>
    <mergeCell ref="N4:R4"/>
    <mergeCell ref="Q7:R7"/>
    <mergeCell ref="J18:R18"/>
    <mergeCell ref="J22:R22"/>
    <mergeCell ref="J20:R20"/>
    <mergeCell ref="J19:R19"/>
    <mergeCell ref="J12:R12"/>
    <mergeCell ref="J13:R13"/>
    <mergeCell ref="K6:R6"/>
    <mergeCell ref="K5:R5"/>
  </mergeCells>
  <phoneticPr fontId="64" type="noConversion"/>
  <dataValidations count="3">
    <dataValidation type="list" allowBlank="1" showInputMessage="1" showErrorMessage="1" sqref="J5" xr:uid="{9701D81C-FC69-44FB-8CFA-A0CD6ACD7168}">
      <formula1>"申报单位,被评估单位,产权持有单位"</formula1>
    </dataValidation>
    <dataValidation type="list" allowBlank="1" showInputMessage="1" showErrorMessage="1" sqref="K4:M4" xr:uid="{E05D276E-1F50-4A80-A5D6-670C1D0CFBE7}">
      <formula1>"申报表,明细表,核实表"</formula1>
    </dataValidation>
    <dataValidation type="list" allowBlank="1" showInputMessage="1" showErrorMessage="1" sqref="H5:H101" xr:uid="{5A15BC19-1AC7-4407-9CA9-E4351C4BD3D0}">
      <formula1>"　,√"</formula1>
    </dataValidation>
  </dataValidations>
  <hyperlinks>
    <hyperlink ref="A5" location="'1-汇总表'!A1" display="1-汇总表" xr:uid="{3BD37949-DE37-4E8C-935B-81CCA617F4F6}"/>
    <hyperlink ref="A6" location="'2-分类汇总'!A1" display="2-分类汇总" xr:uid="{07CD7AC6-41F0-44A3-B0C6-D138811AACEE}"/>
    <hyperlink ref="A7" location="'3-流动汇总'!A1" display="3-流动汇总" xr:uid="{ED366377-25C5-495F-88FA-6A6B4C9FE44E}"/>
    <hyperlink ref="A8" location="'表3-1货币汇总表'!A1" display="表3-1货币汇总表" xr:uid="{173A5D16-9E87-44F1-A4C0-1F9580054BF1}"/>
    <hyperlink ref="A9" location="'3-1-1现金'!A1" display="3-1-1现金" xr:uid="{A0017758-2211-49E3-9092-985211A62D9B}"/>
    <hyperlink ref="A10" location="'3-1-2银行存款'!A1" display="3-1-2银行存款" xr:uid="{C98D1A1C-A10F-4637-936A-87D85BAE95B6}"/>
    <hyperlink ref="A11" location="'3-1-3其他货币资金'!A1" display="3-1-3其他货币资金" xr:uid="{D7DE26AE-D5F4-485F-95EB-A9857510129A}"/>
    <hyperlink ref="A12" location="'3-2交易性金融资产汇总'!A1" display="3-2交易性金融资产汇总" xr:uid="{F8873DA2-D8C1-4FB7-AE27-BD8C395B6F63}"/>
    <hyperlink ref="A13" location="'3-2-1交易性-股票'!A1" display="3-2-1交易性-股票" xr:uid="{3927DB0B-1793-4F21-9C16-BB8CB966958E}"/>
    <hyperlink ref="A14" location="'3-2-2交易性-债券'!A1" display="3-2-2交易性-债券" xr:uid="{3A05895C-D571-4F89-8CFD-FF37D66B55F7}"/>
    <hyperlink ref="A15" location="'3-2-3交易性-基金'!A1" display="3-2-3交易性-基金" xr:uid="{EA2964B1-35AC-4115-B8BE-6B2D172C5092}"/>
    <hyperlink ref="A18" location="'3-4应收票据'!Print_Area" display="3-4应收票据" xr:uid="{44E62387-AB29-49F8-83A1-9B6537CF5F8B}"/>
    <hyperlink ref="A19" location="'3-5应收账款'!Print_Area" display="3-5应收账款" xr:uid="{2FD6E0EB-801E-48F2-9967-51134F7CF161}"/>
    <hyperlink ref="A21" location="'3-7预付账款'!Print_Area" display="3-7预付账款" xr:uid="{B0D782BA-0256-40B1-A3AC-F416F3B2C3F9}"/>
    <hyperlink ref="A22" location="'3-8应收利息'!Print_Area" display="3-8应收利息" xr:uid="{238C1F29-E2C1-4DC2-97DF-5D9E3B285D6B}"/>
    <hyperlink ref="A23" location="'3-9应收股利'!Print_Area" display="3-9应收股利" xr:uid="{4297797F-7EAF-4CB8-9BEA-EB3A2B92417A}"/>
    <hyperlink ref="A24" location="'3-10其他应收款'!Print_Titles" display="3-10其他应收款" xr:uid="{EBC39C9D-2E37-4BA0-8AC4-D3F8A2D34A74}"/>
    <hyperlink ref="A25" location="'3-11存货汇总'!Print_Area" display="3-11存货汇总" xr:uid="{85DB3739-4D5D-45C2-8237-059C21427D18}"/>
    <hyperlink ref="A26" location="'3-11-1材料采购（在途物资）'!Print_Area" display="3-11-1材料采购（在途物资）" xr:uid="{B3FE8A46-3BB7-4E6C-9228-183F76DDF417}"/>
    <hyperlink ref="A27" location="'3-11-2原材料'!Print_Area" display="3-11-2原材料" xr:uid="{51EC33F9-F598-4F53-BA6C-4EE0B3E3B68C}"/>
    <hyperlink ref="A28" location="'3-11-3在库周转材料'!Print_Area" display="3-11-3在库周转材料" xr:uid="{87CD3854-A73B-4471-8964-9619AB9944AD}"/>
    <hyperlink ref="A29" location="'3-11-4委托加工物资'!Print_Area" display="3-11-4委托加工物资" xr:uid="{23EE1140-FEE1-4E86-91AE-0CFD7D540F42}"/>
    <hyperlink ref="A30" location="'3-11-5产成品（库存商品）'!Print_Area" display="3-11-5产成品（库存商品）" xr:uid="{085D463F-6DC6-4FEA-95B9-2B7AE25F6542}"/>
    <hyperlink ref="A31" location="'3-11-6在产品（自制半成品）'!Print_Area" display="3-11-6在产品（自制半成品）" xr:uid="{525C3E40-E602-41DC-9838-47846A47112E}"/>
    <hyperlink ref="A32" location="'3-11-7发出商品'!Print_Area" display="3-11-7发出商品" xr:uid="{52168B1F-46AE-4573-B754-960CA56B6A26}"/>
    <hyperlink ref="A33" location="'3-11-8在用周转材料'!Print_Area" display="3-11-8在用周转材料" xr:uid="{4B69B0F3-6B16-4CEB-A13D-8D87FFD315F4}"/>
    <hyperlink ref="A36" location="'3-14一年到期非流动资产'!Print_Titles" display="3-14一年到期非流动资产" xr:uid="{80D16EE7-189E-4C18-94E5-CCF96E9BFABE}"/>
    <hyperlink ref="A37" location="'3-15其他流动资产'!Print_Titles" display="3-15其他流动资产" xr:uid="{5867A079-1576-4251-A060-6D55EB682581}"/>
    <hyperlink ref="A39" location="'4-1可供出售金融资产汇总'!Print_Area" display="4-1可供出售金融资产汇总" xr:uid="{403026A5-7AAC-4F2C-A7FE-7C36F0304C3B}"/>
    <hyperlink ref="A40" location="'4-1-1可出售-股票'!Print_Area" display="4-1-1可出售-股票" xr:uid="{74613477-7A70-4FFC-BAE1-52DCD5C789B9}"/>
    <hyperlink ref="A41" location="'4-1-2可出售-债券'!Print_Area" display="4-1-2可出售-债券" xr:uid="{B200A2E9-9961-4863-B0FB-2B26A6502B7B}"/>
    <hyperlink ref="A42" location="'4-1-3可出售-其他'!Print_Area" display="4-1-3可出售-其他" xr:uid="{681D2FE8-F12B-4B47-8124-21A540C895C5}"/>
    <hyperlink ref="A43" location="'4-2持有到期投资'!Print_Area" display="4-2持有到期投资" xr:uid="{E9479C91-69D4-44C6-B9A8-0F8CF73CAF7A}"/>
    <hyperlink ref="A44" location="'4-3长期应收'!Print_Area" display="4-3长期应收" xr:uid="{FB03FC5F-378E-4932-B5F7-FB81C0958EE7}"/>
    <hyperlink ref="A45" location="'4-4股权投资'!Print_Area" display="4-4股权投资" xr:uid="{76392349-C6FF-4ECF-9C4E-23FC637BF060}"/>
    <hyperlink ref="A48" location="'4-7-1投资性房地产'!Print_Area" display="4-7-1投资性房地产" xr:uid="{2B46DA3D-17F3-4CA1-B60A-2B8AFE62B9D8}"/>
    <hyperlink ref="A49" location="'4-7-2投资性房地产'!Print_Area" display="4-7-2投资性房地产" xr:uid="{00F78602-29F3-4B6C-BEEF-3F254DE3DC00}"/>
    <hyperlink ref="A50" location="'4-7-3投资性地产'!Print_Area" display="4-7-3投资性地产" xr:uid="{099C250D-DAC2-4DE5-B857-61486ECBA6BC}"/>
    <hyperlink ref="A51" location="'4-7-4投资性地产'!Print_Area" display="4-7-4投资性地产" xr:uid="{D7F680AF-F290-4626-8CD9-30A63062A729}"/>
    <hyperlink ref="A52" location="'4-8固定资产汇总'!Print_Area" display="4-8固定资产汇总" xr:uid="{AFC031BF-4F8A-4601-BA7E-63435A43C54C}"/>
    <hyperlink ref="A53" location="'4-8-1房屋建筑物'!Print_Area" display="4-8-1房屋建筑物" xr:uid="{7CB8FF7D-0A13-44FF-9891-AD7529C09A34}"/>
    <hyperlink ref="A54" location="'4-8-2构筑物'!Print_Area" display="4-8-2构筑物" xr:uid="{FE1A1060-538C-47CB-A4AD-AF8702AEDFD5}"/>
    <hyperlink ref="A55" location="'4-8-3管道沟槽'!Print_Area" display="4-8-3管道沟槽" xr:uid="{09E378E7-B09C-480A-BEA1-8B67519CFEE9}"/>
    <hyperlink ref="A56" location="'4-8-4机器设备'!Print_Area" display="4-8-4机器设备" xr:uid="{3B7CF868-A8DA-41BC-A730-0084C6EBF2F9}"/>
    <hyperlink ref="A57" location="'4-8-5车辆'!Print_Area" display="4-8-5车辆" xr:uid="{F7B7B96B-6BDD-4C3D-9CB5-3B421B68ED91}"/>
    <hyperlink ref="A58" location="'4-8-6电子设备'!Print_Area" display="4-8-6电子设备" xr:uid="{B7B50309-47B4-4245-B070-4C89666CA907}"/>
    <hyperlink ref="A59" location="'4-8-7土地'!Print_Area" display="4-8-7土地" xr:uid="{9A35A20F-C677-49D5-A856-28DAC9899EBF}"/>
    <hyperlink ref="A60" location="'4-9在建工程汇总'!Print_Area" display="4-9在建工程汇总" xr:uid="{4DABC803-1054-4355-BBC1-4C9CB7F2DBB9}"/>
    <hyperlink ref="A61" location="'4-9-1在建（土建）'!Print_Area" display="4-9-1在建（土建）" xr:uid="{FCF00041-0D45-43F1-8FA5-2081CD758847}"/>
    <hyperlink ref="A62" location="'4-9-2在建（设备）'!Print_Area" display="4-9-2在建（设备）" xr:uid="{2D14433F-67A5-4B09-8535-8344701FCDDF}"/>
    <hyperlink ref="A63" location="'4-10工程物资'!Print_Titles" display="4-10工程物资" xr:uid="{260987D2-D9AE-4342-A058-9C967560F8CA}"/>
    <hyperlink ref="A64" location="'4-11固定资产清理'!Print_Titles" display="4-11固定资产清理" xr:uid="{427B125F-E764-4309-83D9-EB78096F10AD}"/>
    <hyperlink ref="A65" location="'4-12生产性生物资产'!Print_Titles" display="4-12生产性生物资产" xr:uid="{9960C15B-C06A-4F52-BF02-AA578A3B0F2B}"/>
    <hyperlink ref="A66" location="'4-13油气资产'!Print_Titles" display="4-13油气资产" xr:uid="{9126A205-5603-449C-9BEF-CA4C39835CC2}"/>
    <hyperlink ref="A68" location="'4-14无形资产汇总'!Print_Area" display="4-14无形资产汇总" xr:uid="{03EE5612-3AE4-44D0-B705-8E5776CFB727}"/>
    <hyperlink ref="A69" location="'4-14-1无形-土地'!Print_Titles" display="4-14-1无形-土地" xr:uid="{2838ECF1-1EEB-42F5-9D0E-AE7050257937}"/>
    <hyperlink ref="A70" location="'4-14-2无形-矿业权'!Print_Titles" display="4-14-2无形-矿业权" xr:uid="{30A2CB39-C84B-4A1B-85B9-5DE1F417FDA9}"/>
    <hyperlink ref="A71" location="'4-14-3无形-其他'!Print_Titles" display="4-14-3无形-其他" xr:uid="{B57EB6BF-6536-4D82-8353-D1BBAF32FADF}"/>
    <hyperlink ref="A72" location="'4-15开发支出'!Print_Titles" display="4-15开发支出" xr:uid="{349323D8-F095-45D7-8275-A349C8002487}"/>
    <hyperlink ref="A73" location="'4-16商誉'!Print_Titles" display="4-16商誉" xr:uid="{B6895ABE-DFB5-4E41-8DAF-31CF89AFC63A}"/>
    <hyperlink ref="A74" location="'4-17长期待摊费用'!Print_Titles" display="4-17长期待摊费用" xr:uid="{AA2D556C-E0F8-4891-B5C0-F57B1E65F2A5}"/>
    <hyperlink ref="A75" location="'4-18递延所得税资产'!Print_Titles" display="4-18递延所得税资产" xr:uid="{87F34B1A-7F56-4E81-BE59-CDED8FC8D517}"/>
    <hyperlink ref="A76" location="'4-19其他非流动资产'!Print_Area" display="4-19其他非流动资产" xr:uid="{2776D8E7-CAEB-4563-BCA4-A0405A5F6913}"/>
    <hyperlink ref="A77" location="'5-流动负债汇总'!A1" display="5-流动负债汇总" xr:uid="{453C0C92-1AD9-44D0-A77E-B48D9B9C0DA8}"/>
    <hyperlink ref="A78" location="'5-1短期借款'!Print_Titles" display="5-1短期借款" xr:uid="{A7419957-DAC3-47C5-9483-8C5DF65FE63A}"/>
    <hyperlink ref="A79" location="'5-2交易性金融负债'!Print_Titles" display="5-2交易性金融负债" xr:uid="{91FA6D70-37A2-451D-AF34-B7A72566D003}"/>
    <hyperlink ref="A81" location="'5-4应付票据'!Print_Titles" display="5-4应付票据" xr:uid="{DB5F6A6F-264A-4846-A526-7B1808826021}"/>
    <hyperlink ref="A82" location="'5-5应付账款'!Print_Titles" display="5-5应付账款" xr:uid="{4471FE09-1300-47F6-869D-70123AB07817}"/>
    <hyperlink ref="A83" location="'5-6预收账款'!Print_Titles" display="5-6预收账款" xr:uid="{4EE526BF-1B86-44F2-957F-3031D7E11B7A}"/>
    <hyperlink ref="A85" location="'5-8职工薪酬'!Print_Area" display="5-8职工薪酬" xr:uid="{32D5DB62-AC18-4125-8953-171B50B2D29E}"/>
    <hyperlink ref="A86" location="'5-9应交税费'!Print_Area" display="5-9应交税费" xr:uid="{6657B7E7-65D9-4797-94F7-A70FC9D63D09}"/>
    <hyperlink ref="A87" location="'5-10应付利息'!Print_Titles" display="5-10应付利息" xr:uid="{1B7979EA-4A26-4EBD-9DFD-9DD307FC74C4}"/>
    <hyperlink ref="A88" location="'5-11应付股利（利润）'!Print_Titles" display="5-11应付股利（利润）" xr:uid="{34C69464-E193-4A39-B4C0-B4119AB30A11}"/>
    <hyperlink ref="A89" location="'5-12其他应付款'!Print_Titles" display="5-12其他应付款" xr:uid="{2956C4DD-C985-4424-A791-B095C1F37CC6}"/>
    <hyperlink ref="A91" location="'5-14一年到期非流动负债'!Print_Area" display="5-14一年到期非流动负债" xr:uid="{4503BD0F-BAB0-4977-AAC5-ABAE1F6C644D}"/>
    <hyperlink ref="A92" location="'5-15其他流动负债'!Print_Area" display="5-15其他流动负债" xr:uid="{5F1FAEDD-3ACC-4F94-917C-9240A86508C4}"/>
    <hyperlink ref="A93" location="'6-非流动负债汇总 '!A1" display="6-非流动负债汇总 " xr:uid="{B7FB6B20-9543-4795-8B4B-8144B99AFA0E}"/>
    <hyperlink ref="A94" location="'6-1长期借款'!A1" display="6-1长期借款" xr:uid="{F35FBE58-C57E-4914-A020-EC8187E6D106}"/>
    <hyperlink ref="A95" location="'6-2应付债券'!A1" display="6-2应付债券" xr:uid="{8D5D5EB6-CC02-4D00-9A0B-4E0DF55B8738}"/>
    <hyperlink ref="A97" location="'6-4长期应付款'!Print_Area" display="6-4长期应付款" xr:uid="{99B07240-5BF8-43B0-8A7B-CD16C902073A}"/>
    <hyperlink ref="A98" location="'6-5专项应付款'!Print_Area" display="6-5专项应付款" xr:uid="{A7BE9BC2-E34E-42F7-85EB-E85C6451EF68}"/>
    <hyperlink ref="A99" location="'6-6预计负债'!Print_Area" display="6-6预计负债" xr:uid="{7ECB5007-4637-48B5-8FD2-E506EB03FD69}"/>
    <hyperlink ref="A100" location="'6-7递延所得税负债'!Print_Area" display="6-7递延所得税负债" xr:uid="{CFAE9D27-6593-4D84-AFBF-12D284831C57}"/>
    <hyperlink ref="A101" location="'6-8其他非流动负债'!Print_Area" display="6-8其他非流动负债" xr:uid="{D95B1AA5-8089-4593-B8D7-D6B485B46107}"/>
    <hyperlink ref="A38" location="'4-非流动资产汇总'!Print_Area" display="4-非流动资产汇总" xr:uid="{39D64587-50DA-4103-801E-A4A59BFC3420}"/>
    <hyperlink ref="I9" location="'3-1-1现金'!Print_Area" display="'3-1-1现金'!Print_Area" xr:uid="{630787D8-DEF5-41DC-8C12-803D4B466B32}"/>
    <hyperlink ref="I5" location="'1-汇总表'!Print_Area" display="_1_汇总表" xr:uid="{C62A106C-D97F-4701-8C77-1E3C2D42427D}"/>
    <hyperlink ref="I6" location="'2-分类汇总'!Print_Area" display="'2-分类汇总'!Print_Area" xr:uid="{57F3D54E-FDF7-4F8C-ACA4-B6F0DD02E250}"/>
    <hyperlink ref="I10" location="'3-1-2银行存款'!Print_Area" display="'3-1-2银行存款'!Print_Area" xr:uid="{A45F7DF2-CE65-476A-B9F7-C08C0BD74679}"/>
    <hyperlink ref="I11" location="'3-1-3其他货币资金'!Print_Area" display="'3-1-3其他货币资金'!Print_Area" xr:uid="{91C64AF1-BBDC-4CCB-BB13-E63B7EB4B9FC}"/>
    <hyperlink ref="I12" location="'3-2交易性金融资产汇总'!Print_Area" display="'3-2交易性金融资产汇总'!Print_Area" xr:uid="{AD75A2B0-CFC9-45BB-9BC5-8B14DBEA7A3F}"/>
    <hyperlink ref="I13" location="'3-2-1交易性-股票'!Print_Area" display="'3-2-1交易性-股票'!Print_Area" xr:uid="{2162880F-155F-4487-A788-5176C6A938EA}"/>
    <hyperlink ref="I14" location="'3-2-2交易性-债券'!Print_Area" display="'3-2-2交易性-债券'!Print_Area" xr:uid="{E83DE07F-303A-4B93-9992-E8BA0AD7F0C8}"/>
    <hyperlink ref="I15" location="'3-2-3交易性-基金'!Print_Area" display="'3-2-3交易性-基金'!Print_Area" xr:uid="{40207056-E401-49AB-8D3E-59286E18530C}"/>
    <hyperlink ref="I18" location="'3-4应收票据'!Print_Area" display="3-3应收票据'!Print_Area" xr:uid="{7E3E67E2-DA27-4C58-85CA-B1E1A9DC9417}"/>
    <hyperlink ref="I19" location="'3-5应收账款'!Print_Area" display="3-5应收账款'!Print_Area" xr:uid="{625257AC-920D-406E-86D9-31C6373AE3DA}"/>
    <hyperlink ref="I21" location="'3-7预付账款'!Print_Area" display="3-5预付账款'!Print_Area" xr:uid="{3732CE72-5BE9-4269-B404-8EA38FB4251C}"/>
    <hyperlink ref="I22" location="'3-8应收利息'!Print_Area" display="3-6应收利息'!Print_Area" xr:uid="{7556B9E1-E2F1-447A-8A20-71A8D694BE16}"/>
    <hyperlink ref="I23" location="'3-9应收股利'!Print_Area" display="3-7应收股利'!Print_Area" xr:uid="{E370F411-25D5-4E58-B5E5-986626CD594B}"/>
    <hyperlink ref="I24" location="'3-10其他应收款'!Print_Area" display="'3-10其他应收款'!Print_Area" xr:uid="{DB73F95D-4726-40E8-AA35-AF0BA795BE11}"/>
    <hyperlink ref="I25" location="'3-11存货汇总'!Print_Area" display="3-9存货汇总'!Print_Area" xr:uid="{82307297-1A9F-4ECB-A4A4-273BF6BE4BC5}"/>
    <hyperlink ref="I26" location="'3-11-1材料采购（在途物资）'!Print_Area" display="3-9-1材料采购（在途物资）'!Print_Area" xr:uid="{40509EBD-CC0B-4423-8550-F1FF7008C4B4}"/>
    <hyperlink ref="I27" location="'3-9-2原材料'!Print_Area" display="'3-9-2原材料'!Print_Area" xr:uid="{EE3143B3-667A-40E7-8D2D-98BECEDE2DCC}"/>
    <hyperlink ref="I28" location="'3-11-3在库周转材料'!Print_Area" display="3-11-3在库周转材料'!Print_Area" xr:uid="{4083581B-1C9C-4786-BC22-458B7C043DCE}"/>
    <hyperlink ref="I29" location="'3-11-4委托加工物资'!Print_Area" display="3-11-4委托加工物资'!Print_Area" xr:uid="{D449F1D9-14B8-460E-82A4-F4230315D8E5}"/>
    <hyperlink ref="I30" location="'3-11-5产成品（库存商品）'!Print_Area" display="3-11-5在产品（自制半成品）'!Print_Area" xr:uid="{DACB1F69-DC1F-410E-8713-14BE8B5F6C9C}"/>
    <hyperlink ref="I31" location="'3-11-6在产品（自制半成品）'!Print_Area" display="3-11-6在产品（自制半成品）'!Print_Area" xr:uid="{44E39317-9060-4600-A7D4-957A2D2CE3CF}"/>
    <hyperlink ref="I7" location="'3-流动汇总'!Print_Area" display="'3-流动汇总'!Print_Area" xr:uid="{B2773A46-41C9-400D-A659-0C89AC40A060}"/>
    <hyperlink ref="I8" location="'表3-1货币汇总表'!Print_Area" display="'表3-1货币汇总表'!Print_Area" xr:uid="{1D96123A-AF2A-45CD-A57C-D2D15F6F33F8}"/>
    <hyperlink ref="I32" location="'3-11-7发出商品'!Print_Area" display="3-11-7发出商品'!Print_Area" xr:uid="{FD7BDB04-BEBD-4048-A040-9DE25FCB0C79}"/>
    <hyperlink ref="I33" location="'3-11-8在用周转材料'!Print_Area" display="3-11-8在用周转材料'!Print_Area" xr:uid="{63C39C76-367C-4689-B5E0-3E80D7711968}"/>
    <hyperlink ref="I36" location="'3-14一年到期非流动资产'!Print_Titles" display="’3-14一年到期非流动资产'!Print_Area" xr:uid="{34E1A837-C528-4A3D-AE31-9CA7C0879398}"/>
    <hyperlink ref="I37" location="'3-15其他流动资产'!Print_Titles" display="‘3-15其他流动资产'!Print_Area" xr:uid="{38AECE05-D7FC-4872-A414-6A64B21F77E7}"/>
    <hyperlink ref="I38" location="'4-非流动资产汇总'!Print_Area" display="'4-非流动资产汇总'!Print_Area" xr:uid="{F7F7541A-F782-474D-9562-6AD4F7C085BF}"/>
    <hyperlink ref="I39" location="'4-1可供出售金融资产汇总'!Print_Area" display="'4-1可供出售金融资产汇总'!Print_Area" xr:uid="{19CD3404-76B3-4A84-9E87-BE1469505009}"/>
    <hyperlink ref="I40" location="'4-1-1可出售-股票'!Print_Area" display="'4-1-1可出售-股票'!Print_Area" xr:uid="{E1EC7896-D34A-4F09-8E6A-A2EED21C0342}"/>
    <hyperlink ref="I41" location="'4-1-2可出售-债券'!Print_Area" display="'4-1-2可出售-债券'!Print_Area" xr:uid="{0654ED00-5C44-4375-B20D-208F6E5D3FB8}"/>
    <hyperlink ref="I42" location="'4-1-3可出售-其他'!Print_Area" display="'4-1-3可出售-其他'!Print_Area" xr:uid="{9A8FCA73-E805-488C-AAE9-C8B5D812FA0D}"/>
    <hyperlink ref="I43" location="'4-2持有到期投资'!Print_Titles" display="4-2持有至到期投资'!Print_Area" xr:uid="{DBED3AA1-1039-4A30-A870-5F5C17838CA6}"/>
    <hyperlink ref="I44" location="'4-3长期应收'!Print_Area" display="'4-3长期应收'!Print_Area" xr:uid="{13A2D17F-D9A5-4933-B9FD-B8F01C33B65B}"/>
    <hyperlink ref="I45" location="'4-4股权投资'!Print_Area" display="'4-4股权投资'!Print_Area" xr:uid="{62472768-B7A1-4E03-A6B8-702DA816416B}"/>
    <hyperlink ref="I48" location="'4-7-1投资性房地产'!Print_Area" display="4-7-1投资性房地产'!Print_Titles" xr:uid="{D8C0A723-0C86-47D4-8003-D0583A61E14C}"/>
    <hyperlink ref="I49" location="'4-7-2投资性房地产'!Print_Area" display="4-7-2投资性房地产'!Print_Area" xr:uid="{F1577333-BD84-426A-A8EF-EFE21CE4091E}"/>
    <hyperlink ref="I50" location="'4-7-3投资性地产'!Print_Area" display="4-7-3投资性地产'!Print_Area" xr:uid="{2E2BD6A6-064C-4BFA-B9CB-657491E16440}"/>
    <hyperlink ref="I51" location="'4-7-4投资性地产'!Print_Area" display="4-7-4投资性地产'!Print_Area" xr:uid="{5CBF0CF1-9FC1-4A81-95BE-A55BD900AFED}"/>
    <hyperlink ref="I52" location="'4-8固定资产汇总'!Print_Area" display="4-6固定资产汇总'!Print_Area" xr:uid="{84D07994-88CC-490E-A2B6-119E75EF1590}"/>
    <hyperlink ref="I53" location="'4-8-1房屋建筑物'!Print_Area" display="‘4-8-1房屋建筑物'!Print_Area" xr:uid="{943E7FD6-EBC3-43CB-AE55-ED9E22F4B4AD}"/>
    <hyperlink ref="I54" location="'4-8-2构筑物'!Print_Area" display="’4-8-2构筑物'!Print_Area" xr:uid="{72DB4E3B-57AA-4975-8768-574C8AFBA969}"/>
    <hyperlink ref="I55" location="'4-8-3管道沟槽'!Print_Area" display="‘4-8-3管道沟槽'!Print_Area" xr:uid="{2AD2A10A-D71C-4367-9E7F-71C39BE32939}"/>
    <hyperlink ref="I56" location="'4-8-4机器设备'!Print_Area" display="’4-8-4机器设备'!Print_Area" xr:uid="{163B8071-5D15-4E6C-91B4-DC8A837CE290}"/>
    <hyperlink ref="I57" location="'4-8-5车辆'!Print_Area" display="’4-8-5车辆'!Print_Area" xr:uid="{D1BE91CC-2E5F-4DF7-858C-E26CBCBAFFA5}"/>
    <hyperlink ref="I58" location="'4-8-6电子设备'!Print_Area" display="‘4-8-6电子设备'!Print_Area" xr:uid="{30D40B62-9079-4037-AF6F-A77A690A9654}"/>
    <hyperlink ref="I59" location="'4-8-7土地'!Print_Area" display="’4-8-7土地'!Print_Area" xr:uid="{28F5F7E4-392B-4E5B-9177-789F41826748}"/>
    <hyperlink ref="I60" location="'4-9在建工程汇总'!Print_Area" display="4-7在建工程汇总'!Print_Area" xr:uid="{C22FB690-10E1-44CF-A571-3CD34BC455D7}"/>
    <hyperlink ref="I61" location="'4-9-1在建（土建）'!Print_Area" display="4-7-1在建（土建）'!Print_Area" xr:uid="{3389EA0E-1176-4A1D-86DC-02DE143ABE2C}"/>
    <hyperlink ref="I62" location="'4-9-2在建（设备）'!Print_Area" display="4-7-2在建（设备）'!Print_Area" xr:uid="{D199CDC5-16A2-4654-A230-99A0842840E5}"/>
    <hyperlink ref="I63" location="'4-10工程物资'!Print_Titles" display="4-8工程物资'!Print_Area" xr:uid="{A54FC4EE-9C90-4568-9D54-C9A458FE1DBD}"/>
    <hyperlink ref="I64" location="'4-11固定资产清理'!Print_Titles" display="4-9固定资产清理'!Print_Area" xr:uid="{22D3083D-1176-4533-949B-95AA60FD13F6}"/>
    <hyperlink ref="I65" location="'4-12生产性生物资产'!Print_Titles" display="4-10生产性生物资产'!Print_Area" xr:uid="{4A64DD17-CE4F-4834-946A-A41600F4998D}"/>
    <hyperlink ref="I66" location="'4-13油气资产'!Print_Titles" display="4-11油气资产'!Print_Area" xr:uid="{8A01EEFE-6C1F-4EBF-8D0E-D8C1E719CC34}"/>
    <hyperlink ref="I68" location="'4-15无形资产汇总'!Print_Area" display="4-14无形资产汇总'!Print_Area" xr:uid="{8F5BC2ED-9362-4193-B805-F1D2E735B95A}"/>
    <hyperlink ref="I69" location="'4-15-1无形-土地'!Print_Area" display="4-14-1无形-土地'!Print_Area" xr:uid="{FE232CBB-78C5-4B3D-8797-9D21152989DE}"/>
    <hyperlink ref="I70" location="'4-15-2无形-矿业权'!Print_Area" display="4-14-2无形-矿业权'!Print_Area" xr:uid="{48B2F151-B399-4611-A446-36C62C63E117}"/>
    <hyperlink ref="I71" location="'4-15-3无形-其他'!Print_Area" display="4-14-3无形-其他'!Print_Area" xr:uid="{AFC5DBE6-47FB-478D-BD1E-4A56368DB401}"/>
    <hyperlink ref="I72" location="'4-16开发支出'!Print_Area" display="4-15开发支出'!Print_Area" xr:uid="{9F45E15B-A90D-4905-AA9F-B7FB5C80D8D8}"/>
    <hyperlink ref="I73" location="'4-17商誉'!Print_Area" display="4-16商誉'!Print_Area" xr:uid="{F5E59CFC-80ED-432B-BFD9-F7F629A1A289}"/>
    <hyperlink ref="I74" location="'4-18长期待摊费用'!Print_Area" display="4-17长期待摊费用'!Print_Area" xr:uid="{03857558-AFBD-48F0-8857-54EC3F91D847}"/>
    <hyperlink ref="I75" location="'4-19递延所得税资产'!Print_Area" display="4-18递延所得税资产'!Print_Area" xr:uid="{C5673DF4-0DD4-4E0C-AF09-24CFCFC61BA5}"/>
    <hyperlink ref="I76" location="'4-20其他非流动资产'!Print_Area" display="4-19其他非流动资产'!Print_Area" xr:uid="{11BA1FE2-4F42-4585-9E71-629B218C6E3F}"/>
    <hyperlink ref="I77" location="'5-流动负债汇总'!Print_Area" display="'5-流动负债汇总'!Print_Area" xr:uid="{8BBB648D-F0D2-4C5F-B0FE-B8945E2C6A05}"/>
    <hyperlink ref="I78" location="'5-1短期借款'!Print_Area" display="'5-1短期借款'!Print_Area" xr:uid="{A8997AB8-0E0D-455A-B3FE-79CD94911C1E}"/>
    <hyperlink ref="I79" location="'5-2交易性金融负债'!Print_Area" display="'5-2交易性金融负债'!Print_Area" xr:uid="{87AC6D26-C222-4EFE-AFCF-BB467E3A3963}"/>
    <hyperlink ref="I81" location="'5-4应付票据'!Print_Area" display="5-3应付票据'!Print_Area" xr:uid="{6ED26007-F2D4-409D-8DDA-35AF44D8F5E2}"/>
    <hyperlink ref="I82" location="'5-5应付账款'!Print_Area" display="5-4应付账款'!Print_Area" xr:uid="{98E65289-3663-4FFD-A176-17C1860F4B55}"/>
    <hyperlink ref="I83" location="'5-6预收账款'!Print_Area" display="5-5预收账款'!Print_Area" xr:uid="{17AC492F-2D9A-4D7D-9C37-4AD752A5F41A}"/>
    <hyperlink ref="I85" location="'5-8职工薪酬'!Print_Area" display="5-6职工薪酬'!Print_Area" xr:uid="{F0F4C232-766D-47E1-A126-3A7FF6FB383F}"/>
    <hyperlink ref="I86" location="'5-9应交税费'!Print_Area" display="5-7应交税费'!Print_Area" xr:uid="{43692818-6329-447D-B97C-E720BBF60A18}"/>
    <hyperlink ref="I87" location="'5-10应付利息'!Print_Titles" display="5-8应付利息'!Print_Area" xr:uid="{80DD819C-3DC1-4658-BD82-83B44937B6B5}"/>
    <hyperlink ref="I88" location="'5-11应付股利（利润）'!Print_Titles" display="5-9应付股利（利润）'!Print_Area" xr:uid="{0555B754-759C-436C-9ED3-975CBC4E2F9E}"/>
    <hyperlink ref="I89" location="'5-12其他应付款'!Print_Titles" display="5-10其他应付款'!Print_Area" xr:uid="{F5A7C69A-F004-4EA9-9A60-BCD700E5A199}"/>
    <hyperlink ref="I91" location="'5-14一年到期非流动负债'!Print_Titles" display="‘5-14一年到期非流动负债'!Print_Area" xr:uid="{7C55EF4B-83B4-4368-AC64-11C1F00AD746}"/>
    <hyperlink ref="I93" location="'6-非流动负债汇总 '!Print_Area" display="'6-非流动负债汇总 '!Print_Area" xr:uid="{99AC4C0A-D583-46BE-9422-311E3A1BB644}"/>
    <hyperlink ref="I94" location="'6-1长期借款'!Print_Area" display="'6-1长期借款'!Print_Area" xr:uid="{A911EB5F-F3C8-4B18-9EF8-740113FFB686}"/>
    <hyperlink ref="I97" location="'6-4长期应付款'!Print_Titles" display="6-4长期应付款'!Print_Area" xr:uid="{D14DAECB-ACD4-40D4-8750-22D716D6FFD6}"/>
    <hyperlink ref="I98" location="'6-5专项应付款'!Print_Titles" display="6-5专项应付款'!Print_Area" xr:uid="{2A58DE69-21B2-45A7-B8B7-7912FC14E032}"/>
    <hyperlink ref="I99" location="'6-6预计负债'!Print_Titles" display="6-6预计负债'!Print_Area" xr:uid="{C468DA07-59EF-42AB-A782-A4200D8D4603}"/>
    <hyperlink ref="I100" location="'6-7递延所得税负债'!Print_Titles" display="6-7递延所得税负债'!Print_Area" xr:uid="{1D400A5C-C516-43C4-9A8F-E3A92158259E}"/>
    <hyperlink ref="I101" location="'6-8其他非流动负债'!Print_Titles" display="6-8其他非流动负债'!Print_Titles" xr:uid="{30D96DDF-653F-4C4E-8EF7-713972468B5C}"/>
    <hyperlink ref="I34" location="'3-12合同资产'!Print_Area" display="'3-12合同资产'!Print_Area" xr:uid="{12712879-C919-49CD-9A89-E67902E87C6F}"/>
    <hyperlink ref="I84" location="'5-7合同负债'!Print_Area" display="'5-7合同负债'!Print_Area" xr:uid="{CF91298F-CA88-4827-A4CD-A797F390C7A1}"/>
    <hyperlink ref="I92" location="'5-15其他流动负债'!Print_Area" display="5-15其他流动负债'!Print_Area" xr:uid="{4DCEB2F3-6D9B-4D1B-A89F-B011494E3DEF}"/>
    <hyperlink ref="I95" location="'6-2应付债券'!Print_Titles" display="‘6-2应付债券'!Print_Area" xr:uid="{40BE44B3-17CD-451E-8DE5-3E087C96194C}"/>
    <hyperlink ref="I17" location="'3-3衍生金融资产'!Print_Area" display="3-3衍生金融资产'!Print_Area" xr:uid="{8F436BF5-B478-409C-B9C9-59F624FF7159}"/>
    <hyperlink ref="I80" location="'5-3衍生金融负债'!Print_Area" display="'5-3衍生金融负债'!Print_Area" xr:uid="{2C21B8F4-5A04-4A45-AB2A-8324336EF0E8}"/>
    <hyperlink ref="I46" location="'4-5其他权益工具投资'!Print_Area" display="'4-5其他权益工具投资'!Print_Area" xr:uid="{303805E8-00A6-496D-930F-B6A0A41173F4}"/>
    <hyperlink ref="I47" location="'4-6其他非流动金融资产'!Print_Area" display="'4-6其他非流动金融资产'!Print_Area" xr:uid="{45D27B94-38A9-41BA-9B7E-991FEB92AA5C}"/>
    <hyperlink ref="I35" location="'3-13持有待售资产'!Print_Titles" display="'3-13持有待售资产'!Print_Titles" xr:uid="{71CEFEDF-9AB6-4AA6-9A6F-F68F80D47E88}"/>
    <hyperlink ref="I20" location="'3-6应收款项融资'!Print_Area" display="'3-6应收款项融资'!Print_Area" xr:uid="{ECE2A98E-3D34-4F28-A924-F68B17443EEC}"/>
    <hyperlink ref="I90" location="'5-13持有待售负债'!Print_Titles" display="'5-13持有待售负债'!Print_Titles" xr:uid="{6460A2A8-45D4-4EF4-ACA2-98C935BA9653}"/>
    <hyperlink ref="I96" location="'6-3租赁负债'!Print_Titles" display="'6-3租赁负债'!Print_Titles" xr:uid="{972F66C9-4FF3-40DD-A9E1-E98C94B22D1F}"/>
    <hyperlink ref="A20" location="'3-6应收款项融资'!Print_Area" display="3-6应收款项融资" xr:uid="{1DEFBDBB-E790-40CA-9799-22E6CD8E362E}"/>
    <hyperlink ref="A34" location="'3-12合同资产'!Print_Titles" display="3-12合同资产" xr:uid="{9102961B-DC43-4C35-8B2B-08B464AB428F}"/>
    <hyperlink ref="A35" location="'3-13持有待售资产'!Print_Titles" display="3-13持有待售资产" xr:uid="{0D0E26ED-9DB1-44B1-9ABB-42128A0A4446}"/>
    <hyperlink ref="A46" location="'4-5其他权益工具投资'!Print_Area" display="4-5其他权益工具投资" xr:uid="{E8DBBEC5-92C9-4943-9DC8-6EE072B31BB5}"/>
    <hyperlink ref="A47" location="'4-6其他非流动金融资产'!Print_Area" display="4-6其他非流动金融资产" xr:uid="{0AC7CFDB-6641-4CD2-B9EF-F9AC4A157EAD}"/>
    <hyperlink ref="A80" location="'5-3衍生金融负债'!Print_Titles" display="5-3衍生金融负债" xr:uid="{F8CDA2F2-AE51-4ADB-BB9A-0172E8D98573}"/>
    <hyperlink ref="A84" location="'5-7合同负债'!Print_Titles" display="5-7合同负债" xr:uid="{0FDF2FC0-004B-4E94-BF1E-FEED485E5012}"/>
    <hyperlink ref="A90" location="'5-13持有待售负债'!Print_Titles" display="5-13持有待售负债" xr:uid="{F2A4D77E-BF73-4E17-9C30-4B786BFE08CE}"/>
    <hyperlink ref="A96" location="'6-3租赁负债'!Print_Area" display="6-3租赁负债" xr:uid="{8EC3FB11-514E-4197-A3E1-86B343971A7E}"/>
    <hyperlink ref="I67" location="'4-14使用权资产'!Print_Area" display="'4-14使用权资产'!Print_Area" xr:uid="{37E2B77D-5D0D-4AE3-9904-557972E00854}"/>
    <hyperlink ref="I16" location="'3-2-4交易性-其他'!A1" display="'3-2-4交易性-其他'!A1" xr:uid="{55DFE203-71E5-475D-A7FC-6C55BE465327}"/>
    <hyperlink ref="A16" location="'3-2-4交易性-其他'!A1" display="3-2-3交易性-其他" xr:uid="{477B17F3-F8E6-4D3A-A256-A2D93B020E4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Sheet2.SelectTable">
                <anchor moveWithCells="1" sizeWithCells="1">
                  <from>
                    <xdr:col>0</xdr:col>
                    <xdr:colOff>152400</xdr:colOff>
                    <xdr:row>1</xdr:row>
                    <xdr:rowOff>63500</xdr:rowOff>
                  </from>
                  <to>
                    <xdr:col>0</xdr:col>
                    <xdr:colOff>1054100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heet2.SelectAllTable">
                <anchor moveWithCells="1" sizeWithCells="1">
                  <from>
                    <xdr:col>0</xdr:col>
                    <xdr:colOff>1193800</xdr:colOff>
                    <xdr:row>1</xdr:row>
                    <xdr:rowOff>63500</xdr:rowOff>
                  </from>
                  <to>
                    <xdr:col>1</xdr:col>
                    <xdr:colOff>431800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6" name="Button 53">
              <controlPr defaultSize="0" print="0" autoFill="0" autoPict="0" macro="[0]!btnPrintSet">
                <anchor moveWithCells="1" sizeWithCells="1">
                  <from>
                    <xdr:col>1</xdr:col>
                    <xdr:colOff>622300</xdr:colOff>
                    <xdr:row>1</xdr:row>
                    <xdr:rowOff>63500</xdr:rowOff>
                  </from>
                  <to>
                    <xdr:col>3</xdr:col>
                    <xdr:colOff>241300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897DB-7421-4081-A031-E5B5629923AD}">
  <sheetPr codeName="Sheet7">
    <pageSetUpPr fitToPage="1"/>
  </sheetPr>
  <dimension ref="A1:F35"/>
  <sheetViews>
    <sheetView showZeros="0" zoomScaleNormal="100" zoomScaleSheetLayoutView="100" workbookViewId="0">
      <selection activeCell="C32" sqref="C32"/>
    </sheetView>
  </sheetViews>
  <sheetFormatPr baseColWidth="10" defaultColWidth="9" defaultRowHeight="15.75" customHeight="1"/>
  <cols>
    <col min="1" max="1" width="5.5" style="81" customWidth="1"/>
    <col min="2" max="2" width="32.6640625" style="81" customWidth="1"/>
    <col min="3" max="3" width="22.5" style="81" customWidth="1"/>
    <col min="4" max="4" width="21.6640625" style="81" customWidth="1"/>
    <col min="5" max="5" width="19.1640625" style="81" customWidth="1"/>
    <col min="6" max="6" width="16.1640625" style="81" customWidth="1"/>
    <col min="7" max="16384" width="9" style="81"/>
  </cols>
  <sheetData>
    <row r="1" spans="1:6" ht="24" customHeight="1">
      <c r="A1" s="374" t="s">
        <v>543</v>
      </c>
      <c r="B1" s="374"/>
      <c r="C1" s="375"/>
      <c r="D1" s="375"/>
      <c r="E1" s="375"/>
      <c r="F1" s="375"/>
    </row>
    <row r="2" spans="1:6" s="95" customFormat="1" ht="15.75" customHeight="1">
      <c r="A2" s="112"/>
      <c r="B2" s="112"/>
      <c r="C2" s="113" t="s">
        <v>461</v>
      </c>
      <c r="D2" s="262" t="str">
        <f>参数设置!K7 &amp; "年" &amp; 参数设置!M7 &amp; "月" &amp;参数设置!O7 &amp; "日"</f>
        <v>2024年12月31日</v>
      </c>
      <c r="E2" s="112"/>
      <c r="F2" s="114"/>
    </row>
    <row r="3" spans="1:6" s="95" customFormat="1" ht="14.25" customHeight="1">
      <c r="A3" s="115"/>
      <c r="B3" s="115"/>
      <c r="C3" s="115"/>
      <c r="D3" s="115"/>
      <c r="E3" s="115"/>
      <c r="F3" s="116" t="s">
        <v>512</v>
      </c>
    </row>
    <row r="4" spans="1:6" s="95" customFormat="1" ht="14.25" customHeight="1">
      <c r="A4" s="263" t="s">
        <v>957</v>
      </c>
      <c r="B4" s="117"/>
      <c r="C4" s="118"/>
      <c r="D4" s="118"/>
      <c r="E4" s="118"/>
      <c r="F4" s="119" t="s">
        <v>4</v>
      </c>
    </row>
    <row r="5" spans="1:6" s="96" customFormat="1" ht="12.5" customHeight="1">
      <c r="A5" s="409" t="s">
        <v>511</v>
      </c>
      <c r="B5" s="409"/>
      <c r="C5" s="120" t="s">
        <v>117</v>
      </c>
      <c r="D5" s="120" t="s">
        <v>0</v>
      </c>
      <c r="E5" s="120" t="s">
        <v>1</v>
      </c>
      <c r="F5" s="120" t="s">
        <v>479</v>
      </c>
    </row>
    <row r="6" spans="1:6" s="96" customFormat="1" ht="10.5" customHeight="1">
      <c r="A6" s="410"/>
      <c r="B6" s="410"/>
      <c r="C6" s="121" t="s">
        <v>2</v>
      </c>
      <c r="D6" s="121" t="s">
        <v>3</v>
      </c>
      <c r="E6" s="121" t="s">
        <v>488</v>
      </c>
      <c r="F6" s="121" t="s">
        <v>489</v>
      </c>
    </row>
    <row r="7" spans="1:6" s="95" customFormat="1" ht="14.75" customHeight="1">
      <c r="A7" s="226">
        <v>1</v>
      </c>
      <c r="B7" s="229" t="s">
        <v>490</v>
      </c>
      <c r="C7" s="29">
        <f ca="1">IF(ISERROR(ROUND('2-分类汇总'!C6/10000,2)),"",IF(ROUND('2-分类汇总'!C6/10000,2)=0,"",ROUND('2-分类汇总'!C6/10000,2)))</f>
        <v>3943.1</v>
      </c>
      <c r="D7" s="29">
        <f ca="1">IF(ISERROR(ROUND('2-分类汇总'!D6/10000,2)),"",IF(ROUND('2-分类汇总'!D6/10000,2)=0,"",ROUND('2-分类汇总'!D6/10000,2)))</f>
        <v>3943.1</v>
      </c>
      <c r="E7" s="29" t="str">
        <f ca="1">IF(ISERROR(ROUND('2-分类汇总'!E6/10000,2)),"",IF(ROUND('2-分类汇总'!E6/10000,2)=0,"",ROUND('2-分类汇总'!E6/10000,2)))</f>
        <v/>
      </c>
      <c r="F7" s="334" t="str">
        <f ca="1">IF(ISERROR(ROUND('2-分类汇总'!F6,2)),"",IF(ROUND('2-分类汇总'!F6,2)=0,"",ROUND('2-分类汇总'!F6,2)))</f>
        <v/>
      </c>
    </row>
    <row r="8" spans="1:6" s="95" customFormat="1" ht="14.75" customHeight="1">
      <c r="A8" s="226">
        <v>2</v>
      </c>
      <c r="B8" s="229" t="s">
        <v>281</v>
      </c>
      <c r="C8" s="29" t="str">
        <f ca="1">IF(ISERROR(ROUND('2-分类汇总'!C22/10000,2)),"",IF(ROUND('2-分类汇总'!C22/10000,2)=0,"",ROUND('2-分类汇总'!C22/10000,2)))</f>
        <v/>
      </c>
      <c r="D8" s="29" t="str">
        <f ca="1">IF(ISERROR(ROUND('2-分类汇总'!D22/10000,2)),"",IF(ROUND('2-分类汇总'!D22/10000,2)=0,"",ROUND('2-分类汇总'!D22/10000,2)))</f>
        <v/>
      </c>
      <c r="E8" s="29" t="str">
        <f ca="1">IF(ISERROR(ROUND('2-分类汇总'!E22/10000,2)),"",IF(ROUND('2-分类汇总'!E22/10000,2)=0,"",ROUND('2-分类汇总'!E22/10000,2)))</f>
        <v/>
      </c>
      <c r="F8" s="334" t="str">
        <f ca="1">IF(ISERROR(ROUND('2-分类汇总'!F22,2)),"",IF(ROUND('2-分类汇总'!F22,2)=0,"",ROUND('2-分类汇总'!F22,2)))</f>
        <v/>
      </c>
    </row>
    <row r="9" spans="1:6" s="95" customFormat="1" ht="14.75" customHeight="1">
      <c r="A9" s="99">
        <v>3</v>
      </c>
      <c r="B9" s="100" t="s">
        <v>491</v>
      </c>
      <c r="C9" s="29" t="str">
        <f ca="1">IF(ISERROR(ROUND('2-分类汇总'!C23/10000,2)),"",IF(ROUND('2-分类汇总'!C23/10000,2)=0,"",ROUND('2-分类汇总'!C23/10000,2)))</f>
        <v/>
      </c>
      <c r="D9" s="29" t="str">
        <f ca="1">IF(ISERROR(ROUND('2-分类汇总'!D23/10000,2)),"",IF(ROUND('2-分类汇总'!D23/10000,2)=0,"",ROUND('2-分类汇总'!D23/10000,2)))</f>
        <v/>
      </c>
      <c r="E9" s="29" t="str">
        <f ca="1">IF(ISERROR(ROUND('2-分类汇总'!E23/10000,2)),"",IF(ROUND('2-分类汇总'!E23/10000,2)=0,"",ROUND('2-分类汇总'!E23/10000,2)))</f>
        <v/>
      </c>
      <c r="F9" s="334" t="str">
        <f ca="1">IF(ISERROR(ROUND('2-分类汇总'!F23,2)),"",IF(ROUND('2-分类汇总'!F23,2)=0,"",ROUND('2-分类汇总'!F23,2)))</f>
        <v/>
      </c>
    </row>
    <row r="10" spans="1:6" s="95" customFormat="1" ht="14.75" customHeight="1">
      <c r="A10" s="99">
        <v>4</v>
      </c>
      <c r="B10" s="100" t="s">
        <v>492</v>
      </c>
      <c r="C10" s="29" t="str">
        <f ca="1">IF(ISERROR(ROUND('2-分类汇总'!C24/10000,2)),"",IF(ROUND('2-分类汇总'!C24/10000,2)=0,"",ROUND('2-分类汇总'!C24/10000,2)))</f>
        <v/>
      </c>
      <c r="D10" s="29" t="str">
        <f ca="1">IF(ISERROR(ROUND('2-分类汇总'!D24/10000,2)),"",IF(ROUND('2-分类汇总'!D24/10000,2)=0,"",ROUND('2-分类汇总'!D24/10000,2)))</f>
        <v/>
      </c>
      <c r="E10" s="29" t="str">
        <f ca="1">IF(ISERROR(ROUND('2-分类汇总'!E24/10000,2)),"",IF(ROUND('2-分类汇总'!E24/10000,2)=0,"",ROUND('2-分类汇总'!E24/10000,2)))</f>
        <v/>
      </c>
      <c r="F10" s="334" t="str">
        <f ca="1">IF(ISERROR(ROUND('2-分类汇总'!F24,2)),"",IF(ROUND('2-分类汇总'!F24,2)=0,"",ROUND('2-分类汇总'!F24,2)))</f>
        <v/>
      </c>
    </row>
    <row r="11" spans="1:6" s="95" customFormat="1" ht="14.75" customHeight="1">
      <c r="A11" s="99">
        <v>5</v>
      </c>
      <c r="B11" s="100" t="s">
        <v>493</v>
      </c>
      <c r="C11" s="29" t="str">
        <f ca="1">IF(ISERROR(ROUND('2-分类汇总'!C25/10000,2)),"",IF(ROUND('2-分类汇总'!C25/10000,2)=0,"",ROUND('2-分类汇总'!C25/10000,2)))</f>
        <v/>
      </c>
      <c r="D11" s="29" t="str">
        <f ca="1">IF(ISERROR(ROUND('2-分类汇总'!D25/10000,2)),"",IF(ROUND('2-分类汇总'!D25/10000,2)=0,"",ROUND('2-分类汇总'!D25/10000,2)))</f>
        <v/>
      </c>
      <c r="E11" s="29" t="str">
        <f ca="1">IF(ISERROR(ROUND('2-分类汇总'!E25/10000,2)),"",IF(ROUND('2-分类汇总'!E25/10000,2)=0,"",ROUND('2-分类汇总'!E25/10000,2)))</f>
        <v/>
      </c>
      <c r="F11" s="334" t="str">
        <f ca="1">IF(ISERROR(ROUND('2-分类汇总'!F25,2)),"",IF(ROUND('2-分类汇总'!F25,2)=0,"",ROUND('2-分类汇总'!F25,2)))</f>
        <v/>
      </c>
    </row>
    <row r="12" spans="1:6" s="95" customFormat="1" ht="14.75" customHeight="1">
      <c r="A12" s="99">
        <v>6</v>
      </c>
      <c r="B12" s="100" t="s">
        <v>494</v>
      </c>
      <c r="C12" s="29" t="str">
        <f ca="1">IF(ISERROR(ROUND('2-分类汇总'!C26/10000,2)),"",IF(ROUND('2-分类汇总'!C26/10000,2)=0,"",ROUND('2-分类汇总'!C26/10000,2)))</f>
        <v/>
      </c>
      <c r="D12" s="29" t="str">
        <f ca="1">IF(ISERROR(ROUND('2-分类汇总'!D26/10000,2)),"",IF(ROUND('2-分类汇总'!D26/10000,2)=0,"",ROUND('2-分类汇总'!D26/10000,2)))</f>
        <v/>
      </c>
      <c r="E12" s="29" t="str">
        <f ca="1">IF(ISERROR(ROUND('2-分类汇总'!E26/10000,2)),"",IF(ROUND('2-分类汇总'!E26/10000,2)=0,"",ROUND('2-分类汇总'!E26/10000,2)))</f>
        <v/>
      </c>
      <c r="F12" s="334" t="str">
        <f ca="1">IF(ISERROR(ROUND('2-分类汇总'!F26,2)),"",IF(ROUND('2-分类汇总'!F26,2)=0,"",ROUND('2-分类汇总'!F26,2)))</f>
        <v/>
      </c>
    </row>
    <row r="13" spans="1:6" s="95" customFormat="1" ht="14.75" customHeight="1">
      <c r="A13" s="99">
        <v>7</v>
      </c>
      <c r="B13" s="100" t="s">
        <v>883</v>
      </c>
      <c r="C13" s="29" t="str">
        <f ca="1">IF(ISERROR(ROUND('2-分类汇总'!C27/10000,2)),"",IF(ROUND('2-分类汇总'!C27/10000,2)=0,"",ROUND('2-分类汇总'!C27/10000,2)))</f>
        <v/>
      </c>
      <c r="D13" s="29" t="str">
        <f ca="1">IF(ISERROR(ROUND('2-分类汇总'!D27/10000,2)),"",IF(ROUND('2-分类汇总'!D27/10000,2)=0,"",ROUND('2-分类汇总'!D27/10000,2)))</f>
        <v/>
      </c>
      <c r="E13" s="29" t="str">
        <f ca="1">IF(ISERROR(ROUND('2-分类汇总'!E27/10000,2)),"",IF(ROUND('2-分类汇总'!E27/10000,2)=0,"",ROUND('2-分类汇总'!E27/10000,2)))</f>
        <v/>
      </c>
      <c r="F13" s="334" t="str">
        <f ca="1">IF(ISERROR(ROUND('2-分类汇总'!F27,2)),"",IF(ROUND('2-分类汇总'!F27,2)=0,"",ROUND('2-分类汇总'!F27,2)))</f>
        <v/>
      </c>
    </row>
    <row r="14" spans="1:6" s="95" customFormat="1" ht="14.75" customHeight="1">
      <c r="A14" s="99">
        <v>8</v>
      </c>
      <c r="B14" s="100" t="s">
        <v>884</v>
      </c>
      <c r="C14" s="29" t="str">
        <f ca="1">IF(ISERROR(ROUND('2-分类汇总'!C28/10000,2)),"",IF(ROUND('2-分类汇总'!C28/10000,2)=0,"",ROUND('2-分类汇总'!C28/10000,2)))</f>
        <v/>
      </c>
      <c r="D14" s="29" t="str">
        <f ca="1">IF(ISERROR(ROUND('2-分类汇总'!D28/10000,2)),"",IF(ROUND('2-分类汇总'!D28/10000,2)=0,"",ROUND('2-分类汇总'!D28/10000,2)))</f>
        <v/>
      </c>
      <c r="E14" s="29" t="str">
        <f ca="1">IF(ISERROR(ROUND('2-分类汇总'!E28/10000,2)),"",IF(ROUND('2-分类汇总'!E28/10000,2)=0,"",ROUND('2-分类汇总'!E28/10000,2)))</f>
        <v/>
      </c>
      <c r="F14" s="334" t="str">
        <f ca="1">IF(ISERROR(ROUND('2-分类汇总'!F28,2)),"",IF(ROUND('2-分类汇总'!F28,2)=0,"",ROUND('2-分类汇总'!F28,2)))</f>
        <v/>
      </c>
    </row>
    <row r="15" spans="1:6" s="95" customFormat="1" ht="14.75" customHeight="1">
      <c r="A15" s="99">
        <v>9</v>
      </c>
      <c r="B15" s="100" t="s">
        <v>495</v>
      </c>
      <c r="C15" s="29" t="str">
        <f ca="1">IF(ISERROR(ROUND('2-分类汇总'!C29/10000,2)),"",IF(ROUND('2-分类汇总'!C29/10000,2)=0,"",ROUND('2-分类汇总'!C29/10000,2)))</f>
        <v/>
      </c>
      <c r="D15" s="29" t="str">
        <f ca="1">IF(ISERROR(ROUND('2-分类汇总'!D29/10000,2)),"",IF(ROUND('2-分类汇总'!D29/10000,2)=0,"",ROUND('2-分类汇总'!D29/10000,2)))</f>
        <v/>
      </c>
      <c r="E15" s="29" t="str">
        <f ca="1">IF(ISERROR(ROUND('2-分类汇总'!E29/10000,2)),"",IF(ROUND('2-分类汇总'!E29/10000,2)=0,"",ROUND('2-分类汇总'!E29/10000,2)))</f>
        <v/>
      </c>
      <c r="F15" s="334" t="str">
        <f ca="1">IF(ISERROR(ROUND('2-分类汇总'!F29,2)),"",IF(ROUND('2-分类汇总'!F29,2)=0,"",ROUND('2-分类汇总'!F29,2)))</f>
        <v/>
      </c>
    </row>
    <row r="16" spans="1:6" s="95" customFormat="1" ht="14.75" customHeight="1">
      <c r="A16" s="99">
        <v>10</v>
      </c>
      <c r="B16" s="100" t="s">
        <v>496</v>
      </c>
      <c r="C16" s="29" t="str">
        <f ca="1">IF(ISERROR(ROUND('2-分类汇总'!C30/10000,2)),"",IF(ROUND('2-分类汇总'!C30/10000,2)=0,"",ROUND('2-分类汇总'!C30/10000,2)))</f>
        <v/>
      </c>
      <c r="D16" s="29" t="str">
        <f ca="1">IF(ISERROR(ROUND('2-分类汇总'!D30/10000,2)),"",IF(ROUND('2-分类汇总'!D30/10000,2)=0,"",ROUND('2-分类汇总'!D30/10000,2)))</f>
        <v/>
      </c>
      <c r="E16" s="29" t="str">
        <f ca="1">IF(ISERROR(ROUND('2-分类汇总'!E30/10000,2)),"",IF(ROUND('2-分类汇总'!E30/10000,2)=0,"",ROUND('2-分类汇总'!E30/10000,2)))</f>
        <v/>
      </c>
      <c r="F16" s="334" t="str">
        <f ca="1">IF(ISERROR(ROUND('2-分类汇总'!F30,2)),"",IF(ROUND('2-分类汇总'!F30,2)=0,"",ROUND('2-分类汇总'!F30,2)))</f>
        <v/>
      </c>
    </row>
    <row r="17" spans="1:6" s="95" customFormat="1" ht="14.75" customHeight="1">
      <c r="A17" s="99">
        <v>11</v>
      </c>
      <c r="B17" s="100" t="s">
        <v>497</v>
      </c>
      <c r="C17" s="29" t="str">
        <f ca="1">IF(ISERROR(ROUND('2-分类汇总'!C31/10000,2)),"",IF(ROUND('2-分类汇总'!C31/10000,2)=0,"",ROUND('2-分类汇总'!C31/10000,2)))</f>
        <v/>
      </c>
      <c r="D17" s="29" t="str">
        <f ca="1">IF(ISERROR(ROUND('2-分类汇总'!D31/10000,2)),"",IF(ROUND('2-分类汇总'!D31/10000,2)=0,"",ROUND('2-分类汇总'!D31/10000,2)))</f>
        <v/>
      </c>
      <c r="E17" s="29" t="str">
        <f ca="1">IF(ISERROR(ROUND('2-分类汇总'!E31/10000,2)),"",IF(ROUND('2-分类汇总'!E31/10000,2)=0,"",ROUND('2-分类汇总'!E31/10000,2)))</f>
        <v/>
      </c>
      <c r="F17" s="334" t="str">
        <f ca="1">IF(ISERROR(ROUND('2-分类汇总'!F31,2)),"",IF(ROUND('2-分类汇总'!F31,2)=0,"",ROUND('2-分类汇总'!F31,2)))</f>
        <v/>
      </c>
    </row>
    <row r="18" spans="1:6" s="95" customFormat="1" ht="14.75" customHeight="1">
      <c r="A18" s="99">
        <v>12</v>
      </c>
      <c r="B18" s="100" t="s">
        <v>498</v>
      </c>
      <c r="C18" s="29" t="str">
        <f ca="1">IF(ISERROR(ROUND('2-分类汇总'!C32/10000,2)),"",IF(ROUND('2-分类汇总'!C32/10000,2)=0,"",ROUND('2-分类汇总'!C32/10000,2)))</f>
        <v/>
      </c>
      <c r="D18" s="29" t="str">
        <f ca="1">IF(ISERROR(ROUND('2-分类汇总'!D32/10000,2)),"",IF(ROUND('2-分类汇总'!D32/10000,2)=0,"",ROUND('2-分类汇总'!D32/10000,2)))</f>
        <v/>
      </c>
      <c r="E18" s="29" t="str">
        <f ca="1">IF(ISERROR(ROUND('2-分类汇总'!E32/10000,2)),"",IF(ROUND('2-分类汇总'!E32/10000,2)=0,"",ROUND('2-分类汇总'!E32/10000,2)))</f>
        <v/>
      </c>
      <c r="F18" s="334" t="str">
        <f ca="1">IF(ISERROR(ROUND('2-分类汇总'!F32,2)),"",IF(ROUND('2-分类汇总'!F32,2)=0,"",ROUND('2-分类汇总'!F32,2)))</f>
        <v/>
      </c>
    </row>
    <row r="19" spans="1:6" s="95" customFormat="1" ht="14.75" customHeight="1">
      <c r="A19" s="99">
        <v>13</v>
      </c>
      <c r="B19" s="100" t="s">
        <v>499</v>
      </c>
      <c r="C19" s="29" t="str">
        <f ca="1">IF(ISERROR(ROUND('2-分类汇总'!C33/10000,2)),"",IF(ROUND('2-分类汇总'!C33/10000,2)=0,"",ROUND('2-分类汇总'!C33/10000,2)))</f>
        <v/>
      </c>
      <c r="D19" s="29" t="str">
        <f ca="1">IF(ISERROR(ROUND('2-分类汇总'!D33/10000,2)),"",IF(ROUND('2-分类汇总'!D33/10000,2)=0,"",ROUND('2-分类汇总'!D33/10000,2)))</f>
        <v/>
      </c>
      <c r="E19" s="29" t="str">
        <f ca="1">IF(ISERROR(ROUND('2-分类汇总'!E33/10000,2)),"",IF(ROUND('2-分类汇总'!E33/10000,2)=0,"",ROUND('2-分类汇总'!E33/10000,2)))</f>
        <v/>
      </c>
      <c r="F19" s="334" t="str">
        <f ca="1">IF(ISERROR(ROUND('2-分类汇总'!F33,2)),"",IF(ROUND('2-分类汇总'!F33,2)=0,"",ROUND('2-分类汇总'!F33,2)))</f>
        <v/>
      </c>
    </row>
    <row r="20" spans="1:6" s="95" customFormat="1" ht="14.75" customHeight="1">
      <c r="A20" s="99">
        <v>14</v>
      </c>
      <c r="B20" s="100" t="s">
        <v>500</v>
      </c>
      <c r="C20" s="29" t="str">
        <f ca="1">IF(ISERROR(ROUND('2-分类汇总'!C34/10000,2)),"",IF(ROUND('2-分类汇总'!C34/10000,2)=0,"",ROUND('2-分类汇总'!C34/10000,2)))</f>
        <v/>
      </c>
      <c r="D20" s="29" t="str">
        <f ca="1">IF(ISERROR(ROUND('2-分类汇总'!D34/10000,2)),"",IF(ROUND('2-分类汇总'!D34/10000,2)=0,"",ROUND('2-分类汇总'!D34/10000,2)))</f>
        <v/>
      </c>
      <c r="E20" s="29" t="str">
        <f ca="1">IF(ISERROR(ROUND('2-分类汇总'!E34/10000,2)),"",IF(ROUND('2-分类汇总'!E34/10000,2)=0,"",ROUND('2-分类汇总'!E34/10000,2)))</f>
        <v/>
      </c>
      <c r="F20" s="334" t="str">
        <f ca="1">IF(ISERROR(ROUND('2-分类汇总'!F34,2)),"",IF(ROUND('2-分类汇总'!F34,2)=0,"",ROUND('2-分类汇总'!F34,2)))</f>
        <v/>
      </c>
    </row>
    <row r="21" spans="1:6" s="95" customFormat="1" ht="14.75" customHeight="1">
      <c r="A21" s="99">
        <v>15</v>
      </c>
      <c r="B21" s="100" t="s">
        <v>501</v>
      </c>
      <c r="C21" s="29" t="str">
        <f ca="1">IF(ISERROR(ROUND('2-分类汇总'!C35/10000,2)),"",IF(ROUND('2-分类汇总'!C35/10000,2)=0,"",ROUND('2-分类汇总'!C35/10000,2)))</f>
        <v/>
      </c>
      <c r="D21" s="29" t="str">
        <f ca="1">IF(ISERROR(ROUND('2-分类汇总'!D35/10000,2)),"",IF(ROUND('2-分类汇总'!D35/10000,2)=0,"",ROUND('2-分类汇总'!D35/10000,2)))</f>
        <v/>
      </c>
      <c r="E21" s="29" t="str">
        <f ca="1">IF(ISERROR(ROUND('2-分类汇总'!E35/10000,2)),"",IF(ROUND('2-分类汇总'!E35/10000,2)=0,"",ROUND('2-分类汇总'!E35/10000,2)))</f>
        <v/>
      </c>
      <c r="F21" s="334" t="str">
        <f ca="1">IF(ISERROR(ROUND('2-分类汇总'!F35,2)),"",IF(ROUND('2-分类汇总'!F35,2)=0,"",ROUND('2-分类汇总'!F35,2)))</f>
        <v/>
      </c>
    </row>
    <row r="22" spans="1:6" s="95" customFormat="1" ht="14.75" customHeight="1">
      <c r="A22" s="99">
        <v>16</v>
      </c>
      <c r="B22" s="100" t="s">
        <v>927</v>
      </c>
      <c r="C22" s="29" t="str">
        <f ca="1">IF(ISERROR(ROUND('2-分类汇总'!C36/10000,2)),"",IF(ROUND('2-分类汇总'!C36/10000,2)=0,"",ROUND('2-分类汇总'!C36/10000,2)))</f>
        <v/>
      </c>
      <c r="D22" s="29" t="str">
        <f ca="1">IF(ISERROR(ROUND('2-分类汇总'!D36/10000,2)),"",IF(ROUND('2-分类汇总'!D36/10000,2)=0,"",ROUND('2-分类汇总'!D36/10000,2)))</f>
        <v/>
      </c>
      <c r="E22" s="29" t="str">
        <f ca="1">IF(ISERROR(ROUND('2-分类汇总'!E36/10000,2)),"",IF(ROUND('2-分类汇总'!E36/10000,2)=0,"",ROUND('2-分类汇总'!E36/10000,2)))</f>
        <v/>
      </c>
      <c r="F22" s="334" t="str">
        <f ca="1">IF(ISERROR(ROUND('2-分类汇总'!F36,2)),"",IF(ROUND('2-分类汇总'!F36,2)=0,"",ROUND('2-分类汇总'!F36,2)))</f>
        <v/>
      </c>
    </row>
    <row r="23" spans="1:6" s="95" customFormat="1" ht="14.75" customHeight="1">
      <c r="A23" s="99">
        <v>17</v>
      </c>
      <c r="B23" s="100" t="s">
        <v>502</v>
      </c>
      <c r="C23" s="29" t="str">
        <f ca="1">IF(ISERROR(ROUND('2-分类汇总'!C37/10000,2)),"",IF(ROUND('2-分类汇总'!C37/10000,2)=0,"",ROUND('2-分类汇总'!C37/10000,2)))</f>
        <v/>
      </c>
      <c r="D23" s="29" t="str">
        <f ca="1">IF(ISERROR(ROUND('2-分类汇总'!D37/10000,2)),"",IF(ROUND('2-分类汇总'!D37/10000,2)=0,"",ROUND('2-分类汇总'!D37/10000,2)))</f>
        <v/>
      </c>
      <c r="E23" s="29" t="str">
        <f ca="1">IF(ISERROR(ROUND('2-分类汇总'!E37/10000,2)),"",IF(ROUND('2-分类汇总'!E37/10000,2)=0,"",ROUND('2-分类汇总'!E37/10000,2)))</f>
        <v/>
      </c>
      <c r="F23" s="334" t="str">
        <f ca="1">IF(ISERROR(ROUND('2-分类汇总'!F37,2)),"",IF(ROUND('2-分类汇总'!F37,2)=0,"",ROUND('2-分类汇总'!F37,2)))</f>
        <v/>
      </c>
    </row>
    <row r="24" spans="1:6" s="95" customFormat="1" ht="14.75" customHeight="1">
      <c r="A24" s="99">
        <v>18</v>
      </c>
      <c r="B24" s="100" t="s">
        <v>503</v>
      </c>
      <c r="C24" s="29" t="str">
        <f ca="1">IF(ISERROR(ROUND('2-分类汇总'!C38/10000,2)),"",IF(ROUND('2-分类汇总'!C38/10000,2)=0,"",ROUND('2-分类汇总'!C38/10000,2)))</f>
        <v/>
      </c>
      <c r="D24" s="29" t="str">
        <f ca="1">IF(ISERROR(ROUND('2-分类汇总'!D38/10000,2)),"",IF(ROUND('2-分类汇总'!D38/10000,2)=0,"",ROUND('2-分类汇总'!D38/10000,2)))</f>
        <v/>
      </c>
      <c r="E24" s="29" t="str">
        <f ca="1">IF(ISERROR(ROUND('2-分类汇总'!E38/10000,2)),"",IF(ROUND('2-分类汇总'!E38/10000,2)=0,"",ROUND('2-分类汇总'!E38/10000,2)))</f>
        <v/>
      </c>
      <c r="F24" s="334" t="str">
        <f ca="1">IF(ISERROR(ROUND('2-分类汇总'!F38,2)),"",IF(ROUND('2-分类汇总'!F38,2)=0,"",ROUND('2-分类汇总'!F38,2)))</f>
        <v/>
      </c>
    </row>
    <row r="25" spans="1:6" s="95" customFormat="1" ht="14.75" customHeight="1">
      <c r="A25" s="99">
        <v>19</v>
      </c>
      <c r="B25" s="100" t="s">
        <v>504</v>
      </c>
      <c r="C25" s="29" t="str">
        <f ca="1">IF(ISERROR(ROUND('2-分类汇总'!C39/10000,2)),"",IF(ROUND('2-分类汇总'!C39/10000,2)=0,"",ROUND('2-分类汇总'!C39/10000,2)))</f>
        <v/>
      </c>
      <c r="D25" s="29" t="str">
        <f ca="1">IF(ISERROR(ROUND('2-分类汇总'!D39/10000,2)),"",IF(ROUND('2-分类汇总'!D39/10000,2)=0,"",ROUND('2-分类汇总'!D39/10000,2)))</f>
        <v/>
      </c>
      <c r="E25" s="29" t="str">
        <f ca="1">IF(ISERROR(ROUND('2-分类汇总'!E39/10000,2)),"",IF(ROUND('2-分类汇总'!E39/10000,2)=0,"",ROUND('2-分类汇总'!E39/10000,2)))</f>
        <v/>
      </c>
      <c r="F25" s="334" t="str">
        <f ca="1">IF(ISERROR(ROUND('2-分类汇总'!F39,2)),"",IF(ROUND('2-分类汇总'!F39,2)=0,"",ROUND('2-分类汇总'!F39,2)))</f>
        <v/>
      </c>
    </row>
    <row r="26" spans="1:6" s="95" customFormat="1" ht="14.75" customHeight="1">
      <c r="A26" s="99">
        <v>20</v>
      </c>
      <c r="B26" s="100" t="s">
        <v>505</v>
      </c>
      <c r="C26" s="29" t="str">
        <f ca="1">IF(ISERROR(ROUND('2-分类汇总'!C40/10000,2)),"",IF(ROUND('2-分类汇总'!C40/10000,2)=0,"",ROUND('2-分类汇总'!C40/10000,2)))</f>
        <v/>
      </c>
      <c r="D26" s="29" t="str">
        <f ca="1">IF(ISERROR(ROUND('2-分类汇总'!D40/10000,2)),"",IF(ROUND('2-分类汇总'!D40/10000,2)=0,"",ROUND('2-分类汇总'!D40/10000,2)))</f>
        <v/>
      </c>
      <c r="E26" s="29" t="str">
        <f ca="1">IF(ISERROR(ROUND('2-分类汇总'!E40/10000,2)),"",IF(ROUND('2-分类汇总'!E40/10000,2)=0,"",ROUND('2-分类汇总'!E40/10000,2)))</f>
        <v/>
      </c>
      <c r="F26" s="334" t="str">
        <f ca="1">IF(ISERROR(ROUND('2-分类汇总'!F40,2)),"",IF(ROUND('2-分类汇总'!F40,2)=0,"",ROUND('2-分类汇总'!F40,2)))</f>
        <v/>
      </c>
    </row>
    <row r="27" spans="1:6" s="95" customFormat="1" ht="14.75" customHeight="1">
      <c r="A27" s="99">
        <v>21</v>
      </c>
      <c r="B27" s="100" t="s">
        <v>506</v>
      </c>
      <c r="C27" s="29" t="str">
        <f ca="1">IF(ISERROR(ROUND('2-分类汇总'!C41/10000,2)),"",IF(ROUND('2-分类汇总'!C41/10000,2)=0,"",ROUND('2-分类汇总'!C41/10000,2)))</f>
        <v/>
      </c>
      <c r="D27" s="29" t="str">
        <f ca="1">IF(ISERROR(ROUND('2-分类汇总'!D41/10000,2)),"",IF(ROUND('2-分类汇总'!D41/10000,2)=0,"",ROUND('2-分类汇总'!D41/10000,2)))</f>
        <v/>
      </c>
      <c r="E27" s="29" t="str">
        <f ca="1">IF(ISERROR(ROUND('2-分类汇总'!E41/10000,2)),"",IF(ROUND('2-分类汇总'!E41/10000,2)=0,"",ROUND('2-分类汇总'!E41/10000,2)))</f>
        <v/>
      </c>
      <c r="F27" s="334" t="str">
        <f ca="1">IF(ISERROR(ROUND('2-分类汇总'!F41,2)),"",IF(ROUND('2-分类汇总'!F41,2)=0,"",ROUND('2-分类汇总'!F41,2)))</f>
        <v/>
      </c>
    </row>
    <row r="28" spans="1:6" s="95" customFormat="1" ht="14.75" customHeight="1">
      <c r="A28" s="99">
        <v>22</v>
      </c>
      <c r="B28" s="100" t="s">
        <v>507</v>
      </c>
      <c r="C28" s="29" t="str">
        <f ca="1">IF(ISERROR(ROUND('2-分类汇总'!C42/10000,2)),"",IF(ROUND('2-分类汇总'!C42/10000,2)=0,"",ROUND('2-分类汇总'!C42/10000,2)))</f>
        <v/>
      </c>
      <c r="D28" s="29" t="str">
        <f ca="1">IF(ISERROR(ROUND('2-分类汇总'!D42/10000,2)),"",IF(ROUND('2-分类汇总'!D42/10000,2)=0,"",ROUND('2-分类汇总'!D42/10000,2)))</f>
        <v/>
      </c>
      <c r="E28" s="29" t="str">
        <f ca="1">IF(ISERROR(ROUND('2-分类汇总'!E42/10000,2)),"",IF(ROUND('2-分类汇总'!E42/10000,2)=0,"",ROUND('2-分类汇总'!E42/10000,2)))</f>
        <v/>
      </c>
      <c r="F28" s="334" t="str">
        <f ca="1">IF(ISERROR(ROUND('2-分类汇总'!F42,2)),"",IF(ROUND('2-分类汇总'!F42,2)=0,"",ROUND('2-分类汇总'!F42/10000,2)))</f>
        <v/>
      </c>
    </row>
    <row r="29" spans="1:6" s="97" customFormat="1" ht="15.5" customHeight="1">
      <c r="A29" s="226">
        <v>23</v>
      </c>
      <c r="B29" s="227" t="s">
        <v>508</v>
      </c>
      <c r="C29" s="29">
        <f ca="1">IF(ISERROR(ROUND('2-分类汇总'!C43/10000,2)),"",IF(ROUND('2-分类汇总'!C43/10000,2)=0,"",ROUND('2-分类汇总'!C43/10000,2)))</f>
        <v>3943.1</v>
      </c>
      <c r="D29" s="29">
        <f ca="1">IF(ISERROR(ROUND('2-分类汇总'!D43/10000,2)),"",IF(ROUND('2-分类汇总'!D43/10000,2)=0,"",ROUND('2-分类汇总'!D43/10000,2)))</f>
        <v>3943.1</v>
      </c>
      <c r="E29" s="29" t="str">
        <f ca="1">IF(ISERROR(ROUND('2-分类汇总'!E43/10000,2)),"",IF(ROUND('2-分类汇总'!E43/10000,2)=0,"",ROUND('2-分类汇总'!E43/10000,2)))</f>
        <v/>
      </c>
      <c r="F29" s="334" t="str">
        <f ca="1">IF(ISERROR(ROUND('2-分类汇总'!F43,2)),"",IF(ROUND('2-分类汇总'!F43,2)=0,"",ROUND('2-分类汇总'!F43,2)))</f>
        <v/>
      </c>
    </row>
    <row r="30" spans="1:6" s="95" customFormat="1" ht="15" customHeight="1">
      <c r="A30" s="99">
        <v>24</v>
      </c>
      <c r="B30" s="336" t="s">
        <v>928</v>
      </c>
      <c r="C30" s="29" t="str">
        <f ca="1">IF(ISERROR(ROUND('2-分类汇总'!C44/10000,2)),"",IF(ROUND('2-分类汇总'!C44/10000,2)=0,"",ROUND('2-分类汇总'!C44/10000,2)))</f>
        <v/>
      </c>
      <c r="D30" s="29" t="str">
        <f ca="1">IF(ISERROR(ROUND('2-分类汇总'!D44/10000,2)),"",IF(ROUND('2-分类汇总'!D44/10000,2)=0,"",ROUND('2-分类汇总'!D44/10000,2)))</f>
        <v/>
      </c>
      <c r="E30" s="29" t="str">
        <f ca="1">IF(ISERROR(ROUND('2-分类汇总'!E44/10000,2)),"",IF(ROUND('2-分类汇总'!E44/10000,2)=0,"",ROUND('2-分类汇总'!E44/10000,2)))</f>
        <v/>
      </c>
      <c r="F30" s="334" t="str">
        <f ca="1">IF(ISERROR(ROUND('2-分类汇总'!F44,2)),"",IF(ROUND('2-分类汇总'!F44,2)=0,"",ROUND('2-分类汇总'!F44,2)))</f>
        <v/>
      </c>
    </row>
    <row r="31" spans="1:6" s="95" customFormat="1" ht="15" customHeight="1">
      <c r="A31" s="99">
        <v>25</v>
      </c>
      <c r="B31" s="336" t="s">
        <v>929</v>
      </c>
      <c r="C31" s="29" t="str">
        <f ca="1">IF(ISERROR(ROUND('2-分类汇总'!C60/10000,2)),"",IF(ROUND('2-分类汇总'!C60/10000,2)=0,"",ROUND('2-分类汇总'!C60/10000,2)))</f>
        <v/>
      </c>
      <c r="D31" s="29" t="str">
        <f ca="1">IF(ISERROR(ROUND('2-分类汇总'!D60/10000,2)),"",IF(ROUND('2-分类汇总'!D60/10000,2)=0,"",ROUND('2-分类汇总'!D60/10000,2)))</f>
        <v/>
      </c>
      <c r="E31" s="29" t="str">
        <f ca="1">IF(ISERROR(ROUND('2-分类汇总'!E60/10000,2)),"",IF(ROUND('2-分类汇总'!E60/10000,2)=0,"",ROUND('2-分类汇总'!E60/10000,2)))</f>
        <v/>
      </c>
      <c r="F31" s="334" t="str">
        <f ca="1">IF(ISERROR(ROUND('2-分类汇总'!F60,2)),"",IF(ROUND('2-分类汇总'!F60,2)=0,"",ROUND('2-分类汇总'!F60,2)))</f>
        <v/>
      </c>
    </row>
    <row r="32" spans="1:6" s="97" customFormat="1" ht="15.5" customHeight="1">
      <c r="A32" s="226">
        <v>26</v>
      </c>
      <c r="B32" s="227" t="s">
        <v>509</v>
      </c>
      <c r="C32" s="29" t="str">
        <f ca="1">IF(ISERROR(ROUND('2-分类汇总'!C69/10000,2)),"",IF(ROUND('2-分类汇总'!C69/10000,2)=0,"",ROUND('2-分类汇总'!C69/10000,2)))</f>
        <v/>
      </c>
      <c r="D32" s="29" t="str">
        <f ca="1">IF(ISERROR(ROUND('2-分类汇总'!D69/10000,2)),"",IF(ROUND('2-分类汇总'!D69/10000,2)=0,"",ROUND('2-分类汇总'!D69/10000,2)))</f>
        <v/>
      </c>
      <c r="E32" s="29" t="str">
        <f ca="1">IF(ISERROR(ROUND('2-分类汇总'!E69/10000,2)),"",IF(ROUND('2-分类汇总'!E69/10000,2)=0,"",ROUND('2-分类汇总'!E69/10000,2)))</f>
        <v/>
      </c>
      <c r="F32" s="334" t="str">
        <f ca="1">IF(ISERROR(ROUND('2-分类汇总'!F69,2)),"",IF(ROUND('2-分类汇总'!F69,2)=0,"",ROUND('2-分类汇总'!F69,2)))</f>
        <v/>
      </c>
    </row>
    <row r="33" spans="1:6" s="97" customFormat="1" ht="15.75" customHeight="1">
      <c r="A33" s="226">
        <v>27</v>
      </c>
      <c r="B33" s="227" t="s">
        <v>510</v>
      </c>
      <c r="C33" s="29">
        <f ca="1">IF(ISERROR(ROUND('2-分类汇总'!C70/10000,2)),"",IF(ROUND('2-分类汇总'!C70/10000,2)=0,"",ROUND('2-分类汇总'!C70/10000,2)))</f>
        <v>3943.1</v>
      </c>
      <c r="D33" s="29">
        <f ca="1">IF(ISERROR(ROUND('2-分类汇总'!D70/10000,2)),"",IF(ROUND('2-分类汇总'!D70/10000,2)=0,"",ROUND('2-分类汇总'!D70/10000,2)))</f>
        <v>3943.1</v>
      </c>
      <c r="E33" s="29" t="str">
        <f ca="1">IF(ISERROR(ROUND('2-分类汇总'!E70/10000,2)),"",IF(ROUND('2-分类汇总'!E70/10000,2)=0,"",ROUND('2-分类汇总'!E70/10000,2)))</f>
        <v/>
      </c>
      <c r="F33" s="334" t="str">
        <f ca="1">IF(ISERROR(ROUND('2-分类汇总'!F70,2)),"",IF(ROUND('2-分类汇总'!F70,2)=0,"",ROUND('2-分类汇总'!F70,2)))</f>
        <v/>
      </c>
    </row>
    <row r="34" spans="1:6" s="95" customFormat="1" ht="18" customHeight="1">
      <c r="D34" s="25"/>
      <c r="E34" s="25"/>
      <c r="F34" s="25"/>
    </row>
    <row r="35" spans="1:6" s="98" customFormat="1" ht="12.75" customHeight="1"/>
  </sheetData>
  <sheetProtection formatColumns="0"/>
  <mergeCells count="2">
    <mergeCell ref="A5:B6"/>
    <mergeCell ref="A1:F1"/>
  </mergeCells>
  <phoneticPr fontId="6" type="noConversion"/>
  <printOptions horizontalCentered="1" verticalCentered="1"/>
  <pageMargins left="1.0629921259842521" right="0.70866141732283472" top="0.86614173228346458" bottom="0.70866141732283472" header="0.98425196850393704" footer="0.39370078740157483"/>
  <pageSetup paperSize="9" fitToHeight="0" orientation="landscape" blackAndWhite="1" horizontalDpi="1200" verticalDpi="1200" r:id="rId1"/>
  <headerFooter scaleWithDoc="0">
    <oddFooter>&amp;C&amp;10　　　　　　　　　　　　　　　　　　　　　　　　　　　　评估机构：江苏华信资产评估有限公司_x000D_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1</xdr:row>
                    <xdr:rowOff>165100</xdr:rowOff>
                  </from>
                  <to>
                    <xdr:col>1</xdr:col>
                    <xdr:colOff>2260600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9285F-C539-444B-8F7F-875E51BF5CF5}">
  <sheetPr codeName="Sheet8">
    <pageSetUpPr fitToPage="1"/>
  </sheetPr>
  <dimension ref="A1:F71"/>
  <sheetViews>
    <sheetView zoomScaleNormal="100" zoomScaleSheetLayoutView="100" workbookViewId="0">
      <pane ySplit="5" topLeftCell="A6" activePane="bottomLeft" state="frozen"/>
      <selection pane="bottomLeft" activeCell="D22" sqref="D22"/>
    </sheetView>
  </sheetViews>
  <sheetFormatPr baseColWidth="10" defaultColWidth="9" defaultRowHeight="15.75" customHeight="1"/>
  <cols>
    <col min="1" max="1" width="5.1640625" style="81" customWidth="1"/>
    <col min="2" max="2" width="26" style="81" customWidth="1"/>
    <col min="3" max="3" width="21" style="81" customWidth="1"/>
    <col min="4" max="4" width="21.5" style="81" customWidth="1"/>
    <col min="5" max="5" width="18.6640625" style="81" customWidth="1"/>
    <col min="6" max="6" width="17" style="81" customWidth="1"/>
    <col min="7" max="16384" width="9" style="81"/>
  </cols>
  <sheetData>
    <row r="1" spans="1:6" s="80" customFormat="1" ht="30" customHeight="1">
      <c r="A1" s="374" t="s">
        <v>544</v>
      </c>
      <c r="B1" s="375"/>
      <c r="C1" s="375"/>
      <c r="D1" s="375"/>
      <c r="E1" s="375"/>
      <c r="F1" s="375"/>
    </row>
    <row r="2" spans="1:6" ht="12.7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2.75" customHeight="1">
      <c r="A3" s="40"/>
      <c r="B3" s="40"/>
      <c r="C3" s="40"/>
      <c r="D3" s="40"/>
      <c r="E3" s="40"/>
      <c r="F3" s="85" t="s">
        <v>282</v>
      </c>
    </row>
    <row r="4" spans="1:6" ht="12.75" customHeight="1">
      <c r="A4" s="41" t="str">
        <f>'1-汇总表'!A4</f>
        <v>被评估单位：A有限公司</v>
      </c>
      <c r="B4" s="42"/>
      <c r="C4" s="42"/>
      <c r="D4" s="42"/>
      <c r="E4" s="42"/>
      <c r="F4" s="122" t="s">
        <v>6</v>
      </c>
    </row>
    <row r="5" spans="1:6" s="101" customFormat="1" ht="14.25" customHeight="1">
      <c r="A5" s="45" t="s">
        <v>7</v>
      </c>
      <c r="B5" s="123" t="s">
        <v>383</v>
      </c>
      <c r="C5" s="124" t="s">
        <v>117</v>
      </c>
      <c r="D5" s="45" t="s">
        <v>0</v>
      </c>
      <c r="E5" s="45" t="s">
        <v>436</v>
      </c>
      <c r="F5" s="45" t="s">
        <v>479</v>
      </c>
    </row>
    <row r="6" spans="1:6" s="102" customFormat="1" ht="14.75" customHeight="1">
      <c r="A6" s="111">
        <v>1</v>
      </c>
      <c r="B6" s="228" t="s">
        <v>390</v>
      </c>
      <c r="C6" s="29">
        <f ca="1">IF(SUM(C7,C8,C9,C10,C11,C12,C13,C14,C15,C16,C17,C18,C19,C20,C21)=0,"",SUM(C7,C8,C9,C10,C11,C12,C13,C14,C15,C16,C17,C18,C19,C20,C21))</f>
        <v>39430993.810000002</v>
      </c>
      <c r="D6" s="29">
        <f ca="1">IF(SUM(D7,D8,D9,D10,D11,D12,D13,D14,D15,D16,D17,D18,D19,D20,D21)=0,"",SUM(D7,D8,D9,D10,D11,D12,D13,D14,D15,D16,D17,D18,D19,D20,D21))</f>
        <v>39430993.810000002</v>
      </c>
      <c r="E6" s="29">
        <f ca="1">IF(ISERROR(D6-C6),"",IF(C6=0,"",D6-C6))</f>
        <v>0</v>
      </c>
      <c r="F6" s="334">
        <f ca="1">IF(ISERROR(D6-C6),"",IF(C6=0,"",IF(E6="",0,ROUND(E6*100/C6,2))))</f>
        <v>0</v>
      </c>
    </row>
    <row r="7" spans="1:6" ht="14" customHeight="1">
      <c r="A7" s="46">
        <v>2</v>
      </c>
      <c r="B7" s="108" t="s">
        <v>391</v>
      </c>
      <c r="C7" s="29">
        <f ca="1">IF('3-流动汇总'!C6=0,"",'3-流动汇总'!C6)</f>
        <v>39430993.810000002</v>
      </c>
      <c r="D7" s="29">
        <f ca="1">IF('3-流动汇总'!D6=0,"",'3-流动汇总'!D6)</f>
        <v>39430993.810000002</v>
      </c>
      <c r="E7" s="29">
        <f t="shared" ref="E7:E69" ca="1" si="0">IF(ISERROR(D7-C7),"",IF(C7=0,"",D7-C7))</f>
        <v>0</v>
      </c>
      <c r="F7" s="334">
        <f t="shared" ref="F7:F70" ca="1" si="1">IF(ISERROR(D7-C7),"",IF(C7=0,"",IF(E7="",0,ROUND(E7*100/C7,2))))</f>
        <v>0</v>
      </c>
    </row>
    <row r="8" spans="1:6" ht="14" customHeight="1">
      <c r="A8" s="46">
        <v>3</v>
      </c>
      <c r="B8" s="108" t="s">
        <v>169</v>
      </c>
      <c r="C8" s="29" t="str">
        <f ca="1">IF('3-流动汇总'!C7=0,"",'3-流动汇总'!C7)</f>
        <v/>
      </c>
      <c r="D8" s="29" t="str">
        <f ca="1">IF('3-流动汇总'!D7=0,"",'3-流动汇总'!D7)</f>
        <v/>
      </c>
      <c r="E8" s="29" t="str">
        <f t="shared" ca="1" si="0"/>
        <v/>
      </c>
      <c r="F8" s="334" t="str">
        <f t="shared" ca="1" si="1"/>
        <v/>
      </c>
    </row>
    <row r="9" spans="1:6" ht="14" customHeight="1">
      <c r="A9" s="46">
        <v>4</v>
      </c>
      <c r="B9" s="108" t="s">
        <v>848</v>
      </c>
      <c r="C9" s="29" t="str">
        <f ca="1">IF('3-流动汇总'!C8=0,"",'3-流动汇总'!C8)</f>
        <v/>
      </c>
      <c r="D9" s="29" t="str">
        <f ca="1">IF('3-流动汇总'!D8=0,"",'3-流动汇总'!D8)</f>
        <v/>
      </c>
      <c r="E9" s="29" t="str">
        <f ca="1">IF(ISERROR(D9-C9),"",IF(C9=0,"",D9-C9))</f>
        <v/>
      </c>
      <c r="F9" s="334" t="str">
        <f ca="1">IF(ISERROR(D9-C9),"",IF(C9=0,"",IF(E9="",0,ROUND(E9*100/C9,2))))</f>
        <v/>
      </c>
    </row>
    <row r="10" spans="1:6" ht="14" customHeight="1">
      <c r="A10" s="46">
        <v>5</v>
      </c>
      <c r="B10" s="108" t="s">
        <v>46</v>
      </c>
      <c r="C10" s="29" t="str">
        <f ca="1">IF('3-流动汇总'!C9=0,"",'3-流动汇总'!C9)</f>
        <v/>
      </c>
      <c r="D10" s="29" t="str">
        <f ca="1">IF('3-流动汇总'!D9=0,"",'3-流动汇总'!D9)</f>
        <v/>
      </c>
      <c r="E10" s="29" t="str">
        <f t="shared" ca="1" si="0"/>
        <v/>
      </c>
      <c r="F10" s="334" t="str">
        <f t="shared" ca="1" si="1"/>
        <v/>
      </c>
    </row>
    <row r="11" spans="1:6" ht="14" customHeight="1">
      <c r="A11" s="46">
        <v>6</v>
      </c>
      <c r="B11" s="108" t="s">
        <v>392</v>
      </c>
      <c r="C11" s="29" t="str">
        <f ca="1">IF('3-流动汇总'!C10=0,"",'3-流动汇总'!C10)</f>
        <v/>
      </c>
      <c r="D11" s="29" t="str">
        <f ca="1">IF('3-流动汇总'!D10=0,"",'3-流动汇总'!D10)</f>
        <v/>
      </c>
      <c r="E11" s="29" t="str">
        <f t="shared" ca="1" si="0"/>
        <v/>
      </c>
      <c r="F11" s="334" t="str">
        <f t="shared" ca="1" si="1"/>
        <v/>
      </c>
    </row>
    <row r="12" spans="1:6" ht="14" customHeight="1">
      <c r="A12" s="46">
        <v>7</v>
      </c>
      <c r="B12" s="108" t="s">
        <v>879</v>
      </c>
      <c r="C12" s="29" t="str">
        <f ca="1">IF('3-流动汇总'!C11=0,"",'3-流动汇总'!C11)</f>
        <v/>
      </c>
      <c r="D12" s="29" t="str">
        <f ca="1">IF('3-流动汇总'!D11=0,"",'3-流动汇总'!D11)</f>
        <v/>
      </c>
      <c r="E12" s="29" t="str">
        <f ca="1">IF(ISERROR(D12-C12),"",IF(C12=0,"",D12-C12))</f>
        <v/>
      </c>
      <c r="F12" s="334" t="str">
        <f ca="1">IF(ISERROR(D12-C12),"",IF(C12=0,"",IF(E12="",0,ROUND(E12*100/C12,2))))</f>
        <v/>
      </c>
    </row>
    <row r="13" spans="1:6" ht="14" customHeight="1">
      <c r="A13" s="46">
        <v>8</v>
      </c>
      <c r="B13" s="108" t="s">
        <v>393</v>
      </c>
      <c r="C13" s="29" t="str">
        <f ca="1">IF('3-流动汇总'!C12=0,"",'3-流动汇总'!C12)</f>
        <v/>
      </c>
      <c r="D13" s="29" t="str">
        <f ca="1">IF('3-流动汇总'!D12=0,"",'3-流动汇总'!D12)</f>
        <v/>
      </c>
      <c r="E13" s="29" t="str">
        <f t="shared" ca="1" si="0"/>
        <v/>
      </c>
      <c r="F13" s="334" t="str">
        <f t="shared" ca="1" si="1"/>
        <v/>
      </c>
    </row>
    <row r="14" spans="1:6" ht="14" customHeight="1">
      <c r="A14" s="46">
        <v>9</v>
      </c>
      <c r="B14" s="108" t="s">
        <v>394</v>
      </c>
      <c r="C14" s="29" t="str">
        <f ca="1">IF('3-流动汇总'!C13=0,"",'3-流动汇总'!C13)</f>
        <v/>
      </c>
      <c r="D14" s="29" t="str">
        <f ca="1">IF('3-流动汇总'!D13=0,"",'3-流动汇总'!D13)</f>
        <v/>
      </c>
      <c r="E14" s="29" t="str">
        <f t="shared" ca="1" si="0"/>
        <v/>
      </c>
      <c r="F14" s="334" t="str">
        <f t="shared" ca="1" si="1"/>
        <v/>
      </c>
    </row>
    <row r="15" spans="1:6" ht="14" customHeight="1">
      <c r="A15" s="46">
        <v>10</v>
      </c>
      <c r="B15" s="108" t="s">
        <v>395</v>
      </c>
      <c r="C15" s="29" t="str">
        <f ca="1">IF('3-流动汇总'!C14=0,"",'3-流动汇总'!C14)</f>
        <v/>
      </c>
      <c r="D15" s="29" t="str">
        <f ca="1">IF('3-流动汇总'!D14=0,"",'3-流动汇总'!D14)</f>
        <v/>
      </c>
      <c r="E15" s="29" t="str">
        <f t="shared" ca="1" si="0"/>
        <v/>
      </c>
      <c r="F15" s="334" t="str">
        <f t="shared" ca="1" si="1"/>
        <v/>
      </c>
    </row>
    <row r="16" spans="1:6" ht="14" customHeight="1">
      <c r="A16" s="46">
        <v>11</v>
      </c>
      <c r="B16" s="108" t="s">
        <v>396</v>
      </c>
      <c r="C16" s="29" t="str">
        <f ca="1">IF('3-流动汇总'!C15=0,"",'3-流动汇总'!C15)</f>
        <v/>
      </c>
      <c r="D16" s="29" t="str">
        <f ca="1">IF('3-流动汇总'!D15=0,"",'3-流动汇总'!D15)</f>
        <v/>
      </c>
      <c r="E16" s="29" t="str">
        <f t="shared" ca="1" si="0"/>
        <v/>
      </c>
      <c r="F16" s="334" t="str">
        <f t="shared" ca="1" si="1"/>
        <v/>
      </c>
    </row>
    <row r="17" spans="1:6" ht="14" customHeight="1">
      <c r="A17" s="46">
        <v>12</v>
      </c>
      <c r="B17" s="108" t="s">
        <v>397</v>
      </c>
      <c r="C17" s="29" t="str">
        <f ca="1">IF('3-流动汇总'!C16=0,"",'3-流动汇总'!C16)</f>
        <v/>
      </c>
      <c r="D17" s="29" t="str">
        <f ca="1">IF('3-流动汇总'!D16=0,"",'3-流动汇总'!D16)</f>
        <v/>
      </c>
      <c r="E17" s="29" t="str">
        <f ca="1">IF(ISERROR(D17-C17),"",IF(C17=0,"",D17-C17))</f>
        <v/>
      </c>
      <c r="F17" s="334" t="str">
        <f ca="1">IF(ISERROR(D17-C17),"",IF(C17=0,"",IF(E17="",0,ROUND(E17*100/C17,2))))</f>
        <v/>
      </c>
    </row>
    <row r="18" spans="1:6" ht="14" customHeight="1">
      <c r="A18" s="46">
        <v>13</v>
      </c>
      <c r="B18" s="108" t="s">
        <v>852</v>
      </c>
      <c r="C18" s="29" t="str">
        <f ca="1">IF('3-流动汇总'!C17=0,"",'3-流动汇总'!C17)</f>
        <v/>
      </c>
      <c r="D18" s="29" t="str">
        <f ca="1">IF('3-流动汇总'!D17=0,"",'3-流动汇总'!D17)</f>
        <v/>
      </c>
      <c r="E18" s="29" t="str">
        <f ca="1">IF(ISERROR(D18-C18),"",IF(C18=0,"",D18-C18))</f>
        <v/>
      </c>
      <c r="F18" s="334" t="str">
        <f ca="1">IF(ISERROR(D18-C18),"",IF(C18=0,"",IF(E18="",0,ROUND(E18*100/C18,2))))</f>
        <v/>
      </c>
    </row>
    <row r="19" spans="1:6" ht="14" customHeight="1">
      <c r="A19" s="46">
        <v>14</v>
      </c>
      <c r="B19" s="108" t="s">
        <v>853</v>
      </c>
      <c r="C19" s="29"/>
      <c r="D19" s="29"/>
      <c r="E19" s="29"/>
      <c r="F19" s="334"/>
    </row>
    <row r="20" spans="1:6" ht="14" customHeight="1">
      <c r="A20" s="46">
        <v>15</v>
      </c>
      <c r="B20" s="108" t="s">
        <v>398</v>
      </c>
      <c r="C20" s="29" t="str">
        <f ca="1">IF('3-流动汇总'!C19=0,"",'3-流动汇总'!C19)</f>
        <v/>
      </c>
      <c r="D20" s="29" t="str">
        <f ca="1">IF('3-流动汇总'!D19=0,"",'3-流动汇总'!D19)</f>
        <v/>
      </c>
      <c r="E20" s="29" t="str">
        <f t="shared" ca="1" si="0"/>
        <v/>
      </c>
      <c r="F20" s="334" t="str">
        <f t="shared" ca="1" si="1"/>
        <v/>
      </c>
    </row>
    <row r="21" spans="1:6" ht="14" customHeight="1">
      <c r="A21" s="46">
        <v>16</v>
      </c>
      <c r="B21" s="108" t="s">
        <v>399</v>
      </c>
      <c r="C21" s="29" t="str">
        <f ca="1">IF('3-流动汇总'!C20=0,"",'3-流动汇总'!C20)</f>
        <v/>
      </c>
      <c r="D21" s="29" t="str">
        <f ca="1">IF('3-流动汇总'!D20=0,"",'3-流动汇总'!D20)</f>
        <v/>
      </c>
      <c r="E21" s="29" t="str">
        <f t="shared" ca="1" si="0"/>
        <v/>
      </c>
      <c r="F21" s="334" t="str">
        <f t="shared" ca="1" si="1"/>
        <v/>
      </c>
    </row>
    <row r="22" spans="1:6" s="102" customFormat="1" ht="14.75" customHeight="1">
      <c r="A22" s="111">
        <v>17</v>
      </c>
      <c r="B22" s="228" t="s">
        <v>400</v>
      </c>
      <c r="C22" s="29" t="str">
        <f ca="1">IF(SUM(C23,C24,C25,C26,C27,C28,C29,C30,C31,C32,C33,C34,C35,C36,C37,C38,C39,C40,C41,C42)=0,"",SUM(C23,C24,C25,C26,C27,C28,C29,C30,C31,C32,C33,C34,C35,C36,C37,C38,C39,C40,C41,C42))</f>
        <v/>
      </c>
      <c r="D22" s="29" t="str">
        <f ca="1">IF(SUM(D23,D24,D25,D26,D27,D28,D29,D30,D31,D32,D33,D34,D35,D36,D37,D38,D39,D40,D41,D42)=0,"",SUM(D23,D24,D25,D26,D27,D28,D29,D30,D31,D32,D33,D34,D35,D36,D37,D38,D39,D40,D41,D42))</f>
        <v/>
      </c>
      <c r="E22" s="29" t="str">
        <f t="shared" ca="1" si="0"/>
        <v/>
      </c>
      <c r="F22" s="334" t="str">
        <f t="shared" ca="1" si="1"/>
        <v/>
      </c>
    </row>
    <row r="23" spans="1:6" ht="14" customHeight="1">
      <c r="A23" s="46">
        <v>18</v>
      </c>
      <c r="B23" s="108" t="s">
        <v>356</v>
      </c>
      <c r="C23" s="29" t="str">
        <f ca="1">IF('4-非流动资产汇总'!C6=0,"",'4-非流动资产汇总'!C6)</f>
        <v/>
      </c>
      <c r="D23" s="29" t="str">
        <f ca="1">IF('4-非流动资产汇总'!D6=0,"",'4-非流动资产汇总'!D6)</f>
        <v/>
      </c>
      <c r="E23" s="29" t="str">
        <f t="shared" ca="1" si="0"/>
        <v/>
      </c>
      <c r="F23" s="334" t="str">
        <f t="shared" ca="1" si="1"/>
        <v/>
      </c>
    </row>
    <row r="24" spans="1:6" ht="14" customHeight="1">
      <c r="A24" s="46">
        <v>19</v>
      </c>
      <c r="B24" s="108" t="s">
        <v>357</v>
      </c>
      <c r="C24" s="29" t="str">
        <f ca="1">IF('4-非流动资产汇总'!C7=0,"",'4-非流动资产汇总'!C7)</f>
        <v/>
      </c>
      <c r="D24" s="29" t="str">
        <f ca="1">IF('4-非流动资产汇总'!D7=0,"",'4-非流动资产汇总'!D7)</f>
        <v/>
      </c>
      <c r="E24" s="29" t="str">
        <f t="shared" ca="1" si="0"/>
        <v/>
      </c>
      <c r="F24" s="334" t="str">
        <f t="shared" ca="1" si="1"/>
        <v/>
      </c>
    </row>
    <row r="25" spans="1:6" ht="14" customHeight="1">
      <c r="A25" s="46">
        <v>20</v>
      </c>
      <c r="B25" s="108" t="s">
        <v>358</v>
      </c>
      <c r="C25" s="29" t="str">
        <f ca="1">IF('4-非流动资产汇总'!C8=0,"",'4-非流动资产汇总'!C8)</f>
        <v/>
      </c>
      <c r="D25" s="29" t="str">
        <f ca="1">IF('4-非流动资产汇总'!D8=0,"",'4-非流动资产汇总'!D8)</f>
        <v/>
      </c>
      <c r="E25" s="29" t="str">
        <f t="shared" ca="1" si="0"/>
        <v/>
      </c>
      <c r="F25" s="334" t="str">
        <f t="shared" ca="1" si="1"/>
        <v/>
      </c>
    </row>
    <row r="26" spans="1:6" ht="14" customHeight="1">
      <c r="A26" s="46">
        <v>21</v>
      </c>
      <c r="B26" s="108" t="s">
        <v>359</v>
      </c>
      <c r="C26" s="29" t="str">
        <f ca="1">IF('4-非流动资产汇总'!C9=0,"",'4-非流动资产汇总'!C9)</f>
        <v/>
      </c>
      <c r="D26" s="29" t="str">
        <f ca="1">IF('4-非流动资产汇总'!D9=0,"",'4-非流动资产汇总'!D9)</f>
        <v/>
      </c>
      <c r="E26" s="29" t="str">
        <f t="shared" ca="1" si="0"/>
        <v/>
      </c>
      <c r="F26" s="334" t="str">
        <f t="shared" ca="1" si="1"/>
        <v/>
      </c>
    </row>
    <row r="27" spans="1:6" ht="14" customHeight="1">
      <c r="A27" s="46">
        <v>22</v>
      </c>
      <c r="B27" s="108" t="s">
        <v>880</v>
      </c>
      <c r="C27" s="29" t="str">
        <f ca="1">IF('4-非流动资产汇总'!C10=0,"",'4-非流动资产汇总'!C10)</f>
        <v/>
      </c>
      <c r="D27" s="29" t="str">
        <f ca="1">IF('4-非流动资产汇总'!D10=0,"",'4-非流动资产汇总'!D10)</f>
        <v/>
      </c>
      <c r="E27" s="29" t="str">
        <f ca="1">IF(ISERROR(D27-C27),"",IF(C27=0,"",D27-C27))</f>
        <v/>
      </c>
      <c r="F27" s="334" t="str">
        <f ca="1">IF(ISERROR(D27-C27),"",IF(C27=0,"",IF(E27="",0,ROUND(E27*100/C27,2))))</f>
        <v/>
      </c>
    </row>
    <row r="28" spans="1:6" ht="14" customHeight="1">
      <c r="A28" s="46">
        <v>23</v>
      </c>
      <c r="B28" s="108" t="s">
        <v>881</v>
      </c>
      <c r="C28" s="29" t="str">
        <f ca="1">IF('4-非流动资产汇总'!C11=0,"",'4-非流动资产汇总'!C11)</f>
        <v/>
      </c>
      <c r="D28" s="29" t="str">
        <f ca="1">IF('4-非流动资产汇总'!D11=0,"",'4-非流动资产汇总'!D11)</f>
        <v/>
      </c>
      <c r="E28" s="29" t="str">
        <f ca="1">IF(ISERROR(D28-C28),"",IF(C28=0,"",D28-C28))</f>
        <v/>
      </c>
      <c r="F28" s="334" t="str">
        <f ca="1">IF(ISERROR(D28-C28),"",IF(C28=0,"",IF(E28="",0,ROUND(E28*100/C28,2))))</f>
        <v/>
      </c>
    </row>
    <row r="29" spans="1:6" ht="14" customHeight="1">
      <c r="A29" s="46">
        <v>24</v>
      </c>
      <c r="B29" s="108" t="s">
        <v>360</v>
      </c>
      <c r="C29" s="29" t="str">
        <f ca="1">IF('4-非流动资产汇总'!C12=0,"",'4-非流动资产汇总'!C12)</f>
        <v/>
      </c>
      <c r="D29" s="29" t="str">
        <f ca="1">IF('4-非流动资产汇总'!D12=0,"",'4-非流动资产汇总'!D12)</f>
        <v/>
      </c>
      <c r="E29" s="29" t="str">
        <f t="shared" ca="1" si="0"/>
        <v/>
      </c>
      <c r="F29" s="334" t="str">
        <f t="shared" ca="1" si="1"/>
        <v/>
      </c>
    </row>
    <row r="30" spans="1:6" ht="14" customHeight="1">
      <c r="A30" s="46">
        <v>25</v>
      </c>
      <c r="B30" s="108" t="s">
        <v>361</v>
      </c>
      <c r="C30" s="29" t="str">
        <f ca="1">IF('4-非流动资产汇总'!C13=0,"",'4-非流动资产汇总'!C13)</f>
        <v/>
      </c>
      <c r="D30" s="29" t="str">
        <f ca="1">IF('4-非流动资产汇总'!D13=0,"",'4-非流动资产汇总'!D13)</f>
        <v/>
      </c>
      <c r="E30" s="29" t="str">
        <f t="shared" ca="1" si="0"/>
        <v/>
      </c>
      <c r="F30" s="334" t="str">
        <f t="shared" ca="1" si="1"/>
        <v/>
      </c>
    </row>
    <row r="31" spans="1:6" ht="14" customHeight="1">
      <c r="A31" s="46">
        <v>26</v>
      </c>
      <c r="B31" s="108" t="s">
        <v>362</v>
      </c>
      <c r="C31" s="29" t="str">
        <f ca="1">IF('4-非流动资产汇总'!C14=0,"",'4-非流动资产汇总'!C14)</f>
        <v/>
      </c>
      <c r="D31" s="29" t="str">
        <f ca="1">IF('4-非流动资产汇总'!D14=0,"",'4-非流动资产汇总'!D14)</f>
        <v/>
      </c>
      <c r="E31" s="29" t="str">
        <f t="shared" ca="1" si="0"/>
        <v/>
      </c>
      <c r="F31" s="334" t="str">
        <f t="shared" ca="1" si="1"/>
        <v/>
      </c>
    </row>
    <row r="32" spans="1:6" ht="14" customHeight="1">
      <c r="A32" s="46">
        <v>27</v>
      </c>
      <c r="B32" s="108" t="s">
        <v>363</v>
      </c>
      <c r="C32" s="29" t="str">
        <f ca="1">IF('4-非流动资产汇总'!C15=0,"",'4-非流动资产汇总'!C15)</f>
        <v/>
      </c>
      <c r="D32" s="29" t="str">
        <f ca="1">IF('4-非流动资产汇总'!D15=0,"",'4-非流动资产汇总'!D15)</f>
        <v/>
      </c>
      <c r="E32" s="29" t="str">
        <f t="shared" ca="1" si="0"/>
        <v/>
      </c>
      <c r="F32" s="334" t="str">
        <f t="shared" ca="1" si="1"/>
        <v/>
      </c>
    </row>
    <row r="33" spans="1:6" ht="14" customHeight="1">
      <c r="A33" s="46">
        <v>28</v>
      </c>
      <c r="B33" s="108" t="s">
        <v>364</v>
      </c>
      <c r="C33" s="29" t="str">
        <f ca="1">IF('4-非流动资产汇总'!C16=0,"",'4-非流动资产汇总'!C16)</f>
        <v/>
      </c>
      <c r="D33" s="29" t="str">
        <f ca="1">IF('4-非流动资产汇总'!D16=0,"",'4-非流动资产汇总'!D16)</f>
        <v/>
      </c>
      <c r="E33" s="29" t="str">
        <f t="shared" ca="1" si="0"/>
        <v/>
      </c>
      <c r="F33" s="334" t="str">
        <f t="shared" ca="1" si="1"/>
        <v/>
      </c>
    </row>
    <row r="34" spans="1:6" ht="14" customHeight="1">
      <c r="A34" s="46">
        <v>29</v>
      </c>
      <c r="B34" s="108" t="s">
        <v>365</v>
      </c>
      <c r="C34" s="29" t="str">
        <f ca="1">IF('4-非流动资产汇总'!C17=0,"",'4-非流动资产汇总'!C17)</f>
        <v/>
      </c>
      <c r="D34" s="29" t="str">
        <f ca="1">IF('4-非流动资产汇总'!D17=0,"",'4-非流动资产汇总'!D17)</f>
        <v/>
      </c>
      <c r="E34" s="29" t="str">
        <f t="shared" ca="1" si="0"/>
        <v/>
      </c>
      <c r="F34" s="334" t="str">
        <f t="shared" ca="1" si="1"/>
        <v/>
      </c>
    </row>
    <row r="35" spans="1:6" ht="14" customHeight="1">
      <c r="A35" s="46">
        <v>30</v>
      </c>
      <c r="B35" s="108" t="s">
        <v>366</v>
      </c>
      <c r="C35" s="29" t="str">
        <f ca="1">IF('4-非流动资产汇总'!C18=0,"",'4-非流动资产汇总'!C18)</f>
        <v/>
      </c>
      <c r="D35" s="29" t="str">
        <f ca="1">IF('4-非流动资产汇总'!D18=0,"",'4-非流动资产汇总'!D18)</f>
        <v/>
      </c>
      <c r="E35" s="29" t="str">
        <f t="shared" ca="1" si="0"/>
        <v/>
      </c>
      <c r="F35" s="334" t="str">
        <f t="shared" ca="1" si="1"/>
        <v/>
      </c>
    </row>
    <row r="36" spans="1:6" ht="14" customHeight="1">
      <c r="A36" s="46">
        <v>31</v>
      </c>
      <c r="B36" s="108" t="s">
        <v>914</v>
      </c>
      <c r="C36" s="29" t="str">
        <f ca="1">IF('4-非流动资产汇总'!C19=0,"",'4-非流动资产汇总'!C19)</f>
        <v/>
      </c>
      <c r="D36" s="29" t="str">
        <f ca="1">IF('4-非流动资产汇总'!D19=0,"",'4-非流动资产汇总'!D19)</f>
        <v/>
      </c>
      <c r="E36" s="29" t="str">
        <f t="shared" ca="1" si="0"/>
        <v/>
      </c>
      <c r="F36" s="334" t="str">
        <f t="shared" ca="1" si="1"/>
        <v/>
      </c>
    </row>
    <row r="37" spans="1:6" ht="14" customHeight="1">
      <c r="A37" s="46">
        <v>32</v>
      </c>
      <c r="B37" s="108" t="s">
        <v>367</v>
      </c>
      <c r="C37" s="29" t="str">
        <f ca="1">IF('4-非流动资产汇总'!C20=0,"",'4-非流动资产汇总'!C20)</f>
        <v/>
      </c>
      <c r="D37" s="29" t="str">
        <f ca="1">IF('4-非流动资产汇总'!D20=0,"",'4-非流动资产汇总'!D20)</f>
        <v/>
      </c>
      <c r="E37" s="29" t="str">
        <f t="shared" ca="1" si="0"/>
        <v/>
      </c>
      <c r="F37" s="334" t="str">
        <f t="shared" ca="1" si="1"/>
        <v/>
      </c>
    </row>
    <row r="38" spans="1:6" ht="14" customHeight="1">
      <c r="A38" s="46">
        <v>33</v>
      </c>
      <c r="B38" s="108" t="s">
        <v>368</v>
      </c>
      <c r="C38" s="29" t="str">
        <f ca="1">IF('4-非流动资产汇总'!C21=0,"",'4-非流动资产汇总'!C21)</f>
        <v/>
      </c>
      <c r="D38" s="29" t="str">
        <f ca="1">IF('4-非流动资产汇总'!D21=0,"",'4-非流动资产汇总'!D21)</f>
        <v/>
      </c>
      <c r="E38" s="29" t="str">
        <f t="shared" ca="1" si="0"/>
        <v/>
      </c>
      <c r="F38" s="334" t="str">
        <f t="shared" ca="1" si="1"/>
        <v/>
      </c>
    </row>
    <row r="39" spans="1:6" ht="14" customHeight="1">
      <c r="A39" s="46">
        <v>34</v>
      </c>
      <c r="B39" s="108" t="s">
        <v>369</v>
      </c>
      <c r="C39" s="29" t="str">
        <f ca="1">IF('4-非流动资产汇总'!C22=0,"",'4-非流动资产汇总'!C22)</f>
        <v/>
      </c>
      <c r="D39" s="29" t="str">
        <f ca="1">IF('4-非流动资产汇总'!D22=0,"",'4-非流动资产汇总'!D22)</f>
        <v/>
      </c>
      <c r="E39" s="29" t="str">
        <f t="shared" ca="1" si="0"/>
        <v/>
      </c>
      <c r="F39" s="334" t="str">
        <f t="shared" ca="1" si="1"/>
        <v/>
      </c>
    </row>
    <row r="40" spans="1:6" ht="14" customHeight="1">
      <c r="A40" s="46">
        <v>35</v>
      </c>
      <c r="B40" s="108" t="s">
        <v>370</v>
      </c>
      <c r="C40" s="29" t="str">
        <f ca="1">IF('4-非流动资产汇总'!C23=0,"",'4-非流动资产汇总'!C23)</f>
        <v/>
      </c>
      <c r="D40" s="29" t="str">
        <f ca="1">IF('4-非流动资产汇总'!D23=0,"",'4-非流动资产汇总'!D23)</f>
        <v/>
      </c>
      <c r="E40" s="29" t="str">
        <f t="shared" ca="1" si="0"/>
        <v/>
      </c>
      <c r="F40" s="334" t="str">
        <f t="shared" ca="1" si="1"/>
        <v/>
      </c>
    </row>
    <row r="41" spans="1:6" ht="14" customHeight="1">
      <c r="A41" s="46">
        <v>36</v>
      </c>
      <c r="B41" s="108" t="s">
        <v>371</v>
      </c>
      <c r="C41" s="29" t="str">
        <f ca="1">IF('4-非流动资产汇总'!C24=0,"",'4-非流动资产汇总'!C24)</f>
        <v/>
      </c>
      <c r="D41" s="29" t="str">
        <f ca="1">IF('4-非流动资产汇总'!D24=0,"",'4-非流动资产汇总'!D24)</f>
        <v/>
      </c>
      <c r="E41" s="29" t="str">
        <f t="shared" ca="1" si="0"/>
        <v/>
      </c>
      <c r="F41" s="334" t="str">
        <f t="shared" ca="1" si="1"/>
        <v/>
      </c>
    </row>
    <row r="42" spans="1:6" ht="14" customHeight="1">
      <c r="A42" s="46">
        <v>37</v>
      </c>
      <c r="B42" s="108" t="s">
        <v>372</v>
      </c>
      <c r="C42" s="29" t="str">
        <f ca="1">IF('4-非流动资产汇总'!C25=0,"",'4-非流动资产汇总'!C25)</f>
        <v/>
      </c>
      <c r="D42" s="29" t="str">
        <f ca="1">IF('4-非流动资产汇总'!D25=0,"",'4-非流动资产汇总'!D25)</f>
        <v/>
      </c>
      <c r="E42" s="29" t="str">
        <f t="shared" ca="1" si="0"/>
        <v/>
      </c>
      <c r="F42" s="334" t="str">
        <f t="shared" ca="1" si="1"/>
        <v/>
      </c>
    </row>
    <row r="43" spans="1:6" s="102" customFormat="1" ht="14.75" customHeight="1">
      <c r="A43" s="111">
        <v>38</v>
      </c>
      <c r="B43" s="228" t="s">
        <v>401</v>
      </c>
      <c r="C43" s="29">
        <f ca="1">IF(SUM(C6,C22)=0,"",SUM(C6,C22))</f>
        <v>39430993.810000002</v>
      </c>
      <c r="D43" s="29">
        <f ca="1">IF(SUM(D6,D22)=0,"",SUM(D6,D22))</f>
        <v>39430993.810000002</v>
      </c>
      <c r="E43" s="29">
        <f t="shared" ca="1" si="0"/>
        <v>0</v>
      </c>
      <c r="F43" s="334">
        <f t="shared" ca="1" si="1"/>
        <v>0</v>
      </c>
    </row>
    <row r="44" spans="1:6" s="102" customFormat="1" ht="14.75" customHeight="1">
      <c r="A44" s="111">
        <v>39</v>
      </c>
      <c r="B44" s="228" t="s">
        <v>402</v>
      </c>
      <c r="C44" s="29" t="str">
        <f ca="1">IF(SUM(C45,C46,C47,C48,C49,C50,C51,C52,C53,C54,C55,C56,C57,C58,C59)=0,"",SUM(C45,C46,C47,C48,C49,C50,C51,C52,C53,C54,C55,C56,C57,C58,C59))</f>
        <v/>
      </c>
      <c r="D44" s="29" t="str">
        <f ca="1">IF(SUM(D45,D46,D47,D48,D49,D50,D51,D52,D53,D54,D55,D56,D57,D58,D59)=0,"",SUM(D45,D46,D47,D48,D49,D50,D51,D52,D53,D54,D55,D56,D57,D58,D59))</f>
        <v/>
      </c>
      <c r="E44" s="29" t="str">
        <f t="shared" ca="1" si="0"/>
        <v/>
      </c>
      <c r="F44" s="334" t="str">
        <f t="shared" ca="1" si="1"/>
        <v/>
      </c>
    </row>
    <row r="45" spans="1:6" ht="14" customHeight="1">
      <c r="A45" s="46">
        <v>40</v>
      </c>
      <c r="B45" s="108" t="s">
        <v>44</v>
      </c>
      <c r="C45" s="29" t="str">
        <f ca="1">IF('5-流动负债汇总'!C6=0,"",'5-流动负债汇总'!C6)</f>
        <v/>
      </c>
      <c r="D45" s="29" t="str">
        <f ca="1">IF('5-流动负债汇总'!D6=0,"",'5-流动负债汇总'!D6)</f>
        <v/>
      </c>
      <c r="E45" s="29" t="str">
        <f t="shared" ca="1" si="0"/>
        <v/>
      </c>
      <c r="F45" s="334" t="str">
        <f t="shared" ca="1" si="1"/>
        <v/>
      </c>
    </row>
    <row r="46" spans="1:6" ht="14" customHeight="1">
      <c r="A46" s="46">
        <v>41</v>
      </c>
      <c r="B46" s="108" t="s">
        <v>386</v>
      </c>
      <c r="C46" s="29" t="str">
        <f ca="1">IF('5-流动负债汇总'!C7=0,"",'5-流动负债汇总'!C7)</f>
        <v/>
      </c>
      <c r="D46" s="29" t="str">
        <f ca="1">IF('5-流动负债汇总'!D7=0,"",'5-流动负债汇总'!D7)</f>
        <v/>
      </c>
      <c r="E46" s="29" t="str">
        <f t="shared" ca="1" si="0"/>
        <v/>
      </c>
      <c r="F46" s="334" t="str">
        <f t="shared" ca="1" si="1"/>
        <v/>
      </c>
    </row>
    <row r="47" spans="1:6" ht="14" customHeight="1">
      <c r="A47" s="46">
        <v>42</v>
      </c>
      <c r="B47" s="108" t="s">
        <v>882</v>
      </c>
      <c r="C47" s="29" t="str">
        <f ca="1">IF('5-流动负债汇总'!C8=0,"",'5-流动负债汇总'!C8)</f>
        <v/>
      </c>
      <c r="D47" s="29" t="str">
        <f ca="1">IF('5-流动负债汇总'!D8=0,"",'5-流动负债汇总'!D8)</f>
        <v/>
      </c>
      <c r="E47" s="29" t="str">
        <f ca="1">IF(ISERROR(D47-C47),"",IF(C47=0,"",D47-C47))</f>
        <v/>
      </c>
      <c r="F47" s="334" t="str">
        <f ca="1">IF(ISERROR(D47-C47),"",IF(C47=0,"",IF(E47="",0,ROUND(E47*100/C47,2))))</f>
        <v/>
      </c>
    </row>
    <row r="48" spans="1:6" ht="14" customHeight="1">
      <c r="A48" s="46">
        <v>43</v>
      </c>
      <c r="B48" s="108" t="s">
        <v>45</v>
      </c>
      <c r="C48" s="29" t="str">
        <f ca="1">IF('5-流动负债汇总'!C9=0,"",'5-流动负债汇总'!C9)</f>
        <v/>
      </c>
      <c r="D48" s="29" t="str">
        <f ca="1">IF('5-流动负债汇总'!D9=0,"",'5-流动负债汇总'!D9)</f>
        <v/>
      </c>
      <c r="E48" s="29" t="str">
        <f t="shared" ca="1" si="0"/>
        <v/>
      </c>
      <c r="F48" s="334" t="str">
        <f t="shared" ca="1" si="1"/>
        <v/>
      </c>
    </row>
    <row r="49" spans="1:6" ht="14" customHeight="1">
      <c r="A49" s="46">
        <v>44</v>
      </c>
      <c r="B49" s="108" t="s">
        <v>132</v>
      </c>
      <c r="C49" s="29" t="str">
        <f ca="1">IF('5-流动负债汇总'!C10=0,"",'5-流动负债汇总'!C10)</f>
        <v/>
      </c>
      <c r="D49" s="29" t="str">
        <f ca="1">IF('5-流动负债汇总'!D10=0,"",'5-流动负债汇总'!D10)</f>
        <v/>
      </c>
      <c r="E49" s="29" t="str">
        <f t="shared" ca="1" si="0"/>
        <v/>
      </c>
      <c r="F49" s="334" t="str">
        <f t="shared" ca="1" si="1"/>
        <v/>
      </c>
    </row>
    <row r="50" spans="1:6" ht="14" customHeight="1">
      <c r="A50" s="46">
        <v>45</v>
      </c>
      <c r="B50" s="108" t="s">
        <v>170</v>
      </c>
      <c r="C50" s="29" t="str">
        <f ca="1">IF('5-流动负债汇总'!C11=0,"",'5-流动负债汇总'!C11)</f>
        <v/>
      </c>
      <c r="D50" s="29" t="str">
        <f ca="1">IF('5-流动负债汇总'!D11=0,"",'5-流动负债汇总'!D11)</f>
        <v/>
      </c>
      <c r="E50" s="29" t="str">
        <f t="shared" ca="1" si="0"/>
        <v/>
      </c>
      <c r="F50" s="334" t="str">
        <f t="shared" ca="1" si="1"/>
        <v/>
      </c>
    </row>
    <row r="51" spans="1:6" ht="14" customHeight="1">
      <c r="A51" s="46">
        <v>46</v>
      </c>
      <c r="B51" s="108" t="s">
        <v>861</v>
      </c>
      <c r="C51" s="29" t="str">
        <f ca="1">IF('5-流动负债汇总'!C12=0,"",'5-流动负债汇总'!C12)</f>
        <v/>
      </c>
      <c r="D51" s="29" t="str">
        <f ca="1">IF('5-流动负债汇总'!D12=0,"",'5-流动负债汇总'!D12)</f>
        <v/>
      </c>
      <c r="E51" s="29" t="str">
        <f ca="1">IF(ISERROR(D51-C51),"",IF(C51=0,"",D51-C51))</f>
        <v/>
      </c>
      <c r="F51" s="334" t="str">
        <f ca="1">IF(ISERROR(D51-C51),"",IF(C51=0,"",IF(E51="",0,ROUND(E51*100/C51,2))))</f>
        <v/>
      </c>
    </row>
    <row r="52" spans="1:6" ht="14" customHeight="1">
      <c r="A52" s="46">
        <v>47</v>
      </c>
      <c r="B52" s="108" t="s">
        <v>387</v>
      </c>
      <c r="C52" s="29" t="str">
        <f ca="1">IF('5-流动负债汇总'!C13=0,"",'5-流动负债汇总'!C13)</f>
        <v/>
      </c>
      <c r="D52" s="29" t="str">
        <f ca="1">IF('5-流动负债汇总'!D13=0,"",'5-流动负债汇总'!D13)</f>
        <v/>
      </c>
      <c r="E52" s="29" t="str">
        <f t="shared" ca="1" si="0"/>
        <v/>
      </c>
      <c r="F52" s="334" t="str">
        <f t="shared" ca="1" si="1"/>
        <v/>
      </c>
    </row>
    <row r="53" spans="1:6" ht="14" customHeight="1">
      <c r="A53" s="46">
        <v>48</v>
      </c>
      <c r="B53" s="108" t="s">
        <v>231</v>
      </c>
      <c r="C53" s="29" t="str">
        <f ca="1">IF('5-流动负债汇总'!C14=0,"",'5-流动负债汇总'!C14)</f>
        <v/>
      </c>
      <c r="D53" s="29" t="str">
        <f ca="1">IF('5-流动负债汇总'!D14=0,"",'5-流动负债汇总'!D14)</f>
        <v/>
      </c>
      <c r="E53" s="29" t="str">
        <f t="shared" ca="1" si="0"/>
        <v/>
      </c>
      <c r="F53" s="334" t="str">
        <f t="shared" ca="1" si="1"/>
        <v/>
      </c>
    </row>
    <row r="54" spans="1:6" ht="14" customHeight="1">
      <c r="A54" s="46">
        <v>49</v>
      </c>
      <c r="B54" s="108" t="s">
        <v>232</v>
      </c>
      <c r="C54" s="29" t="str">
        <f ca="1">IF('5-流动负债汇总'!C15=0,"",'5-流动负债汇总'!C15)</f>
        <v/>
      </c>
      <c r="D54" s="29" t="str">
        <f ca="1">IF('5-流动负债汇总'!D15=0,"",'5-流动负债汇总'!D15)</f>
        <v/>
      </c>
      <c r="E54" s="29" t="str">
        <f t="shared" ca="1" si="0"/>
        <v/>
      </c>
      <c r="F54" s="334" t="str">
        <f t="shared" ca="1" si="1"/>
        <v/>
      </c>
    </row>
    <row r="55" spans="1:6" ht="14" customHeight="1">
      <c r="A55" s="46">
        <v>50</v>
      </c>
      <c r="B55" s="108" t="s">
        <v>403</v>
      </c>
      <c r="C55" s="29" t="str">
        <f ca="1">IF('5-流动负债汇总'!C16=0,"",'5-流动负债汇总'!C16)</f>
        <v/>
      </c>
      <c r="D55" s="29" t="str">
        <f ca="1">IF('5-流动负债汇总'!D16=0,"",'5-流动负债汇总'!D16)</f>
        <v/>
      </c>
      <c r="E55" s="29" t="str">
        <f t="shared" ca="1" si="0"/>
        <v/>
      </c>
      <c r="F55" s="334" t="str">
        <f t="shared" ca="1" si="1"/>
        <v/>
      </c>
    </row>
    <row r="56" spans="1:6" ht="14" customHeight="1">
      <c r="A56" s="46">
        <v>51</v>
      </c>
      <c r="B56" s="108" t="s">
        <v>233</v>
      </c>
      <c r="C56" s="29" t="str">
        <f ca="1">IF('5-流动负债汇总'!C17=0,"",'5-流动负债汇总'!C17)</f>
        <v/>
      </c>
      <c r="D56" s="29" t="str">
        <f ca="1">IF('5-流动负债汇总'!D17=0,"",'5-流动负债汇总'!D17)</f>
        <v/>
      </c>
      <c r="E56" s="29" t="str">
        <f t="shared" ca="1" si="0"/>
        <v/>
      </c>
      <c r="F56" s="334" t="str">
        <f t="shared" ca="1" si="1"/>
        <v/>
      </c>
    </row>
    <row r="57" spans="1:6" ht="14" customHeight="1">
      <c r="A57" s="46">
        <v>52</v>
      </c>
      <c r="B57" s="108" t="s">
        <v>862</v>
      </c>
      <c r="C57" s="29" t="str">
        <f ca="1">IF('5-流动负债汇总'!C18=0,"",'5-流动负债汇总'!C18)</f>
        <v/>
      </c>
      <c r="D57" s="29" t="str">
        <f ca="1">IF('5-流动负债汇总'!D18=0,"",'5-流动负债汇总'!D18)</f>
        <v/>
      </c>
      <c r="E57" s="29" t="str">
        <f ca="1">IF(ISERROR(D57-C57),"",IF(C57=0,"",D57-C57))</f>
        <v/>
      </c>
      <c r="F57" s="334" t="str">
        <f ca="1">IF(ISERROR(D57-C57),"",IF(C57=0,"",IF(E57="",0,ROUND(E57*100/C57,2))))</f>
        <v/>
      </c>
    </row>
    <row r="58" spans="1:6" ht="14" customHeight="1">
      <c r="A58" s="46">
        <v>53</v>
      </c>
      <c r="B58" s="108" t="s">
        <v>234</v>
      </c>
      <c r="C58" s="29" t="str">
        <f ca="1">IF('5-流动负债汇总'!C19=0,"",'5-流动负债汇总'!C19)</f>
        <v/>
      </c>
      <c r="D58" s="29" t="str">
        <f ca="1">IF('5-流动负债汇总'!D19=0,"",'5-流动负债汇总'!D19)</f>
        <v/>
      </c>
      <c r="E58" s="29" t="str">
        <f t="shared" ca="1" si="0"/>
        <v/>
      </c>
      <c r="F58" s="334" t="str">
        <f t="shared" ca="1" si="1"/>
        <v/>
      </c>
    </row>
    <row r="59" spans="1:6" ht="14" customHeight="1">
      <c r="A59" s="46">
        <v>54</v>
      </c>
      <c r="B59" s="108" t="s">
        <v>235</v>
      </c>
      <c r="C59" s="29" t="str">
        <f ca="1">IF('5-流动负债汇总'!C20=0,"",'5-流动负债汇总'!C20)</f>
        <v/>
      </c>
      <c r="D59" s="29" t="str">
        <f ca="1">IF('5-流动负债汇总'!D20=0,"",'5-流动负债汇总'!D20)</f>
        <v/>
      </c>
      <c r="E59" s="29" t="str">
        <f t="shared" ca="1" si="0"/>
        <v/>
      </c>
      <c r="F59" s="334" t="str">
        <f t="shared" ca="1" si="1"/>
        <v/>
      </c>
    </row>
    <row r="60" spans="1:6" s="102" customFormat="1" ht="14.75" customHeight="1">
      <c r="A60" s="111">
        <v>55</v>
      </c>
      <c r="B60" s="228" t="s">
        <v>404</v>
      </c>
      <c r="C60" s="29" t="str">
        <f ca="1">IF(SUM(C61,C62,C63,C64,C65,C66,C67,C68)=0,"",SUM(C61,C62,C63,C64,C65,C66,C67,C68))</f>
        <v/>
      </c>
      <c r="D60" s="29" t="str">
        <f ca="1">IF(SUM(D61,D62,D63,D64,D65,D66,D67,D68)=0,"",SUM(D61,D62,D63,D64,D65,D66,D67,D68))</f>
        <v/>
      </c>
      <c r="E60" s="29" t="str">
        <f t="shared" ca="1" si="0"/>
        <v/>
      </c>
      <c r="F60" s="334" t="str">
        <f t="shared" ca="1" si="1"/>
        <v/>
      </c>
    </row>
    <row r="61" spans="1:6" ht="14.25" customHeight="1">
      <c r="A61" s="46">
        <v>56</v>
      </c>
      <c r="B61" s="108" t="s">
        <v>47</v>
      </c>
      <c r="C61" s="29" t="str">
        <f ca="1">IF('6-非流动负债汇总 '!C6=0,"",'6-非流动负债汇总 '!C6)</f>
        <v/>
      </c>
      <c r="D61" s="29" t="str">
        <f ca="1">IF('6-非流动负债汇总 '!D6=0,"",'6-非流动负债汇总 '!D6)</f>
        <v/>
      </c>
      <c r="E61" s="29" t="str">
        <f t="shared" ca="1" si="0"/>
        <v/>
      </c>
      <c r="F61" s="334" t="str">
        <f t="shared" ca="1" si="1"/>
        <v/>
      </c>
    </row>
    <row r="62" spans="1:6" ht="14.25" customHeight="1">
      <c r="A62" s="46">
        <v>57</v>
      </c>
      <c r="B62" s="108" t="s">
        <v>263</v>
      </c>
      <c r="C62" s="29" t="str">
        <f ca="1">IF('6-非流动负债汇总 '!C7=0,"",'6-非流动负债汇总 '!C7)</f>
        <v/>
      </c>
      <c r="D62" s="29" t="str">
        <f ca="1">IF('6-非流动负债汇总 '!D7=0,"",'6-非流动负债汇总 '!D7)</f>
        <v/>
      </c>
      <c r="E62" s="29" t="str">
        <f t="shared" ca="1" si="0"/>
        <v/>
      </c>
      <c r="F62" s="334" t="str">
        <f t="shared" ca="1" si="1"/>
        <v/>
      </c>
    </row>
    <row r="63" spans="1:6" ht="14.25" customHeight="1">
      <c r="A63" s="46">
        <v>58</v>
      </c>
      <c r="B63" s="108" t="s">
        <v>866</v>
      </c>
      <c r="C63" s="29" t="str">
        <f ca="1">IF('6-非流动负债汇总 '!C8=0,"",'6-非流动负债汇总 '!C8)</f>
        <v/>
      </c>
      <c r="D63" s="29" t="str">
        <f ca="1">IF('6-非流动负债汇总 '!D8=0,"",'6-非流动负债汇总 '!D8)</f>
        <v/>
      </c>
      <c r="E63" s="29" t="str">
        <f ca="1">IF(ISERROR(D63-C63),"",IF(C63=0,"",D63-C63))</f>
        <v/>
      </c>
      <c r="F63" s="334" t="str">
        <f ca="1">IF(ISERROR(D63-C63),"",IF(C63=0,"",IF(E63="",0,ROUND(E63*100/C63,2))))</f>
        <v/>
      </c>
    </row>
    <row r="64" spans="1:6" ht="14.25" customHeight="1">
      <c r="A64" s="46">
        <v>59</v>
      </c>
      <c r="B64" s="108" t="s">
        <v>48</v>
      </c>
      <c r="C64" s="29" t="str">
        <f ca="1">IF('6-非流动负债汇总 '!C9=0,"",'6-非流动负债汇总 '!C9)</f>
        <v/>
      </c>
      <c r="D64" s="29" t="str">
        <f ca="1">IF('6-非流动负债汇总 '!D9=0,"",'6-非流动负债汇总 '!D9)</f>
        <v/>
      </c>
      <c r="E64" s="29" t="str">
        <f t="shared" ca="1" si="0"/>
        <v/>
      </c>
      <c r="F64" s="334" t="str">
        <f t="shared" ca="1" si="1"/>
        <v/>
      </c>
    </row>
    <row r="65" spans="1:6" ht="14.25" customHeight="1">
      <c r="A65" s="46">
        <v>60</v>
      </c>
      <c r="B65" s="108" t="s">
        <v>264</v>
      </c>
      <c r="C65" s="29" t="str">
        <f ca="1">IF('6-非流动负债汇总 '!C10=0,"",'6-非流动负债汇总 '!C10)</f>
        <v/>
      </c>
      <c r="D65" s="29" t="str">
        <f ca="1">IF('6-非流动负债汇总 '!D10=0,"",'6-非流动负债汇总 '!D10)</f>
        <v/>
      </c>
      <c r="E65" s="29" t="str">
        <f t="shared" ca="1" si="0"/>
        <v/>
      </c>
      <c r="F65" s="334" t="str">
        <f t="shared" ca="1" si="1"/>
        <v/>
      </c>
    </row>
    <row r="66" spans="1:6" ht="14.25" customHeight="1">
      <c r="A66" s="46">
        <v>61</v>
      </c>
      <c r="B66" s="108" t="s">
        <v>265</v>
      </c>
      <c r="C66" s="29" t="str">
        <f ca="1">IF('6-非流动负债汇总 '!C11=0,"",'6-非流动负债汇总 '!C11)</f>
        <v/>
      </c>
      <c r="D66" s="29" t="str">
        <f ca="1">IF('6-非流动负债汇总 '!D11=0,"",'6-非流动负债汇总 '!D11)</f>
        <v/>
      </c>
      <c r="E66" s="29" t="str">
        <f t="shared" ca="1" si="0"/>
        <v/>
      </c>
      <c r="F66" s="334" t="str">
        <f t="shared" ca="1" si="1"/>
        <v/>
      </c>
    </row>
    <row r="67" spans="1:6" ht="14.25" customHeight="1">
      <c r="A67" s="46">
        <v>62</v>
      </c>
      <c r="B67" s="108" t="s">
        <v>266</v>
      </c>
      <c r="C67" s="29" t="str">
        <f ca="1">IF('6-非流动负债汇总 '!C12=0,"",'6-非流动负债汇总 '!C12)</f>
        <v/>
      </c>
      <c r="D67" s="29" t="str">
        <f ca="1">IF('6-非流动负债汇总 '!D12=0,"",'6-非流动负债汇总 '!D12)</f>
        <v/>
      </c>
      <c r="E67" s="29" t="str">
        <f t="shared" ca="1" si="0"/>
        <v/>
      </c>
      <c r="F67" s="334" t="str">
        <f t="shared" ca="1" si="1"/>
        <v/>
      </c>
    </row>
    <row r="68" spans="1:6" ht="14.25" customHeight="1">
      <c r="A68" s="46">
        <v>63</v>
      </c>
      <c r="B68" s="108" t="s">
        <v>267</v>
      </c>
      <c r="C68" s="29" t="str">
        <f ca="1">IF('6-非流动负债汇总 '!C13=0,"",'6-非流动负债汇总 '!C13)</f>
        <v/>
      </c>
      <c r="D68" s="29" t="str">
        <f ca="1">IF('6-非流动负债汇总 '!D13=0,"",'6-非流动负债汇总 '!D13)</f>
        <v/>
      </c>
      <c r="E68" s="29" t="str">
        <f t="shared" ca="1" si="0"/>
        <v/>
      </c>
      <c r="F68" s="334" t="str">
        <f t="shared" ca="1" si="1"/>
        <v/>
      </c>
    </row>
    <row r="69" spans="1:6" s="102" customFormat="1" ht="14.75" customHeight="1">
      <c r="A69" s="111">
        <v>64</v>
      </c>
      <c r="B69" s="228" t="s">
        <v>405</v>
      </c>
      <c r="C69" s="29" t="str">
        <f ca="1">IF(SUM(C44,C60)=0,"",SUM(C44,C60))</f>
        <v/>
      </c>
      <c r="D69" s="29" t="str">
        <f ca="1">IF(SUM(D44,D60)=0,"",SUM(D44,D60))</f>
        <v/>
      </c>
      <c r="E69" s="29" t="str">
        <f t="shared" ca="1" si="0"/>
        <v/>
      </c>
      <c r="F69" s="334" t="str">
        <f t="shared" ca="1" si="1"/>
        <v/>
      </c>
    </row>
    <row r="70" spans="1:6" s="102" customFormat="1" ht="14.75" customHeight="1">
      <c r="A70" s="111">
        <v>65</v>
      </c>
      <c r="B70" s="228" t="s">
        <v>406</v>
      </c>
      <c r="C70" s="29">
        <f ca="1">IF(SUM(C6,C22)-SUM(C44,C60)=0,"",SUM(C6,C22)-SUM(C44,C60))</f>
        <v>39430993.810000002</v>
      </c>
      <c r="D70" s="29">
        <f ca="1">IF(SUM(D6,D22)-SUM(D44,D60)=0,"",SUM(D6,D22)-SUM(D44,D60))</f>
        <v>39430993.810000002</v>
      </c>
      <c r="E70" s="29">
        <f ca="1">IF(ISERROR(D70-C70),"",IF(C70=0,"",D70-C70))</f>
        <v>0</v>
      </c>
      <c r="F70" s="334">
        <f t="shared" ca="1" si="1"/>
        <v>0</v>
      </c>
    </row>
    <row r="71" spans="1:6" s="103" customFormat="1" ht="16.5" customHeight="1">
      <c r="D71" s="25"/>
      <c r="E71" s="25"/>
      <c r="F71" s="25"/>
    </row>
  </sheetData>
  <sheetProtection formatColumns="0"/>
  <mergeCells count="2">
    <mergeCell ref="A1:F1"/>
    <mergeCell ref="A2:F2"/>
  </mergeCells>
  <phoneticPr fontId="6" type="noConversion"/>
  <printOptions horizontalCentered="1" verticalCentered="1"/>
  <pageMargins left="1.3779527559055118" right="0.98425196850393704" top="0.6692913385826772" bottom="0.86614173228346458" header="1.0629921259842521" footer="1.0629921259842521"/>
  <pageSetup paperSize="9" fitToHeight="0" orientation="landscape" blackAndWhite="1" horizontalDpi="1200" verticalDpi="1200" r:id="rId1"/>
  <headerFooter scaleWithDoc="0">
    <oddFooter>&amp;C&amp;10　　　　　　　　　　　　　　　　　　　　　　　　　　　　评估机构：江苏华信资产评估有限公司_x000D_</oddFooter>
  </headerFooter>
  <rowBreaks count="2" manualBreakCount="2">
    <brk id="29" max="5" man="1"/>
    <brk id="53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12700</xdr:rowOff>
                  </from>
                  <to>
                    <xdr:col>2</xdr:col>
                    <xdr:colOff>292100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07EF-735B-4EB9-B04D-DF2876DB659D}">
  <sheetPr codeName="Sheet9">
    <pageSetUpPr fitToPage="1"/>
  </sheetPr>
  <dimension ref="A1:F32"/>
  <sheetViews>
    <sheetView zoomScaleNormal="100" workbookViewId="0">
      <pane ySplit="5" topLeftCell="A10" activePane="bottomLeft" state="frozen"/>
      <selection pane="bottomLeft" activeCell="H16" sqref="H16"/>
    </sheetView>
  </sheetViews>
  <sheetFormatPr baseColWidth="10" defaultColWidth="9" defaultRowHeight="15.75" customHeight="1"/>
  <cols>
    <col min="1" max="1" width="7.5" style="81" customWidth="1"/>
    <col min="2" max="2" width="24.1640625" style="81" customWidth="1"/>
    <col min="3" max="3" width="20.5" style="81" customWidth="1"/>
    <col min="4" max="4" width="20.1640625" style="81" customWidth="1"/>
    <col min="5" max="5" width="17.6640625" style="81" customWidth="1"/>
    <col min="6" max="6" width="17.5" style="81" customWidth="1"/>
    <col min="7" max="16384" width="9" style="81"/>
  </cols>
  <sheetData>
    <row r="1" spans="1:6" s="80" customFormat="1" ht="30" customHeight="1">
      <c r="A1" s="374" t="s">
        <v>545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6"/>
      <c r="C2" s="376"/>
      <c r="D2" s="376"/>
      <c r="E2" s="376"/>
      <c r="F2" s="376"/>
    </row>
    <row r="3" spans="1:6" ht="14.25" customHeight="1">
      <c r="A3" s="42"/>
      <c r="B3" s="42"/>
      <c r="C3" s="42"/>
      <c r="D3" s="40"/>
      <c r="E3" s="40"/>
      <c r="F3" s="85" t="s">
        <v>291</v>
      </c>
    </row>
    <row r="4" spans="1:6" s="104" customFormat="1" ht="15.75" customHeight="1">
      <c r="A4" s="125" t="str">
        <f>'1-汇总表'!A4</f>
        <v>被评估单位：A有限公司</v>
      </c>
      <c r="B4" s="125"/>
      <c r="C4" s="125"/>
      <c r="D4" s="126"/>
      <c r="E4" s="126"/>
      <c r="F4" s="127" t="s">
        <v>6</v>
      </c>
    </row>
    <row r="5" spans="1:6" s="101" customFormat="1" ht="15.75" customHeight="1">
      <c r="A5" s="128" t="s">
        <v>57</v>
      </c>
      <c r="B5" s="128" t="s">
        <v>5</v>
      </c>
      <c r="C5" s="129" t="s">
        <v>117</v>
      </c>
      <c r="D5" s="128" t="s">
        <v>0</v>
      </c>
      <c r="E5" s="130" t="s">
        <v>1</v>
      </c>
      <c r="F5" s="128" t="s">
        <v>479</v>
      </c>
    </row>
    <row r="6" spans="1:6" ht="15.75" customHeight="1">
      <c r="A6" s="109" t="s">
        <v>10</v>
      </c>
      <c r="B6" s="110" t="s">
        <v>290</v>
      </c>
      <c r="C6" s="29">
        <f ca="1">IF('表3-1货币汇总表'!C26=0,"",'表3-1货币汇总表'!C26)</f>
        <v>39430993.810000002</v>
      </c>
      <c r="D6" s="29">
        <f ca="1">IF('表3-1货币汇总表'!D26=0,"",'表3-1货币汇总表'!D26)</f>
        <v>39430993.810000002</v>
      </c>
      <c r="E6" s="29">
        <f ca="1">IF(ISERROR(D6-C6),"",IF(D6=0,"",D6-C6))</f>
        <v>0</v>
      </c>
      <c r="F6" s="334">
        <f t="shared" ref="F6:F20" ca="1" si="0">IF(ISERROR(D6-C6),"",IF(C6=0,"",IF(E6="",0,ROUND(E6*100/C6,2))))</f>
        <v>0</v>
      </c>
    </row>
    <row r="7" spans="1:6" ht="15.75" customHeight="1">
      <c r="A7" s="109" t="s">
        <v>11</v>
      </c>
      <c r="B7" s="110" t="s">
        <v>169</v>
      </c>
      <c r="C7" s="29" t="str">
        <f ca="1">IF('3-2交易性金融资产汇总'!C26=0,"",'3-2交易性金融资产汇总'!C26)</f>
        <v/>
      </c>
      <c r="D7" s="29" t="str">
        <f ca="1">IF('3-2交易性金融资产汇总'!D26=0,"",'3-2交易性金融资产汇总'!D26)</f>
        <v/>
      </c>
      <c r="E7" s="29" t="str">
        <f t="shared" ref="E7:E20" ca="1" si="1">IF(ISERROR(D7-C7),"",IF(D7=0,"",D7-C7))</f>
        <v/>
      </c>
      <c r="F7" s="334" t="str">
        <f t="shared" ca="1" si="0"/>
        <v/>
      </c>
    </row>
    <row r="8" spans="1:6" ht="15.75" customHeight="1">
      <c r="A8" s="109" t="s">
        <v>12</v>
      </c>
      <c r="B8" s="328" t="s">
        <v>848</v>
      </c>
      <c r="C8" s="29" t="str">
        <f ca="1">IF('3-3衍生金融资产'!H26=0,"",'3-3衍生金融资产'!H26)</f>
        <v/>
      </c>
      <c r="D8" s="29" t="str">
        <f ca="1">IF('3-3衍生金融资产'!I26=0,"",'3-3衍生金融资产'!I26)</f>
        <v/>
      </c>
      <c r="E8" s="29" t="str">
        <f ca="1">IF(ISERROR(D8-C8),"",IF(D8=0,"",D8-C8))</f>
        <v/>
      </c>
      <c r="F8" s="334" t="str">
        <f t="shared" ca="1" si="0"/>
        <v/>
      </c>
    </row>
    <row r="9" spans="1:6" ht="15.75" customHeight="1">
      <c r="A9" s="109" t="s">
        <v>13</v>
      </c>
      <c r="B9" s="110" t="s">
        <v>46</v>
      </c>
      <c r="C9" s="29" t="str">
        <f ca="1">IF('3-4应收票据'!F26=0,"",'3-4应收票据'!F26)</f>
        <v/>
      </c>
      <c r="D9" s="29" t="str">
        <f ca="1">IF('3-4应收票据'!G26=0,"",'3-4应收票据'!G26)</f>
        <v/>
      </c>
      <c r="E9" s="29" t="str">
        <f t="shared" ca="1" si="1"/>
        <v/>
      </c>
      <c r="F9" s="334" t="str">
        <f t="shared" ca="1" si="0"/>
        <v/>
      </c>
    </row>
    <row r="10" spans="1:6" ht="15.75" customHeight="1">
      <c r="A10" s="109" t="s">
        <v>14</v>
      </c>
      <c r="B10" s="110" t="s">
        <v>287</v>
      </c>
      <c r="C10" s="29" t="str">
        <f ca="1">IF('3-5应收账款'!F26=0,"",'3-5应收账款'!F26)</f>
        <v/>
      </c>
      <c r="D10" s="29" t="str">
        <f ca="1">IF('3-5应收账款'!G26=0,"",'3-5应收账款'!G26)</f>
        <v/>
      </c>
      <c r="E10" s="29" t="str">
        <f t="shared" ca="1" si="1"/>
        <v/>
      </c>
      <c r="F10" s="334" t="str">
        <f t="shared" ca="1" si="0"/>
        <v/>
      </c>
    </row>
    <row r="11" spans="1:6" ht="15.75" customHeight="1">
      <c r="A11" s="109" t="s">
        <v>15</v>
      </c>
      <c r="B11" s="328" t="s">
        <v>849</v>
      </c>
      <c r="C11" s="29" t="str">
        <f ca="1">IF('3-6应收款项融资'!G26=0,"",'3-6应收款项融资'!G26)</f>
        <v/>
      </c>
      <c r="D11" s="29" t="str">
        <f ca="1">IF('3-6应收款项融资'!H26=0,"",'3-6应收款项融资'!H26)</f>
        <v/>
      </c>
      <c r="E11" s="29" t="str">
        <f ca="1">IF(ISERROR(D11-C11),"",IF(D11=0,"",D11-C11))</f>
        <v/>
      </c>
      <c r="F11" s="334" t="str">
        <f t="shared" ca="1" si="0"/>
        <v/>
      </c>
    </row>
    <row r="12" spans="1:6" ht="15.75" customHeight="1">
      <c r="A12" s="109" t="s">
        <v>16</v>
      </c>
      <c r="B12" s="110" t="s">
        <v>283</v>
      </c>
      <c r="C12" s="29" t="str">
        <f ca="1">IF('3-7预付账款'!F26=0,"",'3-7预付账款'!F26)</f>
        <v/>
      </c>
      <c r="D12" s="29" t="str">
        <f ca="1">IF('3-7预付账款'!G26=0,"",'3-7预付账款'!G26)</f>
        <v/>
      </c>
      <c r="E12" s="29" t="str">
        <f t="shared" ca="1" si="1"/>
        <v/>
      </c>
      <c r="F12" s="334" t="str">
        <f t="shared" ca="1" si="0"/>
        <v/>
      </c>
    </row>
    <row r="13" spans="1:6" ht="15.75" customHeight="1">
      <c r="A13" s="109" t="s">
        <v>17</v>
      </c>
      <c r="B13" s="110" t="s">
        <v>284</v>
      </c>
      <c r="C13" s="29" t="str">
        <f ca="1">IF('3-8应收利息'!G26=0,"",'3-8应收利息'!G26)</f>
        <v/>
      </c>
      <c r="D13" s="29" t="str">
        <f ca="1">IF('3-8应收利息'!H26=0,"",'3-8应收利息'!H26)</f>
        <v/>
      </c>
      <c r="E13" s="29" t="str">
        <f t="shared" ca="1" si="1"/>
        <v/>
      </c>
      <c r="F13" s="334" t="str">
        <f t="shared" ca="1" si="0"/>
        <v/>
      </c>
    </row>
    <row r="14" spans="1:6" ht="15.75" customHeight="1">
      <c r="A14" s="109" t="s">
        <v>18</v>
      </c>
      <c r="B14" s="110" t="s">
        <v>8</v>
      </c>
      <c r="C14" s="29" t="str">
        <f ca="1">IF('3-9应收股利'!E46=0,"",'3-9应收股利'!E46)</f>
        <v/>
      </c>
      <c r="D14" s="29" t="str">
        <f ca="1">IF('3-9应收股利'!F46=0,"",'3-9应收股利'!F46)</f>
        <v/>
      </c>
      <c r="E14" s="29" t="str">
        <f t="shared" ca="1" si="1"/>
        <v/>
      </c>
      <c r="F14" s="334" t="str">
        <f t="shared" ca="1" si="0"/>
        <v/>
      </c>
    </row>
    <row r="15" spans="1:6" ht="15.75" customHeight="1">
      <c r="A15" s="109" t="s">
        <v>19</v>
      </c>
      <c r="B15" s="110" t="s">
        <v>288</v>
      </c>
      <c r="C15" s="29" t="str">
        <f ca="1">IF('3-10其他应收款'!F26=0,"",'3-10其他应收款'!F26)</f>
        <v/>
      </c>
      <c r="D15" s="29" t="str">
        <f ca="1">IF('3-10其他应收款'!G26=0,"",'3-10其他应收款'!G26)</f>
        <v/>
      </c>
      <c r="E15" s="29" t="str">
        <f t="shared" ca="1" si="1"/>
        <v/>
      </c>
      <c r="F15" s="334" t="str">
        <f t="shared" ca="1" si="0"/>
        <v/>
      </c>
    </row>
    <row r="16" spans="1:6" ht="15.75" customHeight="1">
      <c r="A16" s="109" t="s">
        <v>20</v>
      </c>
      <c r="B16" s="110" t="s">
        <v>289</v>
      </c>
      <c r="C16" s="29" t="str">
        <f ca="1">IF('3-11存货汇总'!C28=0,"",'3-11存货汇总'!C28)</f>
        <v/>
      </c>
      <c r="D16" s="29" t="str">
        <f ca="1">IF('3-11存货汇总'!D28=0,"",'3-11存货汇总'!D28)</f>
        <v/>
      </c>
      <c r="E16" s="29" t="str">
        <f t="shared" ca="1" si="1"/>
        <v/>
      </c>
      <c r="F16" s="334" t="str">
        <f t="shared" ca="1" si="0"/>
        <v/>
      </c>
    </row>
    <row r="17" spans="1:6" ht="15.75" customHeight="1">
      <c r="A17" s="109" t="s">
        <v>850</v>
      </c>
      <c r="B17" s="328" t="s">
        <v>852</v>
      </c>
      <c r="C17" s="29" t="str">
        <f ca="1">IF('3-12合同资产'!F26=0,"",'3-12合同资产'!F26)</f>
        <v/>
      </c>
      <c r="D17" s="29" t="str">
        <f ca="1">IF('3-12合同资产'!G26=0,"",'3-12合同资产'!G26)</f>
        <v/>
      </c>
      <c r="E17" s="29" t="str">
        <f ca="1">IF(ISERROR(D17-C17),"",IF(D17=0,"",D17-C17))</f>
        <v/>
      </c>
      <c r="F17" s="334" t="str">
        <f t="shared" ca="1" si="0"/>
        <v/>
      </c>
    </row>
    <row r="18" spans="1:6" ht="15.75" customHeight="1">
      <c r="A18" s="109" t="s">
        <v>851</v>
      </c>
      <c r="B18" s="328" t="s">
        <v>853</v>
      </c>
      <c r="C18" s="29" t="str">
        <f ca="1">IF('3-13持有待售资产'!F26=0,"",'3-13持有待售资产'!F26)</f>
        <v/>
      </c>
      <c r="D18" s="29" t="str">
        <f ca="1">IF('3-13持有待售资产'!G26=0,"",'3-13持有待售资产'!G26)</f>
        <v/>
      </c>
      <c r="E18" s="29" t="str">
        <f ca="1">IF(ISERROR(D18-C18),"",IF(D18=0,"",D18-C18))</f>
        <v/>
      </c>
      <c r="F18" s="334" t="str">
        <f t="shared" ca="1" si="0"/>
        <v/>
      </c>
    </row>
    <row r="19" spans="1:6" ht="15.75" customHeight="1">
      <c r="A19" s="109" t="s">
        <v>854</v>
      </c>
      <c r="B19" s="110" t="s">
        <v>285</v>
      </c>
      <c r="C19" s="29" t="str">
        <f ca="1">IF('3-14一年到期非流动资产'!E26=0,"",'3-14一年到期非流动资产'!E26)</f>
        <v/>
      </c>
      <c r="D19" s="29" t="str">
        <f ca="1">IF('3-14一年到期非流动资产'!F26=0,"",'3-14一年到期非流动资产'!F26)</f>
        <v/>
      </c>
      <c r="E19" s="29" t="str">
        <f t="shared" ca="1" si="1"/>
        <v/>
      </c>
      <c r="F19" s="334" t="str">
        <f t="shared" ca="1" si="0"/>
        <v/>
      </c>
    </row>
    <row r="20" spans="1:6" ht="15.75" customHeight="1">
      <c r="A20" s="109" t="s">
        <v>855</v>
      </c>
      <c r="B20" s="110" t="s">
        <v>286</v>
      </c>
      <c r="C20" s="29" t="str">
        <f ca="1">IF('3-15其他流动资产'!F26=0,"",'3-15其他流动资产'!F26)</f>
        <v/>
      </c>
      <c r="D20" s="29" t="str">
        <f ca="1">IF('3-15其他流动资产'!G26=0,"",'3-15其他流动资产'!G26)</f>
        <v/>
      </c>
      <c r="E20" s="29" t="str">
        <f t="shared" ca="1" si="1"/>
        <v/>
      </c>
      <c r="F20" s="334" t="str">
        <f t="shared" ca="1" si="0"/>
        <v/>
      </c>
    </row>
    <row r="21" spans="1:6" ht="15.75" customHeight="1">
      <c r="A21" s="1"/>
      <c r="B21" s="99"/>
      <c r="C21" s="32"/>
      <c r="D21" s="29"/>
      <c r="E21" s="29"/>
      <c r="F21" s="334"/>
    </row>
    <row r="22" spans="1:6" ht="15.75" customHeight="1">
      <c r="A22" s="1"/>
      <c r="B22" s="99"/>
      <c r="C22" s="32"/>
      <c r="D22" s="29"/>
      <c r="E22" s="32"/>
      <c r="F22" s="335"/>
    </row>
    <row r="23" spans="1:6" ht="15.75" customHeight="1">
      <c r="A23" s="1"/>
      <c r="B23" s="99"/>
      <c r="C23" s="32"/>
      <c r="D23" s="29"/>
      <c r="E23" s="32"/>
      <c r="F23" s="335"/>
    </row>
    <row r="24" spans="1:6" ht="15.75" customHeight="1">
      <c r="A24" s="1"/>
      <c r="B24" s="99"/>
      <c r="C24" s="32"/>
      <c r="D24" s="29"/>
      <c r="E24" s="32"/>
      <c r="F24" s="335"/>
    </row>
    <row r="25" spans="1:6" ht="15.75" customHeight="1">
      <c r="A25" s="1"/>
      <c r="B25" s="99"/>
      <c r="C25" s="32"/>
      <c r="D25" s="29"/>
      <c r="E25" s="32"/>
      <c r="F25" s="335"/>
    </row>
    <row r="26" spans="1:6" ht="15.75" customHeight="1">
      <c r="A26" s="1"/>
      <c r="B26" s="99"/>
      <c r="C26" s="32"/>
      <c r="D26" s="29"/>
      <c r="E26" s="32"/>
      <c r="F26" s="335"/>
    </row>
    <row r="27" spans="1:6" ht="15.75" customHeight="1">
      <c r="A27" s="1"/>
      <c r="B27" s="99"/>
      <c r="C27" s="32"/>
      <c r="D27" s="29"/>
      <c r="E27" s="32"/>
      <c r="F27" s="335"/>
    </row>
    <row r="28" spans="1:6" ht="15.75" customHeight="1">
      <c r="A28" s="1"/>
      <c r="B28" s="99"/>
      <c r="C28" s="32"/>
      <c r="D28" s="29"/>
      <c r="E28" s="32"/>
      <c r="F28" s="335"/>
    </row>
    <row r="29" spans="1:6" ht="15.75" customHeight="1">
      <c r="A29" s="1"/>
      <c r="B29" s="99"/>
      <c r="C29" s="32"/>
      <c r="D29" s="29"/>
      <c r="E29" s="32"/>
      <c r="F29" s="335"/>
    </row>
    <row r="30" spans="1:6" ht="15.75" customHeight="1">
      <c r="A30" s="411" t="s">
        <v>21</v>
      </c>
      <c r="B30" s="412"/>
      <c r="C30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39430993.810000002</v>
      </c>
      <c r="D30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39430993.810000002</v>
      </c>
      <c r="E30" s="29">
        <f ca="1">IF(ISERROR(D30-C30),"",IF(C30=0,"",D30-C30))</f>
        <v>0</v>
      </c>
      <c r="F30" s="29">
        <f ca="1">IF(ISERROR(D30-C30),"",IF(C30=0,"",IF(E30="",0,ROUND(E30*100/C30,2))))</f>
        <v>0</v>
      </c>
    </row>
    <row r="31" spans="1:6" ht="15.75" customHeight="1">
      <c r="A31" s="105"/>
      <c r="D31" s="106"/>
      <c r="E31" s="25"/>
      <c r="F31" s="25"/>
    </row>
    <row r="32" spans="1:6" ht="15.75" customHeight="1">
      <c r="A32" s="107"/>
    </row>
  </sheetData>
  <mergeCells count="3">
    <mergeCell ref="A1:F1"/>
    <mergeCell ref="A2:F2"/>
    <mergeCell ref="A30:B30"/>
  </mergeCells>
  <phoneticPr fontId="6" type="noConversion"/>
  <printOptions horizontalCentered="1" verticalCentered="1"/>
  <pageMargins left="1.1417322834645669" right="0.9055118110236221" top="0.70866141732283472" bottom="0.78740157480314965" header="1.0629921259842521" footer="0.51181102362204722"/>
  <pageSetup paperSize="9" fitToHeight="0" orientation="landscape" blackAndWhite="1" horizontalDpi="1200" verticalDpi="1200" r:id="rId1"/>
  <headerFooter scaleWithDoc="0">
    <oddFooter>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1066800</xdr:colOff>
                    <xdr:row>2</xdr:row>
                    <xdr:rowOff>0</xdr:rowOff>
                  </from>
                  <to>
                    <xdr:col>2</xdr:col>
                    <xdr:colOff>254000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AEF1E-3866-45FE-A432-D9BCA935C245}">
  <sheetPr codeName="Sheet3"/>
  <dimension ref="A1:G29"/>
  <sheetViews>
    <sheetView workbookViewId="0">
      <pane ySplit="5" topLeftCell="A6" activePane="bottomLeft" state="frozen"/>
      <selection pane="bottomLeft" activeCell="B16" sqref="B16"/>
    </sheetView>
  </sheetViews>
  <sheetFormatPr baseColWidth="10" defaultColWidth="9" defaultRowHeight="13"/>
  <cols>
    <col min="1" max="1" width="7" style="81" customWidth="1"/>
    <col min="2" max="2" width="30.5" style="81" customWidth="1"/>
    <col min="3" max="3" width="18.6640625" style="81" customWidth="1"/>
    <col min="4" max="4" width="17" style="81" customWidth="1"/>
    <col min="5" max="5" width="13.6640625" style="81" customWidth="1"/>
    <col min="6" max="6" width="12.6640625" style="81" customWidth="1"/>
    <col min="7" max="16384" width="9" style="81"/>
  </cols>
  <sheetData>
    <row r="1" spans="1:7" s="80" customFormat="1" ht="30" customHeight="1">
      <c r="A1" s="374" t="s">
        <v>546</v>
      </c>
      <c r="B1" s="374"/>
      <c r="C1" s="374"/>
      <c r="D1" s="374"/>
      <c r="E1" s="374"/>
      <c r="F1" s="374"/>
      <c r="G1" s="374"/>
    </row>
    <row r="2" spans="1: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</row>
    <row r="3" spans="1:7" ht="14.25" customHeight="1">
      <c r="A3" s="40"/>
      <c r="B3" s="40"/>
      <c r="C3" s="40"/>
      <c r="D3" s="40"/>
      <c r="E3" s="40"/>
      <c r="F3" s="415" t="s">
        <v>422</v>
      </c>
      <c r="G3" s="415"/>
    </row>
    <row r="4" spans="1:7" ht="15.75" customHeight="1">
      <c r="A4" s="41" t="str">
        <f>'1-汇总表'!A4</f>
        <v>被评估单位：A有限公司</v>
      </c>
      <c r="B4" s="42"/>
      <c r="C4" s="42"/>
      <c r="D4" s="42"/>
      <c r="E4" s="42"/>
      <c r="F4" s="416" t="s">
        <v>6</v>
      </c>
      <c r="G4" s="416"/>
    </row>
    <row r="5" spans="1:7" s="82" customFormat="1" ht="15.75" customHeight="1">
      <c r="A5" s="43" t="s">
        <v>57</v>
      </c>
      <c r="B5" s="43" t="s">
        <v>5</v>
      </c>
      <c r="C5" s="43" t="s">
        <v>117</v>
      </c>
      <c r="D5" s="43" t="s">
        <v>0</v>
      </c>
      <c r="E5" s="44" t="s">
        <v>1</v>
      </c>
      <c r="F5" s="43" t="s">
        <v>479</v>
      </c>
      <c r="G5" s="45" t="s">
        <v>39</v>
      </c>
    </row>
    <row r="6" spans="1:7" ht="15.75" customHeight="1">
      <c r="A6" s="1" t="s">
        <v>423</v>
      </c>
      <c r="B6" s="3" t="s">
        <v>426</v>
      </c>
      <c r="C6" s="29" t="str">
        <f ca="1">IF('3-1-1现金'!F26=0,"",'3-1-1现金'!F26)</f>
        <v/>
      </c>
      <c r="D6" s="29" t="str">
        <f ca="1">IF('3-1-1现金'!G26=0,"",'3-1-1现金'!G26)</f>
        <v/>
      </c>
      <c r="E6" s="29" t="str">
        <f ca="1">IF(ISERROR(D6-C6),"",IF(C6=0,"",D6-C6))</f>
        <v/>
      </c>
      <c r="F6" s="334" t="str">
        <f ca="1">IF(ISERROR(D6-C6),"",IF(C6=0,"",IF(E6="",0,ROUND(E6*100/C6,2))))</f>
        <v/>
      </c>
      <c r="G6" s="47"/>
    </row>
    <row r="7" spans="1:7" ht="15.75" customHeight="1">
      <c r="A7" s="1" t="s">
        <v>424</v>
      </c>
      <c r="B7" s="4" t="s">
        <v>427</v>
      </c>
      <c r="C7" s="29">
        <f ca="1">IF('3-1-2银行存款'!G26=0,"",'3-1-2银行存款'!G26)</f>
        <v>9430993.8100000005</v>
      </c>
      <c r="D7" s="29">
        <f ca="1">IF('3-1-2银行存款'!H26=0,"",'3-1-2银行存款'!H26)</f>
        <v>9430993.8100000005</v>
      </c>
      <c r="E7" s="29">
        <f ca="1">IF(ISERROR(D7-C7),"",IF(C7=0,"",D7-C7))</f>
        <v>0</v>
      </c>
      <c r="F7" s="334">
        <f ca="1">IF(ISERROR(D7-C7),"",IF(C7=0,"",IF(E7="",0,ROUND(E7*100/C7,2))))</f>
        <v>0</v>
      </c>
      <c r="G7" s="47"/>
    </row>
    <row r="8" spans="1:7" ht="15.75" customHeight="1">
      <c r="A8" s="1" t="s">
        <v>425</v>
      </c>
      <c r="B8" s="4" t="s">
        <v>428</v>
      </c>
      <c r="C8" s="29">
        <f ca="1">IF('3-1-3其他货币资金'!G26=0,"",'3-1-3其他货币资金'!G26)</f>
        <v>30000000</v>
      </c>
      <c r="D8" s="29">
        <f ca="1">IF('3-1-3其他货币资金'!H26=0,"",'3-1-3其他货币资金'!H26)</f>
        <v>30000000</v>
      </c>
      <c r="E8" s="29">
        <f ca="1">IF(ISERROR(D8-C8),"",IF(C8=0,"",D8-C8))</f>
        <v>0</v>
      </c>
      <c r="F8" s="334">
        <f ca="1">IF(ISERROR(D8-C8),"",IF(C8=0,"",IF(E8="",0,ROUND(E8*100/C8,2))))</f>
        <v>0</v>
      </c>
      <c r="G8" s="47"/>
    </row>
    <row r="9" spans="1:7" ht="15.75" customHeight="1">
      <c r="A9" s="1"/>
      <c r="B9" s="2"/>
      <c r="C9" s="32"/>
      <c r="D9" s="29"/>
      <c r="E9" s="32"/>
      <c r="F9" s="335"/>
      <c r="G9" s="47"/>
    </row>
    <row r="10" spans="1:7" ht="15.75" customHeight="1">
      <c r="A10" s="1"/>
      <c r="B10" s="2"/>
      <c r="C10" s="32"/>
      <c r="D10" s="29"/>
      <c r="E10" s="32"/>
      <c r="F10" s="335"/>
      <c r="G10" s="47"/>
    </row>
    <row r="11" spans="1:7" ht="15.75" customHeight="1">
      <c r="A11" s="1"/>
      <c r="B11" s="2"/>
      <c r="C11" s="32"/>
      <c r="D11" s="29"/>
      <c r="E11" s="32"/>
      <c r="F11" s="335"/>
      <c r="G11" s="47"/>
    </row>
    <row r="12" spans="1:7" ht="15.75" customHeight="1">
      <c r="A12" s="1"/>
      <c r="B12" s="2"/>
      <c r="C12" s="32"/>
      <c r="D12" s="29"/>
      <c r="E12" s="32"/>
      <c r="F12" s="335"/>
      <c r="G12" s="47"/>
    </row>
    <row r="13" spans="1:7" ht="15.75" customHeight="1">
      <c r="A13" s="1"/>
      <c r="B13" s="2"/>
      <c r="C13" s="32"/>
      <c r="D13" s="29"/>
      <c r="E13" s="32"/>
      <c r="F13" s="335"/>
      <c r="G13" s="47"/>
    </row>
    <row r="14" spans="1:7" ht="15.75" customHeight="1">
      <c r="A14" s="1"/>
      <c r="B14" s="2"/>
      <c r="C14" s="32"/>
      <c r="D14" s="29"/>
      <c r="E14" s="32"/>
      <c r="F14" s="335"/>
      <c r="G14" s="47"/>
    </row>
    <row r="15" spans="1:7" ht="15.75" customHeight="1">
      <c r="A15" s="1"/>
      <c r="B15" s="2"/>
      <c r="C15" s="32"/>
      <c r="D15" s="29"/>
      <c r="E15" s="32"/>
      <c r="F15" s="335"/>
      <c r="G15" s="47"/>
    </row>
    <row r="16" spans="1:7" ht="15.75" customHeight="1">
      <c r="A16" s="1"/>
      <c r="B16" s="2"/>
      <c r="C16" s="32"/>
      <c r="D16" s="29"/>
      <c r="E16" s="32"/>
      <c r="F16" s="335"/>
      <c r="G16" s="47"/>
    </row>
    <row r="17" spans="1:7" ht="15.75" customHeight="1">
      <c r="A17" s="46"/>
      <c r="B17" s="2"/>
      <c r="C17" s="32"/>
      <c r="D17" s="29"/>
      <c r="E17" s="32"/>
      <c r="F17" s="335"/>
      <c r="G17" s="47"/>
    </row>
    <row r="18" spans="1:7" ht="15.75" customHeight="1">
      <c r="A18" s="46"/>
      <c r="B18" s="2"/>
      <c r="C18" s="32"/>
      <c r="D18" s="29"/>
      <c r="E18" s="32"/>
      <c r="F18" s="335"/>
      <c r="G18" s="47"/>
    </row>
    <row r="19" spans="1:7" ht="15.75" customHeight="1">
      <c r="A19" s="46"/>
      <c r="B19" s="2"/>
      <c r="C19" s="32"/>
      <c r="D19" s="29"/>
      <c r="E19" s="32"/>
      <c r="F19" s="335"/>
      <c r="G19" s="47"/>
    </row>
    <row r="20" spans="1:7" ht="15.75" customHeight="1">
      <c r="A20" s="46"/>
      <c r="B20" s="2"/>
      <c r="C20" s="32"/>
      <c r="D20" s="29"/>
      <c r="E20" s="32"/>
      <c r="F20" s="335"/>
      <c r="G20" s="47"/>
    </row>
    <row r="21" spans="1:7" ht="15.75" customHeight="1">
      <c r="A21" s="46"/>
      <c r="B21" s="2"/>
      <c r="C21" s="32"/>
      <c r="D21" s="29"/>
      <c r="E21" s="32"/>
      <c r="F21" s="335"/>
      <c r="G21" s="47"/>
    </row>
    <row r="22" spans="1:7" ht="15.75" customHeight="1">
      <c r="A22" s="46"/>
      <c r="B22" s="2"/>
      <c r="C22" s="32"/>
      <c r="D22" s="29"/>
      <c r="E22" s="32"/>
      <c r="F22" s="335"/>
      <c r="G22" s="47"/>
    </row>
    <row r="23" spans="1:7" ht="15.75" customHeight="1">
      <c r="A23" s="46"/>
      <c r="B23" s="2"/>
      <c r="C23" s="32"/>
      <c r="D23" s="29"/>
      <c r="E23" s="32"/>
      <c r="F23" s="335"/>
      <c r="G23" s="47"/>
    </row>
    <row r="24" spans="1:7" ht="15.75" customHeight="1">
      <c r="A24" s="46"/>
      <c r="B24" s="2"/>
      <c r="C24" s="32"/>
      <c r="D24" s="29"/>
      <c r="E24" s="32"/>
      <c r="F24" s="335"/>
      <c r="G24" s="47"/>
    </row>
    <row r="25" spans="1:7" ht="15.75" customHeight="1">
      <c r="A25" s="46"/>
      <c r="B25" s="2"/>
      <c r="C25" s="32"/>
      <c r="D25" s="29"/>
      <c r="E25" s="32"/>
      <c r="F25" s="335"/>
      <c r="G25" s="47"/>
    </row>
    <row r="26" spans="1:7" ht="15.75" customHeight="1">
      <c r="A26" s="413" t="s">
        <v>434</v>
      </c>
      <c r="B26" s="414"/>
      <c r="C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39430993.810000002</v>
      </c>
      <c r="D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39430993.810000002</v>
      </c>
      <c r="E26" s="29">
        <f ca="1">IF(ISERROR(D26-C26),"",IF(C26=0,"",D26-C26))</f>
        <v>0</v>
      </c>
      <c r="F26" s="29">
        <f ca="1">IF(ISERROR(D26-C26),"",IF(C26=0,"",IF(E26="",0,ROUND(E26*100/C26,2))))</f>
        <v>0</v>
      </c>
      <c r="G26" s="39"/>
    </row>
    <row r="27" spans="1:7" ht="15.75" customHeight="1">
      <c r="A27" s="83"/>
      <c r="D27" s="25"/>
      <c r="E27" s="25"/>
      <c r="F27" s="25"/>
      <c r="G27" s="25"/>
    </row>
    <row r="28" spans="1:7" ht="15.75" customHeight="1">
      <c r="A28" s="83"/>
    </row>
    <row r="29" spans="1:7" ht="15.75" customHeight="1"/>
  </sheetData>
  <mergeCells count="5">
    <mergeCell ref="A1:G1"/>
    <mergeCell ref="A2:G2"/>
    <mergeCell ref="A26:B26"/>
    <mergeCell ref="F3:G3"/>
    <mergeCell ref="F4:G4"/>
  </mergeCells>
  <phoneticPr fontId="6" type="noConversion"/>
  <printOptions horizontalCentered="1" verticalCentered="1"/>
  <pageMargins left="1.4173228346456694" right="0.86614173228346458" top="0.70866141732283472" bottom="0.78740157480314965" header="0.51181102362204722" footer="0.94488188976377963"/>
  <pageSetup paperSize="9" orientation="landscape" blackAndWhite="1" r:id="rId1"/>
  <headerFooter alignWithMargins="0">
    <oddFooter>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1117600</xdr:colOff>
                    <xdr:row>2</xdr:row>
                    <xdr:rowOff>0</xdr:rowOff>
                  </from>
                  <to>
                    <xdr:col>1</xdr:col>
                    <xdr:colOff>2133600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05BD0-346A-4998-930A-A9AF3FB54195}">
  <sheetPr codeName="Sheet13">
    <pageSetUpPr fitToPage="1"/>
  </sheetPr>
  <dimension ref="A1:F28"/>
  <sheetViews>
    <sheetView workbookViewId="0">
      <pane ySplit="5" topLeftCell="A6" activePane="bottomLeft" state="frozen"/>
      <selection pane="bottomLeft" activeCell="D9" sqref="D9"/>
    </sheetView>
  </sheetViews>
  <sheetFormatPr baseColWidth="10" defaultColWidth="9" defaultRowHeight="15.75" customHeight="1"/>
  <cols>
    <col min="1" max="1" width="7.5" style="81" customWidth="1"/>
    <col min="2" max="2" width="28" style="81" customWidth="1"/>
    <col min="3" max="3" width="20.1640625" style="81" customWidth="1"/>
    <col min="4" max="4" width="19.1640625" style="81" customWidth="1"/>
    <col min="5" max="5" width="19.1640625" style="135" customWidth="1"/>
    <col min="6" max="6" width="14.5" style="135" customWidth="1"/>
    <col min="7" max="16384" width="9" style="81"/>
  </cols>
  <sheetData>
    <row r="1" spans="1:6" s="80" customFormat="1" ht="30" customHeight="1">
      <c r="A1" s="374" t="s">
        <v>547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132" t="s">
        <v>292</v>
      </c>
    </row>
    <row r="4" spans="1:6" ht="15.75" customHeight="1">
      <c r="A4" s="125" t="str">
        <f>'1-汇总表'!A4</f>
        <v>被评估单位：A有限公司</v>
      </c>
      <c r="B4" s="125"/>
      <c r="C4" s="125"/>
      <c r="D4" s="42"/>
      <c r="E4" s="419" t="s">
        <v>6</v>
      </c>
      <c r="F4" s="419"/>
    </row>
    <row r="5" spans="1:6" s="82" customFormat="1" ht="15.75" customHeight="1">
      <c r="A5" s="43" t="s">
        <v>57</v>
      </c>
      <c r="B5" s="43" t="s">
        <v>5</v>
      </c>
      <c r="C5" s="43" t="s">
        <v>117</v>
      </c>
      <c r="D5" s="43" t="s">
        <v>0</v>
      </c>
      <c r="E5" s="133" t="s">
        <v>1</v>
      </c>
      <c r="F5" s="134" t="s">
        <v>479</v>
      </c>
    </row>
    <row r="6" spans="1:6" ht="15.75" customHeight="1">
      <c r="A6" s="159" t="s">
        <v>26</v>
      </c>
      <c r="B6" s="159" t="s">
        <v>437</v>
      </c>
      <c r="C6" s="29" t="str">
        <f ca="1">IF('3-2-1交易性-股票'!G26=0,"",'3-2-1交易性-股票'!G26)</f>
        <v/>
      </c>
      <c r="D6" s="29" t="str">
        <f ca="1">IF('3-2-1交易性-股票'!I26=0,"",'3-2-1交易性-股票'!I26)</f>
        <v/>
      </c>
      <c r="E6" s="31" t="str">
        <f ca="1">IF(ISERROR(D6-C6),"",IF(C6=0,"",D6-C6))</f>
        <v/>
      </c>
      <c r="F6" s="31" t="str">
        <f ca="1">IF(ISERROR(D6-C6),"",IF(C6=0,"",IF(E6="",0,ROUND(E6*100/C6,2))))</f>
        <v/>
      </c>
    </row>
    <row r="7" spans="1:6" ht="15.75" customHeight="1">
      <c r="A7" s="159" t="s">
        <v>27</v>
      </c>
      <c r="B7" s="159" t="s">
        <v>438</v>
      </c>
      <c r="C7" s="29" t="str">
        <f ca="1">IF('3-2-2交易性-债券'!H26=0,"",'3-2-2交易性-债券'!H26)</f>
        <v/>
      </c>
      <c r="D7" s="29" t="str">
        <f ca="1">IF('3-2-2交易性-债券'!I26=0,"",'3-2-2交易性-债券'!I26)</f>
        <v/>
      </c>
      <c r="E7" s="31" t="str">
        <f ca="1">IF(ISERROR(D7-C7),"",IF(C7=0,"",D7-C7))</f>
        <v/>
      </c>
      <c r="F7" s="31" t="str">
        <f ca="1">IF(ISERROR(D7-C7),"",IF(C7=0,"",IF(E7="",0,ROUND(E7*100/C7,2))))</f>
        <v/>
      </c>
    </row>
    <row r="8" spans="1:6" ht="15.75" customHeight="1">
      <c r="A8" s="159" t="s">
        <v>171</v>
      </c>
      <c r="B8" s="159" t="s">
        <v>439</v>
      </c>
      <c r="C8" s="29" t="str">
        <f ca="1">IF('3-2-3交易性-基金'!G26=0,"",'3-2-3交易性-基金'!G26)</f>
        <v/>
      </c>
      <c r="D8" s="29" t="str">
        <f ca="1">IF('3-2-3交易性-基金'!I26=0,"",'3-2-3交易性-基金'!I26)</f>
        <v/>
      </c>
      <c r="E8" s="31" t="str">
        <f ca="1">IF(ISERROR(D8-C8),"",IF(C8=0,"",D8-C8))</f>
        <v/>
      </c>
      <c r="F8" s="31" t="str">
        <f ca="1">IF(ISERROR(D8-C8),"",IF(C8=0,"",IF(E8="",0,ROUND(E8*100/C8,2))))</f>
        <v/>
      </c>
    </row>
    <row r="9" spans="1:6" ht="15.75" customHeight="1">
      <c r="A9" s="159" t="s">
        <v>935</v>
      </c>
      <c r="B9" s="159" t="s">
        <v>936</v>
      </c>
      <c r="C9" s="29" t="str">
        <f ca="1">IF('3-2-4交易性-其他'!G26=0,"",'3-2-4交易性-其他'!G26)</f>
        <v/>
      </c>
      <c r="D9" s="29" t="str">
        <f ca="1">IF('3-2-4交易性-其他'!I26=0,"",'3-2-4交易性-其他'!I26)</f>
        <v/>
      </c>
      <c r="E9" s="31" t="str">
        <f ca="1">IF(ISERROR(D9-C9),"",IF(C9=0,"",D9-C9))</f>
        <v/>
      </c>
      <c r="F9" s="31" t="str">
        <f ca="1">IF(ISERROR(D9-C9),"",IF(C9=0,"",IF(E9="",0,ROUND(E9*100/C9,2))))</f>
        <v/>
      </c>
    </row>
    <row r="10" spans="1:6" ht="15.75" customHeight="1">
      <c r="A10" s="46"/>
      <c r="B10" s="47"/>
      <c r="C10" s="230"/>
      <c r="D10" s="231"/>
      <c r="E10" s="31"/>
      <c r="F10" s="31"/>
    </row>
    <row r="11" spans="1:6" ht="15.75" customHeight="1">
      <c r="A11" s="46"/>
      <c r="B11" s="47"/>
      <c r="C11" s="230"/>
      <c r="D11" s="231"/>
      <c r="E11" s="31"/>
      <c r="F11" s="31"/>
    </row>
    <row r="12" spans="1:6" ht="15.75" customHeight="1">
      <c r="A12" s="46"/>
      <c r="B12" s="47"/>
      <c r="C12" s="230"/>
      <c r="D12" s="231"/>
      <c r="E12" s="31"/>
      <c r="F12" s="31"/>
    </row>
    <row r="13" spans="1:6" ht="15.75" customHeight="1">
      <c r="A13" s="46"/>
      <c r="B13" s="47"/>
      <c r="C13" s="230"/>
      <c r="D13" s="231"/>
      <c r="E13" s="31"/>
      <c r="F13" s="31"/>
    </row>
    <row r="14" spans="1:6" ht="15.75" customHeight="1">
      <c r="A14" s="46"/>
      <c r="B14" s="47"/>
      <c r="C14" s="230"/>
      <c r="D14" s="231"/>
      <c r="E14" s="31"/>
      <c r="F14" s="31"/>
    </row>
    <row r="15" spans="1:6" ht="15.75" customHeight="1">
      <c r="A15" s="46"/>
      <c r="B15" s="47"/>
      <c r="C15" s="230"/>
      <c r="D15" s="231"/>
      <c r="E15" s="31"/>
      <c r="F15" s="31"/>
    </row>
    <row r="16" spans="1:6" ht="15.75" customHeight="1">
      <c r="A16" s="46"/>
      <c r="B16" s="47"/>
      <c r="C16" s="230"/>
      <c r="D16" s="231"/>
      <c r="E16" s="31"/>
      <c r="F16" s="31"/>
    </row>
    <row r="17" spans="1:6" ht="15.75" customHeight="1">
      <c r="A17" s="46"/>
      <c r="B17" s="47"/>
      <c r="C17" s="230"/>
      <c r="D17" s="231"/>
      <c r="E17" s="31"/>
      <c r="F17" s="31"/>
    </row>
    <row r="18" spans="1:6" ht="15.75" customHeight="1">
      <c r="A18" s="46"/>
      <c r="B18" s="47"/>
      <c r="C18" s="230"/>
      <c r="D18" s="231"/>
      <c r="E18" s="31"/>
      <c r="F18" s="31"/>
    </row>
    <row r="19" spans="1:6" ht="15.75" customHeight="1">
      <c r="A19" s="46"/>
      <c r="B19" s="47"/>
      <c r="C19" s="230"/>
      <c r="D19" s="231"/>
      <c r="E19" s="31"/>
      <c r="F19" s="31"/>
    </row>
    <row r="20" spans="1:6" ht="15.75" customHeight="1">
      <c r="A20" s="46"/>
      <c r="B20" s="47"/>
      <c r="C20" s="230"/>
      <c r="D20" s="231"/>
      <c r="E20" s="31"/>
      <c r="F20" s="31"/>
    </row>
    <row r="21" spans="1:6" ht="15.75" customHeight="1">
      <c r="A21" s="46"/>
      <c r="B21" s="47"/>
      <c r="C21" s="230"/>
      <c r="D21" s="231"/>
      <c r="E21" s="31"/>
      <c r="F21" s="31"/>
    </row>
    <row r="22" spans="1:6" ht="15.75" customHeight="1">
      <c r="A22" s="46"/>
      <c r="B22" s="47"/>
      <c r="C22" s="230"/>
      <c r="D22" s="231"/>
      <c r="E22" s="31"/>
      <c r="F22" s="31"/>
    </row>
    <row r="23" spans="1:6" ht="15.75" customHeight="1">
      <c r="A23" s="46"/>
      <c r="B23" s="47"/>
      <c r="C23" s="230"/>
      <c r="D23" s="231"/>
      <c r="E23" s="31"/>
      <c r="F23" s="31"/>
    </row>
    <row r="24" spans="1:6" ht="15.75" customHeight="1">
      <c r="A24" s="46"/>
      <c r="B24" s="47"/>
      <c r="C24" s="230"/>
      <c r="D24" s="231"/>
      <c r="E24" s="31"/>
      <c r="F24" s="31"/>
    </row>
    <row r="25" spans="1:6" ht="15.75" customHeight="1">
      <c r="A25" s="46"/>
      <c r="B25" s="47"/>
      <c r="C25" s="230"/>
      <c r="D25" s="231"/>
      <c r="E25" s="31"/>
      <c r="F25" s="31"/>
    </row>
    <row r="26" spans="1:6" ht="15.75" customHeight="1">
      <c r="A26" s="417" t="s">
        <v>442</v>
      </c>
      <c r="B26" s="418"/>
      <c r="C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IF(ISERROR(D26-C26),"",IF(C26=0,"",D26-C26))</f>
        <v/>
      </c>
      <c r="F26" s="31" t="str">
        <f ca="1">IF(ISERROR(D26-C26),"",IF(C26=0,"",IF(E26="",0,ROUND(E26*100/C26,2))))</f>
        <v/>
      </c>
    </row>
    <row r="27" spans="1:6" ht="15.75" customHeight="1">
      <c r="A27" s="83"/>
      <c r="D27" s="25"/>
      <c r="E27" s="26"/>
      <c r="F27" s="26"/>
    </row>
    <row r="28" spans="1:6" ht="15.75" customHeight="1">
      <c r="A28" s="83"/>
    </row>
  </sheetData>
  <mergeCells count="4">
    <mergeCell ref="A1:F1"/>
    <mergeCell ref="A2:F2"/>
    <mergeCell ref="A26:B26"/>
    <mergeCell ref="E4:F4"/>
  </mergeCells>
  <phoneticPr fontId="6" type="noConversion"/>
  <printOptions horizontalCentered="1" verticalCentered="1"/>
  <pageMargins left="1.1417322834645669" right="0.6692913385826772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1066800</xdr:colOff>
                    <xdr:row>2</xdr:row>
                    <xdr:rowOff>0</xdr:rowOff>
                  </from>
                  <to>
                    <xdr:col>1</xdr:col>
                    <xdr:colOff>2082800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24E6-58F2-4B9C-99EB-2DD98FD7312E}">
  <sheetPr codeName="Sheet89">
    <pageSetUpPr fitToPage="1"/>
  </sheetPr>
  <dimension ref="A1:S46"/>
  <sheetViews>
    <sheetView zoomScaleNormal="100" zoomScaleSheetLayoutView="100" workbookViewId="0">
      <pane ySplit="6" topLeftCell="A7" activePane="bottomLeft" state="frozen"/>
      <selection activeCell="F17" sqref="F17"/>
      <selection pane="bottomLeft" activeCell="A7" sqref="A7:J26"/>
    </sheetView>
  </sheetViews>
  <sheetFormatPr baseColWidth="10" defaultColWidth="9" defaultRowHeight="15.75" customHeight="1"/>
  <cols>
    <col min="1" max="1" width="5.5" style="81" customWidth="1"/>
    <col min="2" max="2" width="19.5" style="81" customWidth="1"/>
    <col min="3" max="3" width="7" style="81" customWidth="1"/>
    <col min="4" max="4" width="12.5" style="81" customWidth="1"/>
    <col min="5" max="5" width="15.1640625" style="81" customWidth="1"/>
    <col min="6" max="6" width="10.1640625" style="81" customWidth="1"/>
    <col min="7" max="7" width="11.5" style="81" customWidth="1"/>
    <col min="8" max="8" width="9.1640625" style="135" customWidth="1"/>
    <col min="9" max="9" width="10.1640625" style="340" customWidth="1"/>
    <col min="10" max="10" width="8.6640625" style="81" customWidth="1"/>
    <col min="11" max="16" width="9" style="81"/>
    <col min="17" max="17" width="15.5" style="81" customWidth="1"/>
    <col min="18" max="19" width="10.1640625" style="81" customWidth="1"/>
    <col min="20" max="16384" width="9" style="81"/>
  </cols>
  <sheetData>
    <row r="1" spans="1:19" s="80" customFormat="1" ht="30" customHeight="1">
      <c r="A1" s="374" t="s">
        <v>967</v>
      </c>
      <c r="B1" s="374"/>
      <c r="C1" s="374"/>
      <c r="D1" s="374"/>
      <c r="E1" s="374"/>
      <c r="F1" s="374"/>
      <c r="G1" s="374"/>
      <c r="H1" s="374"/>
      <c r="I1" s="374"/>
      <c r="J1" s="374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6"/>
      <c r="C2" s="376"/>
      <c r="D2" s="376"/>
      <c r="E2" s="376"/>
      <c r="F2" s="376"/>
      <c r="G2" s="376"/>
      <c r="H2" s="376"/>
      <c r="I2" s="376"/>
      <c r="J2" s="376"/>
    </row>
    <row r="3" spans="1:19" ht="14.25" customHeight="1">
      <c r="A3" s="40"/>
      <c r="B3" s="40"/>
      <c r="C3" s="40"/>
      <c r="D3" s="40"/>
      <c r="E3" s="40"/>
      <c r="F3" s="40"/>
      <c r="G3" s="40"/>
      <c r="H3" s="172"/>
      <c r="I3" s="131"/>
      <c r="J3" s="178"/>
    </row>
    <row r="4" spans="1:19" ht="14.25" customHeight="1">
      <c r="A4" s="40"/>
      <c r="B4" s="40"/>
      <c r="C4" s="40"/>
      <c r="D4" s="40"/>
      <c r="E4" s="40"/>
      <c r="F4" s="40"/>
      <c r="G4" s="40"/>
      <c r="H4" s="172"/>
      <c r="I4" s="337"/>
      <c r="J4" s="37"/>
    </row>
    <row r="5" spans="1:19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73"/>
      <c r="I5" s="218"/>
      <c r="J5" s="122"/>
    </row>
    <row r="6" spans="1:19" s="101" customFormat="1" ht="15.75" customHeight="1">
      <c r="A6" s="45" t="s">
        <v>7</v>
      </c>
      <c r="B6" s="265" t="s">
        <v>590</v>
      </c>
      <c r="C6" s="265" t="s">
        <v>591</v>
      </c>
      <c r="D6" s="265" t="s">
        <v>134</v>
      </c>
      <c r="E6" s="265" t="s">
        <v>592</v>
      </c>
      <c r="F6" s="265" t="s">
        <v>117</v>
      </c>
      <c r="G6" s="265" t="s">
        <v>118</v>
      </c>
      <c r="H6" s="266" t="s">
        <v>593</v>
      </c>
      <c r="I6" s="338" t="s">
        <v>479</v>
      </c>
      <c r="J6" s="45" t="s">
        <v>39</v>
      </c>
      <c r="K6" s="81"/>
      <c r="L6" s="81"/>
      <c r="M6" s="81"/>
      <c r="N6" s="81"/>
      <c r="O6" s="81"/>
      <c r="P6" s="81"/>
      <c r="Q6" s="81"/>
      <c r="R6" s="81"/>
      <c r="S6" s="81"/>
    </row>
    <row r="7" spans="1:19" ht="15.75" customHeight="1">
      <c r="A7" s="8"/>
      <c r="B7" s="7"/>
      <c r="C7" s="7"/>
      <c r="D7" s="8"/>
      <c r="E7" s="258"/>
      <c r="F7" s="259"/>
      <c r="G7" s="260"/>
      <c r="H7" s="31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9" ht="15.75" customHeight="1">
      <c r="A8" s="8"/>
      <c r="B8" s="7"/>
      <c r="C8" s="7"/>
      <c r="D8" s="8"/>
      <c r="E8" s="258"/>
      <c r="F8" s="259"/>
      <c r="G8" s="260"/>
      <c r="H8" s="31" t="str">
        <f>IF(ISERROR(G8-F8),"",IF(G8=0,"",G8-F8))</f>
        <v/>
      </c>
      <c r="I8" s="339" t="str">
        <f>IF(ISERROR(G8-F8),"",IF(G8=0,"",IF(H8="",0,ROUND(H8*100/F8,2))))</f>
        <v/>
      </c>
      <c r="J8" s="7"/>
    </row>
    <row r="9" spans="1:19" ht="15.75" customHeight="1">
      <c r="A9" s="8"/>
      <c r="B9" s="7"/>
      <c r="C9" s="7"/>
      <c r="D9" s="8"/>
      <c r="E9" s="258"/>
      <c r="F9" s="259"/>
      <c r="G9" s="260"/>
      <c r="H9" s="31" t="str">
        <f>IF(ISERROR(G9-F9),"",IF(G9=0,"",G9-F9))</f>
        <v/>
      </c>
      <c r="I9" s="339" t="str">
        <f>IF(ISERROR(G9-F9),"",IF(G9=0,"",IF(H9="",0,ROUND(H9*100/F9,2))))</f>
        <v/>
      </c>
      <c r="J9" s="7"/>
    </row>
    <row r="10" spans="1:19" ht="15.75" customHeight="1">
      <c r="A10" s="8"/>
      <c r="B10" s="7"/>
      <c r="C10" s="7"/>
      <c r="D10" s="8"/>
      <c r="E10" s="258"/>
      <c r="F10" s="259"/>
      <c r="G10" s="260"/>
      <c r="H10" s="31" t="str">
        <f>IF(ISERROR(G10-F10),"",IF(G10=0,"",G10-F10))</f>
        <v/>
      </c>
      <c r="I10" s="339" t="str">
        <f>IF(ISERROR(G10-F10),"",IF(G10=0,"",IF(H10="",0,ROUND(H10*100/F10,2))))</f>
        <v/>
      </c>
      <c r="J10" s="7"/>
    </row>
    <row r="11" spans="1:19" ht="15.75" customHeight="1">
      <c r="A11" s="8"/>
      <c r="B11" s="7"/>
      <c r="C11" s="7"/>
      <c r="D11" s="8"/>
      <c r="E11" s="258"/>
      <c r="F11" s="259"/>
      <c r="G11" s="260"/>
      <c r="H11" s="31" t="str">
        <f>IF(ISERROR(G11-F11),"",IF(G11=0,"",G11-F11))</f>
        <v/>
      </c>
      <c r="I11" s="339" t="str">
        <f>IF(ISERROR(G11-F11),"",IF(G11=0,"",IF(H11="",0,ROUND(H11*100/F11,2))))</f>
        <v/>
      </c>
      <c r="J11" s="7"/>
    </row>
    <row r="12" spans="1:19" ht="15.75" customHeight="1">
      <c r="A12" s="8"/>
      <c r="B12" s="7"/>
      <c r="C12" s="7"/>
      <c r="D12" s="8"/>
      <c r="E12" s="258"/>
      <c r="F12" s="259"/>
      <c r="G12" s="260"/>
      <c r="H12" s="31" t="str">
        <f t="shared" ref="H12:H25" si="0">IF(ISERROR(G12-F12),"",IF(G12=0,"",G12-F12))</f>
        <v/>
      </c>
      <c r="I12" s="339" t="str">
        <f t="shared" ref="I12:I25" si="1">IF(ISERROR(G12-F12),"",IF(G12=0,"",IF(H12="",0,ROUND(H12*100/F12,2))))</f>
        <v/>
      </c>
      <c r="J12" s="7"/>
    </row>
    <row r="13" spans="1:19" ht="15.75" customHeight="1">
      <c r="A13" s="8"/>
      <c r="B13" s="7"/>
      <c r="C13" s="7"/>
      <c r="D13" s="8"/>
      <c r="E13" s="258"/>
      <c r="F13" s="259"/>
      <c r="G13" s="260"/>
      <c r="H13" s="31" t="str">
        <f t="shared" si="0"/>
        <v/>
      </c>
      <c r="I13" s="339" t="str">
        <f t="shared" si="1"/>
        <v/>
      </c>
      <c r="J13" s="7"/>
    </row>
    <row r="14" spans="1:19" ht="15.75" customHeight="1">
      <c r="A14" s="8"/>
      <c r="B14" s="7"/>
      <c r="C14" s="7"/>
      <c r="D14" s="8"/>
      <c r="E14" s="258"/>
      <c r="F14" s="259"/>
      <c r="G14" s="260"/>
      <c r="H14" s="31" t="str">
        <f t="shared" si="0"/>
        <v/>
      </c>
      <c r="I14" s="339" t="str">
        <f t="shared" si="1"/>
        <v/>
      </c>
      <c r="J14" s="7"/>
    </row>
    <row r="15" spans="1:19" ht="15.75" customHeight="1">
      <c r="A15" s="8"/>
      <c r="B15" s="7"/>
      <c r="C15" s="7"/>
      <c r="D15" s="8"/>
      <c r="E15" s="258"/>
      <c r="F15" s="259"/>
      <c r="G15" s="260"/>
      <c r="H15" s="31" t="str">
        <f t="shared" si="0"/>
        <v/>
      </c>
      <c r="I15" s="339" t="str">
        <f t="shared" si="1"/>
        <v/>
      </c>
      <c r="J15" s="7"/>
    </row>
    <row r="16" spans="1:19" ht="15.75" customHeight="1">
      <c r="A16" s="8"/>
      <c r="B16" s="7"/>
      <c r="C16" s="7"/>
      <c r="D16" s="8"/>
      <c r="E16" s="258"/>
      <c r="F16" s="259"/>
      <c r="G16" s="260"/>
      <c r="H16" s="31" t="str">
        <f t="shared" si="0"/>
        <v/>
      </c>
      <c r="I16" s="339" t="str">
        <f t="shared" si="1"/>
        <v/>
      </c>
      <c r="J16" s="7"/>
    </row>
    <row r="17" spans="1:19" ht="15.75" customHeight="1">
      <c r="A17" s="8"/>
      <c r="B17" s="7"/>
      <c r="C17" s="7"/>
      <c r="D17" s="8"/>
      <c r="E17" s="258"/>
      <c r="F17" s="259"/>
      <c r="G17" s="260"/>
      <c r="H17" s="31" t="str">
        <f t="shared" si="0"/>
        <v/>
      </c>
      <c r="I17" s="339" t="str">
        <f t="shared" si="1"/>
        <v/>
      </c>
      <c r="J17" s="7"/>
    </row>
    <row r="18" spans="1:19" ht="15.75" customHeight="1">
      <c r="A18" s="8"/>
      <c r="B18" s="7"/>
      <c r="C18" s="7"/>
      <c r="D18" s="8"/>
      <c r="E18" s="258"/>
      <c r="F18" s="259"/>
      <c r="G18" s="260"/>
      <c r="H18" s="31" t="str">
        <f t="shared" si="0"/>
        <v/>
      </c>
      <c r="I18" s="339" t="str">
        <f t="shared" si="1"/>
        <v/>
      </c>
      <c r="J18" s="7"/>
    </row>
    <row r="19" spans="1:19" ht="15.75" customHeight="1">
      <c r="A19" s="8"/>
      <c r="B19" s="7"/>
      <c r="C19" s="7"/>
      <c r="D19" s="8"/>
      <c r="E19" s="258"/>
      <c r="F19" s="259"/>
      <c r="G19" s="260"/>
      <c r="H19" s="31" t="str">
        <f t="shared" si="0"/>
        <v/>
      </c>
      <c r="I19" s="339" t="str">
        <f t="shared" si="1"/>
        <v/>
      </c>
      <c r="J19" s="7"/>
    </row>
    <row r="20" spans="1:19" ht="15.75" customHeight="1">
      <c r="A20" s="8"/>
      <c r="B20" s="7"/>
      <c r="C20" s="7"/>
      <c r="D20" s="8"/>
      <c r="E20" s="258"/>
      <c r="F20" s="259"/>
      <c r="G20" s="260"/>
      <c r="H20" s="31" t="str">
        <f t="shared" si="0"/>
        <v/>
      </c>
      <c r="I20" s="339" t="str">
        <f t="shared" si="1"/>
        <v/>
      </c>
      <c r="J20" s="7"/>
    </row>
    <row r="21" spans="1:19" ht="15.75" customHeight="1">
      <c r="A21" s="8"/>
      <c r="B21" s="7"/>
      <c r="C21" s="7"/>
      <c r="D21" s="8"/>
      <c r="E21" s="258"/>
      <c r="F21" s="259"/>
      <c r="G21" s="260"/>
      <c r="H21" s="31" t="str">
        <f t="shared" si="0"/>
        <v/>
      </c>
      <c r="I21" s="339" t="str">
        <f t="shared" si="1"/>
        <v/>
      </c>
      <c r="J21" s="7"/>
    </row>
    <row r="22" spans="1:19" ht="15.75" customHeight="1">
      <c r="A22" s="8"/>
      <c r="B22" s="7"/>
      <c r="C22" s="7"/>
      <c r="D22" s="8"/>
      <c r="E22" s="258"/>
      <c r="F22" s="259"/>
      <c r="G22" s="260"/>
      <c r="H22" s="31" t="str">
        <f t="shared" si="0"/>
        <v/>
      </c>
      <c r="I22" s="339" t="str">
        <f t="shared" si="1"/>
        <v/>
      </c>
      <c r="J22" s="7"/>
    </row>
    <row r="23" spans="1:19" ht="15.75" customHeight="1">
      <c r="A23" s="8"/>
      <c r="B23" s="7"/>
      <c r="C23" s="7"/>
      <c r="D23" s="8"/>
      <c r="E23" s="258"/>
      <c r="F23" s="259"/>
      <c r="G23" s="260"/>
      <c r="H23" s="31" t="str">
        <f t="shared" si="0"/>
        <v/>
      </c>
      <c r="I23" s="339" t="str">
        <f t="shared" si="1"/>
        <v/>
      </c>
      <c r="J23" s="7"/>
    </row>
    <row r="24" spans="1:19" ht="15.75" customHeight="1">
      <c r="A24" s="8"/>
      <c r="B24" s="7"/>
      <c r="C24" s="7"/>
      <c r="D24" s="8"/>
      <c r="E24" s="258"/>
      <c r="F24" s="259"/>
      <c r="G24" s="260"/>
      <c r="H24" s="31" t="str">
        <f t="shared" si="0"/>
        <v/>
      </c>
      <c r="I24" s="339" t="str">
        <f t="shared" si="1"/>
        <v/>
      </c>
      <c r="J24" s="7"/>
    </row>
    <row r="25" spans="1:19" ht="15.75" customHeight="1">
      <c r="A25" s="8"/>
      <c r="B25" s="7"/>
      <c r="C25" s="7"/>
      <c r="D25" s="8"/>
      <c r="E25" s="258"/>
      <c r="F25" s="259"/>
      <c r="G25" s="260"/>
      <c r="H25" s="31" t="str">
        <f t="shared" si="0"/>
        <v/>
      </c>
      <c r="I25" s="339" t="str">
        <f t="shared" si="1"/>
        <v/>
      </c>
      <c r="J25" s="7"/>
    </row>
    <row r="26" spans="1:19" ht="15.75" customHeight="1">
      <c r="A26" s="420" t="s">
        <v>534</v>
      </c>
      <c r="B26" s="421"/>
      <c r="C26" s="39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IF(ISERROR(G26-F26),"",IF(G26=0,"",G26-F26))</f>
        <v/>
      </c>
      <c r="I26" s="339" t="str">
        <f ca="1">IF(ISERROR(G26-F26),"",IF(G26=0,"",IF(H26="",0,ROUND(H26*100/F26,2))))</f>
        <v/>
      </c>
      <c r="J26" s="261"/>
    </row>
    <row r="27" spans="1:19" ht="15.75" hidden="1" customHeight="1">
      <c r="A27" s="8"/>
      <c r="B27" s="7"/>
      <c r="C27" s="7"/>
      <c r="D27" s="8"/>
      <c r="E27" s="258"/>
      <c r="F27" s="259"/>
      <c r="G27" s="260"/>
      <c r="H27" s="38" t="str">
        <f>IF(ISERROR(#REF!-G27),"",IF(#REF!=0,"",#REF!-G27))</f>
        <v/>
      </c>
      <c r="I27" s="339" t="str">
        <f>IF(ISERROR(#REF!-G27),"",IF(#REF!=0,"",IF(H27="",0,ROUND(H27*100/G27,2))))</f>
        <v/>
      </c>
      <c r="J27" s="7"/>
      <c r="K27" s="271" t="s">
        <v>630</v>
      </c>
      <c r="L27" s="272"/>
      <c r="M27" s="272"/>
      <c r="N27" s="272"/>
      <c r="O27" s="272"/>
      <c r="P27" s="422" t="s">
        <v>631</v>
      </c>
      <c r="Q27" s="423"/>
      <c r="R27" s="423"/>
      <c r="S27" s="424"/>
    </row>
    <row r="28" spans="1:19" ht="15.75" hidden="1" customHeight="1">
      <c r="A28" s="8"/>
      <c r="B28" s="7"/>
      <c r="C28" s="7"/>
      <c r="D28" s="8"/>
      <c r="E28" s="258"/>
      <c r="F28" s="259"/>
      <c r="G28" s="260"/>
      <c r="H28" s="38" t="str">
        <f>IF(ISERROR(#REF!-G28),"",IF(#REF!=0,"",#REF!-G28))</f>
        <v/>
      </c>
      <c r="I28" s="339" t="str">
        <f>IF(ISERROR(#REF!-G28),"",IF(#REF!=0,"",IF(H28="",0,ROUND(H28*100/G28,2))))</f>
        <v/>
      </c>
      <c r="J28" s="7"/>
    </row>
    <row r="29" spans="1:19" ht="15.75" hidden="1" customHeight="1">
      <c r="A29" s="8"/>
      <c r="B29" s="7"/>
      <c r="C29" s="7"/>
      <c r="D29" s="8"/>
      <c r="E29" s="258"/>
      <c r="F29" s="259"/>
      <c r="G29" s="260"/>
      <c r="H29" s="38" t="str">
        <f>IF(ISERROR(#REF!-G29),"",IF(#REF!=0,"",#REF!-G29))</f>
        <v/>
      </c>
      <c r="I29" s="339" t="str">
        <f>IF(ISERROR(#REF!-G29),"",IF(#REF!=0,"",IF(H29="",0,ROUND(H29*100/G29,2))))</f>
        <v/>
      </c>
      <c r="J29" s="7"/>
    </row>
    <row r="30" spans="1:19" ht="15.75" hidden="1" customHeight="1">
      <c r="A30" s="8"/>
      <c r="B30" s="7"/>
      <c r="C30" s="7"/>
      <c r="D30" s="8"/>
      <c r="E30" s="258"/>
      <c r="F30" s="259"/>
      <c r="G30" s="260"/>
      <c r="H30" s="38" t="str">
        <f>IF(ISERROR(#REF!-G30),"",IF(#REF!=0,"",#REF!-G30))</f>
        <v/>
      </c>
      <c r="I30" s="339" t="str">
        <f>IF(ISERROR(#REF!-G30),"",IF(#REF!=0,"",IF(H30="",0,ROUND(H30*100/G30,2))))</f>
        <v/>
      </c>
      <c r="J30" s="7"/>
    </row>
    <row r="31" spans="1:19" ht="15.75" hidden="1" customHeight="1">
      <c r="A31" s="8"/>
      <c r="B31" s="7"/>
      <c r="C31" s="7"/>
      <c r="D31" s="8"/>
      <c r="E31" s="258"/>
      <c r="F31" s="259"/>
      <c r="G31" s="260"/>
      <c r="H31" s="38" t="str">
        <f>IF(ISERROR(#REF!-G31),"",IF(#REF!=0,"",#REF!-G31))</f>
        <v/>
      </c>
      <c r="I31" s="339" t="str">
        <f>IF(ISERROR(#REF!-G31),"",IF(#REF!=0,"",IF(H31="",0,ROUND(H31*100/G31,2))))</f>
        <v/>
      </c>
      <c r="J31" s="7"/>
    </row>
    <row r="32" spans="1:19" ht="15.75" hidden="1" customHeight="1">
      <c r="A32" s="8"/>
      <c r="B32" s="7"/>
      <c r="C32" s="7"/>
      <c r="D32" s="8"/>
      <c r="E32" s="258"/>
      <c r="F32" s="259"/>
      <c r="G32" s="260"/>
      <c r="H32" s="38" t="str">
        <f>IF(ISERROR(#REF!-G32),"",IF(#REF!=0,"",#REF!-G32))</f>
        <v/>
      </c>
      <c r="I32" s="339" t="str">
        <f>IF(ISERROR(#REF!-G32),"",IF(#REF!=0,"",IF(H32="",0,ROUND(H32*100/G32,2))))</f>
        <v/>
      </c>
      <c r="J32" s="7"/>
    </row>
    <row r="33" spans="1:10" ht="15.75" hidden="1" customHeight="1">
      <c r="A33" s="8"/>
      <c r="B33" s="7"/>
      <c r="C33" s="7"/>
      <c r="D33" s="8"/>
      <c r="E33" s="258"/>
      <c r="F33" s="259"/>
      <c r="G33" s="260"/>
      <c r="H33" s="38" t="str">
        <f>IF(ISERROR(#REF!-G33),"",IF(#REF!=0,"",#REF!-G33))</f>
        <v/>
      </c>
      <c r="I33" s="339" t="str">
        <f>IF(ISERROR(#REF!-G33),"",IF(#REF!=0,"",IF(H33="",0,ROUND(H33*100/G33,2))))</f>
        <v/>
      </c>
      <c r="J33" s="7"/>
    </row>
    <row r="34" spans="1:10" ht="15.75" hidden="1" customHeight="1">
      <c r="A34" s="8"/>
      <c r="B34" s="7"/>
      <c r="C34" s="7"/>
      <c r="D34" s="8"/>
      <c r="E34" s="258"/>
      <c r="F34" s="259"/>
      <c r="G34" s="260"/>
      <c r="H34" s="38" t="str">
        <f>IF(ISERROR(#REF!-G34),"",IF(#REF!=0,"",#REF!-G34))</f>
        <v/>
      </c>
      <c r="I34" s="339" t="str">
        <f>IF(ISERROR(#REF!-G34),"",IF(#REF!=0,"",IF(H34="",0,ROUND(H34*100/G34,2))))</f>
        <v/>
      </c>
      <c r="J34" s="7"/>
    </row>
    <row r="35" spans="1:10" ht="15.75" hidden="1" customHeight="1">
      <c r="A35" s="8"/>
      <c r="B35" s="7"/>
      <c r="C35" s="7"/>
      <c r="D35" s="8"/>
      <c r="E35" s="258"/>
      <c r="F35" s="259"/>
      <c r="G35" s="260"/>
      <c r="H35" s="38" t="str">
        <f>IF(ISERROR(#REF!-G35),"",IF(#REF!=0,"",#REF!-G35))</f>
        <v/>
      </c>
      <c r="I35" s="339" t="str">
        <f>IF(ISERROR(#REF!-G35),"",IF(#REF!=0,"",IF(H35="",0,ROUND(H35*100/G35,2))))</f>
        <v/>
      </c>
      <c r="J35" s="7"/>
    </row>
    <row r="36" spans="1:10" ht="15.75" hidden="1" customHeight="1">
      <c r="A36" s="8"/>
      <c r="B36" s="7"/>
      <c r="C36" s="7"/>
      <c r="D36" s="8"/>
      <c r="E36" s="258"/>
      <c r="F36" s="259"/>
      <c r="G36" s="260"/>
      <c r="H36" s="38" t="str">
        <f>IF(ISERROR(#REF!-G36),"",IF(#REF!=0,"",#REF!-G36))</f>
        <v/>
      </c>
      <c r="I36" s="339" t="str">
        <f>IF(ISERROR(#REF!-G36),"",IF(#REF!=0,"",IF(H36="",0,ROUND(H36*100/G36,2))))</f>
        <v/>
      </c>
      <c r="J36" s="7"/>
    </row>
    <row r="37" spans="1:10" ht="15.75" hidden="1" customHeight="1">
      <c r="A37" s="8"/>
      <c r="B37" s="7"/>
      <c r="C37" s="7"/>
      <c r="D37" s="8"/>
      <c r="E37" s="258"/>
      <c r="F37" s="259"/>
      <c r="G37" s="260"/>
      <c r="H37" s="38" t="str">
        <f>IF(ISERROR(#REF!-G37),"",IF(#REF!=0,"",#REF!-G37))</f>
        <v/>
      </c>
      <c r="I37" s="339" t="str">
        <f>IF(ISERROR(#REF!-G37),"",IF(#REF!=0,"",IF(H37="",0,ROUND(H37*100/G37,2))))</f>
        <v/>
      </c>
      <c r="J37" s="7"/>
    </row>
    <row r="38" spans="1:10" ht="15.75" hidden="1" customHeight="1">
      <c r="A38" s="8"/>
      <c r="B38" s="7"/>
      <c r="C38" s="7"/>
      <c r="D38" s="8"/>
      <c r="E38" s="258"/>
      <c r="F38" s="259"/>
      <c r="G38" s="260"/>
      <c r="H38" s="38" t="str">
        <f>IF(ISERROR(#REF!-G38),"",IF(#REF!=0,"",#REF!-G38))</f>
        <v/>
      </c>
      <c r="I38" s="339" t="str">
        <f>IF(ISERROR(#REF!-G38),"",IF(#REF!=0,"",IF(H38="",0,ROUND(H38*100/G38,2))))</f>
        <v/>
      </c>
      <c r="J38" s="7"/>
    </row>
    <row r="39" spans="1:10" ht="15.75" hidden="1" customHeight="1">
      <c r="A39" s="8"/>
      <c r="B39" s="7"/>
      <c r="C39" s="7"/>
      <c r="D39" s="8"/>
      <c r="E39" s="258"/>
      <c r="F39" s="259"/>
      <c r="G39" s="260"/>
      <c r="H39" s="38" t="str">
        <f>IF(ISERROR(#REF!-G39),"",IF(#REF!=0,"",#REF!-G39))</f>
        <v/>
      </c>
      <c r="I39" s="339" t="str">
        <f>IF(ISERROR(#REF!-G39),"",IF(#REF!=0,"",IF(H39="",0,ROUND(H39*100/G39,2))))</f>
        <v/>
      </c>
      <c r="J39" s="7"/>
    </row>
    <row r="40" spans="1:10" ht="15.75" hidden="1" customHeight="1">
      <c r="A40" s="8"/>
      <c r="B40" s="7"/>
      <c r="C40" s="7"/>
      <c r="D40" s="8"/>
      <c r="E40" s="258"/>
      <c r="F40" s="259"/>
      <c r="G40" s="260"/>
      <c r="H40" s="38" t="str">
        <f>IF(ISERROR(#REF!-G40),"",IF(#REF!=0,"",#REF!-G40))</f>
        <v/>
      </c>
      <c r="I40" s="339" t="str">
        <f>IF(ISERROR(#REF!-G40),"",IF(#REF!=0,"",IF(H40="",0,ROUND(H40*100/G40,2))))</f>
        <v/>
      </c>
      <c r="J40" s="7"/>
    </row>
    <row r="41" spans="1:10" ht="15.75" hidden="1" customHeight="1">
      <c r="A41" s="8"/>
      <c r="B41" s="7"/>
      <c r="C41" s="7"/>
      <c r="D41" s="8"/>
      <c r="E41" s="258"/>
      <c r="F41" s="259"/>
      <c r="G41" s="260"/>
      <c r="H41" s="38" t="str">
        <f>IF(ISERROR(#REF!-G41),"",IF(#REF!=0,"",#REF!-G41))</f>
        <v/>
      </c>
      <c r="I41" s="339" t="str">
        <f>IF(ISERROR(#REF!-G41),"",IF(#REF!=0,"",IF(H41="",0,ROUND(H41*100/G41,2))))</f>
        <v/>
      </c>
      <c r="J41" s="7"/>
    </row>
    <row r="42" spans="1:10" ht="15.75" hidden="1" customHeight="1">
      <c r="A42" s="8"/>
      <c r="B42" s="7"/>
      <c r="C42" s="7"/>
      <c r="D42" s="8"/>
      <c r="E42" s="258"/>
      <c r="F42" s="259"/>
      <c r="G42" s="260"/>
      <c r="H42" s="38" t="str">
        <f>IF(ISERROR(#REF!-G42),"",IF(#REF!=0,"",#REF!-G42))</f>
        <v/>
      </c>
      <c r="I42" s="339" t="str">
        <f>IF(ISERROR(#REF!-G42),"",IF(#REF!=0,"",IF(H42="",0,ROUND(H42*100/G42,2))))</f>
        <v/>
      </c>
      <c r="J42" s="7"/>
    </row>
    <row r="43" spans="1:10" ht="15.75" hidden="1" customHeight="1">
      <c r="A43" s="8"/>
      <c r="B43" s="7"/>
      <c r="C43" s="7"/>
      <c r="D43" s="8"/>
      <c r="E43" s="258"/>
      <c r="F43" s="259"/>
      <c r="G43" s="260"/>
      <c r="H43" s="38" t="str">
        <f>IF(ISERROR(#REF!-G43),"",IF(#REF!=0,"",#REF!-G43))</f>
        <v/>
      </c>
      <c r="I43" s="339" t="str">
        <f>IF(ISERROR(#REF!-G43),"",IF(#REF!=0,"",IF(H43="",0,ROUND(H43*100/G43,2))))</f>
        <v/>
      </c>
      <c r="J43" s="7"/>
    </row>
    <row r="44" spans="1:10" ht="15.75" hidden="1" customHeight="1">
      <c r="A44" s="8"/>
      <c r="B44" s="7"/>
      <c r="C44" s="7"/>
      <c r="D44" s="8"/>
      <c r="E44" s="258"/>
      <c r="F44" s="259"/>
      <c r="G44" s="260"/>
      <c r="H44" s="38" t="str">
        <f>IF(ISERROR(#REF!-G44),"",IF(#REF!=0,"",#REF!-G44))</f>
        <v/>
      </c>
      <c r="I44" s="339" t="str">
        <f>IF(ISERROR(#REF!-G44),"",IF(#REF!=0,"",IF(H44="",0,ROUND(H44*100/G44,2))))</f>
        <v/>
      </c>
      <c r="J44" s="7"/>
    </row>
    <row r="45" spans="1:10" ht="15.75" hidden="1" customHeight="1">
      <c r="A45" s="8"/>
      <c r="B45" s="7"/>
      <c r="C45" s="7"/>
      <c r="D45" s="8"/>
      <c r="E45" s="258"/>
      <c r="F45" s="259"/>
      <c r="G45" s="260"/>
      <c r="H45" s="38" t="str">
        <f>IF(ISERROR(#REF!-G45),"",IF(#REF!=0,"",#REF!-G45))</f>
        <v/>
      </c>
      <c r="I45" s="339" t="str">
        <f>IF(ISERROR(#REF!-G45),"",IF(#REF!=0,"",IF(H45="",0,ROUND(H45*100/G45,2))))</f>
        <v/>
      </c>
      <c r="J45" s="7"/>
    </row>
    <row r="46" spans="1:10" ht="15.75" hidden="1" customHeight="1">
      <c r="A46" s="8"/>
      <c r="B46" s="7"/>
      <c r="C46" s="7"/>
      <c r="D46" s="8"/>
      <c r="E46" s="258"/>
      <c r="F46" s="259"/>
      <c r="G46" s="260"/>
      <c r="H46" s="38" t="str">
        <f>IF(ISERROR(#REF!-G46),"",IF(#REF!=0,"",#REF!-G46))</f>
        <v/>
      </c>
      <c r="I46" s="339" t="str">
        <f>IF(ISERROR(#REF!-G46),"",IF(#REF!=0,"",IF(H46="",0,ROUND(H46*100/G46,2))))</f>
        <v/>
      </c>
      <c r="J46" s="7"/>
    </row>
  </sheetData>
  <mergeCells count="4">
    <mergeCell ref="A1:J1"/>
    <mergeCell ref="A2:J2"/>
    <mergeCell ref="A26:B26"/>
    <mergeCell ref="P27:S27"/>
  </mergeCells>
  <phoneticPr fontId="77" type="noConversion"/>
  <printOptions horizontalCentered="1" verticalCentered="1"/>
  <pageMargins left="1.3385826771653544" right="1.2598425196850394" top="0.27559055118110237" bottom="0.6692913385826772" header="1.7716535433070868" footer="1.1811023622047245"/>
  <pageSetup paperSize="9" fitToHeight="0" orientation="landscape" blackAndWhite="1" r:id="rId1"/>
  <headerFooter scaleWithDoc="0">
    <oddHeader>&amp;R&amp;"宋体,常规"&amp;10表3-1-1
共&amp;N页 第&amp;P页
金额单位：人民币元</oddHeader>
    <oddFooter>&amp;L&amp;10复核人：_x000D_复核日期：&amp;C&amp;10　　　　　　　　　　　　　　　　　　　　　　　　　　　　评估人员：_x000D_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977900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07CE-D134-472C-A573-BABF8A355844}">
  <sheetPr codeName="Sheet33">
    <pageSetUpPr fitToPage="1"/>
  </sheetPr>
  <dimension ref="A1:S46"/>
  <sheetViews>
    <sheetView view="pageBreakPreview" zoomScale="90" zoomScaleNormal="100" zoomScaleSheetLayoutView="90" workbookViewId="0">
      <pane ySplit="6" topLeftCell="A7" activePane="bottomLeft" state="frozen"/>
      <selection activeCell="F17" sqref="F17"/>
      <selection pane="bottomLeft" activeCell="F17" sqref="F17"/>
    </sheetView>
  </sheetViews>
  <sheetFormatPr baseColWidth="10" defaultColWidth="9" defaultRowHeight="15.75" customHeight="1"/>
  <cols>
    <col min="1" max="1" width="4.6640625" style="81" customWidth="1"/>
    <col min="2" max="2" width="14.1640625" style="81" customWidth="1"/>
    <col min="3" max="3" width="12.5" style="81" customWidth="1"/>
    <col min="4" max="4" width="6.6640625" style="81" customWidth="1"/>
    <col min="5" max="5" width="13" style="81" customWidth="1"/>
    <col min="6" max="6" width="13.5" style="81" customWidth="1"/>
    <col min="7" max="7" width="10.6640625" style="81" customWidth="1"/>
    <col min="8" max="8" width="10.1640625" style="81" customWidth="1"/>
    <col min="9" max="9" width="7.6640625" style="135" customWidth="1"/>
    <col min="10" max="10" width="9.1640625" style="340" customWidth="1"/>
    <col min="11" max="11" width="7" style="81" customWidth="1"/>
    <col min="12" max="12" width="7.1640625" style="81" customWidth="1"/>
    <col min="13" max="13" width="8.1640625" style="81" customWidth="1"/>
    <col min="14" max="14" width="11.1640625" style="81" customWidth="1"/>
    <col min="15" max="15" width="5.1640625" style="81" customWidth="1"/>
    <col min="16" max="17" width="8" style="81" customWidth="1"/>
    <col min="18" max="18" width="11.1640625" style="81" customWidth="1"/>
    <col min="19" max="16384" width="9" style="81"/>
  </cols>
  <sheetData>
    <row r="1" spans="1:19" s="80" customFormat="1" ht="30" customHeight="1">
      <c r="A1" s="374" t="s">
        <v>968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2"/>
      <c r="J3" s="131"/>
      <c r="K3" s="178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2"/>
      <c r="J4" s="337"/>
      <c r="K4" s="37"/>
    </row>
    <row r="5" spans="1:19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218"/>
      <c r="K5" s="122"/>
      <c r="L5" s="427" t="s">
        <v>675</v>
      </c>
      <c r="M5" s="427"/>
      <c r="N5" s="427"/>
      <c r="O5" s="427"/>
      <c r="P5" s="428" t="s">
        <v>676</v>
      </c>
      <c r="Q5" s="429"/>
      <c r="R5" s="425" t="s">
        <v>677</v>
      </c>
      <c r="S5" s="425" t="s">
        <v>678</v>
      </c>
    </row>
    <row r="6" spans="1:19" s="101" customFormat="1" ht="15.75" customHeight="1">
      <c r="A6" s="45" t="s">
        <v>7</v>
      </c>
      <c r="B6" s="267" t="s">
        <v>594</v>
      </c>
      <c r="C6" s="267" t="s">
        <v>135</v>
      </c>
      <c r="D6" s="45" t="s">
        <v>22</v>
      </c>
      <c r="E6" s="45" t="s">
        <v>134</v>
      </c>
      <c r="F6" s="45" t="s">
        <v>23</v>
      </c>
      <c r="G6" s="45" t="s">
        <v>117</v>
      </c>
      <c r="H6" s="45" t="s">
        <v>0</v>
      </c>
      <c r="I6" s="175" t="s">
        <v>1</v>
      </c>
      <c r="J6" s="341" t="s">
        <v>479</v>
      </c>
      <c r="K6" s="45" t="s">
        <v>39</v>
      </c>
      <c r="L6" s="303" t="s">
        <v>1057</v>
      </c>
      <c r="M6" s="303" t="s">
        <v>680</v>
      </c>
      <c r="N6" s="301" t="s">
        <v>681</v>
      </c>
      <c r="O6" s="286" t="s">
        <v>597</v>
      </c>
      <c r="P6" s="303" t="s">
        <v>682</v>
      </c>
      <c r="Q6" s="286" t="s">
        <v>596</v>
      </c>
      <c r="R6" s="426"/>
      <c r="S6" s="426"/>
    </row>
    <row r="7" spans="1:19" ht="15.75" customHeight="1">
      <c r="A7" s="8">
        <v>1</v>
      </c>
      <c r="B7" s="7" t="s">
        <v>1053</v>
      </c>
      <c r="C7" s="150" t="s">
        <v>1055</v>
      </c>
      <c r="D7" s="8" t="s">
        <v>965</v>
      </c>
      <c r="E7" s="258"/>
      <c r="F7" s="259"/>
      <c r="G7" s="260">
        <v>6711839.54</v>
      </c>
      <c r="H7" s="260">
        <f>G7</f>
        <v>6711839.54</v>
      </c>
      <c r="I7" s="31">
        <f>IF(ISERROR(H7-G7),"",IF(H7=0,"",H7-G7))</f>
        <v>0</v>
      </c>
      <c r="J7" s="339">
        <f>IF(ISERROR(H7-G7),"",IF(H7=0,"",IF(I7="",0,ROUND(I7*100/G7,2))))</f>
        <v>0</v>
      </c>
      <c r="K7" s="7"/>
      <c r="L7" s="369" t="s">
        <v>595</v>
      </c>
      <c r="M7" s="7"/>
      <c r="N7" s="7"/>
      <c r="O7" s="7">
        <v>1</v>
      </c>
      <c r="P7" s="369" t="s">
        <v>595</v>
      </c>
      <c r="Q7" s="7">
        <v>1</v>
      </c>
      <c r="R7" s="7"/>
      <c r="S7" s="7"/>
    </row>
    <row r="8" spans="1:19" ht="15.75" customHeight="1">
      <c r="A8" s="8">
        <v>2</v>
      </c>
      <c r="B8" s="7" t="s">
        <v>1054</v>
      </c>
      <c r="C8" s="150" t="s">
        <v>1056</v>
      </c>
      <c r="D8" s="8" t="s">
        <v>965</v>
      </c>
      <c r="E8" s="258"/>
      <c r="F8" s="259"/>
      <c r="G8" s="260">
        <v>2719154.27</v>
      </c>
      <c r="H8" s="260">
        <f>G8</f>
        <v>2719154.27</v>
      </c>
      <c r="I8" s="31">
        <f t="shared" ref="I8:I23" si="0">IF(ISERROR(H8-G8),"",IF(H8=0,"",H8-G8))</f>
        <v>0</v>
      </c>
      <c r="J8" s="339">
        <f t="shared" ref="J8:J23" si="1">IF(ISERROR(H8-G8),"",IF(H8=0,"",IF(I8="",0,ROUND(I8*100/G8,2))))</f>
        <v>0</v>
      </c>
      <c r="K8" s="7"/>
      <c r="L8" s="369" t="s">
        <v>595</v>
      </c>
      <c r="M8" s="7"/>
      <c r="N8" s="7"/>
      <c r="O8" s="7">
        <v>2</v>
      </c>
      <c r="P8" s="369" t="s">
        <v>595</v>
      </c>
      <c r="Q8" s="7">
        <v>2</v>
      </c>
      <c r="R8" s="7"/>
      <c r="S8" s="7"/>
    </row>
    <row r="9" spans="1:19" ht="15.75" customHeight="1">
      <c r="A9" s="8"/>
      <c r="B9" s="7"/>
      <c r="C9" s="7"/>
      <c r="D9" s="8"/>
      <c r="E9" s="258"/>
      <c r="F9" s="259"/>
      <c r="G9" s="260"/>
      <c r="H9" s="260"/>
      <c r="I9" s="31" t="str">
        <f t="shared" si="0"/>
        <v/>
      </c>
      <c r="J9" s="339" t="str">
        <f t="shared" si="1"/>
        <v/>
      </c>
      <c r="K9" s="7"/>
      <c r="L9" s="7"/>
      <c r="M9" s="7"/>
      <c r="N9" s="7"/>
      <c r="O9" s="7"/>
      <c r="P9" s="7"/>
      <c r="Q9" s="7"/>
      <c r="R9" s="7"/>
      <c r="S9" s="7"/>
    </row>
    <row r="10" spans="1:19" ht="15.75" customHeight="1">
      <c r="A10" s="8"/>
      <c r="B10" s="7"/>
      <c r="C10" s="7"/>
      <c r="D10" s="8"/>
      <c r="E10" s="258"/>
      <c r="F10" s="259"/>
      <c r="G10" s="260"/>
      <c r="H10" s="260"/>
      <c r="I10" s="31" t="str">
        <f t="shared" si="0"/>
        <v/>
      </c>
      <c r="J10" s="339" t="str">
        <f t="shared" si="1"/>
        <v/>
      </c>
      <c r="K10" s="7"/>
      <c r="L10" s="7"/>
      <c r="M10" s="7"/>
      <c r="N10" s="7"/>
      <c r="O10" s="7"/>
      <c r="P10" s="7"/>
      <c r="Q10" s="7"/>
      <c r="R10" s="7"/>
      <c r="S10" s="7"/>
    </row>
    <row r="11" spans="1:19" ht="15.75" customHeight="1">
      <c r="A11" s="8"/>
      <c r="B11" s="7"/>
      <c r="C11" s="7"/>
      <c r="D11" s="8"/>
      <c r="E11" s="258"/>
      <c r="F11" s="259"/>
      <c r="G11" s="260"/>
      <c r="H11" s="260"/>
      <c r="I11" s="31" t="str">
        <f t="shared" si="0"/>
        <v/>
      </c>
      <c r="J11" s="339" t="str">
        <f t="shared" si="1"/>
        <v/>
      </c>
      <c r="K11" s="7"/>
      <c r="L11" s="7"/>
      <c r="M11" s="7"/>
      <c r="N11" s="7"/>
      <c r="O11" s="7"/>
      <c r="P11" s="7"/>
      <c r="Q11" s="7"/>
      <c r="R11" s="7"/>
      <c r="S11" s="7"/>
    </row>
    <row r="12" spans="1:19" ht="15.75" customHeight="1">
      <c r="A12" s="8"/>
      <c r="B12" s="7"/>
      <c r="C12" s="7"/>
      <c r="D12" s="8"/>
      <c r="E12" s="258"/>
      <c r="F12" s="259"/>
      <c r="G12" s="260"/>
      <c r="H12" s="260"/>
      <c r="I12" s="31" t="str">
        <f>IF(ISERROR(H12-G12),"",IF(H12=0,"",H12-G12))</f>
        <v/>
      </c>
      <c r="J12" s="339" t="str">
        <f>IF(ISERROR(H12-G12),"",IF(H12=0,"",IF(I12="",0,ROUND(I12*100/G12,2))))</f>
        <v/>
      </c>
      <c r="K12" s="7"/>
      <c r="L12" s="7"/>
      <c r="M12" s="7"/>
      <c r="N12" s="7"/>
      <c r="O12" s="7"/>
      <c r="P12" s="7"/>
      <c r="Q12" s="7"/>
      <c r="R12" s="7"/>
      <c r="S12" s="7"/>
    </row>
    <row r="13" spans="1:19" ht="15.75" customHeight="1">
      <c r="A13" s="8"/>
      <c r="B13" s="7"/>
      <c r="C13" s="7"/>
      <c r="D13" s="8"/>
      <c r="E13" s="258"/>
      <c r="F13" s="259"/>
      <c r="G13" s="260"/>
      <c r="H13" s="260"/>
      <c r="I13" s="31" t="str">
        <f t="shared" si="0"/>
        <v/>
      </c>
      <c r="J13" s="339" t="str">
        <f t="shared" si="1"/>
        <v/>
      </c>
      <c r="K13" s="7"/>
      <c r="L13" s="7"/>
      <c r="M13" s="7"/>
      <c r="N13" s="7"/>
      <c r="O13" s="7"/>
      <c r="P13" s="7"/>
      <c r="Q13" s="7"/>
      <c r="R13" s="7"/>
      <c r="S13" s="7"/>
    </row>
    <row r="14" spans="1:19" ht="15.75" customHeight="1">
      <c r="A14" s="8"/>
      <c r="B14" s="7"/>
      <c r="C14" s="7"/>
      <c r="D14" s="8"/>
      <c r="E14" s="258"/>
      <c r="F14" s="259"/>
      <c r="G14" s="260"/>
      <c r="H14" s="260"/>
      <c r="I14" s="31" t="str">
        <f t="shared" si="0"/>
        <v/>
      </c>
      <c r="J14" s="339" t="str">
        <f t="shared" si="1"/>
        <v/>
      </c>
      <c r="K14" s="7"/>
      <c r="L14" s="7"/>
      <c r="M14" s="7"/>
      <c r="N14" s="7"/>
      <c r="O14" s="7"/>
      <c r="P14" s="7"/>
      <c r="Q14" s="7"/>
      <c r="R14" s="7"/>
      <c r="S14" s="7"/>
    </row>
    <row r="15" spans="1:19" ht="15.75" customHeight="1">
      <c r="A15" s="8"/>
      <c r="B15" s="7"/>
      <c r="C15" s="7"/>
      <c r="D15" s="8"/>
      <c r="E15" s="258"/>
      <c r="F15" s="259"/>
      <c r="G15" s="260"/>
      <c r="H15" s="260"/>
      <c r="I15" s="31" t="str">
        <f t="shared" si="0"/>
        <v/>
      </c>
      <c r="J15" s="339" t="str">
        <f t="shared" si="1"/>
        <v/>
      </c>
      <c r="K15" s="7"/>
      <c r="L15" s="7"/>
      <c r="M15" s="7"/>
      <c r="N15" s="7"/>
      <c r="O15" s="7"/>
      <c r="P15" s="7"/>
      <c r="Q15" s="7"/>
      <c r="R15" s="7"/>
      <c r="S15" s="7"/>
    </row>
    <row r="16" spans="1:19" ht="15.75" customHeight="1">
      <c r="A16" s="8"/>
      <c r="B16" s="7"/>
      <c r="C16" s="7"/>
      <c r="D16" s="8"/>
      <c r="E16" s="258"/>
      <c r="F16" s="259"/>
      <c r="G16" s="260"/>
      <c r="H16" s="260"/>
      <c r="I16" s="31" t="str">
        <f t="shared" si="0"/>
        <v/>
      </c>
      <c r="J16" s="339" t="str">
        <f t="shared" si="1"/>
        <v/>
      </c>
      <c r="K16" s="7"/>
      <c r="L16" s="7"/>
      <c r="M16" s="7"/>
      <c r="N16" s="7"/>
      <c r="O16" s="7"/>
      <c r="P16" s="7"/>
      <c r="Q16" s="7"/>
      <c r="R16" s="7"/>
      <c r="S16" s="7"/>
    </row>
    <row r="17" spans="1:19" ht="15.75" customHeight="1">
      <c r="A17" s="8"/>
      <c r="B17" s="7"/>
      <c r="C17" s="7"/>
      <c r="D17" s="8"/>
      <c r="E17" s="258"/>
      <c r="F17" s="259"/>
      <c r="G17" s="260"/>
      <c r="H17" s="260"/>
      <c r="I17" s="31" t="str">
        <f t="shared" si="0"/>
        <v/>
      </c>
      <c r="J17" s="339" t="str">
        <f t="shared" si="1"/>
        <v/>
      </c>
      <c r="K17" s="7"/>
      <c r="L17" s="7"/>
      <c r="M17" s="7"/>
      <c r="N17" s="7"/>
      <c r="O17" s="7"/>
      <c r="P17" s="7"/>
      <c r="Q17" s="7"/>
      <c r="R17" s="7"/>
      <c r="S17" s="7"/>
    </row>
    <row r="18" spans="1:19" ht="15.75" customHeight="1">
      <c r="A18" s="8"/>
      <c r="B18" s="7"/>
      <c r="C18" s="7"/>
      <c r="D18" s="8"/>
      <c r="E18" s="258"/>
      <c r="F18" s="259"/>
      <c r="G18" s="260"/>
      <c r="H18" s="260"/>
      <c r="I18" s="31" t="str">
        <f t="shared" si="0"/>
        <v/>
      </c>
      <c r="J18" s="339" t="str">
        <f t="shared" si="1"/>
        <v/>
      </c>
      <c r="K18" s="7"/>
      <c r="L18" s="7"/>
      <c r="M18" s="7"/>
      <c r="N18" s="7"/>
      <c r="O18" s="7"/>
      <c r="P18" s="7"/>
      <c r="Q18" s="7"/>
      <c r="R18" s="7"/>
      <c r="S18" s="7"/>
    </row>
    <row r="19" spans="1:19" ht="15.75" customHeight="1">
      <c r="A19" s="8"/>
      <c r="B19" s="7"/>
      <c r="C19" s="7"/>
      <c r="D19" s="8"/>
      <c r="E19" s="258"/>
      <c r="F19" s="259"/>
      <c r="G19" s="260"/>
      <c r="H19" s="260"/>
      <c r="I19" s="31" t="str">
        <f t="shared" si="0"/>
        <v/>
      </c>
      <c r="J19" s="339" t="str">
        <f t="shared" si="1"/>
        <v/>
      </c>
      <c r="K19" s="7"/>
      <c r="L19" s="7"/>
      <c r="M19" s="7"/>
      <c r="N19" s="7"/>
      <c r="O19" s="7"/>
      <c r="P19" s="7"/>
      <c r="Q19" s="7"/>
      <c r="R19" s="7"/>
      <c r="S19" s="7"/>
    </row>
    <row r="20" spans="1:19" ht="15.75" customHeight="1">
      <c r="A20" s="8"/>
      <c r="B20" s="7"/>
      <c r="C20" s="7"/>
      <c r="D20" s="8"/>
      <c r="E20" s="258"/>
      <c r="F20" s="259"/>
      <c r="G20" s="260"/>
      <c r="H20" s="260"/>
      <c r="I20" s="31" t="str">
        <f t="shared" si="0"/>
        <v/>
      </c>
      <c r="J20" s="339" t="str">
        <f t="shared" si="1"/>
        <v/>
      </c>
      <c r="K20" s="7"/>
      <c r="L20" s="7"/>
      <c r="M20" s="7"/>
      <c r="N20" s="7"/>
      <c r="O20" s="7"/>
      <c r="P20" s="7"/>
      <c r="Q20" s="7"/>
      <c r="R20" s="7"/>
      <c r="S20" s="7"/>
    </row>
    <row r="21" spans="1:19" ht="15.75" customHeight="1">
      <c r="A21" s="8"/>
      <c r="B21" s="7"/>
      <c r="C21" s="7"/>
      <c r="D21" s="8"/>
      <c r="E21" s="258"/>
      <c r="F21" s="259"/>
      <c r="G21" s="260"/>
      <c r="H21" s="260"/>
      <c r="I21" s="31" t="str">
        <f t="shared" si="0"/>
        <v/>
      </c>
      <c r="J21" s="339" t="str">
        <f t="shared" si="1"/>
        <v/>
      </c>
      <c r="K21" s="7"/>
      <c r="L21" s="7"/>
      <c r="M21" s="7"/>
      <c r="N21" s="7"/>
      <c r="O21" s="7"/>
      <c r="P21" s="7"/>
      <c r="Q21" s="7"/>
      <c r="R21" s="7"/>
      <c r="S21" s="7"/>
    </row>
    <row r="22" spans="1:19" ht="15.75" customHeight="1">
      <c r="A22" s="8"/>
      <c r="B22" s="7"/>
      <c r="C22" s="7"/>
      <c r="D22" s="8"/>
      <c r="E22" s="258"/>
      <c r="F22" s="259"/>
      <c r="G22" s="260"/>
      <c r="H22" s="260"/>
      <c r="I22" s="31" t="str">
        <f>IF(ISERROR(H22-G22),"",IF(H22=0,"",H22-G22))</f>
        <v/>
      </c>
      <c r="J22" s="339" t="str">
        <f>IF(ISERROR(H22-G22),"",IF(H22=0,"",IF(I22="",0,ROUND(I22*100/G22,2))))</f>
        <v/>
      </c>
      <c r="K22" s="7"/>
      <c r="L22" s="7"/>
      <c r="M22" s="7"/>
      <c r="N22" s="7"/>
      <c r="O22" s="7"/>
      <c r="P22" s="7"/>
      <c r="Q22" s="7"/>
      <c r="R22" s="7"/>
      <c r="S22" s="7"/>
    </row>
    <row r="23" spans="1:19" ht="15.75" customHeight="1">
      <c r="A23" s="8"/>
      <c r="B23" s="7"/>
      <c r="C23" s="7"/>
      <c r="D23" s="8"/>
      <c r="E23" s="258"/>
      <c r="F23" s="259"/>
      <c r="G23" s="260"/>
      <c r="H23" s="260"/>
      <c r="I23" s="31" t="str">
        <f t="shared" si="0"/>
        <v/>
      </c>
      <c r="J23" s="339" t="str">
        <f t="shared" si="1"/>
        <v/>
      </c>
      <c r="K23" s="7"/>
      <c r="L23" s="7"/>
      <c r="M23" s="7"/>
      <c r="N23" s="7"/>
      <c r="O23" s="7"/>
      <c r="P23" s="7"/>
      <c r="Q23" s="7"/>
      <c r="R23" s="7"/>
      <c r="S23" s="7"/>
    </row>
    <row r="24" spans="1:19" ht="15.75" customHeight="1">
      <c r="A24" s="8"/>
      <c r="B24" s="7"/>
      <c r="C24" s="7"/>
      <c r="D24" s="8"/>
      <c r="E24" s="258"/>
      <c r="F24" s="259"/>
      <c r="G24" s="260"/>
      <c r="H24" s="260"/>
      <c r="I24" s="31" t="str">
        <f>IF(ISERROR(H24-G24),"",IF(H24=0,"",H24-G24))</f>
        <v/>
      </c>
      <c r="J24" s="339" t="str">
        <f>IF(ISERROR(H24-G24),"",IF(H24=0,"",IF(I24="",0,ROUND(I24*100/G24,2))))</f>
        <v/>
      </c>
      <c r="K24" s="7"/>
      <c r="L24" s="7"/>
      <c r="M24" s="7"/>
      <c r="N24" s="7"/>
      <c r="O24" s="7"/>
      <c r="P24" s="7"/>
      <c r="Q24" s="7"/>
      <c r="R24" s="7"/>
      <c r="S24" s="7"/>
    </row>
    <row r="25" spans="1:19" ht="15.75" customHeight="1">
      <c r="A25" s="8"/>
      <c r="B25" s="7"/>
      <c r="C25" s="7"/>
      <c r="D25" s="8"/>
      <c r="E25" s="258"/>
      <c r="F25" s="259"/>
      <c r="G25" s="260"/>
      <c r="H25" s="260"/>
      <c r="I25" s="31" t="str">
        <f>IF(ISERROR(H25-G25),"",IF(H25=0,"",H25-G25))</f>
        <v/>
      </c>
      <c r="J25" s="339" t="str">
        <f>IF(ISERROR(H25-G25),"",IF(H25=0,"",IF(I25="",0,ROUND(I25*100/G25,2))))</f>
        <v/>
      </c>
      <c r="K25" s="7"/>
      <c r="L25" s="7"/>
      <c r="M25" s="7"/>
      <c r="N25" s="7"/>
      <c r="O25" s="7"/>
      <c r="P25" s="7"/>
      <c r="Q25" s="7"/>
      <c r="R25" s="7"/>
      <c r="S25" s="7"/>
    </row>
    <row r="26" spans="1:19" ht="15.75" customHeight="1">
      <c r="A26" s="420" t="s">
        <v>534</v>
      </c>
      <c r="B26" s="421"/>
      <c r="C26" s="39"/>
      <c r="D26" s="39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9"/>
      <c r="G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9430993.8100000005</v>
      </c>
      <c r="H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9430993.8100000005</v>
      </c>
      <c r="I26" s="31">
        <f ca="1">IF(ISERROR(H26-G26),"",IF(H26=0,"",H26-G26))</f>
        <v>0</v>
      </c>
      <c r="J26" s="339">
        <f ca="1">IF(ISERROR(H26-G26),"",IF(H26=0,"",IF(I26="",0,ROUND(I26*100/G26,2))))</f>
        <v>0</v>
      </c>
      <c r="K26" s="261"/>
      <c r="L26" s="261"/>
      <c r="M26" s="261"/>
      <c r="N26" s="261"/>
      <c r="O26" s="261"/>
      <c r="P26" s="261"/>
      <c r="Q26" s="261"/>
      <c r="R26" s="261"/>
      <c r="S26" s="261"/>
    </row>
    <row r="27" spans="1:19" ht="15.75" hidden="1" customHeight="1">
      <c r="A27" s="8"/>
      <c r="B27" s="7"/>
      <c r="C27" s="7"/>
      <c r="D27" s="8"/>
      <c r="E27" s="258"/>
      <c r="F27" s="259"/>
      <c r="G27" s="260"/>
      <c r="H27" s="260"/>
      <c r="I27" s="38" t="str">
        <f>IF(ISERROR(H27-G27),"",IF(H27=0,"",H27-G27))</f>
        <v/>
      </c>
      <c r="J27" s="339" t="str">
        <f>IF(ISERROR(H27-G27),"",IF(H27=0,"",IF(I27="",0,ROUND(I27*100/G27,2))))</f>
        <v/>
      </c>
      <c r="K27" s="7"/>
    </row>
    <row r="28" spans="1:19" ht="15.75" hidden="1" customHeight="1">
      <c r="A28" s="8"/>
      <c r="B28" s="7"/>
      <c r="C28" s="7"/>
      <c r="D28" s="8"/>
      <c r="E28" s="258"/>
      <c r="F28" s="259"/>
      <c r="G28" s="260"/>
      <c r="H28" s="260"/>
      <c r="I28" s="38" t="str">
        <f t="shared" ref="I28:I46" si="2">IF(ISERROR(H28-G28),"",IF(H28=0,"",H28-G28))</f>
        <v/>
      </c>
      <c r="J28" s="339" t="str">
        <f t="shared" ref="J28:J46" si="3">IF(ISERROR(H28-G28),"",IF(H28=0,"",IF(I28="",0,ROUND(I28*100/G28,2))))</f>
        <v/>
      </c>
      <c r="K28" s="7"/>
    </row>
    <row r="29" spans="1:19" ht="15.75" hidden="1" customHeight="1">
      <c r="A29" s="8"/>
      <c r="B29" s="7"/>
      <c r="C29" s="7"/>
      <c r="D29" s="8"/>
      <c r="E29" s="258"/>
      <c r="F29" s="259"/>
      <c r="G29" s="260"/>
      <c r="H29" s="260"/>
      <c r="I29" s="38" t="str">
        <f t="shared" si="2"/>
        <v/>
      </c>
      <c r="J29" s="339" t="str">
        <f t="shared" si="3"/>
        <v/>
      </c>
      <c r="K29" s="7"/>
    </row>
    <row r="30" spans="1:19" ht="15.75" hidden="1" customHeight="1">
      <c r="A30" s="8"/>
      <c r="B30" s="7"/>
      <c r="C30" s="7"/>
      <c r="D30" s="8"/>
      <c r="E30" s="258"/>
      <c r="F30" s="259"/>
      <c r="G30" s="260"/>
      <c r="H30" s="260"/>
      <c r="I30" s="38" t="str">
        <f t="shared" si="2"/>
        <v/>
      </c>
      <c r="J30" s="339" t="str">
        <f t="shared" si="3"/>
        <v/>
      </c>
      <c r="K30" s="7"/>
    </row>
    <row r="31" spans="1:19" ht="15.75" hidden="1" customHeight="1">
      <c r="A31" s="8"/>
      <c r="B31" s="7"/>
      <c r="C31" s="7"/>
      <c r="D31" s="8"/>
      <c r="E31" s="258"/>
      <c r="F31" s="259"/>
      <c r="G31" s="260"/>
      <c r="H31" s="260"/>
      <c r="I31" s="38" t="str">
        <f t="shared" si="2"/>
        <v/>
      </c>
      <c r="J31" s="339" t="str">
        <f t="shared" si="3"/>
        <v/>
      </c>
      <c r="K31" s="7"/>
    </row>
    <row r="32" spans="1:19" ht="15.75" hidden="1" customHeight="1">
      <c r="A32" s="8"/>
      <c r="B32" s="7"/>
      <c r="C32" s="7"/>
      <c r="D32" s="8"/>
      <c r="E32" s="258"/>
      <c r="F32" s="259"/>
      <c r="G32" s="260"/>
      <c r="H32" s="260"/>
      <c r="I32" s="3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7"/>
      <c r="D33" s="8"/>
      <c r="E33" s="258"/>
      <c r="F33" s="259"/>
      <c r="G33" s="260"/>
      <c r="H33" s="260"/>
      <c r="I33" s="3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7"/>
      <c r="D34" s="8"/>
      <c r="E34" s="258"/>
      <c r="F34" s="259"/>
      <c r="G34" s="260"/>
      <c r="H34" s="260"/>
      <c r="I34" s="3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7"/>
      <c r="D35" s="8"/>
      <c r="E35" s="258"/>
      <c r="F35" s="259"/>
      <c r="G35" s="260"/>
      <c r="H35" s="260"/>
      <c r="I35" s="3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7"/>
      <c r="D36" s="8"/>
      <c r="E36" s="258"/>
      <c r="F36" s="259"/>
      <c r="G36" s="260"/>
      <c r="H36" s="260"/>
      <c r="I36" s="3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7"/>
      <c r="D37" s="8"/>
      <c r="E37" s="258"/>
      <c r="F37" s="259"/>
      <c r="G37" s="260"/>
      <c r="H37" s="260"/>
      <c r="I37" s="3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7"/>
      <c r="D38" s="8"/>
      <c r="E38" s="258"/>
      <c r="F38" s="259"/>
      <c r="G38" s="260"/>
      <c r="H38" s="260"/>
      <c r="I38" s="3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7"/>
      <c r="D39" s="8"/>
      <c r="E39" s="258"/>
      <c r="F39" s="259"/>
      <c r="G39" s="260"/>
      <c r="H39" s="260"/>
      <c r="I39" s="3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7"/>
      <c r="D40" s="8"/>
      <c r="E40" s="258"/>
      <c r="F40" s="259"/>
      <c r="G40" s="260"/>
      <c r="H40" s="260"/>
      <c r="I40" s="3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7"/>
      <c r="D41" s="8"/>
      <c r="E41" s="258"/>
      <c r="F41" s="259"/>
      <c r="G41" s="260"/>
      <c r="H41" s="260"/>
      <c r="I41" s="3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7"/>
      <c r="D42" s="8"/>
      <c r="E42" s="258"/>
      <c r="F42" s="259"/>
      <c r="G42" s="260"/>
      <c r="H42" s="260"/>
      <c r="I42" s="3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7"/>
      <c r="D43" s="8"/>
      <c r="E43" s="258"/>
      <c r="F43" s="259"/>
      <c r="G43" s="260"/>
      <c r="H43" s="260"/>
      <c r="I43" s="3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7"/>
      <c r="D44" s="8"/>
      <c r="E44" s="258"/>
      <c r="F44" s="259"/>
      <c r="G44" s="260"/>
      <c r="H44" s="260"/>
      <c r="I44" s="3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7"/>
      <c r="D45" s="8"/>
      <c r="E45" s="258"/>
      <c r="F45" s="259"/>
      <c r="G45" s="260"/>
      <c r="H45" s="260"/>
      <c r="I45" s="3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7"/>
      <c r="D46" s="8"/>
      <c r="E46" s="258"/>
      <c r="F46" s="259"/>
      <c r="G46" s="260"/>
      <c r="H46" s="260"/>
      <c r="I46" s="38" t="str">
        <f t="shared" si="2"/>
        <v/>
      </c>
      <c r="J46" s="339" t="str">
        <f t="shared" si="3"/>
        <v/>
      </c>
      <c r="K46" s="7"/>
    </row>
  </sheetData>
  <mergeCells count="7">
    <mergeCell ref="R5:R6"/>
    <mergeCell ref="S5:S6"/>
    <mergeCell ref="A1:K1"/>
    <mergeCell ref="A2:K2"/>
    <mergeCell ref="A26:B26"/>
    <mergeCell ref="L5:O5"/>
    <mergeCell ref="P5:Q5"/>
  </mergeCells>
  <phoneticPr fontId="77" type="noConversion"/>
  <printOptions horizontalCentered="1" verticalCentered="1"/>
  <pageMargins left="1.4566929133858268" right="1.1023622047244095" top="0.15748031496062992" bottom="0.59055118110236227" header="1.7322834645669292" footer="1.1811023622047245"/>
  <pageSetup paperSize="9" scale="61" fitToHeight="0" orientation="landscape" blackAndWhite="1" r:id="rId1"/>
  <headerFooter>
    <oddHeader>&amp;R&amp;"宋体,常规"&amp;10表3-1-2
共&amp;N页 第&amp;P页
金额单位：人民币元</oddHeader>
    <oddFooter>&amp;L&amp;10复核人：ABC_x000D_复核日期：2025-3-22&amp;C&amp;10　　　　　　　　　　　　　　　　　　　　　　　　　　　　评估人员：DE_x000D_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977900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551-1C27-4335-A3E4-89FF606F9FA5}">
  <sheetPr codeName="Sheet12">
    <pageSetUpPr fitToPage="1"/>
  </sheetPr>
  <dimension ref="A1:Q46"/>
  <sheetViews>
    <sheetView view="pageBreakPreview" zoomScaleNormal="100" zoomScaleSheetLayoutView="100" workbookViewId="0">
      <pane ySplit="6" topLeftCell="A12" activePane="bottomLeft" state="frozen"/>
      <selection activeCell="F17" sqref="F17"/>
      <selection pane="bottomLeft" activeCell="H13" sqref="H13"/>
    </sheetView>
  </sheetViews>
  <sheetFormatPr baseColWidth="10" defaultColWidth="9" defaultRowHeight="15.75" customHeight="1"/>
  <cols>
    <col min="1" max="1" width="5.5" style="81" customWidth="1"/>
    <col min="2" max="2" width="16.5" style="81" customWidth="1"/>
    <col min="3" max="3" width="15" style="81" customWidth="1"/>
    <col min="4" max="4" width="6.5" style="81" customWidth="1"/>
    <col min="5" max="5" width="11.1640625" style="81" customWidth="1"/>
    <col min="6" max="6" width="12.1640625" style="81" customWidth="1"/>
    <col min="7" max="7" width="13.1640625" style="81" bestFit="1" customWidth="1"/>
    <col min="8" max="8" width="12.5" style="81" customWidth="1"/>
    <col min="9" max="9" width="10.1640625" style="135" customWidth="1"/>
    <col min="10" max="10" width="10.1640625" style="340" customWidth="1"/>
    <col min="11" max="11" width="8.1640625" style="81" customWidth="1"/>
    <col min="12" max="12" width="7.33203125" style="81" customWidth="1"/>
    <col min="13" max="13" width="8" style="81" customWidth="1"/>
    <col min="14" max="14" width="5.6640625" style="81" customWidth="1"/>
    <col min="15" max="15" width="8.6640625" style="81" customWidth="1"/>
    <col min="16" max="16" width="7.33203125" style="81" customWidth="1"/>
    <col min="17" max="17" width="7.5" style="81" customWidth="1"/>
    <col min="18" max="16384" width="9" style="81"/>
  </cols>
  <sheetData>
    <row r="1" spans="1:17" s="80" customFormat="1" ht="30" customHeight="1">
      <c r="A1" s="374" t="s">
        <v>969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7" ht="14.25" customHeight="1">
      <c r="A3" s="40"/>
      <c r="B3" s="40"/>
      <c r="C3" s="40"/>
      <c r="D3" s="40"/>
      <c r="E3" s="40"/>
      <c r="F3" s="40"/>
      <c r="G3" s="40"/>
      <c r="H3" s="171"/>
      <c r="I3" s="172"/>
      <c r="J3" s="131"/>
      <c r="K3" s="178"/>
    </row>
    <row r="4" spans="1:17" ht="14.25" customHeight="1">
      <c r="A4" s="40"/>
      <c r="B4" s="40"/>
      <c r="C4" s="40"/>
      <c r="D4" s="40"/>
      <c r="E4" s="40"/>
      <c r="F4" s="40"/>
      <c r="G4" s="40"/>
      <c r="H4" s="171"/>
      <c r="I4" s="172"/>
      <c r="J4" s="337"/>
      <c r="K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218"/>
      <c r="K5" s="122"/>
      <c r="L5" s="427" t="s">
        <v>683</v>
      </c>
      <c r="M5" s="427"/>
      <c r="N5" s="427" t="s">
        <v>676</v>
      </c>
      <c r="O5" s="427"/>
      <c r="P5" s="425" t="s">
        <v>677</v>
      </c>
      <c r="Q5" s="425" t="s">
        <v>678</v>
      </c>
    </row>
    <row r="6" spans="1:17" s="101" customFormat="1" ht="15.75" customHeight="1">
      <c r="A6" s="45" t="s">
        <v>7</v>
      </c>
      <c r="B6" s="45" t="s">
        <v>24</v>
      </c>
      <c r="C6" s="45" t="s">
        <v>25</v>
      </c>
      <c r="D6" s="45" t="s">
        <v>22</v>
      </c>
      <c r="E6" s="45" t="s">
        <v>134</v>
      </c>
      <c r="F6" s="45" t="s">
        <v>23</v>
      </c>
      <c r="G6" s="45" t="s">
        <v>117</v>
      </c>
      <c r="H6" s="45" t="s">
        <v>0</v>
      </c>
      <c r="I6" s="175" t="s">
        <v>1</v>
      </c>
      <c r="J6" s="341" t="s">
        <v>479</v>
      </c>
      <c r="K6" s="45" t="s">
        <v>39</v>
      </c>
      <c r="L6" s="303" t="s">
        <v>679</v>
      </c>
      <c r="M6" s="286" t="s">
        <v>600</v>
      </c>
      <c r="N6" s="303" t="s">
        <v>963</v>
      </c>
      <c r="O6" s="286" t="s">
        <v>596</v>
      </c>
      <c r="P6" s="426"/>
      <c r="Q6" s="426"/>
    </row>
    <row r="7" spans="1:17" ht="15.75" customHeight="1">
      <c r="A7" s="8">
        <v>1</v>
      </c>
      <c r="B7" s="7" t="s">
        <v>959</v>
      </c>
      <c r="C7" s="368" t="s">
        <v>964</v>
      </c>
      <c r="D7" s="370" t="s">
        <v>966</v>
      </c>
      <c r="E7" s="258"/>
      <c r="F7" s="259"/>
      <c r="G7" s="260">
        <v>10000000</v>
      </c>
      <c r="H7" s="260">
        <f>G7</f>
        <v>10000000</v>
      </c>
      <c r="I7" s="31">
        <f>IF(ISERROR(H7-G7),"",IF(H7=0,"",H7-G7))</f>
        <v>0</v>
      </c>
      <c r="J7" s="339">
        <f>IF(ISERROR(H7-G7),"",IF(H7=0,"",IF(I7="",0,ROUND(I7*100/G7,2))))</f>
        <v>0</v>
      </c>
      <c r="K7" s="7"/>
      <c r="L7" s="369" t="s">
        <v>595</v>
      </c>
      <c r="M7" s="7">
        <v>1</v>
      </c>
      <c r="N7" s="369" t="s">
        <v>595</v>
      </c>
      <c r="O7" s="368" t="s">
        <v>961</v>
      </c>
      <c r="P7" s="7"/>
      <c r="Q7" s="7"/>
    </row>
    <row r="8" spans="1:17" ht="15.75" customHeight="1">
      <c r="A8" s="8">
        <v>2</v>
      </c>
      <c r="B8" s="7" t="s">
        <v>960</v>
      </c>
      <c r="C8" s="368" t="s">
        <v>964</v>
      </c>
      <c r="D8" s="370" t="s">
        <v>966</v>
      </c>
      <c r="E8" s="258"/>
      <c r="F8" s="259"/>
      <c r="G8" s="260">
        <v>20000000</v>
      </c>
      <c r="H8" s="260">
        <f>G8</f>
        <v>20000000</v>
      </c>
      <c r="I8" s="31">
        <f t="shared" ref="I8:I26" si="0">IF(ISERROR(H8-G8),"",IF(H8=0,"",H8-G8))</f>
        <v>0</v>
      </c>
      <c r="J8" s="339">
        <f t="shared" ref="J8:J26" si="1">IF(ISERROR(H8-G8),"",IF(H8=0,"",IF(I8="",0,ROUND(I8*100/G8,2))))</f>
        <v>0</v>
      </c>
      <c r="K8" s="7"/>
      <c r="L8" s="369" t="s">
        <v>595</v>
      </c>
      <c r="M8" s="7">
        <v>2</v>
      </c>
      <c r="N8" s="369" t="s">
        <v>595</v>
      </c>
      <c r="O8" s="368" t="s">
        <v>962</v>
      </c>
      <c r="P8" s="7"/>
      <c r="Q8" s="7"/>
    </row>
    <row r="9" spans="1:17" ht="15.75" customHeight="1">
      <c r="A9" s="8"/>
      <c r="B9" s="7"/>
      <c r="C9" s="7"/>
      <c r="D9" s="8"/>
      <c r="E9" s="258"/>
      <c r="F9" s="259"/>
      <c r="G9" s="260"/>
      <c r="H9" s="260"/>
      <c r="I9" s="31" t="str">
        <f t="shared" si="0"/>
        <v/>
      </c>
      <c r="J9" s="339" t="str">
        <f t="shared" si="1"/>
        <v/>
      </c>
      <c r="K9" s="7"/>
      <c r="L9" s="7"/>
      <c r="M9" s="7"/>
      <c r="N9" s="7"/>
      <c r="O9" s="7"/>
      <c r="P9" s="7"/>
      <c r="Q9" s="7"/>
    </row>
    <row r="10" spans="1:17" ht="15.75" customHeight="1">
      <c r="A10" s="8"/>
      <c r="B10" s="7"/>
      <c r="C10" s="7"/>
      <c r="D10" s="8"/>
      <c r="E10" s="258"/>
      <c r="F10" s="259"/>
      <c r="G10" s="260"/>
      <c r="H10" s="260"/>
      <c r="I10" s="31" t="str">
        <f t="shared" si="0"/>
        <v/>
      </c>
      <c r="J10" s="339" t="str">
        <f t="shared" si="1"/>
        <v/>
      </c>
      <c r="K10" s="7"/>
      <c r="L10" s="7"/>
      <c r="M10" s="7"/>
      <c r="N10" s="7"/>
      <c r="O10" s="7"/>
      <c r="P10" s="7"/>
      <c r="Q10" s="7"/>
    </row>
    <row r="11" spans="1:17" ht="15.75" customHeight="1">
      <c r="A11" s="8"/>
      <c r="B11" s="7"/>
      <c r="C11" s="7"/>
      <c r="D11" s="8"/>
      <c r="E11" s="258"/>
      <c r="F11" s="259"/>
      <c r="G11" s="260"/>
      <c r="H11" s="260"/>
      <c r="I11" s="31" t="str">
        <f t="shared" si="0"/>
        <v/>
      </c>
      <c r="J11" s="339" t="str">
        <f t="shared" si="1"/>
        <v/>
      </c>
      <c r="K11" s="7"/>
      <c r="L11" s="7"/>
      <c r="M11" s="7"/>
      <c r="N11" s="7"/>
      <c r="O11" s="7"/>
      <c r="P11" s="7"/>
      <c r="Q11" s="7"/>
    </row>
    <row r="12" spans="1:17" ht="15.75" customHeight="1">
      <c r="A12" s="8"/>
      <c r="B12" s="7"/>
      <c r="C12" s="7"/>
      <c r="D12" s="8"/>
      <c r="E12" s="258"/>
      <c r="F12" s="259"/>
      <c r="G12" s="260"/>
      <c r="H12" s="260"/>
      <c r="I12" s="31" t="str">
        <f>IF(ISERROR(H12-G12),"",IF(H12=0,"",H12-G12))</f>
        <v/>
      </c>
      <c r="J12" s="339" t="str">
        <f>IF(ISERROR(H12-G12),"",IF(H12=0,"",IF(I12="",0,ROUND(I12*100/G12,2))))</f>
        <v/>
      </c>
      <c r="K12" s="7"/>
      <c r="L12" s="7"/>
      <c r="M12" s="7"/>
      <c r="N12" s="7"/>
      <c r="O12" s="7"/>
      <c r="P12" s="7"/>
      <c r="Q12" s="7"/>
    </row>
    <row r="13" spans="1:17" ht="15.75" customHeight="1">
      <c r="A13" s="8"/>
      <c r="B13" s="7"/>
      <c r="C13" s="7"/>
      <c r="D13" s="8"/>
      <c r="E13" s="258"/>
      <c r="F13" s="259"/>
      <c r="G13" s="260"/>
      <c r="H13" s="260"/>
      <c r="I13" s="31" t="str">
        <f t="shared" si="0"/>
        <v/>
      </c>
      <c r="J13" s="339" t="str">
        <f t="shared" si="1"/>
        <v/>
      </c>
      <c r="K13" s="7"/>
      <c r="L13" s="7"/>
      <c r="M13" s="7"/>
      <c r="N13" s="7"/>
      <c r="O13" s="7"/>
      <c r="P13" s="7"/>
      <c r="Q13" s="7"/>
    </row>
    <row r="14" spans="1:17" ht="15.75" customHeight="1">
      <c r="A14" s="8"/>
      <c r="B14" s="7"/>
      <c r="C14" s="7"/>
      <c r="D14" s="8"/>
      <c r="E14" s="258"/>
      <c r="F14" s="259"/>
      <c r="G14" s="260"/>
      <c r="H14" s="260"/>
      <c r="I14" s="31" t="str">
        <f t="shared" si="0"/>
        <v/>
      </c>
      <c r="J14" s="339" t="str">
        <f t="shared" si="1"/>
        <v/>
      </c>
      <c r="K14" s="7"/>
      <c r="L14" s="7"/>
      <c r="M14" s="7"/>
      <c r="N14" s="7"/>
      <c r="O14" s="7"/>
      <c r="P14" s="7"/>
      <c r="Q14" s="7"/>
    </row>
    <row r="15" spans="1:17" ht="15.75" customHeight="1">
      <c r="A15" s="8"/>
      <c r="B15" s="7"/>
      <c r="C15" s="7"/>
      <c r="D15" s="8"/>
      <c r="E15" s="258"/>
      <c r="F15" s="259"/>
      <c r="G15" s="260"/>
      <c r="H15" s="260"/>
      <c r="I15" s="31" t="str">
        <f t="shared" si="0"/>
        <v/>
      </c>
      <c r="J15" s="339" t="str">
        <f t="shared" si="1"/>
        <v/>
      </c>
      <c r="K15" s="7"/>
      <c r="L15" s="7"/>
      <c r="M15" s="7"/>
      <c r="N15" s="7"/>
      <c r="O15" s="7"/>
      <c r="P15" s="7"/>
      <c r="Q15" s="7"/>
    </row>
    <row r="16" spans="1:17" ht="15.75" customHeight="1">
      <c r="A16" s="8"/>
      <c r="B16" s="7"/>
      <c r="C16" s="7"/>
      <c r="D16" s="8"/>
      <c r="E16" s="258"/>
      <c r="F16" s="259"/>
      <c r="G16" s="260"/>
      <c r="H16" s="260"/>
      <c r="I16" s="31" t="str">
        <f t="shared" si="0"/>
        <v/>
      </c>
      <c r="J16" s="339" t="str">
        <f t="shared" si="1"/>
        <v/>
      </c>
      <c r="K16" s="7"/>
      <c r="L16" s="7"/>
      <c r="M16" s="7"/>
      <c r="N16" s="7"/>
      <c r="O16" s="7"/>
      <c r="P16" s="7"/>
      <c r="Q16" s="7"/>
    </row>
    <row r="17" spans="1:17" ht="15.75" customHeight="1">
      <c r="A17" s="8"/>
      <c r="B17" s="7"/>
      <c r="C17" s="7"/>
      <c r="D17" s="8"/>
      <c r="E17" s="258"/>
      <c r="F17" s="259"/>
      <c r="G17" s="260"/>
      <c r="H17" s="260"/>
      <c r="I17" s="31" t="str">
        <f t="shared" si="0"/>
        <v/>
      </c>
      <c r="J17" s="339" t="str">
        <f t="shared" si="1"/>
        <v/>
      </c>
      <c r="K17" s="7"/>
      <c r="L17" s="7"/>
      <c r="M17" s="7"/>
      <c r="N17" s="7"/>
      <c r="O17" s="7"/>
      <c r="P17" s="7"/>
      <c r="Q17" s="7"/>
    </row>
    <row r="18" spans="1:17" ht="15.75" customHeight="1">
      <c r="A18" s="8"/>
      <c r="B18" s="7"/>
      <c r="C18" s="7"/>
      <c r="D18" s="8"/>
      <c r="E18" s="258"/>
      <c r="F18" s="259"/>
      <c r="G18" s="260"/>
      <c r="H18" s="260"/>
      <c r="I18" s="31" t="str">
        <f t="shared" si="0"/>
        <v/>
      </c>
      <c r="J18" s="339" t="str">
        <f t="shared" si="1"/>
        <v/>
      </c>
      <c r="K18" s="7"/>
      <c r="L18" s="7"/>
      <c r="M18" s="7"/>
      <c r="N18" s="7"/>
      <c r="O18" s="7"/>
      <c r="P18" s="7"/>
      <c r="Q18" s="7"/>
    </row>
    <row r="19" spans="1:17" ht="15.75" customHeight="1">
      <c r="A19" s="8"/>
      <c r="B19" s="7"/>
      <c r="C19" s="7"/>
      <c r="D19" s="8"/>
      <c r="E19" s="258"/>
      <c r="F19" s="259"/>
      <c r="G19" s="260"/>
      <c r="H19" s="260"/>
      <c r="I19" s="31" t="str">
        <f t="shared" si="0"/>
        <v/>
      </c>
      <c r="J19" s="339" t="str">
        <f t="shared" si="1"/>
        <v/>
      </c>
      <c r="K19" s="7"/>
      <c r="L19" s="7"/>
      <c r="M19" s="7"/>
      <c r="N19" s="7"/>
      <c r="O19" s="7"/>
      <c r="P19" s="7"/>
      <c r="Q19" s="7"/>
    </row>
    <row r="20" spans="1:17" ht="15.75" customHeight="1">
      <c r="A20" s="8"/>
      <c r="B20" s="7"/>
      <c r="C20" s="7"/>
      <c r="D20" s="8"/>
      <c r="E20" s="258"/>
      <c r="F20" s="259"/>
      <c r="G20" s="260"/>
      <c r="H20" s="260"/>
      <c r="I20" s="31" t="str">
        <f t="shared" si="0"/>
        <v/>
      </c>
      <c r="J20" s="339" t="str">
        <f t="shared" si="1"/>
        <v/>
      </c>
      <c r="K20" s="7"/>
      <c r="L20" s="7"/>
      <c r="M20" s="7"/>
      <c r="N20" s="7"/>
      <c r="O20" s="7"/>
      <c r="P20" s="7"/>
      <c r="Q20" s="7"/>
    </row>
    <row r="21" spans="1:17" ht="15.75" customHeight="1">
      <c r="A21" s="8"/>
      <c r="B21" s="7"/>
      <c r="C21" s="7"/>
      <c r="D21" s="8"/>
      <c r="E21" s="258"/>
      <c r="F21" s="259"/>
      <c r="G21" s="260"/>
      <c r="H21" s="260"/>
      <c r="I21" s="31" t="str">
        <f t="shared" si="0"/>
        <v/>
      </c>
      <c r="J21" s="339" t="str">
        <f t="shared" si="1"/>
        <v/>
      </c>
      <c r="K21" s="7"/>
      <c r="L21" s="7"/>
      <c r="M21" s="7"/>
      <c r="N21" s="7"/>
      <c r="O21" s="7"/>
      <c r="P21" s="7"/>
      <c r="Q21" s="7"/>
    </row>
    <row r="22" spans="1:17" ht="15.75" customHeight="1">
      <c r="A22" s="8"/>
      <c r="B22" s="7"/>
      <c r="C22" s="7"/>
      <c r="D22" s="8"/>
      <c r="E22" s="258"/>
      <c r="F22" s="259"/>
      <c r="G22" s="260"/>
      <c r="H22" s="260"/>
      <c r="I22" s="31" t="str">
        <f>IF(ISERROR(H22-G22),"",IF(H22=0,"",H22-G22))</f>
        <v/>
      </c>
      <c r="J22" s="339" t="str">
        <f>IF(ISERROR(H22-G22),"",IF(H22=0,"",IF(I22="",0,ROUND(I22*100/G22,2))))</f>
        <v/>
      </c>
      <c r="K22" s="7"/>
      <c r="L22" s="7"/>
      <c r="M22" s="7"/>
      <c r="N22" s="7"/>
      <c r="O22" s="7"/>
      <c r="P22" s="7"/>
      <c r="Q22" s="7"/>
    </row>
    <row r="23" spans="1:17" ht="15.75" customHeight="1">
      <c r="A23" s="8"/>
      <c r="B23" s="7"/>
      <c r="C23" s="7"/>
      <c r="D23" s="8"/>
      <c r="E23" s="258"/>
      <c r="F23" s="259"/>
      <c r="G23" s="260"/>
      <c r="H23" s="260"/>
      <c r="I23" s="31" t="str">
        <f t="shared" si="0"/>
        <v/>
      </c>
      <c r="J23" s="339" t="str">
        <f t="shared" si="1"/>
        <v/>
      </c>
      <c r="K23" s="7"/>
      <c r="L23" s="7"/>
      <c r="M23" s="7"/>
      <c r="N23" s="7"/>
      <c r="O23" s="7"/>
      <c r="P23" s="7"/>
      <c r="Q23" s="7"/>
    </row>
    <row r="24" spans="1:17" ht="15.75" customHeight="1">
      <c r="A24" s="8"/>
      <c r="B24" s="7"/>
      <c r="C24" s="7"/>
      <c r="D24" s="8"/>
      <c r="E24" s="258"/>
      <c r="F24" s="259"/>
      <c r="G24" s="260"/>
      <c r="H24" s="260"/>
      <c r="I24" s="31" t="str">
        <f>IF(ISERROR(H24-G24),"",IF(H24=0,"",H24-G24))</f>
        <v/>
      </c>
      <c r="J24" s="339" t="str">
        <f>IF(ISERROR(H24-G24),"",IF(H24=0,"",IF(I24="",0,ROUND(I24*100/G24,2))))</f>
        <v/>
      </c>
      <c r="K24" s="7"/>
      <c r="L24" s="7"/>
      <c r="M24" s="7"/>
      <c r="N24" s="7"/>
      <c r="O24" s="7"/>
      <c r="P24" s="7"/>
      <c r="Q24" s="7"/>
    </row>
    <row r="25" spans="1:17" ht="15.75" customHeight="1">
      <c r="A25" s="8"/>
      <c r="B25" s="7"/>
      <c r="C25" s="7"/>
      <c r="D25" s="8"/>
      <c r="E25" s="258"/>
      <c r="F25" s="259"/>
      <c r="G25" s="260"/>
      <c r="H25" s="260"/>
      <c r="I25" s="31" t="str">
        <f>IF(ISERROR(H25-G25),"",IF(H25=0,"",H25-G25))</f>
        <v/>
      </c>
      <c r="J25" s="339" t="str">
        <f>IF(ISERROR(H25-G25),"",IF(H25=0,"",IF(I25="",0,ROUND(I25*100/G25,2))))</f>
        <v/>
      </c>
      <c r="K25" s="7"/>
      <c r="L25" s="7"/>
      <c r="M25" s="7"/>
      <c r="N25" s="7"/>
      <c r="O25" s="7"/>
      <c r="P25" s="7"/>
      <c r="Q25" s="7"/>
    </row>
    <row r="26" spans="1:17" ht="15.75" customHeight="1">
      <c r="A26" s="420" t="s">
        <v>534</v>
      </c>
      <c r="B26" s="421"/>
      <c r="C26" s="39"/>
      <c r="D26" s="39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9"/>
      <c r="G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30000000</v>
      </c>
      <c r="H26" s="31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>30000000</v>
      </c>
      <c r="I26" s="31">
        <f t="shared" ca="1" si="0"/>
        <v>0</v>
      </c>
      <c r="J26" s="339">
        <f t="shared" ca="1" si="1"/>
        <v>0</v>
      </c>
      <c r="K26" s="261"/>
      <c r="L26" s="261"/>
      <c r="M26" s="261"/>
      <c r="N26" s="261"/>
      <c r="O26" s="261"/>
      <c r="P26" s="261"/>
      <c r="Q26" s="261"/>
    </row>
    <row r="27" spans="1:17" ht="15.75" hidden="1" customHeight="1">
      <c r="A27" s="8"/>
      <c r="B27" s="7"/>
      <c r="C27" s="7"/>
      <c r="D27" s="8"/>
      <c r="E27" s="258"/>
      <c r="F27" s="259"/>
      <c r="G27" s="260"/>
      <c r="H27" s="260"/>
      <c r="I27" s="38" t="str">
        <f>IF(ISERROR(H27-G27),"",IF(H27=0,"",H27-G27))</f>
        <v/>
      </c>
      <c r="J27" s="339" t="str">
        <f>IF(ISERROR(H27-G27),"",IF(H27=0,"",IF(I27="",0,ROUND(I27*100/G27,2))))</f>
        <v/>
      </c>
      <c r="K27" s="7"/>
    </row>
    <row r="28" spans="1:17" ht="15.75" hidden="1" customHeight="1">
      <c r="A28" s="8"/>
      <c r="B28" s="7"/>
      <c r="C28" s="7"/>
      <c r="D28" s="8"/>
      <c r="E28" s="258"/>
      <c r="F28" s="259"/>
      <c r="G28" s="260"/>
      <c r="H28" s="260"/>
      <c r="I28" s="38" t="str">
        <f t="shared" ref="I28:I46" si="2">IF(ISERROR(H28-G28),"",IF(H28=0,"",H28-G28))</f>
        <v/>
      </c>
      <c r="J28" s="339" t="str">
        <f t="shared" ref="J28:J46" si="3">IF(ISERROR(H28-G28),"",IF(H28=0,"",IF(I28="",0,ROUND(I28*100/G28,2))))</f>
        <v/>
      </c>
      <c r="K28" s="7"/>
    </row>
    <row r="29" spans="1:17" ht="15.75" hidden="1" customHeight="1">
      <c r="A29" s="8"/>
      <c r="B29" s="7"/>
      <c r="C29" s="7"/>
      <c r="D29" s="8"/>
      <c r="E29" s="258"/>
      <c r="F29" s="259"/>
      <c r="G29" s="260"/>
      <c r="H29" s="260"/>
      <c r="I29" s="38" t="str">
        <f t="shared" si="2"/>
        <v/>
      </c>
      <c r="J29" s="339" t="str">
        <f t="shared" si="3"/>
        <v/>
      </c>
      <c r="K29" s="7"/>
    </row>
    <row r="30" spans="1:17" ht="15.75" hidden="1" customHeight="1">
      <c r="A30" s="8"/>
      <c r="B30" s="7"/>
      <c r="C30" s="7"/>
      <c r="D30" s="8"/>
      <c r="E30" s="258"/>
      <c r="F30" s="259"/>
      <c r="G30" s="260"/>
      <c r="H30" s="260"/>
      <c r="I30" s="38" t="str">
        <f t="shared" si="2"/>
        <v/>
      </c>
      <c r="J30" s="339" t="str">
        <f t="shared" si="3"/>
        <v/>
      </c>
      <c r="K30" s="7"/>
    </row>
    <row r="31" spans="1:17" ht="15.75" hidden="1" customHeight="1">
      <c r="A31" s="8"/>
      <c r="B31" s="7"/>
      <c r="C31" s="7"/>
      <c r="D31" s="8"/>
      <c r="E31" s="258"/>
      <c r="F31" s="259"/>
      <c r="G31" s="260"/>
      <c r="H31" s="260"/>
      <c r="I31" s="38" t="str">
        <f t="shared" si="2"/>
        <v/>
      </c>
      <c r="J31" s="339" t="str">
        <f t="shared" si="3"/>
        <v/>
      </c>
      <c r="K31" s="7"/>
    </row>
    <row r="32" spans="1:17" ht="15.75" hidden="1" customHeight="1">
      <c r="A32" s="8"/>
      <c r="B32" s="7"/>
      <c r="C32" s="7"/>
      <c r="D32" s="8"/>
      <c r="E32" s="258"/>
      <c r="F32" s="259"/>
      <c r="G32" s="260"/>
      <c r="H32" s="260"/>
      <c r="I32" s="3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7"/>
      <c r="D33" s="8"/>
      <c r="E33" s="258"/>
      <c r="F33" s="259"/>
      <c r="G33" s="260"/>
      <c r="H33" s="260"/>
      <c r="I33" s="3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7"/>
      <c r="D34" s="8"/>
      <c r="E34" s="258"/>
      <c r="F34" s="259"/>
      <c r="G34" s="260"/>
      <c r="H34" s="260"/>
      <c r="I34" s="3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7"/>
      <c r="D35" s="8"/>
      <c r="E35" s="258"/>
      <c r="F35" s="259"/>
      <c r="G35" s="260"/>
      <c r="H35" s="260"/>
      <c r="I35" s="3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7"/>
      <c r="D36" s="8"/>
      <c r="E36" s="258"/>
      <c r="F36" s="259"/>
      <c r="G36" s="260"/>
      <c r="H36" s="260"/>
      <c r="I36" s="3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7"/>
      <c r="D37" s="8"/>
      <c r="E37" s="258"/>
      <c r="F37" s="259"/>
      <c r="G37" s="260"/>
      <c r="H37" s="260"/>
      <c r="I37" s="3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7"/>
      <c r="D38" s="8"/>
      <c r="E38" s="258"/>
      <c r="F38" s="259"/>
      <c r="G38" s="260"/>
      <c r="H38" s="260"/>
      <c r="I38" s="3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7"/>
      <c r="D39" s="8"/>
      <c r="E39" s="258"/>
      <c r="F39" s="259"/>
      <c r="G39" s="260"/>
      <c r="H39" s="260"/>
      <c r="I39" s="3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7"/>
      <c r="D40" s="8"/>
      <c r="E40" s="258"/>
      <c r="F40" s="259"/>
      <c r="G40" s="260"/>
      <c r="H40" s="260"/>
      <c r="I40" s="3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7"/>
      <c r="D41" s="8"/>
      <c r="E41" s="258"/>
      <c r="F41" s="259"/>
      <c r="G41" s="260"/>
      <c r="H41" s="260"/>
      <c r="I41" s="3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7"/>
      <c r="D42" s="8"/>
      <c r="E42" s="258"/>
      <c r="F42" s="259"/>
      <c r="G42" s="260"/>
      <c r="H42" s="260"/>
      <c r="I42" s="3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7"/>
      <c r="D43" s="8"/>
      <c r="E43" s="258"/>
      <c r="F43" s="259"/>
      <c r="G43" s="260"/>
      <c r="H43" s="260"/>
      <c r="I43" s="3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7"/>
      <c r="D44" s="8"/>
      <c r="E44" s="258"/>
      <c r="F44" s="259"/>
      <c r="G44" s="260"/>
      <c r="H44" s="260"/>
      <c r="I44" s="3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7"/>
      <c r="D45" s="8"/>
      <c r="E45" s="258"/>
      <c r="F45" s="259"/>
      <c r="G45" s="260"/>
      <c r="H45" s="260"/>
      <c r="I45" s="3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7"/>
      <c r="D46" s="8"/>
      <c r="E46" s="258"/>
      <c r="F46" s="259"/>
      <c r="G46" s="260"/>
      <c r="H46" s="260"/>
      <c r="I46" s="38" t="str">
        <f t="shared" si="2"/>
        <v/>
      </c>
      <c r="J46" s="339" t="str">
        <f t="shared" si="3"/>
        <v/>
      </c>
      <c r="K46" s="7"/>
    </row>
  </sheetData>
  <mergeCells count="7">
    <mergeCell ref="P5:P6"/>
    <mergeCell ref="Q5:Q6"/>
    <mergeCell ref="A26:B26"/>
    <mergeCell ref="A1:K1"/>
    <mergeCell ref="A2:K2"/>
    <mergeCell ref="L5:M5"/>
    <mergeCell ref="N5:O5"/>
  </mergeCells>
  <phoneticPr fontId="6" type="noConversion"/>
  <printOptions horizontalCentered="1" verticalCentered="1"/>
  <pageMargins left="0.98425196850393704" right="0.62992125984251968" top="0.15748031496062992" bottom="0.59055118110236227" header="1.7322834645669292" footer="1.1811023622047245"/>
  <pageSetup paperSize="9" scale="99" fitToHeight="0" orientation="landscape" blackAndWhite="1" horizontalDpi="1200" verticalDpi="1200" r:id="rId1"/>
  <headerFooter scaleWithDoc="0">
    <oddHeader>&amp;R&amp;"宋体,常规"&amp;10表3-1-3
共&amp;N页 第&amp;P页
金额单位：人民币元</oddHeader>
    <oddFooter>&amp;L&amp;10复核人：ABC_x000D_复核日期：2025-3-22&amp;C&amp;10　　　　　　　　　　　　　　　　　　　　　　　　　　　　评估人员：DE _x000D_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2</xdr:row>
                    <xdr:rowOff>0</xdr:rowOff>
                  </from>
                  <to>
                    <xdr:col>2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B009F-0E9C-4134-A989-CEB658063D7D}">
  <sheetPr codeName="Sheet14"/>
  <dimension ref="A1:Q46"/>
  <sheetViews>
    <sheetView topLeftCell="D1" workbookViewId="0">
      <pane ySplit="6" topLeftCell="A19" activePane="bottomLeft" state="frozen"/>
      <selection activeCell="F17" sqref="F17"/>
      <selection pane="bottomLeft" activeCell="I24" sqref="I24"/>
    </sheetView>
  </sheetViews>
  <sheetFormatPr baseColWidth="10" defaultColWidth="9" defaultRowHeight="15.75" customHeight="1"/>
  <cols>
    <col min="1" max="1" width="6" style="81" customWidth="1"/>
    <col min="2" max="2" width="15.1640625" style="81" customWidth="1"/>
    <col min="3" max="3" width="9" style="81"/>
    <col min="4" max="4" width="7.1640625" style="81" customWidth="1"/>
    <col min="5" max="5" width="8" style="81" customWidth="1"/>
    <col min="6" max="6" width="8.1640625" style="81" customWidth="1"/>
    <col min="7" max="7" width="12.6640625" style="81" customWidth="1"/>
    <col min="8" max="8" width="14.6640625" style="81" customWidth="1"/>
    <col min="9" max="9" width="13.1640625" style="81" customWidth="1"/>
    <col min="10" max="10" width="9" style="135" customWidth="1"/>
    <col min="11" max="11" width="10.5" style="340" customWidth="1"/>
    <col min="12" max="12" width="7.6640625" style="81" customWidth="1"/>
    <col min="13" max="14" width="8.6640625" style="81" customWidth="1"/>
    <col min="15" max="15" width="8" style="81" customWidth="1"/>
    <col min="16" max="16" width="9" style="81"/>
    <col min="17" max="17" width="8.1640625" style="81" customWidth="1"/>
    <col min="18" max="16384" width="9" style="81"/>
  </cols>
  <sheetData>
    <row r="1" spans="1:17" s="80" customFormat="1" ht="30" customHeight="1">
      <c r="A1" s="430" t="s">
        <v>970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17" ht="14.25" customHeight="1">
      <c r="A2" s="431" t="str">
        <f>"评估基准日"&amp;"："&amp;IF(AND('1-汇总表'!D2=""),"",TEXT('1-汇总表'!D2,"YYYY年MM月DD日"))</f>
        <v>评估基准日：2024年12月31日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</row>
    <row r="3" spans="1:17" ht="14.25" customHeight="1">
      <c r="A3" s="160"/>
      <c r="B3" s="160"/>
      <c r="C3" s="160"/>
      <c r="D3" s="160"/>
      <c r="E3" s="160"/>
      <c r="F3" s="160"/>
      <c r="G3" s="160"/>
      <c r="H3" s="161"/>
      <c r="I3" s="161"/>
      <c r="J3" s="162"/>
      <c r="K3" s="343"/>
      <c r="L3" s="163"/>
    </row>
    <row r="4" spans="1:17" ht="14.25" customHeight="1">
      <c r="A4" s="160"/>
      <c r="B4" s="160"/>
      <c r="C4" s="160"/>
      <c r="D4" s="160"/>
      <c r="E4" s="160"/>
      <c r="F4" s="160"/>
      <c r="G4" s="160"/>
      <c r="H4" s="161"/>
      <c r="I4" s="161"/>
      <c r="J4" s="162"/>
      <c r="K4" s="344"/>
      <c r="L4" s="164"/>
    </row>
    <row r="5" spans="1:17" ht="15.75" customHeight="1">
      <c r="A5" s="125" t="str">
        <f>'1-汇总表'!A4</f>
        <v>被评估单位：A有限公司</v>
      </c>
      <c r="B5" s="165"/>
      <c r="C5" s="165"/>
      <c r="D5" s="165"/>
      <c r="E5" s="165"/>
      <c r="F5" s="165"/>
      <c r="G5" s="165"/>
      <c r="H5" s="165"/>
      <c r="I5" s="165"/>
      <c r="J5" s="166"/>
      <c r="K5" s="342"/>
      <c r="L5" s="168"/>
      <c r="M5" s="287" t="s">
        <v>683</v>
      </c>
      <c r="N5" s="433" t="s">
        <v>684</v>
      </c>
      <c r="O5" s="434"/>
      <c r="P5" s="425" t="s">
        <v>598</v>
      </c>
      <c r="Q5" s="425" t="s">
        <v>599</v>
      </c>
    </row>
    <row r="6" spans="1:17" s="136" customFormat="1" ht="15.75" customHeight="1">
      <c r="A6" s="169" t="s">
        <v>7</v>
      </c>
      <c r="B6" s="169" t="s">
        <v>28</v>
      </c>
      <c r="C6" s="169" t="s">
        <v>29</v>
      </c>
      <c r="D6" s="169" t="s">
        <v>30</v>
      </c>
      <c r="E6" s="169" t="s">
        <v>31</v>
      </c>
      <c r="F6" s="169" t="s">
        <v>349</v>
      </c>
      <c r="G6" s="169" t="s">
        <v>117</v>
      </c>
      <c r="H6" s="169" t="s">
        <v>407</v>
      </c>
      <c r="I6" s="169" t="s">
        <v>0</v>
      </c>
      <c r="J6" s="169" t="s">
        <v>1</v>
      </c>
      <c r="K6" s="345" t="s">
        <v>479</v>
      </c>
      <c r="L6" s="169" t="s">
        <v>39</v>
      </c>
      <c r="M6" s="287" t="s">
        <v>600</v>
      </c>
      <c r="N6" s="287" t="s">
        <v>685</v>
      </c>
      <c r="O6" s="287" t="s">
        <v>597</v>
      </c>
      <c r="P6" s="426"/>
      <c r="Q6" s="426"/>
    </row>
    <row r="7" spans="1:17" s="135" customFormat="1" ht="15.75" customHeight="1">
      <c r="A7" s="8"/>
      <c r="B7" s="7"/>
      <c r="C7" s="8"/>
      <c r="D7" s="146"/>
      <c r="E7" s="5"/>
      <c r="F7" s="147"/>
      <c r="G7" s="5"/>
      <c r="H7" s="5"/>
      <c r="I7" s="5"/>
      <c r="J7" s="31" t="str">
        <f>IF(ISERROR(I7-G7),"",IF(I7=0,"",I7-G7))</f>
        <v/>
      </c>
      <c r="K7" s="339" t="str">
        <f>IF(ISERROR(I7-G7),"",IF(I7=0,"",IF(J7="",0,ROUND(J7*100/G7,2))))</f>
        <v/>
      </c>
      <c r="L7" s="7"/>
    </row>
    <row r="8" spans="1:17" s="135" customFormat="1" ht="15.75" customHeight="1">
      <c r="A8" s="8"/>
      <c r="B8" s="7"/>
      <c r="C8" s="8"/>
      <c r="D8" s="146"/>
      <c r="E8" s="5"/>
      <c r="F8" s="147"/>
      <c r="G8" s="5"/>
      <c r="H8" s="5"/>
      <c r="I8" s="5"/>
      <c r="J8" s="31" t="str">
        <f t="shared" ref="J8:J26" si="0">IF(ISERROR(I8-G8),"",IF(I8=0,"",I8-G8))</f>
        <v/>
      </c>
      <c r="K8" s="339" t="str">
        <f t="shared" ref="K8:K26" si="1">IF(ISERROR(I8-G8),"",IF(I8=0,"",IF(J8="",0,ROUND(J8*100/G8,2))))</f>
        <v/>
      </c>
      <c r="L8" s="7"/>
    </row>
    <row r="9" spans="1:17" s="135" customFormat="1" ht="15.75" customHeight="1">
      <c r="A9" s="8"/>
      <c r="B9" s="7"/>
      <c r="C9" s="8"/>
      <c r="D9" s="146"/>
      <c r="E9" s="5"/>
      <c r="F9" s="147"/>
      <c r="G9" s="5"/>
      <c r="H9" s="5"/>
      <c r="I9" s="5"/>
      <c r="J9" s="31" t="str">
        <f t="shared" si="0"/>
        <v/>
      </c>
      <c r="K9" s="339" t="str">
        <f t="shared" si="1"/>
        <v/>
      </c>
      <c r="L9" s="7"/>
    </row>
    <row r="10" spans="1:17" s="135" customFormat="1" ht="15.75" customHeight="1">
      <c r="A10" s="8"/>
      <c r="B10" s="7"/>
      <c r="C10" s="8"/>
      <c r="D10" s="146"/>
      <c r="E10" s="5"/>
      <c r="F10" s="147"/>
      <c r="G10" s="5"/>
      <c r="H10" s="5"/>
      <c r="I10" s="5"/>
      <c r="J10" s="31" t="str">
        <f t="shared" si="0"/>
        <v/>
      </c>
      <c r="K10" s="339" t="str">
        <f t="shared" si="1"/>
        <v/>
      </c>
      <c r="L10" s="7"/>
    </row>
    <row r="11" spans="1:17" s="135" customFormat="1" ht="15.75" customHeight="1">
      <c r="A11" s="8"/>
      <c r="B11" s="7"/>
      <c r="C11" s="8"/>
      <c r="D11" s="146"/>
      <c r="E11" s="5"/>
      <c r="F11" s="147"/>
      <c r="G11" s="5"/>
      <c r="H11" s="5"/>
      <c r="I11" s="5"/>
      <c r="J11" s="31" t="str">
        <f t="shared" si="0"/>
        <v/>
      </c>
      <c r="K11" s="339" t="str">
        <f t="shared" si="1"/>
        <v/>
      </c>
      <c r="L11" s="7"/>
    </row>
    <row r="12" spans="1:17" s="135" customFormat="1" ht="15.75" customHeight="1">
      <c r="A12" s="8"/>
      <c r="B12" s="7"/>
      <c r="C12" s="8"/>
      <c r="D12" s="146"/>
      <c r="E12" s="5"/>
      <c r="F12" s="147"/>
      <c r="G12" s="5"/>
      <c r="H12" s="5"/>
      <c r="I12" s="5"/>
      <c r="J12" s="31" t="str">
        <f t="shared" si="0"/>
        <v/>
      </c>
      <c r="K12" s="339" t="str">
        <f t="shared" si="1"/>
        <v/>
      </c>
      <c r="L12" s="7"/>
    </row>
    <row r="13" spans="1:17" s="135" customFormat="1" ht="15.75" customHeight="1">
      <c r="A13" s="8"/>
      <c r="B13" s="7"/>
      <c r="C13" s="8"/>
      <c r="D13" s="146"/>
      <c r="E13" s="5"/>
      <c r="F13" s="147"/>
      <c r="G13" s="5"/>
      <c r="H13" s="5"/>
      <c r="I13" s="5"/>
      <c r="J13" s="31" t="str">
        <f t="shared" si="0"/>
        <v/>
      </c>
      <c r="K13" s="339" t="str">
        <f t="shared" si="1"/>
        <v/>
      </c>
      <c r="L13" s="7"/>
    </row>
    <row r="14" spans="1:17" s="135" customFormat="1" ht="15.75" customHeight="1">
      <c r="A14" s="8"/>
      <c r="B14" s="7"/>
      <c r="C14" s="8"/>
      <c r="D14" s="146"/>
      <c r="E14" s="5"/>
      <c r="F14" s="147"/>
      <c r="G14" s="5"/>
      <c r="H14" s="5"/>
      <c r="I14" s="5"/>
      <c r="J14" s="31" t="str">
        <f t="shared" si="0"/>
        <v/>
      </c>
      <c r="K14" s="339" t="str">
        <f t="shared" si="1"/>
        <v/>
      </c>
      <c r="L14" s="7"/>
    </row>
    <row r="15" spans="1:17" s="135" customFormat="1" ht="15.75" customHeight="1">
      <c r="A15" s="8"/>
      <c r="B15" s="7"/>
      <c r="C15" s="8"/>
      <c r="D15" s="146"/>
      <c r="E15" s="5"/>
      <c r="F15" s="147"/>
      <c r="G15" s="5"/>
      <c r="H15" s="5"/>
      <c r="I15" s="5"/>
      <c r="J15" s="31" t="str">
        <f t="shared" si="0"/>
        <v/>
      </c>
      <c r="K15" s="339" t="str">
        <f t="shared" si="1"/>
        <v/>
      </c>
      <c r="L15" s="7"/>
    </row>
    <row r="16" spans="1:17" s="135" customFormat="1" ht="15.75" customHeight="1">
      <c r="A16" s="8"/>
      <c r="B16" s="7"/>
      <c r="C16" s="8"/>
      <c r="D16" s="146"/>
      <c r="E16" s="5"/>
      <c r="F16" s="147"/>
      <c r="G16" s="5"/>
      <c r="H16" s="5"/>
      <c r="I16" s="5"/>
      <c r="J16" s="31" t="str">
        <f t="shared" si="0"/>
        <v/>
      </c>
      <c r="K16" s="339" t="str">
        <f t="shared" si="1"/>
        <v/>
      </c>
      <c r="L16" s="7"/>
    </row>
    <row r="17" spans="1:12" s="135" customFormat="1" ht="15.75" customHeight="1">
      <c r="A17" s="8"/>
      <c r="B17" s="7"/>
      <c r="C17" s="8"/>
      <c r="D17" s="146"/>
      <c r="E17" s="5"/>
      <c r="F17" s="147"/>
      <c r="G17" s="5"/>
      <c r="H17" s="5"/>
      <c r="I17" s="5"/>
      <c r="J17" s="31" t="str">
        <f t="shared" si="0"/>
        <v/>
      </c>
      <c r="K17" s="339" t="str">
        <f t="shared" si="1"/>
        <v/>
      </c>
      <c r="L17" s="7"/>
    </row>
    <row r="18" spans="1:12" s="135" customFormat="1" ht="15.75" customHeight="1">
      <c r="A18" s="8"/>
      <c r="B18" s="7"/>
      <c r="C18" s="8"/>
      <c r="D18" s="146"/>
      <c r="E18" s="5"/>
      <c r="F18" s="147"/>
      <c r="G18" s="5"/>
      <c r="H18" s="5"/>
      <c r="I18" s="5"/>
      <c r="J18" s="31" t="str">
        <f t="shared" si="0"/>
        <v/>
      </c>
      <c r="K18" s="339" t="str">
        <f t="shared" si="1"/>
        <v/>
      </c>
      <c r="L18" s="7"/>
    </row>
    <row r="19" spans="1:12" s="135" customFormat="1" ht="15.75" customHeight="1">
      <c r="A19" s="8"/>
      <c r="B19" s="7"/>
      <c r="C19" s="8"/>
      <c r="D19" s="146"/>
      <c r="E19" s="5"/>
      <c r="F19" s="147"/>
      <c r="G19" s="5"/>
      <c r="H19" s="5"/>
      <c r="I19" s="5"/>
      <c r="J19" s="31" t="str">
        <f t="shared" si="0"/>
        <v/>
      </c>
      <c r="K19" s="339" t="str">
        <f t="shared" si="1"/>
        <v/>
      </c>
      <c r="L19" s="7"/>
    </row>
    <row r="20" spans="1:12" s="135" customFormat="1" ht="15.75" customHeight="1">
      <c r="A20" s="8"/>
      <c r="B20" s="7"/>
      <c r="C20" s="8"/>
      <c r="D20" s="146"/>
      <c r="E20" s="5"/>
      <c r="F20" s="147"/>
      <c r="G20" s="5"/>
      <c r="H20" s="5"/>
      <c r="I20" s="5"/>
      <c r="J20" s="31" t="str">
        <f t="shared" si="0"/>
        <v/>
      </c>
      <c r="K20" s="339" t="str">
        <f t="shared" si="1"/>
        <v/>
      </c>
      <c r="L20" s="7"/>
    </row>
    <row r="21" spans="1:12" s="135" customFormat="1" ht="15.75" customHeight="1">
      <c r="A21" s="8"/>
      <c r="B21" s="7"/>
      <c r="C21" s="8"/>
      <c r="D21" s="146"/>
      <c r="E21" s="5"/>
      <c r="F21" s="147"/>
      <c r="G21" s="5"/>
      <c r="H21" s="5"/>
      <c r="I21" s="5"/>
      <c r="J21" s="31" t="str">
        <f t="shared" si="0"/>
        <v/>
      </c>
      <c r="K21" s="339" t="str">
        <f t="shared" si="1"/>
        <v/>
      </c>
      <c r="L21" s="7"/>
    </row>
    <row r="22" spans="1:12" s="135" customFormat="1" ht="15.75" customHeight="1">
      <c r="A22" s="8"/>
      <c r="B22" s="7"/>
      <c r="C22" s="8"/>
      <c r="D22" s="146"/>
      <c r="E22" s="5"/>
      <c r="F22" s="147"/>
      <c r="G22" s="5"/>
      <c r="H22" s="5"/>
      <c r="I22" s="5"/>
      <c r="J22" s="31" t="str">
        <f t="shared" si="0"/>
        <v/>
      </c>
      <c r="K22" s="339" t="str">
        <f t="shared" si="1"/>
        <v/>
      </c>
      <c r="L22" s="7"/>
    </row>
    <row r="23" spans="1:12" s="135" customFormat="1" ht="15.75" customHeight="1">
      <c r="A23" s="8"/>
      <c r="B23" s="7"/>
      <c r="C23" s="8"/>
      <c r="D23" s="146"/>
      <c r="E23" s="5"/>
      <c r="F23" s="147"/>
      <c r="G23" s="5"/>
      <c r="H23" s="5"/>
      <c r="I23" s="5"/>
      <c r="J23" s="31" t="str">
        <f t="shared" si="0"/>
        <v/>
      </c>
      <c r="K23" s="339" t="str">
        <f t="shared" si="1"/>
        <v/>
      </c>
      <c r="L23" s="7"/>
    </row>
    <row r="24" spans="1:12" s="135" customFormat="1" ht="15.75" customHeight="1">
      <c r="A24" s="8"/>
      <c r="B24" s="7"/>
      <c r="C24" s="8"/>
      <c r="D24" s="146"/>
      <c r="E24" s="5"/>
      <c r="F24" s="147"/>
      <c r="G24" s="5"/>
      <c r="H24" s="5"/>
      <c r="I24" s="5"/>
      <c r="J24" s="31" t="str">
        <f t="shared" si="0"/>
        <v/>
      </c>
      <c r="K24" s="339" t="str">
        <f t="shared" si="1"/>
        <v/>
      </c>
      <c r="L24" s="7"/>
    </row>
    <row r="25" spans="1:12" s="135" customFormat="1" ht="15.75" customHeight="1">
      <c r="A25" s="8"/>
      <c r="B25" s="7"/>
      <c r="C25" s="8"/>
      <c r="D25" s="146"/>
      <c r="E25" s="5"/>
      <c r="F25" s="147"/>
      <c r="G25" s="5"/>
      <c r="H25" s="5"/>
      <c r="I25" s="5"/>
      <c r="J25" s="31" t="str">
        <f t="shared" si="0"/>
        <v/>
      </c>
      <c r="K25" s="339" t="str">
        <f t="shared" si="1"/>
        <v/>
      </c>
      <c r="L25" s="7"/>
    </row>
    <row r="26" spans="1:12" s="135" customFormat="1" ht="15.75" customHeight="1">
      <c r="A26" s="420" t="s">
        <v>534</v>
      </c>
      <c r="B26" s="421"/>
      <c r="C26" s="30"/>
      <c r="D26" s="232"/>
      <c r="E26" s="233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/>
      <c r="I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6" s="31" t="str">
        <f t="shared" ca="1" si="0"/>
        <v/>
      </c>
      <c r="K26" s="339" t="str">
        <f t="shared" ca="1" si="1"/>
        <v/>
      </c>
      <c r="L26" s="234"/>
    </row>
    <row r="27" spans="1:12" s="135" customFormat="1" ht="15.75" hidden="1" customHeight="1">
      <c r="A27" s="8"/>
      <c r="B27" s="7"/>
      <c r="C27" s="8"/>
      <c r="D27" s="146"/>
      <c r="E27" s="5"/>
      <c r="F27" s="147"/>
      <c r="G27" s="5"/>
      <c r="H27" s="5"/>
      <c r="I27" s="5"/>
      <c r="J27" s="31" t="str">
        <f t="shared" ref="J27:J46" si="2">IF(ISERROR(I27-G27),"",IF(I27=0,"",I27-G27))</f>
        <v/>
      </c>
      <c r="K27" s="339" t="str">
        <f t="shared" ref="K27:K46" si="3">IF(ISERROR(I27-G27),"",IF(I27=0,"",IF(J27="",0,ROUND(J27*100/G27,2))))</f>
        <v/>
      </c>
      <c r="L27" s="7"/>
    </row>
    <row r="28" spans="1:12" s="135" customFormat="1" ht="15.75" hidden="1" customHeight="1">
      <c r="A28" s="8"/>
      <c r="B28" s="7"/>
      <c r="C28" s="8"/>
      <c r="D28" s="146"/>
      <c r="E28" s="5"/>
      <c r="F28" s="147"/>
      <c r="G28" s="5"/>
      <c r="H28" s="5"/>
      <c r="I28" s="5"/>
      <c r="J28" s="31" t="str">
        <f t="shared" si="2"/>
        <v/>
      </c>
      <c r="K28" s="339" t="str">
        <f t="shared" si="3"/>
        <v/>
      </c>
      <c r="L28" s="7"/>
    </row>
    <row r="29" spans="1:12" s="135" customFormat="1" ht="15.75" hidden="1" customHeight="1">
      <c r="A29" s="8"/>
      <c r="B29" s="7"/>
      <c r="C29" s="8"/>
      <c r="D29" s="146"/>
      <c r="E29" s="5"/>
      <c r="F29" s="147"/>
      <c r="G29" s="5"/>
      <c r="H29" s="5"/>
      <c r="I29" s="5"/>
      <c r="J29" s="31" t="str">
        <f t="shared" si="2"/>
        <v/>
      </c>
      <c r="K29" s="339" t="str">
        <f t="shared" si="3"/>
        <v/>
      </c>
      <c r="L29" s="7"/>
    </row>
    <row r="30" spans="1:12" s="135" customFormat="1" ht="15.75" hidden="1" customHeight="1">
      <c r="A30" s="8"/>
      <c r="B30" s="7"/>
      <c r="C30" s="8"/>
      <c r="D30" s="146"/>
      <c r="E30" s="5"/>
      <c r="F30" s="147"/>
      <c r="G30" s="5"/>
      <c r="H30" s="5"/>
      <c r="I30" s="5"/>
      <c r="J30" s="31" t="str">
        <f t="shared" si="2"/>
        <v/>
      </c>
      <c r="K30" s="339" t="str">
        <f t="shared" si="3"/>
        <v/>
      </c>
      <c r="L30" s="7"/>
    </row>
    <row r="31" spans="1:12" s="135" customFormat="1" ht="15.75" hidden="1" customHeight="1">
      <c r="A31" s="8"/>
      <c r="B31" s="7"/>
      <c r="C31" s="8"/>
      <c r="D31" s="146"/>
      <c r="E31" s="5"/>
      <c r="F31" s="147"/>
      <c r="G31" s="5"/>
      <c r="H31" s="5"/>
      <c r="I31" s="5"/>
      <c r="J31" s="31" t="str">
        <f t="shared" si="2"/>
        <v/>
      </c>
      <c r="K31" s="339" t="str">
        <f t="shared" si="3"/>
        <v/>
      </c>
      <c r="L31" s="7"/>
    </row>
    <row r="32" spans="1:12" s="135" customFormat="1" ht="15.75" hidden="1" customHeight="1">
      <c r="A32" s="8"/>
      <c r="B32" s="7"/>
      <c r="C32" s="8"/>
      <c r="D32" s="146"/>
      <c r="E32" s="5"/>
      <c r="F32" s="147"/>
      <c r="G32" s="5"/>
      <c r="H32" s="5"/>
      <c r="I32" s="5"/>
      <c r="J32" s="31" t="str">
        <f t="shared" si="2"/>
        <v/>
      </c>
      <c r="K32" s="339" t="str">
        <f t="shared" si="3"/>
        <v/>
      </c>
      <c r="L32" s="7"/>
    </row>
    <row r="33" spans="1:12" s="135" customFormat="1" ht="15.75" hidden="1" customHeight="1">
      <c r="A33" s="8"/>
      <c r="B33" s="7"/>
      <c r="C33" s="8"/>
      <c r="D33" s="146"/>
      <c r="E33" s="5"/>
      <c r="F33" s="147"/>
      <c r="G33" s="5"/>
      <c r="H33" s="5"/>
      <c r="I33" s="5"/>
      <c r="J33" s="31" t="str">
        <f t="shared" si="2"/>
        <v/>
      </c>
      <c r="K33" s="339" t="str">
        <f t="shared" si="3"/>
        <v/>
      </c>
      <c r="L33" s="7"/>
    </row>
    <row r="34" spans="1:12" s="135" customFormat="1" ht="15.75" hidden="1" customHeight="1">
      <c r="A34" s="8"/>
      <c r="B34" s="7"/>
      <c r="C34" s="8"/>
      <c r="D34" s="146"/>
      <c r="E34" s="5"/>
      <c r="F34" s="147"/>
      <c r="G34" s="5"/>
      <c r="H34" s="5"/>
      <c r="I34" s="5"/>
      <c r="J34" s="31" t="str">
        <f t="shared" si="2"/>
        <v/>
      </c>
      <c r="K34" s="339" t="str">
        <f t="shared" si="3"/>
        <v/>
      </c>
      <c r="L34" s="7"/>
    </row>
    <row r="35" spans="1:12" s="135" customFormat="1" ht="15.75" hidden="1" customHeight="1">
      <c r="A35" s="8"/>
      <c r="B35" s="7"/>
      <c r="C35" s="8"/>
      <c r="D35" s="146"/>
      <c r="E35" s="5"/>
      <c r="F35" s="147"/>
      <c r="G35" s="5"/>
      <c r="H35" s="5"/>
      <c r="I35" s="5"/>
      <c r="J35" s="31" t="str">
        <f t="shared" si="2"/>
        <v/>
      </c>
      <c r="K35" s="339" t="str">
        <f t="shared" si="3"/>
        <v/>
      </c>
      <c r="L35" s="7"/>
    </row>
    <row r="36" spans="1:12" s="135" customFormat="1" ht="15.75" hidden="1" customHeight="1">
      <c r="A36" s="8"/>
      <c r="B36" s="7"/>
      <c r="C36" s="8"/>
      <c r="D36" s="146"/>
      <c r="E36" s="5"/>
      <c r="F36" s="147"/>
      <c r="G36" s="5"/>
      <c r="H36" s="5"/>
      <c r="I36" s="5"/>
      <c r="J36" s="31" t="str">
        <f t="shared" si="2"/>
        <v/>
      </c>
      <c r="K36" s="339" t="str">
        <f t="shared" si="3"/>
        <v/>
      </c>
      <c r="L36" s="7"/>
    </row>
    <row r="37" spans="1:12" s="135" customFormat="1" ht="15.75" hidden="1" customHeight="1">
      <c r="A37" s="8"/>
      <c r="B37" s="7"/>
      <c r="C37" s="8"/>
      <c r="D37" s="146"/>
      <c r="E37" s="5"/>
      <c r="F37" s="147"/>
      <c r="G37" s="5"/>
      <c r="H37" s="5"/>
      <c r="I37" s="5"/>
      <c r="J37" s="31" t="str">
        <f t="shared" si="2"/>
        <v/>
      </c>
      <c r="K37" s="339" t="str">
        <f t="shared" si="3"/>
        <v/>
      </c>
      <c r="L37" s="7"/>
    </row>
    <row r="38" spans="1:12" s="135" customFormat="1" ht="15.75" hidden="1" customHeight="1">
      <c r="A38" s="8"/>
      <c r="B38" s="7"/>
      <c r="C38" s="8"/>
      <c r="D38" s="146"/>
      <c r="E38" s="5"/>
      <c r="F38" s="147"/>
      <c r="G38" s="5"/>
      <c r="H38" s="5"/>
      <c r="I38" s="5"/>
      <c r="J38" s="31" t="str">
        <f t="shared" si="2"/>
        <v/>
      </c>
      <c r="K38" s="339" t="str">
        <f t="shared" si="3"/>
        <v/>
      </c>
      <c r="L38" s="7"/>
    </row>
    <row r="39" spans="1:12" s="135" customFormat="1" ht="15.75" hidden="1" customHeight="1">
      <c r="A39" s="8"/>
      <c r="B39" s="7"/>
      <c r="C39" s="8"/>
      <c r="D39" s="146"/>
      <c r="E39" s="5"/>
      <c r="F39" s="147"/>
      <c r="G39" s="5"/>
      <c r="H39" s="5"/>
      <c r="I39" s="5"/>
      <c r="J39" s="31" t="str">
        <f t="shared" si="2"/>
        <v/>
      </c>
      <c r="K39" s="339" t="str">
        <f t="shared" si="3"/>
        <v/>
      </c>
      <c r="L39" s="7"/>
    </row>
    <row r="40" spans="1:12" s="135" customFormat="1" ht="15.75" hidden="1" customHeight="1">
      <c r="A40" s="8"/>
      <c r="B40" s="7"/>
      <c r="C40" s="8"/>
      <c r="D40" s="146"/>
      <c r="E40" s="5"/>
      <c r="F40" s="147"/>
      <c r="G40" s="5"/>
      <c r="H40" s="5"/>
      <c r="I40" s="5"/>
      <c r="J40" s="31" t="str">
        <f t="shared" si="2"/>
        <v/>
      </c>
      <c r="K40" s="339" t="str">
        <f t="shared" si="3"/>
        <v/>
      </c>
      <c r="L40" s="7"/>
    </row>
    <row r="41" spans="1:12" s="135" customFormat="1" ht="15.75" hidden="1" customHeight="1">
      <c r="A41" s="8"/>
      <c r="B41" s="7"/>
      <c r="C41" s="8"/>
      <c r="D41" s="146"/>
      <c r="E41" s="5"/>
      <c r="F41" s="147"/>
      <c r="G41" s="5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s="135" customFormat="1" ht="15.75" hidden="1" customHeight="1">
      <c r="A42" s="8"/>
      <c r="B42" s="7"/>
      <c r="C42" s="8"/>
      <c r="D42" s="146"/>
      <c r="E42" s="5"/>
      <c r="F42" s="147"/>
      <c r="G42" s="5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s="135" customFormat="1" ht="15.75" hidden="1" customHeight="1">
      <c r="A43" s="8"/>
      <c r="B43" s="7"/>
      <c r="C43" s="8"/>
      <c r="D43" s="146"/>
      <c r="E43" s="5"/>
      <c r="F43" s="147"/>
      <c r="G43" s="5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s="135" customFormat="1" ht="15.75" hidden="1" customHeight="1">
      <c r="A44" s="8"/>
      <c r="B44" s="7"/>
      <c r="C44" s="8"/>
      <c r="D44" s="146"/>
      <c r="E44" s="5"/>
      <c r="F44" s="147"/>
      <c r="G44" s="5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s="135" customFormat="1" ht="15.75" hidden="1" customHeight="1">
      <c r="A45" s="8"/>
      <c r="B45" s="7"/>
      <c r="C45" s="8"/>
      <c r="D45" s="146"/>
      <c r="E45" s="5"/>
      <c r="F45" s="147"/>
      <c r="G45" s="5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s="135" customFormat="1" ht="15.75" hidden="1" customHeight="1">
      <c r="A46" s="8"/>
      <c r="B46" s="7"/>
      <c r="C46" s="8"/>
      <c r="D46" s="146"/>
      <c r="E46" s="5"/>
      <c r="F46" s="147"/>
      <c r="G46" s="5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6">
    <mergeCell ref="A1:L1"/>
    <mergeCell ref="A2:L2"/>
    <mergeCell ref="A26:B26"/>
    <mergeCell ref="P5:P6"/>
    <mergeCell ref="Q5:Q6"/>
    <mergeCell ref="N5:O5"/>
  </mergeCells>
  <phoneticPr fontId="6" type="noConversion"/>
  <printOptions horizontalCentered="1" verticalCentered="1"/>
  <pageMargins left="0.98425196850393704" right="0.62992125984251968" top="0.23" bottom="0.62992125984251968" header="1.7716535433070868" footer="1.1811023622047245"/>
  <pageSetup paperSize="9" fitToWidth="0" fitToHeight="0" orientation="landscape" blackAndWhite="1" horizontalDpi="1200" verticalDpi="1200" r:id="rId1"/>
  <headerFooter scaleWithDoc="0">
    <oddHeader>&amp;R&amp;"宋体,常规"&amp;10表3-2-1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927100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3</xdr:col>
                    <xdr:colOff>368300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1A143-25A1-478F-990B-66F85CDEC6E9}">
  <sheetPr codeName="Sheet15">
    <pageSetUpPr fitToPage="1"/>
  </sheetPr>
  <dimension ref="A1:Q46"/>
  <sheetViews>
    <sheetView topLeftCell="C1" workbookViewId="0">
      <pane ySplit="6" topLeftCell="A7" activePane="bottomLeft" state="frozen"/>
      <selection activeCell="F17" sqref="F17"/>
      <selection pane="bottomLeft" activeCell="I11" sqref="I11"/>
    </sheetView>
  </sheetViews>
  <sheetFormatPr baseColWidth="10" defaultColWidth="9" defaultRowHeight="15.75" customHeight="1"/>
  <cols>
    <col min="1" max="1" width="5.5" style="81" customWidth="1"/>
    <col min="2" max="2" width="18.1640625" style="81" customWidth="1"/>
    <col min="3" max="3" width="9" style="81"/>
    <col min="4" max="5" width="8.1640625" style="81" customWidth="1"/>
    <col min="6" max="6" width="12.1640625" style="81" customWidth="1"/>
    <col min="7" max="7" width="7.5" style="81" customWidth="1"/>
    <col min="8" max="9" width="11.5" style="81" customWidth="1"/>
    <col min="10" max="10" width="8" style="135" customWidth="1"/>
    <col min="11" max="11" width="10.5" style="340" customWidth="1"/>
    <col min="12" max="12" width="7.6640625" style="81" customWidth="1"/>
    <col min="13" max="13" width="7.5" style="81" customWidth="1"/>
    <col min="14" max="14" width="9.33203125" style="81" customWidth="1"/>
    <col min="15" max="15" width="9.1640625" style="81" customWidth="1"/>
    <col min="16" max="16" width="8.6640625" style="81" customWidth="1"/>
    <col min="17" max="17" width="7.83203125" style="81" customWidth="1"/>
    <col min="18" max="16384" width="9" style="81"/>
  </cols>
  <sheetData>
    <row r="1" spans="1:17" s="80" customFormat="1" ht="30" customHeight="1">
      <c r="A1" s="374" t="s">
        <v>971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</row>
    <row r="3" spans="1:17" ht="14.25" customHeight="1">
      <c r="A3" s="84"/>
      <c r="B3" s="84"/>
      <c r="C3" s="84"/>
      <c r="D3" s="84"/>
      <c r="E3" s="84"/>
      <c r="F3" s="84"/>
      <c r="G3" s="84"/>
      <c r="H3" s="84"/>
      <c r="I3" s="84"/>
      <c r="J3" s="170"/>
      <c r="K3" s="170"/>
      <c r="L3" s="84"/>
    </row>
    <row r="4" spans="1:17" ht="14.25" customHeight="1">
      <c r="A4" s="40"/>
      <c r="B4" s="40"/>
      <c r="C4" s="40"/>
      <c r="D4" s="40"/>
      <c r="E4" s="40"/>
      <c r="F4" s="40"/>
      <c r="G4" s="40"/>
      <c r="H4" s="40"/>
      <c r="I4" s="171"/>
      <c r="J4" s="172"/>
      <c r="K4" s="337"/>
      <c r="L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342"/>
      <c r="L5" s="168"/>
      <c r="M5" s="435" t="s">
        <v>601</v>
      </c>
      <c r="N5" s="435" t="s">
        <v>600</v>
      </c>
      <c r="O5" s="287" t="s">
        <v>686</v>
      </c>
      <c r="P5" s="425" t="s">
        <v>598</v>
      </c>
      <c r="Q5" s="425" t="s">
        <v>599</v>
      </c>
    </row>
    <row r="6" spans="1:17" s="101" customFormat="1" ht="15.75" customHeight="1">
      <c r="A6" s="45" t="s">
        <v>7</v>
      </c>
      <c r="B6" s="45" t="s">
        <v>28</v>
      </c>
      <c r="C6" s="45" t="s">
        <v>32</v>
      </c>
      <c r="D6" s="45" t="s">
        <v>33</v>
      </c>
      <c r="E6" s="45" t="s">
        <v>30</v>
      </c>
      <c r="F6" s="174" t="s">
        <v>483</v>
      </c>
      <c r="G6" s="45" t="s">
        <v>335</v>
      </c>
      <c r="H6" s="45" t="s">
        <v>117</v>
      </c>
      <c r="I6" s="45" t="s">
        <v>0</v>
      </c>
      <c r="J6" s="175" t="s">
        <v>1</v>
      </c>
      <c r="K6" s="341" t="s">
        <v>479</v>
      </c>
      <c r="L6" s="45" t="s">
        <v>39</v>
      </c>
      <c r="M6" s="436"/>
      <c r="N6" s="436"/>
      <c r="O6" s="287" t="s">
        <v>602</v>
      </c>
      <c r="P6" s="426"/>
      <c r="Q6" s="426"/>
    </row>
    <row r="7" spans="1:17" ht="15.75" customHeight="1">
      <c r="A7" s="8"/>
      <c r="B7" s="7"/>
      <c r="C7" s="8"/>
      <c r="D7" s="146"/>
      <c r="E7" s="146"/>
      <c r="F7" s="145"/>
      <c r="G7" s="147"/>
      <c r="H7" s="5"/>
      <c r="I7" s="5"/>
      <c r="J7" s="31" t="str">
        <f>IF(ISERROR(I7-H7),"",IF(I7=0,"",I7-H7))</f>
        <v/>
      </c>
      <c r="K7" s="339" t="str">
        <f>IF(ISERROR(I7-H7),"",IF(I7=0,"",IF(J7="",0,ROUND(J7*100/H7,2))))</f>
        <v/>
      </c>
      <c r="L7" s="7"/>
    </row>
    <row r="8" spans="1:17" ht="15.75" customHeight="1">
      <c r="A8" s="8"/>
      <c r="B8" s="7"/>
      <c r="C8" s="8"/>
      <c r="D8" s="146"/>
      <c r="E8" s="146"/>
      <c r="F8" s="147"/>
      <c r="G8" s="147"/>
      <c r="H8" s="5"/>
      <c r="I8" s="5"/>
      <c r="J8" s="31" t="str">
        <f t="shared" ref="J8:J26" si="0">IF(ISERROR(I8-H8),"",IF(I8=0,"",I8-H8))</f>
        <v/>
      </c>
      <c r="K8" s="339" t="str">
        <f t="shared" ref="K8:K26" si="1">IF(ISERROR(I8-H8),"",IF(I8=0,"",IF(J8="",0,ROUND(J8*100/H8,2))))</f>
        <v/>
      </c>
      <c r="L8" s="7"/>
    </row>
    <row r="9" spans="1:17" ht="15.75" customHeight="1">
      <c r="A9" s="8"/>
      <c r="B9" s="7"/>
      <c r="C9" s="8"/>
      <c r="D9" s="146"/>
      <c r="E9" s="146"/>
      <c r="F9" s="147"/>
      <c r="G9" s="147"/>
      <c r="H9" s="5"/>
      <c r="I9" s="5"/>
      <c r="J9" s="31" t="str">
        <f t="shared" si="0"/>
        <v/>
      </c>
      <c r="K9" s="339" t="str">
        <f t="shared" si="1"/>
        <v/>
      </c>
      <c r="L9" s="7"/>
    </row>
    <row r="10" spans="1:17" ht="15.75" customHeight="1">
      <c r="A10" s="8"/>
      <c r="B10" s="7"/>
      <c r="C10" s="8"/>
      <c r="D10" s="146"/>
      <c r="E10" s="146"/>
      <c r="F10" s="147"/>
      <c r="G10" s="147"/>
      <c r="H10" s="5"/>
      <c r="I10" s="5"/>
      <c r="J10" s="31" t="str">
        <f t="shared" si="0"/>
        <v/>
      </c>
      <c r="K10" s="339" t="str">
        <f t="shared" si="1"/>
        <v/>
      </c>
      <c r="L10" s="7"/>
    </row>
    <row r="11" spans="1:17" ht="15.75" customHeight="1">
      <c r="A11" s="8"/>
      <c r="B11" s="7"/>
      <c r="C11" s="8"/>
      <c r="D11" s="146"/>
      <c r="E11" s="146"/>
      <c r="F11" s="147"/>
      <c r="G11" s="147"/>
      <c r="H11" s="5"/>
      <c r="I11" s="5"/>
      <c r="J11" s="31" t="str">
        <f t="shared" si="0"/>
        <v/>
      </c>
      <c r="K11" s="339" t="str">
        <f t="shared" si="1"/>
        <v/>
      </c>
      <c r="L11" s="7"/>
    </row>
    <row r="12" spans="1:17" ht="15.75" customHeight="1">
      <c r="A12" s="8"/>
      <c r="B12" s="7"/>
      <c r="C12" s="8"/>
      <c r="D12" s="146"/>
      <c r="E12" s="146"/>
      <c r="F12" s="147"/>
      <c r="G12" s="147"/>
      <c r="H12" s="5"/>
      <c r="I12" s="5"/>
      <c r="J12" s="31" t="str">
        <f t="shared" si="0"/>
        <v/>
      </c>
      <c r="K12" s="339" t="str">
        <f t="shared" si="1"/>
        <v/>
      </c>
      <c r="L12" s="7"/>
    </row>
    <row r="13" spans="1:17" ht="15.75" customHeight="1">
      <c r="A13" s="8"/>
      <c r="B13" s="7"/>
      <c r="C13" s="8"/>
      <c r="D13" s="146"/>
      <c r="E13" s="146"/>
      <c r="F13" s="147"/>
      <c r="G13" s="147"/>
      <c r="H13" s="5"/>
      <c r="I13" s="5"/>
      <c r="J13" s="31" t="str">
        <f t="shared" si="0"/>
        <v/>
      </c>
      <c r="K13" s="339" t="str">
        <f t="shared" si="1"/>
        <v/>
      </c>
      <c r="L13" s="7"/>
    </row>
    <row r="14" spans="1:17" ht="15.75" customHeight="1">
      <c r="A14" s="8"/>
      <c r="B14" s="7"/>
      <c r="C14" s="8"/>
      <c r="D14" s="146"/>
      <c r="E14" s="146"/>
      <c r="F14" s="147"/>
      <c r="G14" s="147"/>
      <c r="H14" s="5"/>
      <c r="I14" s="5"/>
      <c r="J14" s="31" t="str">
        <f t="shared" si="0"/>
        <v/>
      </c>
      <c r="K14" s="339" t="str">
        <f t="shared" si="1"/>
        <v/>
      </c>
      <c r="L14" s="7"/>
    </row>
    <row r="15" spans="1:17" ht="15.75" customHeight="1">
      <c r="A15" s="8"/>
      <c r="B15" s="7"/>
      <c r="C15" s="8"/>
      <c r="D15" s="146"/>
      <c r="E15" s="146"/>
      <c r="F15" s="147"/>
      <c r="G15" s="147"/>
      <c r="H15" s="5"/>
      <c r="I15" s="5"/>
      <c r="J15" s="31" t="str">
        <f t="shared" si="0"/>
        <v/>
      </c>
      <c r="K15" s="339" t="str">
        <f t="shared" si="1"/>
        <v/>
      </c>
      <c r="L15" s="7"/>
    </row>
    <row r="16" spans="1:17" ht="15.75" customHeight="1">
      <c r="A16" s="8"/>
      <c r="B16" s="7"/>
      <c r="C16" s="8"/>
      <c r="D16" s="146"/>
      <c r="E16" s="146"/>
      <c r="F16" s="147"/>
      <c r="G16" s="147"/>
      <c r="H16" s="5"/>
      <c r="I16" s="5"/>
      <c r="J16" s="31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6"/>
      <c r="F17" s="147"/>
      <c r="G17" s="147"/>
      <c r="H17" s="5"/>
      <c r="I17" s="5"/>
      <c r="J17" s="31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6"/>
      <c r="F18" s="147"/>
      <c r="G18" s="147"/>
      <c r="H18" s="5"/>
      <c r="I18" s="5"/>
      <c r="J18" s="31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6"/>
      <c r="F19" s="147"/>
      <c r="G19" s="147"/>
      <c r="H19" s="5"/>
      <c r="I19" s="5"/>
      <c r="J19" s="31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6"/>
      <c r="F20" s="147"/>
      <c r="G20" s="147"/>
      <c r="H20" s="5"/>
      <c r="I20" s="5"/>
      <c r="J20" s="31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6"/>
      <c r="F21" s="147"/>
      <c r="G21" s="147"/>
      <c r="H21" s="5"/>
      <c r="I21" s="5"/>
      <c r="J21" s="31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6"/>
      <c r="F22" s="147"/>
      <c r="G22" s="147"/>
      <c r="H22" s="5"/>
      <c r="I22" s="5"/>
      <c r="J22" s="31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6"/>
      <c r="F23" s="147"/>
      <c r="G23" s="147"/>
      <c r="H23" s="5"/>
      <c r="I23" s="5"/>
      <c r="J23" s="31" t="str">
        <f t="shared" si="0"/>
        <v/>
      </c>
      <c r="K23" s="339" t="str">
        <f t="shared" si="1"/>
        <v/>
      </c>
      <c r="L23" s="7"/>
    </row>
    <row r="24" spans="1:12" ht="15.75" customHeight="1">
      <c r="A24" s="8"/>
      <c r="B24" s="7"/>
      <c r="C24" s="8"/>
      <c r="D24" s="146"/>
      <c r="E24" s="146"/>
      <c r="F24" s="147"/>
      <c r="G24" s="147"/>
      <c r="H24" s="5"/>
      <c r="I24" s="5"/>
      <c r="J24" s="31" t="str">
        <f t="shared" si="0"/>
        <v/>
      </c>
      <c r="K24" s="339" t="str">
        <f t="shared" si="1"/>
        <v/>
      </c>
      <c r="L24" s="7"/>
    </row>
    <row r="25" spans="1:12" ht="15.75" customHeight="1">
      <c r="A25" s="8"/>
      <c r="B25" s="7"/>
      <c r="C25" s="8"/>
      <c r="D25" s="146"/>
      <c r="E25" s="146"/>
      <c r="F25" s="147"/>
      <c r="G25" s="147"/>
      <c r="H25" s="5"/>
      <c r="I25" s="5"/>
      <c r="J25" s="31" t="str">
        <f t="shared" si="0"/>
        <v/>
      </c>
      <c r="K25" s="339" t="str">
        <f t="shared" si="1"/>
        <v/>
      </c>
      <c r="L25" s="7"/>
    </row>
    <row r="26" spans="1:12" ht="15.75" customHeight="1">
      <c r="A26" s="420" t="s">
        <v>534</v>
      </c>
      <c r="B26" s="421"/>
      <c r="C26" s="30"/>
      <c r="D26" s="232"/>
      <c r="E26" s="232"/>
      <c r="F26" s="233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6" s="31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6"/>
      <c r="F27" s="147"/>
      <c r="G27" s="147"/>
      <c r="H27" s="5"/>
      <c r="I27" s="5"/>
      <c r="J27" s="28" t="str">
        <f t="shared" ref="J27:J46" si="2">IF(ISERROR(I27-H27),"",IF(I27=0,"",I27-H27))</f>
        <v/>
      </c>
      <c r="K27" s="339" t="str">
        <f t="shared" ref="K27:K46" si="3">IF(ISERROR(I27-H27),"",IF(I27=0,"",IF(J27="",0,ROUND(J27*100/H27,2))))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146"/>
      <c r="F28" s="147"/>
      <c r="G28" s="147"/>
      <c r="H28" s="5"/>
      <c r="I28" s="5"/>
      <c r="J28" s="28" t="str">
        <f t="shared" si="2"/>
        <v/>
      </c>
      <c r="K28" s="339" t="str">
        <f t="shared" si="3"/>
        <v/>
      </c>
      <c r="L28" s="7"/>
    </row>
    <row r="29" spans="1:12" ht="15.75" hidden="1" customHeight="1">
      <c r="A29" s="8"/>
      <c r="B29" s="7"/>
      <c r="C29" s="8"/>
      <c r="D29" s="146"/>
      <c r="E29" s="146"/>
      <c r="F29" s="147"/>
      <c r="G29" s="147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6"/>
      <c r="F30" s="147"/>
      <c r="G30" s="147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6"/>
      <c r="F31" s="147"/>
      <c r="G31" s="147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6"/>
      <c r="F32" s="147"/>
      <c r="G32" s="147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6"/>
      <c r="F33" s="147"/>
      <c r="G33" s="147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6"/>
      <c r="F34" s="147"/>
      <c r="G34" s="147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6"/>
      <c r="F35" s="147"/>
      <c r="G35" s="147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6"/>
      <c r="F36" s="147"/>
      <c r="G36" s="147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6"/>
      <c r="F37" s="147"/>
      <c r="G37" s="147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6"/>
      <c r="F38" s="147"/>
      <c r="G38" s="147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6"/>
      <c r="F39" s="147"/>
      <c r="G39" s="147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6"/>
      <c r="F40" s="147"/>
      <c r="G40" s="147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6"/>
      <c r="F41" s="147"/>
      <c r="G41" s="147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6"/>
      <c r="F42" s="147"/>
      <c r="G42" s="147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6"/>
      <c r="F43" s="147"/>
      <c r="G43" s="147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6"/>
      <c r="F44" s="147"/>
      <c r="G44" s="147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6"/>
      <c r="F45" s="147"/>
      <c r="G45" s="147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6"/>
      <c r="F46" s="147"/>
      <c r="G46" s="147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7">
    <mergeCell ref="P5:P6"/>
    <mergeCell ref="Q5:Q6"/>
    <mergeCell ref="A26:B26"/>
    <mergeCell ref="A2:L2"/>
    <mergeCell ref="A1:L1"/>
    <mergeCell ref="M5:M6"/>
    <mergeCell ref="N5:N6"/>
  </mergeCells>
  <phoneticPr fontId="6" type="noConversion"/>
  <printOptions horizontalCentered="1" verticalCentered="1"/>
  <pageMargins left="1.1023622047244095" right="0.74803149606299213" top="0.19" bottom="0.5905511811023622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&amp;R&amp;"宋体,常规"&amp;10表3-2-2
共&amp;N页 第&amp;P页
金额单位：人民币元</oddHeader>
    <oddFooter>&amp;L&amp;10复核人：_x000D_复核日期：&amp;C&amp;10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3</xdr:col>
                    <xdr:colOff>177800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68BB2-A663-49A9-89D4-2A945F4E64D9}">
  <sheetPr codeName="Sheet4">
    <pageSetUpPr fitToPage="1"/>
  </sheetPr>
  <dimension ref="A1:Q46"/>
  <sheetViews>
    <sheetView workbookViewId="0">
      <pane ySplit="6" topLeftCell="A7" activePane="bottomLeft" state="frozen"/>
      <selection activeCell="F17" sqref="F17"/>
      <selection pane="bottomLeft" activeCell="I11" sqref="I11"/>
    </sheetView>
  </sheetViews>
  <sheetFormatPr baseColWidth="10" defaultColWidth="9" defaultRowHeight="15.75" customHeight="1"/>
  <cols>
    <col min="1" max="1" width="4.5" style="81" customWidth="1"/>
    <col min="2" max="2" width="16.6640625" style="81" customWidth="1"/>
    <col min="3" max="3" width="11" style="81" customWidth="1"/>
    <col min="4" max="4" width="7.1640625" style="81" customWidth="1"/>
    <col min="5" max="5" width="7.5" style="81" customWidth="1"/>
    <col min="6" max="6" width="9.5" style="81" bestFit="1" customWidth="1"/>
    <col min="7" max="7" width="11.6640625" style="81" customWidth="1"/>
    <col min="8" max="8" width="13" style="81" customWidth="1"/>
    <col min="9" max="9" width="12.1640625" style="81" customWidth="1"/>
    <col min="10" max="10" width="8.6640625" style="135" customWidth="1"/>
    <col min="11" max="11" width="10" style="340" customWidth="1"/>
    <col min="12" max="12" width="7.1640625" style="81" customWidth="1"/>
    <col min="13" max="13" width="7.33203125" style="81" customWidth="1"/>
    <col min="14" max="14" width="10" style="81" customWidth="1"/>
    <col min="15" max="15" width="8.6640625" style="81" customWidth="1"/>
    <col min="16" max="16" width="10" style="81" customWidth="1"/>
    <col min="17" max="17" width="7.6640625" style="81" customWidth="1"/>
    <col min="18" max="16384" width="9" style="81"/>
  </cols>
  <sheetData>
    <row r="1" spans="1:17" s="80" customFormat="1" ht="30" customHeight="1">
      <c r="A1" s="374" t="s">
        <v>972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</row>
    <row r="3" spans="1:17" ht="14.25" customHeight="1">
      <c r="A3" s="40"/>
      <c r="B3" s="40"/>
      <c r="C3" s="40"/>
      <c r="D3" s="40"/>
      <c r="E3" s="40"/>
      <c r="F3" s="40"/>
      <c r="G3" s="40"/>
      <c r="H3" s="171"/>
      <c r="I3" s="171"/>
      <c r="J3" s="172"/>
      <c r="K3" s="218"/>
      <c r="L3" s="177"/>
    </row>
    <row r="4" spans="1:17" ht="14.25" customHeight="1">
      <c r="A4" s="40"/>
      <c r="B4" s="40"/>
      <c r="C4" s="40"/>
      <c r="D4" s="40"/>
      <c r="E4" s="40"/>
      <c r="F4" s="40"/>
      <c r="G4" s="40"/>
      <c r="H4" s="171"/>
      <c r="I4" s="171"/>
      <c r="J4" s="172"/>
      <c r="K4" s="337"/>
      <c r="L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342"/>
      <c r="L5" s="168"/>
      <c r="M5" s="437" t="s">
        <v>683</v>
      </c>
      <c r="N5" s="438"/>
      <c r="O5" s="438"/>
      <c r="P5" s="425" t="s">
        <v>598</v>
      </c>
      <c r="Q5" s="425" t="s">
        <v>599</v>
      </c>
    </row>
    <row r="6" spans="1:17" s="101" customFormat="1" ht="15.75" customHeight="1">
      <c r="A6" s="45" t="s">
        <v>7</v>
      </c>
      <c r="B6" s="45" t="s">
        <v>172</v>
      </c>
      <c r="C6" s="45" t="s">
        <v>173</v>
      </c>
      <c r="D6" s="45" t="s">
        <v>174</v>
      </c>
      <c r="E6" s="45" t="s">
        <v>30</v>
      </c>
      <c r="F6" s="45" t="s">
        <v>336</v>
      </c>
      <c r="G6" s="45" t="s">
        <v>117</v>
      </c>
      <c r="H6" s="45" t="s">
        <v>175</v>
      </c>
      <c r="I6" s="45" t="s">
        <v>0</v>
      </c>
      <c r="J6" s="175" t="s">
        <v>1</v>
      </c>
      <c r="K6" s="341" t="s">
        <v>479</v>
      </c>
      <c r="L6" s="45" t="s">
        <v>39</v>
      </c>
      <c r="M6" s="288" t="s">
        <v>603</v>
      </c>
      <c r="N6" s="288" t="s">
        <v>600</v>
      </c>
      <c r="O6" s="288" t="s">
        <v>604</v>
      </c>
      <c r="P6" s="426"/>
      <c r="Q6" s="426"/>
    </row>
    <row r="7" spans="1:17" ht="15.75" customHeight="1">
      <c r="A7" s="8"/>
      <c r="B7" s="7"/>
      <c r="C7" s="8"/>
      <c r="D7" s="146"/>
      <c r="E7" s="146"/>
      <c r="F7" s="147"/>
      <c r="G7" s="5"/>
      <c r="H7" s="5"/>
      <c r="I7" s="5"/>
      <c r="J7" s="31" t="str">
        <f>IF(ISERROR(I7-G7),"",IF(I7=0,"",I7-G7))</f>
        <v/>
      </c>
      <c r="K7" s="339" t="str">
        <f>IF(ISERROR(I7-G7),"",IF(I7=0,"",IF(J7="",0,ROUND(J7*100/G7,2))))</f>
        <v/>
      </c>
      <c r="L7" s="7"/>
    </row>
    <row r="8" spans="1:17" ht="15.75" customHeight="1">
      <c r="A8" s="8"/>
      <c r="B8" s="7"/>
      <c r="C8" s="8"/>
      <c r="D8" s="146"/>
      <c r="E8" s="144"/>
      <c r="F8" s="147"/>
      <c r="G8" s="5"/>
      <c r="H8" s="5"/>
      <c r="I8" s="5"/>
      <c r="J8" s="31" t="str">
        <f t="shared" ref="J8:J26" si="0">IF(ISERROR(I8-G8),"",IF(I8=0,"",I8-G8))</f>
        <v/>
      </c>
      <c r="K8" s="339" t="str">
        <f t="shared" ref="K8:K26" si="1">IF(ISERROR(I8-G8),"",IF(I8=0,"",IF(J8="",0,ROUND(J8*100/G8,2))))</f>
        <v/>
      </c>
      <c r="L8" s="7"/>
    </row>
    <row r="9" spans="1:17" ht="15.75" customHeight="1">
      <c r="A9" s="8"/>
      <c r="B9" s="7"/>
      <c r="C9" s="8"/>
      <c r="D9" s="146"/>
      <c r="E9" s="144"/>
      <c r="F9" s="147"/>
      <c r="G9" s="5"/>
      <c r="H9" s="5"/>
      <c r="I9" s="5"/>
      <c r="J9" s="31" t="str">
        <f t="shared" si="0"/>
        <v/>
      </c>
      <c r="K9" s="339" t="str">
        <f t="shared" si="1"/>
        <v/>
      </c>
      <c r="L9" s="7"/>
    </row>
    <row r="10" spans="1:17" ht="15.75" customHeight="1">
      <c r="A10" s="8"/>
      <c r="B10" s="7"/>
      <c r="C10" s="8"/>
      <c r="D10" s="146"/>
      <c r="E10" s="144"/>
      <c r="F10" s="147"/>
      <c r="G10" s="5"/>
      <c r="H10" s="5"/>
      <c r="I10" s="5"/>
      <c r="J10" s="31" t="str">
        <f t="shared" si="0"/>
        <v/>
      </c>
      <c r="K10" s="339" t="str">
        <f t="shared" si="1"/>
        <v/>
      </c>
      <c r="L10" s="7"/>
    </row>
    <row r="11" spans="1:17" ht="15.75" customHeight="1">
      <c r="A11" s="8"/>
      <c r="B11" s="7"/>
      <c r="C11" s="8"/>
      <c r="D11" s="146"/>
      <c r="E11" s="144"/>
      <c r="F11" s="147"/>
      <c r="G11" s="5"/>
      <c r="H11" s="5"/>
      <c r="I11" s="5"/>
      <c r="J11" s="31" t="str">
        <f t="shared" si="0"/>
        <v/>
      </c>
      <c r="K11" s="339" t="str">
        <f t="shared" si="1"/>
        <v/>
      </c>
      <c r="L11" s="7"/>
    </row>
    <row r="12" spans="1:17" ht="15.75" customHeight="1">
      <c r="A12" s="8"/>
      <c r="B12" s="7"/>
      <c r="C12" s="8"/>
      <c r="D12" s="146"/>
      <c r="E12" s="144"/>
      <c r="F12" s="147"/>
      <c r="G12" s="5"/>
      <c r="H12" s="5"/>
      <c r="I12" s="5"/>
      <c r="J12" s="31" t="str">
        <f t="shared" si="0"/>
        <v/>
      </c>
      <c r="K12" s="339" t="str">
        <f t="shared" si="1"/>
        <v/>
      </c>
      <c r="L12" s="7"/>
    </row>
    <row r="13" spans="1:17" ht="15.75" customHeight="1">
      <c r="A13" s="8"/>
      <c r="B13" s="7"/>
      <c r="C13" s="8"/>
      <c r="D13" s="146"/>
      <c r="E13" s="144"/>
      <c r="F13" s="147"/>
      <c r="G13" s="5"/>
      <c r="H13" s="5"/>
      <c r="I13" s="5"/>
      <c r="J13" s="31" t="str">
        <f t="shared" si="0"/>
        <v/>
      </c>
      <c r="K13" s="339" t="str">
        <f t="shared" si="1"/>
        <v/>
      </c>
      <c r="L13" s="7"/>
    </row>
    <row r="14" spans="1:17" ht="15.75" customHeight="1">
      <c r="A14" s="8"/>
      <c r="B14" s="7"/>
      <c r="C14" s="8"/>
      <c r="D14" s="146"/>
      <c r="E14" s="144"/>
      <c r="F14" s="147"/>
      <c r="G14" s="5"/>
      <c r="H14" s="5"/>
      <c r="I14" s="5"/>
      <c r="J14" s="31" t="str">
        <f t="shared" si="0"/>
        <v/>
      </c>
      <c r="K14" s="339" t="str">
        <f t="shared" si="1"/>
        <v/>
      </c>
      <c r="L14" s="7"/>
    </row>
    <row r="15" spans="1:17" ht="15.75" customHeight="1">
      <c r="A15" s="8"/>
      <c r="B15" s="7"/>
      <c r="C15" s="8"/>
      <c r="D15" s="146"/>
      <c r="E15" s="144"/>
      <c r="F15" s="147"/>
      <c r="G15" s="5"/>
      <c r="H15" s="5"/>
      <c r="I15" s="5"/>
      <c r="J15" s="31" t="str">
        <f t="shared" si="0"/>
        <v/>
      </c>
      <c r="K15" s="339" t="str">
        <f t="shared" si="1"/>
        <v/>
      </c>
      <c r="L15" s="7"/>
    </row>
    <row r="16" spans="1:17" ht="15.75" customHeight="1">
      <c r="A16" s="8"/>
      <c r="B16" s="7"/>
      <c r="C16" s="8"/>
      <c r="D16" s="146"/>
      <c r="E16" s="144"/>
      <c r="F16" s="147"/>
      <c r="G16" s="5"/>
      <c r="H16" s="5"/>
      <c r="I16" s="5"/>
      <c r="J16" s="31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4"/>
      <c r="F17" s="147"/>
      <c r="G17" s="5"/>
      <c r="H17" s="5"/>
      <c r="I17" s="5"/>
      <c r="J17" s="31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4"/>
      <c r="F18" s="147"/>
      <c r="G18" s="5"/>
      <c r="H18" s="5"/>
      <c r="I18" s="5"/>
      <c r="J18" s="31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4"/>
      <c r="F19" s="147"/>
      <c r="G19" s="5"/>
      <c r="H19" s="5"/>
      <c r="I19" s="5"/>
      <c r="J19" s="31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4"/>
      <c r="F20" s="147"/>
      <c r="G20" s="5"/>
      <c r="H20" s="5"/>
      <c r="I20" s="5"/>
      <c r="J20" s="31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4"/>
      <c r="F21" s="147"/>
      <c r="G21" s="5"/>
      <c r="H21" s="5"/>
      <c r="I21" s="5"/>
      <c r="J21" s="31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4"/>
      <c r="F22" s="147"/>
      <c r="G22" s="5"/>
      <c r="H22" s="5"/>
      <c r="I22" s="5"/>
      <c r="J22" s="31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4"/>
      <c r="F23" s="147"/>
      <c r="G23" s="5"/>
      <c r="H23" s="5"/>
      <c r="I23" s="5"/>
      <c r="J23" s="31" t="str">
        <f t="shared" si="0"/>
        <v/>
      </c>
      <c r="K23" s="339" t="str">
        <f t="shared" si="1"/>
        <v/>
      </c>
      <c r="L23" s="7"/>
    </row>
    <row r="24" spans="1:12" ht="15.75" customHeight="1">
      <c r="A24" s="8"/>
      <c r="B24" s="7"/>
      <c r="C24" s="8"/>
      <c r="D24" s="146"/>
      <c r="E24" s="144"/>
      <c r="F24" s="147"/>
      <c r="G24" s="5"/>
      <c r="H24" s="5"/>
      <c r="I24" s="5"/>
      <c r="J24" s="31" t="str">
        <f t="shared" si="0"/>
        <v/>
      </c>
      <c r="K24" s="339" t="str">
        <f t="shared" si="1"/>
        <v/>
      </c>
      <c r="L24" s="7"/>
    </row>
    <row r="25" spans="1:12" ht="15.75" customHeight="1">
      <c r="A25" s="8"/>
      <c r="B25" s="7"/>
      <c r="C25" s="8"/>
      <c r="D25" s="146"/>
      <c r="E25" s="144"/>
      <c r="F25" s="147"/>
      <c r="G25" s="5"/>
      <c r="H25" s="5"/>
      <c r="I25" s="5"/>
      <c r="J25" s="31" t="str">
        <f t="shared" si="0"/>
        <v/>
      </c>
      <c r="K25" s="339" t="str">
        <f t="shared" si="1"/>
        <v/>
      </c>
      <c r="L25" s="7"/>
    </row>
    <row r="26" spans="1:12" ht="15.75" customHeight="1">
      <c r="A26" s="420" t="s">
        <v>534</v>
      </c>
      <c r="B26" s="421"/>
      <c r="C26" s="30"/>
      <c r="D26" s="232"/>
      <c r="E26" s="30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/>
      <c r="I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6" s="31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4"/>
      <c r="F27" s="147"/>
      <c r="G27" s="5"/>
      <c r="H27" s="5"/>
      <c r="I27" s="5"/>
      <c r="J27" s="28" t="str">
        <f t="shared" ref="J27:J46" si="2">IF(ISERROR(I27-G27),"",IF(I27=0,"",I27-G27))</f>
        <v/>
      </c>
      <c r="K27" s="339" t="str">
        <f t="shared" ref="K27:K46" si="3">IF(ISERROR(I27-G27),"",IF(I27=0,"",IF(J27="",0,ROUND(J27*100/G27,2))))</f>
        <v/>
      </c>
      <c r="L27" s="7"/>
    </row>
    <row r="28" spans="1:12" ht="15.75" hidden="1" customHeight="1">
      <c r="A28" s="8"/>
      <c r="B28" s="7"/>
      <c r="C28" s="8"/>
      <c r="D28" s="146"/>
      <c r="E28" s="144"/>
      <c r="F28" s="147"/>
      <c r="G28" s="5"/>
      <c r="H28" s="5"/>
      <c r="I28" s="5"/>
      <c r="J28" s="28" t="str">
        <f t="shared" si="2"/>
        <v/>
      </c>
      <c r="K28" s="339" t="str">
        <f t="shared" si="3"/>
        <v/>
      </c>
      <c r="L28" s="7"/>
    </row>
    <row r="29" spans="1:12" ht="15.75" hidden="1" customHeight="1">
      <c r="A29" s="8"/>
      <c r="B29" s="7"/>
      <c r="C29" s="8"/>
      <c r="D29" s="146"/>
      <c r="E29" s="144"/>
      <c r="F29" s="147"/>
      <c r="G29" s="5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4"/>
      <c r="F30" s="147"/>
      <c r="G30" s="5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4"/>
      <c r="F31" s="147"/>
      <c r="G31" s="5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4"/>
      <c r="F32" s="147"/>
      <c r="G32" s="5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4"/>
      <c r="F33" s="147"/>
      <c r="G33" s="5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4"/>
      <c r="F34" s="147"/>
      <c r="G34" s="5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4"/>
      <c r="F35" s="147"/>
      <c r="G35" s="5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4"/>
      <c r="F36" s="147"/>
      <c r="G36" s="5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4"/>
      <c r="F37" s="147"/>
      <c r="G37" s="5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4"/>
      <c r="F38" s="147"/>
      <c r="G38" s="5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4"/>
      <c r="F39" s="147"/>
      <c r="G39" s="5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4"/>
      <c r="F40" s="147"/>
      <c r="G40" s="5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4"/>
      <c r="F41" s="147"/>
      <c r="G41" s="5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4"/>
      <c r="F42" s="147"/>
      <c r="G42" s="5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4"/>
      <c r="F43" s="147"/>
      <c r="G43" s="5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4"/>
      <c r="F44" s="147"/>
      <c r="G44" s="5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4"/>
      <c r="F45" s="147"/>
      <c r="G45" s="5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4"/>
      <c r="F46" s="147"/>
      <c r="G46" s="5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6">
    <mergeCell ref="Q5:Q6"/>
    <mergeCell ref="A2:L2"/>
    <mergeCell ref="A1:L1"/>
    <mergeCell ref="A26:B26"/>
    <mergeCell ref="M5:O5"/>
    <mergeCell ref="P5:P6"/>
  </mergeCells>
  <phoneticPr fontId="6" type="noConversion"/>
  <printOptions horizontalCentered="1" verticalCentered="1"/>
  <pageMargins left="1.0236220472440944" right="0.70866141732283472" top="0.26" bottom="0.69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&amp;R&amp;"宋体,常规"&amp;10表3-2-3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1041400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3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B7E7-510A-4EB8-B9CB-18ACA7C8861E}">
  <sheetPr codeName="Sheet10">
    <pageSetUpPr fitToPage="1"/>
  </sheetPr>
  <dimension ref="A1:Q46"/>
  <sheetViews>
    <sheetView workbookViewId="0">
      <pane ySplit="6" topLeftCell="A7" activePane="bottomLeft" state="frozen"/>
      <selection activeCell="F17" sqref="F17"/>
      <selection pane="bottomLeft" sqref="A1:L1"/>
    </sheetView>
  </sheetViews>
  <sheetFormatPr baseColWidth="10" defaultColWidth="9" defaultRowHeight="15.75" customHeight="1"/>
  <cols>
    <col min="1" max="1" width="4.5" style="81" customWidth="1"/>
    <col min="2" max="2" width="16.6640625" style="81" customWidth="1"/>
    <col min="3" max="3" width="11" style="81" customWidth="1"/>
    <col min="4" max="4" width="7.1640625" style="81" customWidth="1"/>
    <col min="5" max="5" width="7.5" style="81" customWidth="1"/>
    <col min="6" max="6" width="9.5" style="81" bestFit="1" customWidth="1"/>
    <col min="7" max="7" width="11.6640625" style="81" customWidth="1"/>
    <col min="8" max="8" width="13" style="81" customWidth="1"/>
    <col min="9" max="9" width="12.1640625" style="81" customWidth="1"/>
    <col min="10" max="10" width="8.6640625" style="135" customWidth="1"/>
    <col min="11" max="11" width="10" style="340" customWidth="1"/>
    <col min="12" max="12" width="7.1640625" style="81" customWidth="1"/>
    <col min="13" max="13" width="7.33203125" style="81" customWidth="1"/>
    <col min="14" max="14" width="10" style="81" customWidth="1"/>
    <col min="15" max="15" width="8.6640625" style="81" customWidth="1"/>
    <col min="16" max="16" width="10" style="81" customWidth="1"/>
    <col min="17" max="17" width="7.6640625" style="81" customWidth="1"/>
    <col min="18" max="16384" width="9" style="81"/>
  </cols>
  <sheetData>
    <row r="1" spans="1:17" s="80" customFormat="1" ht="30" customHeight="1">
      <c r="A1" s="374" t="s">
        <v>973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</row>
    <row r="3" spans="1:17" ht="14.25" customHeight="1">
      <c r="A3" s="40"/>
      <c r="B3" s="40"/>
      <c r="C3" s="40"/>
      <c r="D3" s="40"/>
      <c r="E3" s="40"/>
      <c r="F3" s="40"/>
      <c r="G3" s="40"/>
      <c r="H3" s="171"/>
      <c r="I3" s="171"/>
      <c r="J3" s="172"/>
      <c r="K3" s="218"/>
      <c r="L3" s="177"/>
    </row>
    <row r="4" spans="1:17" ht="14.25" customHeight="1">
      <c r="A4" s="40"/>
      <c r="B4" s="40"/>
      <c r="C4" s="40"/>
      <c r="D4" s="40"/>
      <c r="E4" s="40"/>
      <c r="F4" s="40"/>
      <c r="G4" s="40"/>
      <c r="H4" s="171"/>
      <c r="I4" s="171"/>
      <c r="J4" s="172"/>
      <c r="K4" s="337"/>
      <c r="L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342"/>
      <c r="L5" s="168"/>
      <c r="M5" s="437" t="s">
        <v>683</v>
      </c>
      <c r="N5" s="438"/>
      <c r="O5" s="438"/>
      <c r="P5" s="425" t="s">
        <v>598</v>
      </c>
      <c r="Q5" s="425" t="s">
        <v>599</v>
      </c>
    </row>
    <row r="6" spans="1:17" s="101" customFormat="1" ht="15.75" customHeight="1">
      <c r="A6" s="45" t="s">
        <v>7</v>
      </c>
      <c r="B6" s="360" t="s">
        <v>937</v>
      </c>
      <c r="C6" s="360" t="s">
        <v>41</v>
      </c>
      <c r="D6" s="360" t="s">
        <v>938</v>
      </c>
      <c r="E6" s="45" t="s">
        <v>30</v>
      </c>
      <c r="F6" s="45" t="s">
        <v>335</v>
      </c>
      <c r="G6" s="45" t="s">
        <v>117</v>
      </c>
      <c r="H6" s="45" t="s">
        <v>175</v>
      </c>
      <c r="I6" s="45" t="s">
        <v>0</v>
      </c>
      <c r="J6" s="175" t="s">
        <v>1</v>
      </c>
      <c r="K6" s="341" t="s">
        <v>479</v>
      </c>
      <c r="L6" s="45" t="s">
        <v>39</v>
      </c>
      <c r="M6" s="288" t="s">
        <v>603</v>
      </c>
      <c r="N6" s="288" t="s">
        <v>600</v>
      </c>
      <c r="O6" s="288" t="s">
        <v>604</v>
      </c>
      <c r="P6" s="426"/>
      <c r="Q6" s="426"/>
    </row>
    <row r="7" spans="1:17" ht="15.75" customHeight="1">
      <c r="A7" s="8"/>
      <c r="B7" s="7"/>
      <c r="C7" s="8"/>
      <c r="D7" s="146"/>
      <c r="E7" s="146"/>
      <c r="F7" s="147"/>
      <c r="G7" s="5"/>
      <c r="H7" s="5"/>
      <c r="I7" s="5"/>
      <c r="J7" s="31" t="str">
        <f>IF(ISERROR(I7-G7),"",IF(I7=0,"",I7-G7))</f>
        <v/>
      </c>
      <c r="K7" s="339" t="str">
        <f>IF(ISERROR(I7-G7),"",IF(I7=0,"",IF(J7="",0,ROUND(J7*100/G7,2))))</f>
        <v/>
      </c>
      <c r="L7" s="7"/>
    </row>
    <row r="8" spans="1:17" ht="15.75" customHeight="1">
      <c r="A8" s="8"/>
      <c r="B8" s="7"/>
      <c r="C8" s="8"/>
      <c r="D8" s="146"/>
      <c r="E8" s="144"/>
      <c r="F8" s="147"/>
      <c r="G8" s="5"/>
      <c r="H8" s="5"/>
      <c r="I8" s="5"/>
      <c r="J8" s="31" t="str">
        <f t="shared" ref="J8:J46" si="0">IF(ISERROR(I8-G8),"",IF(I8=0,"",I8-G8))</f>
        <v/>
      </c>
      <c r="K8" s="339" t="str">
        <f t="shared" ref="K8:K46" si="1">IF(ISERROR(I8-G8),"",IF(I8=0,"",IF(J8="",0,ROUND(J8*100/G8,2))))</f>
        <v/>
      </c>
      <c r="L8" s="7"/>
    </row>
    <row r="9" spans="1:17" ht="15.75" customHeight="1">
      <c r="A9" s="8"/>
      <c r="B9" s="7"/>
      <c r="C9" s="8"/>
      <c r="D9" s="146"/>
      <c r="E9" s="144"/>
      <c r="F9" s="147"/>
      <c r="G9" s="5"/>
      <c r="H9" s="5"/>
      <c r="I9" s="5"/>
      <c r="J9" s="31" t="str">
        <f t="shared" si="0"/>
        <v/>
      </c>
      <c r="K9" s="339" t="str">
        <f t="shared" si="1"/>
        <v/>
      </c>
      <c r="L9" s="7"/>
    </row>
    <row r="10" spans="1:17" ht="15.75" customHeight="1">
      <c r="A10" s="8"/>
      <c r="B10" s="7"/>
      <c r="C10" s="8"/>
      <c r="D10" s="146"/>
      <c r="E10" s="144"/>
      <c r="F10" s="147"/>
      <c r="G10" s="5"/>
      <c r="H10" s="5"/>
      <c r="I10" s="5"/>
      <c r="J10" s="31" t="str">
        <f t="shared" si="0"/>
        <v/>
      </c>
      <c r="K10" s="339" t="str">
        <f t="shared" si="1"/>
        <v/>
      </c>
      <c r="L10" s="7"/>
    </row>
    <row r="11" spans="1:17" ht="15.75" customHeight="1">
      <c r="A11" s="8"/>
      <c r="B11" s="7"/>
      <c r="C11" s="8"/>
      <c r="D11" s="146"/>
      <c r="E11" s="144"/>
      <c r="F11" s="147"/>
      <c r="G11" s="5"/>
      <c r="H11" s="5"/>
      <c r="I11" s="5"/>
      <c r="J11" s="31" t="str">
        <f t="shared" si="0"/>
        <v/>
      </c>
      <c r="K11" s="339" t="str">
        <f t="shared" si="1"/>
        <v/>
      </c>
      <c r="L11" s="7"/>
    </row>
    <row r="12" spans="1:17" ht="15.75" customHeight="1">
      <c r="A12" s="8"/>
      <c r="B12" s="7"/>
      <c r="C12" s="8"/>
      <c r="D12" s="146"/>
      <c r="E12" s="144"/>
      <c r="F12" s="147"/>
      <c r="G12" s="5"/>
      <c r="H12" s="5"/>
      <c r="I12" s="5"/>
      <c r="J12" s="31" t="str">
        <f t="shared" si="0"/>
        <v/>
      </c>
      <c r="K12" s="339" t="str">
        <f t="shared" si="1"/>
        <v/>
      </c>
      <c r="L12" s="7"/>
    </row>
    <row r="13" spans="1:17" ht="15.75" customHeight="1">
      <c r="A13" s="8"/>
      <c r="B13" s="7"/>
      <c r="C13" s="8"/>
      <c r="D13" s="146"/>
      <c r="E13" s="144"/>
      <c r="F13" s="147"/>
      <c r="G13" s="5"/>
      <c r="H13" s="5"/>
      <c r="I13" s="5"/>
      <c r="J13" s="31" t="str">
        <f t="shared" si="0"/>
        <v/>
      </c>
      <c r="K13" s="339" t="str">
        <f t="shared" si="1"/>
        <v/>
      </c>
      <c r="L13" s="7"/>
    </row>
    <row r="14" spans="1:17" ht="15.75" customHeight="1">
      <c r="A14" s="8"/>
      <c r="B14" s="7"/>
      <c r="C14" s="8"/>
      <c r="D14" s="146"/>
      <c r="E14" s="144"/>
      <c r="F14" s="147"/>
      <c r="G14" s="5"/>
      <c r="H14" s="5"/>
      <c r="I14" s="5"/>
      <c r="J14" s="31" t="str">
        <f t="shared" si="0"/>
        <v/>
      </c>
      <c r="K14" s="339" t="str">
        <f t="shared" si="1"/>
        <v/>
      </c>
      <c r="L14" s="7"/>
    </row>
    <row r="15" spans="1:17" ht="15.75" customHeight="1">
      <c r="A15" s="8"/>
      <c r="B15" s="7"/>
      <c r="C15" s="8"/>
      <c r="D15" s="146"/>
      <c r="E15" s="144"/>
      <c r="F15" s="147"/>
      <c r="G15" s="5"/>
      <c r="H15" s="5"/>
      <c r="I15" s="5"/>
      <c r="J15" s="31" t="str">
        <f t="shared" si="0"/>
        <v/>
      </c>
      <c r="K15" s="339" t="str">
        <f t="shared" si="1"/>
        <v/>
      </c>
      <c r="L15" s="7"/>
    </row>
    <row r="16" spans="1:17" ht="15.75" customHeight="1">
      <c r="A16" s="8"/>
      <c r="B16" s="7"/>
      <c r="C16" s="8"/>
      <c r="D16" s="146"/>
      <c r="E16" s="144"/>
      <c r="F16" s="147"/>
      <c r="G16" s="5"/>
      <c r="H16" s="5"/>
      <c r="I16" s="5"/>
      <c r="J16" s="31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4"/>
      <c r="F17" s="147"/>
      <c r="G17" s="5"/>
      <c r="H17" s="5"/>
      <c r="I17" s="5"/>
      <c r="J17" s="31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4"/>
      <c r="F18" s="147"/>
      <c r="G18" s="5"/>
      <c r="H18" s="5"/>
      <c r="I18" s="5"/>
      <c r="J18" s="31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4"/>
      <c r="F19" s="147"/>
      <c r="G19" s="5"/>
      <c r="H19" s="5"/>
      <c r="I19" s="5"/>
      <c r="J19" s="31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4"/>
      <c r="F20" s="147"/>
      <c r="G20" s="5"/>
      <c r="H20" s="5"/>
      <c r="I20" s="5"/>
      <c r="J20" s="31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4"/>
      <c r="F21" s="147"/>
      <c r="G21" s="5"/>
      <c r="H21" s="5"/>
      <c r="I21" s="5"/>
      <c r="J21" s="31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4"/>
      <c r="F22" s="147"/>
      <c r="G22" s="5"/>
      <c r="H22" s="5"/>
      <c r="I22" s="5"/>
      <c r="J22" s="31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4"/>
      <c r="F23" s="147"/>
      <c r="G23" s="5"/>
      <c r="H23" s="5"/>
      <c r="I23" s="5"/>
      <c r="J23" s="31" t="str">
        <f t="shared" si="0"/>
        <v/>
      </c>
      <c r="K23" s="339" t="str">
        <f t="shared" si="1"/>
        <v/>
      </c>
      <c r="L23" s="7"/>
    </row>
    <row r="24" spans="1:12" ht="15.75" customHeight="1">
      <c r="A24" s="8"/>
      <c r="B24" s="7"/>
      <c r="C24" s="8"/>
      <c r="D24" s="146"/>
      <c r="E24" s="144"/>
      <c r="F24" s="147"/>
      <c r="G24" s="5"/>
      <c r="H24" s="5"/>
      <c r="I24" s="5"/>
      <c r="J24" s="31" t="str">
        <f t="shared" si="0"/>
        <v/>
      </c>
      <c r="K24" s="339" t="str">
        <f t="shared" si="1"/>
        <v/>
      </c>
      <c r="L24" s="7"/>
    </row>
    <row r="25" spans="1:12" ht="15.75" customHeight="1">
      <c r="A25" s="8"/>
      <c r="B25" s="7"/>
      <c r="C25" s="8"/>
      <c r="D25" s="146"/>
      <c r="E25" s="144"/>
      <c r="F25" s="147"/>
      <c r="G25" s="5"/>
      <c r="H25" s="5"/>
      <c r="I25" s="5"/>
      <c r="J25" s="31" t="str">
        <f t="shared" si="0"/>
        <v/>
      </c>
      <c r="K25" s="339" t="str">
        <f t="shared" si="1"/>
        <v/>
      </c>
      <c r="L25" s="7"/>
    </row>
    <row r="26" spans="1:12" ht="15.75" customHeight="1">
      <c r="A26" s="420" t="s">
        <v>534</v>
      </c>
      <c r="B26" s="421"/>
      <c r="C26" s="30"/>
      <c r="D26" s="232"/>
      <c r="E26" s="30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/>
      <c r="I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6" s="31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4"/>
      <c r="F27" s="147"/>
      <c r="G27" s="5"/>
      <c r="H27" s="5"/>
      <c r="I27" s="5"/>
      <c r="J27" s="28" t="str">
        <f t="shared" si="0"/>
        <v/>
      </c>
      <c r="K27" s="339" t="str">
        <f t="shared" si="1"/>
        <v/>
      </c>
      <c r="L27" s="7"/>
    </row>
    <row r="28" spans="1:12" ht="15.75" hidden="1" customHeight="1">
      <c r="A28" s="8"/>
      <c r="B28" s="7"/>
      <c r="C28" s="8"/>
      <c r="D28" s="146"/>
      <c r="E28" s="144"/>
      <c r="F28" s="147"/>
      <c r="G28" s="5"/>
      <c r="H28" s="5"/>
      <c r="I28" s="5"/>
      <c r="J28" s="28" t="str">
        <f t="shared" si="0"/>
        <v/>
      </c>
      <c r="K28" s="339" t="str">
        <f t="shared" si="1"/>
        <v/>
      </c>
      <c r="L28" s="7"/>
    </row>
    <row r="29" spans="1:12" ht="15.75" hidden="1" customHeight="1">
      <c r="A29" s="8"/>
      <c r="B29" s="7"/>
      <c r="C29" s="8"/>
      <c r="D29" s="146"/>
      <c r="E29" s="144"/>
      <c r="F29" s="147"/>
      <c r="G29" s="5"/>
      <c r="H29" s="5"/>
      <c r="I29" s="5"/>
      <c r="J29" s="28" t="str">
        <f t="shared" si="0"/>
        <v/>
      </c>
      <c r="K29" s="339" t="str">
        <f t="shared" si="1"/>
        <v/>
      </c>
      <c r="L29" s="7"/>
    </row>
    <row r="30" spans="1:12" ht="15.75" hidden="1" customHeight="1">
      <c r="A30" s="8"/>
      <c r="B30" s="7"/>
      <c r="C30" s="8"/>
      <c r="D30" s="146"/>
      <c r="E30" s="144"/>
      <c r="F30" s="147"/>
      <c r="G30" s="5"/>
      <c r="H30" s="5"/>
      <c r="I30" s="5"/>
      <c r="J30" s="28" t="str">
        <f t="shared" si="0"/>
        <v/>
      </c>
      <c r="K30" s="339" t="str">
        <f t="shared" si="1"/>
        <v/>
      </c>
      <c r="L30" s="7"/>
    </row>
    <row r="31" spans="1:12" ht="15.75" hidden="1" customHeight="1">
      <c r="A31" s="8"/>
      <c r="B31" s="7"/>
      <c r="C31" s="8"/>
      <c r="D31" s="146"/>
      <c r="E31" s="144"/>
      <c r="F31" s="147"/>
      <c r="G31" s="5"/>
      <c r="H31" s="5"/>
      <c r="I31" s="5"/>
      <c r="J31" s="28" t="str">
        <f t="shared" si="0"/>
        <v/>
      </c>
      <c r="K31" s="339" t="str">
        <f t="shared" si="1"/>
        <v/>
      </c>
      <c r="L31" s="7"/>
    </row>
    <row r="32" spans="1:12" ht="15.75" hidden="1" customHeight="1">
      <c r="A32" s="8"/>
      <c r="B32" s="7"/>
      <c r="C32" s="8"/>
      <c r="D32" s="146"/>
      <c r="E32" s="144"/>
      <c r="F32" s="147"/>
      <c r="G32" s="5"/>
      <c r="H32" s="5"/>
      <c r="I32" s="5"/>
      <c r="J32" s="28" t="str">
        <f t="shared" si="0"/>
        <v/>
      </c>
      <c r="K32" s="339" t="str">
        <f t="shared" si="1"/>
        <v/>
      </c>
      <c r="L32" s="7"/>
    </row>
    <row r="33" spans="1:12" ht="15.75" hidden="1" customHeight="1">
      <c r="A33" s="8"/>
      <c r="B33" s="7"/>
      <c r="C33" s="8"/>
      <c r="D33" s="146"/>
      <c r="E33" s="144"/>
      <c r="F33" s="147"/>
      <c r="G33" s="5"/>
      <c r="H33" s="5"/>
      <c r="I33" s="5"/>
      <c r="J33" s="28" t="str">
        <f t="shared" si="0"/>
        <v/>
      </c>
      <c r="K33" s="339" t="str">
        <f t="shared" si="1"/>
        <v/>
      </c>
      <c r="L33" s="7"/>
    </row>
    <row r="34" spans="1:12" ht="15.75" hidden="1" customHeight="1">
      <c r="A34" s="8"/>
      <c r="B34" s="7"/>
      <c r="C34" s="8"/>
      <c r="D34" s="146"/>
      <c r="E34" s="144"/>
      <c r="F34" s="147"/>
      <c r="G34" s="5"/>
      <c r="H34" s="5"/>
      <c r="I34" s="5"/>
      <c r="J34" s="28" t="str">
        <f t="shared" si="0"/>
        <v/>
      </c>
      <c r="K34" s="339" t="str">
        <f t="shared" si="1"/>
        <v/>
      </c>
      <c r="L34" s="7"/>
    </row>
    <row r="35" spans="1:12" ht="15.75" hidden="1" customHeight="1">
      <c r="A35" s="8"/>
      <c r="B35" s="7"/>
      <c r="C35" s="8"/>
      <c r="D35" s="146"/>
      <c r="E35" s="144"/>
      <c r="F35" s="147"/>
      <c r="G35" s="5"/>
      <c r="H35" s="5"/>
      <c r="I35" s="5"/>
      <c r="J35" s="28" t="str">
        <f t="shared" si="0"/>
        <v/>
      </c>
      <c r="K35" s="339" t="str">
        <f t="shared" si="1"/>
        <v/>
      </c>
      <c r="L35" s="7"/>
    </row>
    <row r="36" spans="1:12" ht="15.75" hidden="1" customHeight="1">
      <c r="A36" s="8"/>
      <c r="B36" s="7"/>
      <c r="C36" s="8"/>
      <c r="D36" s="146"/>
      <c r="E36" s="144"/>
      <c r="F36" s="147"/>
      <c r="G36" s="5"/>
      <c r="H36" s="5"/>
      <c r="I36" s="5"/>
      <c r="J36" s="28" t="str">
        <f t="shared" si="0"/>
        <v/>
      </c>
      <c r="K36" s="339" t="str">
        <f t="shared" si="1"/>
        <v/>
      </c>
      <c r="L36" s="7"/>
    </row>
    <row r="37" spans="1:12" ht="15.75" hidden="1" customHeight="1">
      <c r="A37" s="8"/>
      <c r="B37" s="7"/>
      <c r="C37" s="8"/>
      <c r="D37" s="146"/>
      <c r="E37" s="144"/>
      <c r="F37" s="147"/>
      <c r="G37" s="5"/>
      <c r="H37" s="5"/>
      <c r="I37" s="5"/>
      <c r="J37" s="28" t="str">
        <f t="shared" si="0"/>
        <v/>
      </c>
      <c r="K37" s="339" t="str">
        <f t="shared" si="1"/>
        <v/>
      </c>
      <c r="L37" s="7"/>
    </row>
    <row r="38" spans="1:12" ht="15.75" hidden="1" customHeight="1">
      <c r="A38" s="8"/>
      <c r="B38" s="7"/>
      <c r="C38" s="8"/>
      <c r="D38" s="146"/>
      <c r="E38" s="144"/>
      <c r="F38" s="147"/>
      <c r="G38" s="5"/>
      <c r="H38" s="5"/>
      <c r="I38" s="5"/>
      <c r="J38" s="28" t="str">
        <f t="shared" si="0"/>
        <v/>
      </c>
      <c r="K38" s="339" t="str">
        <f t="shared" si="1"/>
        <v/>
      </c>
      <c r="L38" s="7"/>
    </row>
    <row r="39" spans="1:12" ht="15.75" hidden="1" customHeight="1">
      <c r="A39" s="8"/>
      <c r="B39" s="7"/>
      <c r="C39" s="8"/>
      <c r="D39" s="146"/>
      <c r="E39" s="144"/>
      <c r="F39" s="147"/>
      <c r="G39" s="5"/>
      <c r="H39" s="5"/>
      <c r="I39" s="5"/>
      <c r="J39" s="28" t="str">
        <f t="shared" si="0"/>
        <v/>
      </c>
      <c r="K39" s="339" t="str">
        <f t="shared" si="1"/>
        <v/>
      </c>
      <c r="L39" s="7"/>
    </row>
    <row r="40" spans="1:12" ht="15.75" hidden="1" customHeight="1">
      <c r="A40" s="8"/>
      <c r="B40" s="7"/>
      <c r="C40" s="8"/>
      <c r="D40" s="146"/>
      <c r="E40" s="144"/>
      <c r="F40" s="147"/>
      <c r="G40" s="5"/>
      <c r="H40" s="5"/>
      <c r="I40" s="5"/>
      <c r="J40" s="28" t="str">
        <f t="shared" si="0"/>
        <v/>
      </c>
      <c r="K40" s="339" t="str">
        <f t="shared" si="1"/>
        <v/>
      </c>
      <c r="L40" s="7"/>
    </row>
    <row r="41" spans="1:12" ht="15.75" hidden="1" customHeight="1">
      <c r="A41" s="8"/>
      <c r="B41" s="7"/>
      <c r="C41" s="8"/>
      <c r="D41" s="146"/>
      <c r="E41" s="144"/>
      <c r="F41" s="147"/>
      <c r="G41" s="5"/>
      <c r="H41" s="5"/>
      <c r="I41" s="5"/>
      <c r="J41" s="28" t="str">
        <f t="shared" si="0"/>
        <v/>
      </c>
      <c r="K41" s="339" t="str">
        <f t="shared" si="1"/>
        <v/>
      </c>
      <c r="L41" s="7"/>
    </row>
    <row r="42" spans="1:12" ht="15.75" hidden="1" customHeight="1">
      <c r="A42" s="8"/>
      <c r="B42" s="7"/>
      <c r="C42" s="8"/>
      <c r="D42" s="146"/>
      <c r="E42" s="144"/>
      <c r="F42" s="147"/>
      <c r="G42" s="5"/>
      <c r="H42" s="5"/>
      <c r="I42" s="5"/>
      <c r="J42" s="28" t="str">
        <f t="shared" si="0"/>
        <v/>
      </c>
      <c r="K42" s="339" t="str">
        <f t="shared" si="1"/>
        <v/>
      </c>
      <c r="L42" s="7"/>
    </row>
    <row r="43" spans="1:12" ht="15.75" hidden="1" customHeight="1">
      <c r="A43" s="8"/>
      <c r="B43" s="7"/>
      <c r="C43" s="8"/>
      <c r="D43" s="146"/>
      <c r="E43" s="144"/>
      <c r="F43" s="147"/>
      <c r="G43" s="5"/>
      <c r="H43" s="5"/>
      <c r="I43" s="5"/>
      <c r="J43" s="28" t="str">
        <f t="shared" si="0"/>
        <v/>
      </c>
      <c r="K43" s="339" t="str">
        <f t="shared" si="1"/>
        <v/>
      </c>
      <c r="L43" s="7"/>
    </row>
    <row r="44" spans="1:12" ht="15.75" hidden="1" customHeight="1">
      <c r="A44" s="8"/>
      <c r="B44" s="7"/>
      <c r="C44" s="8"/>
      <c r="D44" s="146"/>
      <c r="E44" s="144"/>
      <c r="F44" s="147"/>
      <c r="G44" s="5"/>
      <c r="H44" s="5"/>
      <c r="I44" s="5"/>
      <c r="J44" s="28" t="str">
        <f t="shared" si="0"/>
        <v/>
      </c>
      <c r="K44" s="339" t="str">
        <f t="shared" si="1"/>
        <v/>
      </c>
      <c r="L44" s="7"/>
    </row>
    <row r="45" spans="1:12" ht="15.75" hidden="1" customHeight="1">
      <c r="A45" s="8"/>
      <c r="B45" s="7"/>
      <c r="C45" s="8"/>
      <c r="D45" s="146"/>
      <c r="E45" s="144"/>
      <c r="F45" s="147"/>
      <c r="G45" s="5"/>
      <c r="H45" s="5"/>
      <c r="I45" s="5"/>
      <c r="J45" s="28" t="str">
        <f t="shared" si="0"/>
        <v/>
      </c>
      <c r="K45" s="339" t="str">
        <f t="shared" si="1"/>
        <v/>
      </c>
      <c r="L45" s="7"/>
    </row>
    <row r="46" spans="1:12" ht="15.75" hidden="1" customHeight="1">
      <c r="A46" s="8"/>
      <c r="B46" s="7"/>
      <c r="C46" s="8"/>
      <c r="D46" s="146"/>
      <c r="E46" s="144"/>
      <c r="F46" s="147"/>
      <c r="G46" s="5"/>
      <c r="H46" s="5"/>
      <c r="I46" s="5"/>
      <c r="J46" s="28" t="str">
        <f t="shared" si="0"/>
        <v/>
      </c>
      <c r="K46" s="339" t="str">
        <f t="shared" si="1"/>
        <v/>
      </c>
      <c r="L46" s="7"/>
    </row>
  </sheetData>
  <mergeCells count="6">
    <mergeCell ref="A26:B26"/>
    <mergeCell ref="A1:L1"/>
    <mergeCell ref="A2:L2"/>
    <mergeCell ref="M5:O5"/>
    <mergeCell ref="P5:P6"/>
    <mergeCell ref="Q5:Q6"/>
  </mergeCells>
  <phoneticPr fontId="52" type="noConversion"/>
  <printOptions horizontalCentered="1" verticalCentered="1"/>
  <pageMargins left="1.0236220472440944" right="0.70866141732283472" top="0.26" bottom="0.69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&amp;R&amp;"宋体,常规"&amp;10表3-2-3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1041400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3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DD4D-B838-441C-B93C-4109FB90904B}">
  <sheetPr codeName="Sheet92">
    <pageSetUpPr fitToPage="1"/>
  </sheetPr>
  <dimension ref="A1:Q46"/>
  <sheetViews>
    <sheetView zoomScaleNormal="100" workbookViewId="0">
      <selection activeCell="P5" sqref="P5:Q6"/>
    </sheetView>
  </sheetViews>
  <sheetFormatPr baseColWidth="10" defaultColWidth="9" defaultRowHeight="15.75" customHeight="1"/>
  <cols>
    <col min="1" max="1" width="5.6640625" style="81" customWidth="1"/>
    <col min="2" max="2" width="15.1640625" style="81" customWidth="1"/>
    <col min="3" max="3" width="11.6640625" style="81" customWidth="1"/>
    <col min="4" max="4" width="8" style="81" customWidth="1"/>
    <col min="5" max="5" width="7.5" style="81" customWidth="1"/>
    <col min="6" max="6" width="9.1640625" style="81" customWidth="1"/>
    <col min="7" max="7" width="9" style="81"/>
    <col min="8" max="9" width="12.6640625" style="81" customWidth="1"/>
    <col min="10" max="10" width="8.6640625" style="340" customWidth="1"/>
    <col min="11" max="11" width="9.6640625" style="135" customWidth="1"/>
    <col min="12" max="12" width="8.1640625" style="81" customWidth="1"/>
    <col min="13" max="13" width="8" style="81" customWidth="1"/>
    <col min="14" max="14" width="5.1640625" style="81" customWidth="1"/>
    <col min="15" max="15" width="6.33203125" style="81" customWidth="1"/>
    <col min="16" max="16" width="11.33203125" style="81" customWidth="1"/>
    <col min="17" max="17" width="8.33203125" style="81" customWidth="1"/>
    <col min="18" max="16384" width="9" style="81"/>
  </cols>
  <sheetData>
    <row r="1" spans="1:17" s="80" customFormat="1" ht="30" customHeight="1">
      <c r="A1" s="374" t="s">
        <v>974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</row>
    <row r="3" spans="1:17" ht="14.25" customHeight="1">
      <c r="A3" s="40"/>
      <c r="B3" s="40"/>
      <c r="C3" s="40"/>
      <c r="D3" s="40"/>
      <c r="E3" s="40"/>
      <c r="F3" s="40"/>
      <c r="G3" s="40"/>
      <c r="H3" s="171"/>
      <c r="I3" s="171"/>
      <c r="J3" s="131"/>
      <c r="K3" s="172"/>
      <c r="L3" s="178"/>
    </row>
    <row r="4" spans="1:17" ht="14.25" customHeight="1">
      <c r="A4" s="40"/>
      <c r="B4" s="40"/>
      <c r="C4" s="40"/>
      <c r="D4" s="40"/>
      <c r="E4" s="40"/>
      <c r="F4" s="40"/>
      <c r="G4" s="40"/>
      <c r="H4" s="171"/>
      <c r="I4" s="171"/>
      <c r="J4" s="131"/>
      <c r="K4" s="36"/>
      <c r="L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218"/>
      <c r="K5" s="173"/>
      <c r="L5" s="122"/>
      <c r="M5" s="441" t="s">
        <v>707</v>
      </c>
      <c r="N5" s="441" t="s">
        <v>597</v>
      </c>
      <c r="O5" s="441" t="s">
        <v>940</v>
      </c>
      <c r="P5" s="425" t="s">
        <v>598</v>
      </c>
      <c r="Q5" s="425" t="s">
        <v>599</v>
      </c>
    </row>
    <row r="6" spans="1:17" s="101" customFormat="1" ht="20.75" customHeight="1">
      <c r="A6" s="45" t="s">
        <v>7</v>
      </c>
      <c r="B6" s="45" t="s">
        <v>28</v>
      </c>
      <c r="C6" s="45" t="s">
        <v>188</v>
      </c>
      <c r="D6" s="45" t="s">
        <v>30</v>
      </c>
      <c r="E6" s="188" t="s">
        <v>189</v>
      </c>
      <c r="F6" s="188" t="s">
        <v>107</v>
      </c>
      <c r="G6" s="188" t="s">
        <v>335</v>
      </c>
      <c r="H6" s="188" t="s">
        <v>117</v>
      </c>
      <c r="I6" s="45" t="s">
        <v>0</v>
      </c>
      <c r="J6" s="341" t="s">
        <v>1</v>
      </c>
      <c r="K6" s="175" t="s">
        <v>479</v>
      </c>
      <c r="L6" s="45" t="s">
        <v>39</v>
      </c>
      <c r="M6" s="442"/>
      <c r="N6" s="443"/>
      <c r="O6" s="443"/>
      <c r="P6" s="426"/>
      <c r="Q6" s="426"/>
    </row>
    <row r="7" spans="1:17" ht="15.75" customHeight="1">
      <c r="A7" s="8"/>
      <c r="B7" s="7"/>
      <c r="C7" s="8"/>
      <c r="D7" s="146"/>
      <c r="E7" s="8"/>
      <c r="F7" s="5"/>
      <c r="G7" s="5"/>
      <c r="H7" s="5"/>
      <c r="I7" s="5"/>
      <c r="J7" s="339" t="str">
        <f>IF(ISERROR(I7-H7),"",IF(I7=0,"",I7-H7))</f>
        <v/>
      </c>
      <c r="K7" s="31" t="str">
        <f>IF(ISERROR(I7-H7),"",IF(I7=0,"",IF(J7="",0,ROUND(J7*100/H7,2))))</f>
        <v/>
      </c>
      <c r="L7" s="7"/>
    </row>
    <row r="8" spans="1:17" ht="15.75" customHeight="1">
      <c r="A8" s="8"/>
      <c r="B8" s="7"/>
      <c r="C8" s="8"/>
      <c r="D8" s="146"/>
      <c r="E8" s="8"/>
      <c r="F8" s="5"/>
      <c r="G8" s="5"/>
      <c r="H8" s="5"/>
      <c r="I8" s="5"/>
      <c r="J8" s="339" t="str">
        <f t="shared" ref="J8:J26" si="0">IF(ISERROR(I8-H8),"",IF(I8=0,"",I8-H8))</f>
        <v/>
      </c>
      <c r="K8" s="31" t="str">
        <f t="shared" ref="K8:K26" si="1">IF(ISERROR(I8-H8),"",IF(I8=0,"",IF(J8="",0,ROUND(J8*100/H8,2))))</f>
        <v/>
      </c>
      <c r="L8" s="7"/>
    </row>
    <row r="9" spans="1:17" ht="15.75" customHeight="1">
      <c r="A9" s="8"/>
      <c r="B9" s="7"/>
      <c r="C9" s="8"/>
      <c r="D9" s="146"/>
      <c r="E9" s="8"/>
      <c r="F9" s="5"/>
      <c r="G9" s="5"/>
      <c r="H9" s="5"/>
      <c r="I9" s="5"/>
      <c r="J9" s="339" t="str">
        <f t="shared" si="0"/>
        <v/>
      </c>
      <c r="K9" s="31" t="str">
        <f t="shared" si="1"/>
        <v/>
      </c>
      <c r="L9" s="7"/>
    </row>
    <row r="10" spans="1:17" ht="15.75" customHeight="1">
      <c r="A10" s="8"/>
      <c r="B10" s="7"/>
      <c r="C10" s="8"/>
      <c r="D10" s="146"/>
      <c r="E10" s="8"/>
      <c r="F10" s="5"/>
      <c r="G10" s="5"/>
      <c r="H10" s="5"/>
      <c r="I10" s="5"/>
      <c r="J10" s="339" t="str">
        <f t="shared" si="0"/>
        <v/>
      </c>
      <c r="K10" s="31" t="str">
        <f t="shared" si="1"/>
        <v/>
      </c>
      <c r="L10" s="7"/>
    </row>
    <row r="11" spans="1:17" ht="15.75" customHeight="1">
      <c r="A11" s="8"/>
      <c r="B11" s="7"/>
      <c r="C11" s="8"/>
      <c r="D11" s="146"/>
      <c r="E11" s="8"/>
      <c r="F11" s="5"/>
      <c r="G11" s="5"/>
      <c r="H11" s="5"/>
      <c r="I11" s="5"/>
      <c r="J11" s="339" t="str">
        <f t="shared" si="0"/>
        <v/>
      </c>
      <c r="K11" s="31" t="str">
        <f t="shared" si="1"/>
        <v/>
      </c>
      <c r="L11" s="7"/>
    </row>
    <row r="12" spans="1:17" ht="15.75" customHeight="1">
      <c r="A12" s="8"/>
      <c r="B12" s="7"/>
      <c r="C12" s="8"/>
      <c r="D12" s="146"/>
      <c r="E12" s="8"/>
      <c r="F12" s="5"/>
      <c r="G12" s="5"/>
      <c r="H12" s="5"/>
      <c r="I12" s="5"/>
      <c r="J12" s="339" t="str">
        <f t="shared" si="0"/>
        <v/>
      </c>
      <c r="K12" s="31" t="str">
        <f t="shared" si="1"/>
        <v/>
      </c>
      <c r="L12" s="7"/>
    </row>
    <row r="13" spans="1:17" ht="15.75" customHeight="1">
      <c r="A13" s="8"/>
      <c r="B13" s="7"/>
      <c r="C13" s="8"/>
      <c r="D13" s="146"/>
      <c r="E13" s="8"/>
      <c r="F13" s="5"/>
      <c r="G13" s="5"/>
      <c r="H13" s="5"/>
      <c r="I13" s="5"/>
      <c r="J13" s="339" t="str">
        <f t="shared" si="0"/>
        <v/>
      </c>
      <c r="K13" s="31" t="str">
        <f t="shared" si="1"/>
        <v/>
      </c>
      <c r="L13" s="7"/>
    </row>
    <row r="14" spans="1:17" ht="15.75" customHeight="1">
      <c r="A14" s="8"/>
      <c r="B14" s="7"/>
      <c r="C14" s="8"/>
      <c r="D14" s="146"/>
      <c r="E14" s="8"/>
      <c r="F14" s="5"/>
      <c r="G14" s="5"/>
      <c r="H14" s="5"/>
      <c r="I14" s="5"/>
      <c r="J14" s="339" t="str">
        <f t="shared" si="0"/>
        <v/>
      </c>
      <c r="K14" s="31" t="str">
        <f t="shared" si="1"/>
        <v/>
      </c>
      <c r="L14" s="7"/>
    </row>
    <row r="15" spans="1:17" ht="15.75" customHeight="1">
      <c r="A15" s="8"/>
      <c r="B15" s="7"/>
      <c r="C15" s="8"/>
      <c r="D15" s="146"/>
      <c r="E15" s="8"/>
      <c r="F15" s="5"/>
      <c r="G15" s="5"/>
      <c r="H15" s="5"/>
      <c r="I15" s="5"/>
      <c r="J15" s="339" t="str">
        <f t="shared" si="0"/>
        <v/>
      </c>
      <c r="K15" s="31" t="str">
        <f t="shared" si="1"/>
        <v/>
      </c>
      <c r="L15" s="7"/>
    </row>
    <row r="16" spans="1:17" ht="15.75" customHeight="1">
      <c r="A16" s="8"/>
      <c r="B16" s="7"/>
      <c r="C16" s="8"/>
      <c r="D16" s="146"/>
      <c r="E16" s="8"/>
      <c r="F16" s="5"/>
      <c r="G16" s="5"/>
      <c r="H16" s="5"/>
      <c r="I16" s="5"/>
      <c r="J16" s="339" t="str">
        <f t="shared" si="0"/>
        <v/>
      </c>
      <c r="K16" s="31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8"/>
      <c r="F17" s="5"/>
      <c r="G17" s="5"/>
      <c r="H17" s="5"/>
      <c r="I17" s="5"/>
      <c r="J17" s="339" t="str">
        <f t="shared" si="0"/>
        <v/>
      </c>
      <c r="K17" s="31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8"/>
      <c r="F18" s="5"/>
      <c r="G18" s="5"/>
      <c r="H18" s="5"/>
      <c r="I18" s="5"/>
      <c r="J18" s="339" t="str">
        <f t="shared" si="0"/>
        <v/>
      </c>
      <c r="K18" s="31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8"/>
      <c r="F19" s="5"/>
      <c r="G19" s="5"/>
      <c r="H19" s="5"/>
      <c r="I19" s="5"/>
      <c r="J19" s="339" t="str">
        <f t="shared" si="0"/>
        <v/>
      </c>
      <c r="K19" s="31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8"/>
      <c r="F20" s="5"/>
      <c r="G20" s="5"/>
      <c r="H20" s="5"/>
      <c r="I20" s="5"/>
      <c r="J20" s="339" t="str">
        <f t="shared" si="0"/>
        <v/>
      </c>
      <c r="K20" s="31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8"/>
      <c r="F21" s="5"/>
      <c r="G21" s="5"/>
      <c r="H21" s="5"/>
      <c r="I21" s="5"/>
      <c r="J21" s="339" t="str">
        <f t="shared" si="0"/>
        <v/>
      </c>
      <c r="K21" s="31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8"/>
      <c r="F22" s="5"/>
      <c r="G22" s="5"/>
      <c r="H22" s="5"/>
      <c r="I22" s="5"/>
      <c r="J22" s="339" t="str">
        <f t="shared" si="0"/>
        <v/>
      </c>
      <c r="K22" s="31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8"/>
      <c r="F23" s="5"/>
      <c r="G23" s="5"/>
      <c r="H23" s="5"/>
      <c r="I23" s="5"/>
      <c r="J23" s="339" t="str">
        <f t="shared" si="0"/>
        <v/>
      </c>
      <c r="K23" s="31" t="str">
        <f t="shared" si="1"/>
        <v/>
      </c>
      <c r="L23" s="7"/>
    </row>
    <row r="24" spans="1:12" ht="15.75" customHeight="1">
      <c r="A24" s="420" t="s">
        <v>534</v>
      </c>
      <c r="B24" s="421"/>
      <c r="C24" s="244"/>
      <c r="D24" s="235"/>
      <c r="E24" s="235"/>
      <c r="F24" s="246" t="s">
        <v>37</v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339" t="str">
        <f t="shared" ca="1" si="0"/>
        <v/>
      </c>
      <c r="K24" s="31" t="str">
        <f t="shared" ca="1" si="1"/>
        <v/>
      </c>
      <c r="L24" s="234"/>
    </row>
    <row r="25" spans="1:12" ht="15.75" customHeight="1">
      <c r="A25" s="439" t="s">
        <v>432</v>
      </c>
      <c r="B25" s="440"/>
      <c r="C25" s="244"/>
      <c r="D25" s="235"/>
      <c r="E25" s="235"/>
      <c r="F25" s="246" t="s">
        <v>37</v>
      </c>
      <c r="G25" s="233"/>
      <c r="H25" s="233"/>
      <c r="I25" s="233"/>
      <c r="J25" s="339"/>
      <c r="K25" s="31"/>
      <c r="L25" s="234"/>
    </row>
    <row r="26" spans="1:12" ht="15.75" customHeight="1">
      <c r="A26" s="420" t="s">
        <v>534</v>
      </c>
      <c r="B26" s="421"/>
      <c r="C26" s="244"/>
      <c r="D26" s="235"/>
      <c r="E26" s="235"/>
      <c r="F26" s="246" t="s">
        <v>37</v>
      </c>
      <c r="G26" s="233" t="str">
        <f ca="1">IF(G25="",G24,G24-G25)</f>
        <v/>
      </c>
      <c r="H26" s="233" t="str">
        <f ca="1">IF(H25="",H24,H24-H25)</f>
        <v/>
      </c>
      <c r="I26" s="233" t="str">
        <f ca="1">IF(I25="",I24,I24-I25)</f>
        <v/>
      </c>
      <c r="J26" s="339" t="str">
        <f t="shared" ca="1" si="0"/>
        <v/>
      </c>
      <c r="K26" s="31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8"/>
      <c r="F27" s="5"/>
      <c r="G27" s="5"/>
      <c r="H27" s="5"/>
      <c r="I27" s="5"/>
      <c r="J27" s="339" t="str">
        <f>IF(ISERROR(I27-H27),"",IF(I27=0,"",I27-H27))</f>
        <v/>
      </c>
      <c r="K27" s="28" t="str">
        <f>IF(ISERROR(I27-H27),"",IF(I27=0,"",IF(J27="",0,ROUND(J27*100/H27,2))))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8"/>
      <c r="F28" s="5"/>
      <c r="G28" s="5"/>
      <c r="H28" s="5"/>
      <c r="I28" s="5"/>
      <c r="J28" s="339" t="str">
        <f t="shared" ref="J28:J46" si="2">IF(ISERROR(I28-H28),"",IF(I28=0,"",I28-H28))</f>
        <v/>
      </c>
      <c r="K28" s="28" t="str">
        <f t="shared" ref="K28:K46" si="3">IF(ISERROR(I28-H28),"",IF(I28=0,"",IF(J28="",0,ROUND(J28*100/H28,2))))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8"/>
      <c r="F29" s="5"/>
      <c r="G29" s="5"/>
      <c r="H29" s="5"/>
      <c r="I29" s="5"/>
      <c r="J29" s="339" t="str">
        <f t="shared" si="2"/>
        <v/>
      </c>
      <c r="K29" s="28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8"/>
      <c r="F30" s="5"/>
      <c r="G30" s="5"/>
      <c r="H30" s="5"/>
      <c r="I30" s="5"/>
      <c r="J30" s="339" t="str">
        <f t="shared" si="2"/>
        <v/>
      </c>
      <c r="K30" s="28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8"/>
      <c r="F31" s="5"/>
      <c r="G31" s="5"/>
      <c r="H31" s="5"/>
      <c r="I31" s="5"/>
      <c r="J31" s="339" t="str">
        <f t="shared" si="2"/>
        <v/>
      </c>
      <c r="K31" s="28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8"/>
      <c r="F32" s="5"/>
      <c r="G32" s="5"/>
      <c r="H32" s="5"/>
      <c r="I32" s="5"/>
      <c r="J32" s="339" t="str">
        <f t="shared" si="2"/>
        <v/>
      </c>
      <c r="K32" s="28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8"/>
      <c r="F33" s="5"/>
      <c r="G33" s="5"/>
      <c r="H33" s="5"/>
      <c r="I33" s="5"/>
      <c r="J33" s="339" t="str">
        <f t="shared" si="2"/>
        <v/>
      </c>
      <c r="K33" s="28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8"/>
      <c r="F34" s="5"/>
      <c r="G34" s="5"/>
      <c r="H34" s="5"/>
      <c r="I34" s="5"/>
      <c r="J34" s="339" t="str">
        <f t="shared" si="2"/>
        <v/>
      </c>
      <c r="K34" s="28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8"/>
      <c r="F35" s="5"/>
      <c r="G35" s="5"/>
      <c r="H35" s="5"/>
      <c r="I35" s="5"/>
      <c r="J35" s="339" t="str">
        <f t="shared" si="2"/>
        <v/>
      </c>
      <c r="K35" s="28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8"/>
      <c r="F36" s="5"/>
      <c r="G36" s="5"/>
      <c r="H36" s="5"/>
      <c r="I36" s="5"/>
      <c r="J36" s="339" t="str">
        <f t="shared" si="2"/>
        <v/>
      </c>
      <c r="K36" s="28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8"/>
      <c r="F37" s="5"/>
      <c r="G37" s="5"/>
      <c r="H37" s="5"/>
      <c r="I37" s="5"/>
      <c r="J37" s="339" t="str">
        <f t="shared" si="2"/>
        <v/>
      </c>
      <c r="K37" s="28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8"/>
      <c r="F38" s="5"/>
      <c r="G38" s="5"/>
      <c r="H38" s="5"/>
      <c r="I38" s="5"/>
      <c r="J38" s="339" t="str">
        <f t="shared" si="2"/>
        <v/>
      </c>
      <c r="K38" s="28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8"/>
      <c r="F39" s="5"/>
      <c r="G39" s="5"/>
      <c r="H39" s="5"/>
      <c r="I39" s="5"/>
      <c r="J39" s="339" t="str">
        <f t="shared" si="2"/>
        <v/>
      </c>
      <c r="K39" s="28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8"/>
      <c r="F40" s="5"/>
      <c r="G40" s="5"/>
      <c r="H40" s="5"/>
      <c r="I40" s="5"/>
      <c r="J40" s="339" t="str">
        <f t="shared" si="2"/>
        <v/>
      </c>
      <c r="K40" s="28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8"/>
      <c r="F41" s="5"/>
      <c r="G41" s="5"/>
      <c r="H41" s="5"/>
      <c r="I41" s="5"/>
      <c r="J41" s="339" t="str">
        <f t="shared" si="2"/>
        <v/>
      </c>
      <c r="K41" s="28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8"/>
      <c r="F42" s="5"/>
      <c r="G42" s="5"/>
      <c r="H42" s="5"/>
      <c r="I42" s="5"/>
      <c r="J42" s="339" t="str">
        <f t="shared" si="2"/>
        <v/>
      </c>
      <c r="K42" s="28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8"/>
      <c r="F43" s="5"/>
      <c r="G43" s="5"/>
      <c r="H43" s="5"/>
      <c r="I43" s="5"/>
      <c r="J43" s="339" t="str">
        <f t="shared" si="2"/>
        <v/>
      </c>
      <c r="K43" s="28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8"/>
      <c r="F44" s="5"/>
      <c r="G44" s="5"/>
      <c r="H44" s="5"/>
      <c r="I44" s="5"/>
      <c r="J44" s="339" t="str">
        <f t="shared" si="2"/>
        <v/>
      </c>
      <c r="K44" s="28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8"/>
      <c r="F45" s="5"/>
      <c r="G45" s="5"/>
      <c r="H45" s="5"/>
      <c r="I45" s="5"/>
      <c r="J45" s="339" t="str">
        <f t="shared" si="2"/>
        <v/>
      </c>
      <c r="K45" s="28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8"/>
      <c r="F46" s="5"/>
      <c r="G46" s="5"/>
      <c r="H46" s="5"/>
      <c r="I46" s="5"/>
      <c r="J46" s="339" t="str">
        <f t="shared" si="2"/>
        <v/>
      </c>
      <c r="K46" s="28" t="str">
        <f t="shared" si="3"/>
        <v/>
      </c>
      <c r="L46" s="7"/>
    </row>
  </sheetData>
  <mergeCells count="10">
    <mergeCell ref="Q5:Q6"/>
    <mergeCell ref="A24:B24"/>
    <mergeCell ref="A25:B25"/>
    <mergeCell ref="A26:B26"/>
    <mergeCell ref="A1:L1"/>
    <mergeCell ref="A2:L2"/>
    <mergeCell ref="M5:M6"/>
    <mergeCell ref="N5:N6"/>
    <mergeCell ref="O5:O6"/>
    <mergeCell ref="P5:P6"/>
  </mergeCells>
  <phoneticPr fontId="52" type="noConversion"/>
  <printOptions horizontalCentered="1" verticalCentered="1"/>
  <pageMargins left="1.1023622047244095" right="0.82677165354330717" top="0.62992125984251968" bottom="1.0629921259842521" header="1.7716535433070868" footer="1.1811023622047245"/>
  <pageSetup paperSize="9" scale="99" fitToHeight="0" orientation="landscape" blackAndWhite="1" horizontalDpi="1200" verticalDpi="1200" r:id="rId1"/>
  <headerFooter scaleWithDoc="0">
    <oddHeader>&amp;R&amp;"宋体,常规"&amp;10表3-3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63500</xdr:colOff>
                    <xdr:row>2</xdr:row>
                    <xdr:rowOff>0</xdr:rowOff>
                  </from>
                  <to>
                    <xdr:col>3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78DCF-C07C-455D-B6D3-7C8D15167C61}">
  <sheetPr codeName="Sheet16">
    <pageSetUpPr fitToPage="1"/>
  </sheetPr>
  <dimension ref="A1:Q46"/>
  <sheetViews>
    <sheetView workbookViewId="0">
      <pane ySplit="6" topLeftCell="A16" activePane="bottomLeft" state="frozen"/>
      <selection activeCell="F17" sqref="F17"/>
      <selection pane="bottomLeft" activeCell="D6" sqref="D6"/>
    </sheetView>
  </sheetViews>
  <sheetFormatPr baseColWidth="10" defaultColWidth="9" defaultRowHeight="15.75" customHeight="1"/>
  <cols>
    <col min="1" max="1" width="5.1640625" style="81" customWidth="1"/>
    <col min="2" max="2" width="18.5" style="81" customWidth="1"/>
    <col min="3" max="4" width="7.6640625" style="81" customWidth="1"/>
    <col min="5" max="5" width="12.1640625" style="81" customWidth="1"/>
    <col min="6" max="7" width="12.5" style="138" customWidth="1"/>
    <col min="8" max="8" width="11.5" style="139" customWidth="1"/>
    <col min="9" max="9" width="11.6640625" style="340" customWidth="1"/>
    <col min="10" max="10" width="14.6640625" style="81" customWidth="1"/>
    <col min="11" max="12" width="6.1640625" style="81" customWidth="1"/>
    <col min="13" max="13" width="4.83203125" style="81" customWidth="1"/>
    <col min="14" max="14" width="4.5" style="81" customWidth="1"/>
    <col min="15" max="15" width="5" style="81" customWidth="1"/>
    <col min="16" max="16" width="8.33203125" style="81" customWidth="1"/>
    <col min="17" max="17" width="7.33203125" style="81" customWidth="1"/>
    <col min="18" max="16384" width="9" style="81"/>
  </cols>
  <sheetData>
    <row r="1" spans="1:17" s="80" customFormat="1" ht="30" customHeight="1">
      <c r="A1" s="374" t="s">
        <v>975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</row>
    <row r="3" spans="1:17" ht="14.25" customHeight="1">
      <c r="A3" s="40"/>
      <c r="B3" s="40"/>
      <c r="C3" s="40"/>
      <c r="D3" s="40"/>
      <c r="E3" s="40"/>
      <c r="F3" s="40"/>
      <c r="G3" s="171"/>
      <c r="H3" s="172"/>
      <c r="I3" s="131"/>
      <c r="J3" s="178"/>
    </row>
    <row r="4" spans="1:17" ht="14.25" customHeight="1">
      <c r="A4" s="40"/>
      <c r="B4" s="40"/>
      <c r="C4" s="40"/>
      <c r="D4" s="40"/>
      <c r="E4" s="40"/>
      <c r="F4" s="40"/>
      <c r="G4" s="171"/>
      <c r="H4" s="172"/>
      <c r="I4" s="131"/>
      <c r="J4" s="178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179"/>
      <c r="G5" s="179"/>
      <c r="H5" s="180"/>
      <c r="I5" s="218"/>
      <c r="J5" s="122"/>
      <c r="K5" s="445" t="s">
        <v>687</v>
      </c>
      <c r="L5" s="445" t="s">
        <v>688</v>
      </c>
      <c r="M5" s="445" t="s">
        <v>689</v>
      </c>
      <c r="N5" s="445" t="s">
        <v>690</v>
      </c>
      <c r="O5" s="445" t="s">
        <v>597</v>
      </c>
      <c r="P5" s="445" t="s">
        <v>598</v>
      </c>
      <c r="Q5" s="445" t="s">
        <v>599</v>
      </c>
    </row>
    <row r="6" spans="1:17" s="101" customFormat="1" ht="15.75" customHeight="1">
      <c r="A6" s="45" t="s">
        <v>7</v>
      </c>
      <c r="B6" s="45" t="s">
        <v>51</v>
      </c>
      <c r="C6" s="45" t="s">
        <v>114</v>
      </c>
      <c r="D6" s="45" t="s">
        <v>115</v>
      </c>
      <c r="E6" s="174" t="s">
        <v>483</v>
      </c>
      <c r="F6" s="45" t="s">
        <v>117</v>
      </c>
      <c r="G6" s="181" t="s">
        <v>0</v>
      </c>
      <c r="H6" s="182" t="s">
        <v>1</v>
      </c>
      <c r="I6" s="341" t="s">
        <v>479</v>
      </c>
      <c r="J6" s="45" t="s">
        <v>39</v>
      </c>
      <c r="K6" s="446"/>
      <c r="L6" s="446" t="s">
        <v>688</v>
      </c>
      <c r="M6" s="446" t="s">
        <v>689</v>
      </c>
      <c r="N6" s="446" t="s">
        <v>690</v>
      </c>
      <c r="O6" s="446" t="s">
        <v>597</v>
      </c>
      <c r="P6" s="446" t="s">
        <v>598</v>
      </c>
      <c r="Q6" s="446" t="s">
        <v>599</v>
      </c>
    </row>
    <row r="7" spans="1:17" ht="15.75" customHeight="1">
      <c r="A7" s="8"/>
      <c r="B7" s="7"/>
      <c r="C7" s="146"/>
      <c r="D7" s="146"/>
      <c r="E7" s="157"/>
      <c r="F7" s="5"/>
      <c r="G7" s="5"/>
      <c r="H7" s="28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7" ht="15.75" customHeight="1">
      <c r="A8" s="8"/>
      <c r="B8" s="7"/>
      <c r="C8" s="146"/>
      <c r="D8" s="146"/>
      <c r="E8" s="158"/>
      <c r="F8" s="5"/>
      <c r="G8" s="5"/>
      <c r="H8" s="28" t="str">
        <f t="shared" ref="H8:H24" si="0">IF(ISERROR(G8-F8),"",IF(G8=0,"",G8-F8))</f>
        <v/>
      </c>
      <c r="I8" s="339" t="str">
        <f t="shared" ref="I8:I24" si="1">IF(ISERROR(G8-F8),"",IF(G8=0,"",IF(H8="",0,ROUND(H8*100/F8,2))))</f>
        <v/>
      </c>
      <c r="J8" s="7"/>
    </row>
    <row r="9" spans="1:17" ht="15.75" customHeight="1">
      <c r="A9" s="8"/>
      <c r="B9" s="7"/>
      <c r="C9" s="146"/>
      <c r="D9" s="146"/>
      <c r="E9" s="158"/>
      <c r="F9" s="5"/>
      <c r="G9" s="5"/>
      <c r="H9" s="28" t="str">
        <f t="shared" si="0"/>
        <v/>
      </c>
      <c r="I9" s="339" t="str">
        <f t="shared" si="1"/>
        <v/>
      </c>
      <c r="J9" s="7"/>
    </row>
    <row r="10" spans="1:17" ht="15.75" customHeight="1">
      <c r="A10" s="8"/>
      <c r="B10" s="7"/>
      <c r="C10" s="146"/>
      <c r="D10" s="146"/>
      <c r="E10" s="158"/>
      <c r="F10" s="5"/>
      <c r="G10" s="5"/>
      <c r="H10" s="28" t="str">
        <f t="shared" si="0"/>
        <v/>
      </c>
      <c r="I10" s="339" t="str">
        <f t="shared" si="1"/>
        <v/>
      </c>
      <c r="J10" s="7"/>
    </row>
    <row r="11" spans="1:17" ht="15.75" customHeight="1">
      <c r="A11" s="8"/>
      <c r="B11" s="7"/>
      <c r="C11" s="146"/>
      <c r="D11" s="146"/>
      <c r="E11" s="158"/>
      <c r="F11" s="5"/>
      <c r="G11" s="5"/>
      <c r="H11" s="28" t="str">
        <f t="shared" si="0"/>
        <v/>
      </c>
      <c r="I11" s="339" t="str">
        <f t="shared" si="1"/>
        <v/>
      </c>
      <c r="J11" s="7"/>
    </row>
    <row r="12" spans="1:17" ht="15.75" customHeight="1">
      <c r="A12" s="8"/>
      <c r="B12" s="7"/>
      <c r="C12" s="146"/>
      <c r="D12" s="146"/>
      <c r="E12" s="158"/>
      <c r="F12" s="5"/>
      <c r="G12" s="5"/>
      <c r="H12" s="28" t="str">
        <f t="shared" si="0"/>
        <v/>
      </c>
      <c r="I12" s="339" t="str">
        <f t="shared" si="1"/>
        <v/>
      </c>
      <c r="J12" s="7"/>
    </row>
    <row r="13" spans="1:17" ht="15.75" customHeight="1">
      <c r="A13" s="8"/>
      <c r="B13" s="7"/>
      <c r="C13" s="146"/>
      <c r="D13" s="146"/>
      <c r="E13" s="158"/>
      <c r="F13" s="5"/>
      <c r="G13" s="5"/>
      <c r="H13" s="31" t="str">
        <f t="shared" si="0"/>
        <v/>
      </c>
      <c r="I13" s="339" t="str">
        <f t="shared" si="1"/>
        <v/>
      </c>
      <c r="J13" s="7"/>
    </row>
    <row r="14" spans="1:17" ht="15.75" customHeight="1">
      <c r="A14" s="8"/>
      <c r="B14" s="7"/>
      <c r="C14" s="146"/>
      <c r="D14" s="146"/>
      <c r="E14" s="158"/>
      <c r="F14" s="5"/>
      <c r="G14" s="5"/>
      <c r="H14" s="31" t="str">
        <f t="shared" si="0"/>
        <v/>
      </c>
      <c r="I14" s="339" t="str">
        <f t="shared" si="1"/>
        <v/>
      </c>
      <c r="J14" s="7"/>
    </row>
    <row r="15" spans="1:17" ht="15.75" customHeight="1">
      <c r="A15" s="8"/>
      <c r="B15" s="7"/>
      <c r="C15" s="146"/>
      <c r="D15" s="146"/>
      <c r="E15" s="158"/>
      <c r="F15" s="5"/>
      <c r="G15" s="5"/>
      <c r="H15" s="31" t="str">
        <f t="shared" si="0"/>
        <v/>
      </c>
      <c r="I15" s="339" t="str">
        <f t="shared" si="1"/>
        <v/>
      </c>
      <c r="J15" s="7"/>
    </row>
    <row r="16" spans="1:17" ht="15.75" customHeight="1">
      <c r="A16" s="8"/>
      <c r="B16" s="7"/>
      <c r="C16" s="146"/>
      <c r="D16" s="146"/>
      <c r="E16" s="158"/>
      <c r="F16" s="5"/>
      <c r="G16" s="5"/>
      <c r="H16" s="31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146"/>
      <c r="D17" s="146"/>
      <c r="E17" s="158"/>
      <c r="F17" s="5"/>
      <c r="G17" s="5"/>
      <c r="H17" s="31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146"/>
      <c r="D18" s="146"/>
      <c r="E18" s="158"/>
      <c r="F18" s="5"/>
      <c r="G18" s="5"/>
      <c r="H18" s="31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146"/>
      <c r="D19" s="146"/>
      <c r="E19" s="158"/>
      <c r="F19" s="5"/>
      <c r="G19" s="5"/>
      <c r="H19" s="31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146"/>
      <c r="D20" s="146"/>
      <c r="E20" s="158"/>
      <c r="F20" s="5"/>
      <c r="G20" s="5"/>
      <c r="H20" s="31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146"/>
      <c r="D21" s="146"/>
      <c r="E21" s="158"/>
      <c r="F21" s="5"/>
      <c r="G21" s="5"/>
      <c r="H21" s="31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146"/>
      <c r="D22" s="146"/>
      <c r="E22" s="158"/>
      <c r="F22" s="5"/>
      <c r="G22" s="5"/>
      <c r="H22" s="31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146"/>
      <c r="D23" s="146"/>
      <c r="E23" s="158"/>
      <c r="F23" s="5"/>
      <c r="G23" s="5"/>
      <c r="H23" s="31" t="str">
        <f t="shared" si="0"/>
        <v/>
      </c>
      <c r="I23" s="339" t="str">
        <f t="shared" si="1"/>
        <v/>
      </c>
      <c r="J23" s="7"/>
    </row>
    <row r="24" spans="1:10" ht="15.75" customHeight="1">
      <c r="A24" s="420" t="s">
        <v>534</v>
      </c>
      <c r="B24" s="421"/>
      <c r="C24" s="237"/>
      <c r="D24" s="232"/>
      <c r="E24" s="238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t="shared" ca="1" si="0"/>
        <v/>
      </c>
      <c r="I24" s="339" t="str">
        <f t="shared" ca="1" si="1"/>
        <v/>
      </c>
      <c r="J24" s="234"/>
    </row>
    <row r="25" spans="1:10" ht="15.75" customHeight="1">
      <c r="A25" s="379" t="s">
        <v>440</v>
      </c>
      <c r="B25" s="444"/>
      <c r="C25" s="237"/>
      <c r="D25" s="232"/>
      <c r="E25" s="238"/>
      <c r="F25" s="31"/>
      <c r="G25" s="31"/>
      <c r="H25" s="31"/>
      <c r="I25" s="339"/>
      <c r="J25" s="234"/>
    </row>
    <row r="26" spans="1:10" ht="15.75" customHeight="1">
      <c r="A26" s="420" t="s">
        <v>534</v>
      </c>
      <c r="B26" s="421"/>
      <c r="C26" s="30"/>
      <c r="D26" s="30"/>
      <c r="E26" s="236"/>
      <c r="F26" s="31" t="str">
        <f ca="1">IF(F25="",F24,F24-F25)</f>
        <v/>
      </c>
      <c r="G26" s="31" t="str">
        <f ca="1">IF(G25="",G24,G24-G25)</f>
        <v/>
      </c>
      <c r="H26" s="31" t="str">
        <f ca="1">IF(ISERROR(G26-F26),"",IF(G26=0,"",G26-F26))</f>
        <v/>
      </c>
      <c r="I26" s="339" t="str">
        <f ca="1">IF(ISERROR(G26-F26),"",IF(G26=0,"",IF(H26="",0,ROUND(H26*100/F26,2))))</f>
        <v/>
      </c>
      <c r="J26" s="234"/>
    </row>
    <row r="27" spans="1:10" ht="15.75" hidden="1" customHeight="1">
      <c r="A27" s="8"/>
      <c r="B27" s="7"/>
      <c r="C27" s="146"/>
      <c r="D27" s="146"/>
      <c r="E27" s="158"/>
      <c r="F27" s="5"/>
      <c r="G27" s="5"/>
      <c r="H27" s="28" t="str">
        <f t="shared" ref="H27:H46" si="2">IF(ISERROR(G27-F27),"",IF(G27=0,"",G27-F27))</f>
        <v/>
      </c>
      <c r="I27" s="339" t="str">
        <f t="shared" ref="I27:I46" si="3">IF(ISERROR(G27-F27),"",IF(G27=0,"",IF(H27="",0,ROUND(H27*100/F27,2))))</f>
        <v/>
      </c>
      <c r="J27" s="7"/>
    </row>
    <row r="28" spans="1:10" ht="15.75" hidden="1" customHeight="1">
      <c r="A28" s="8"/>
      <c r="B28" s="7"/>
      <c r="C28" s="146"/>
      <c r="D28" s="146"/>
      <c r="E28" s="158"/>
      <c r="F28" s="5"/>
      <c r="G28" s="5"/>
      <c r="H28" s="28" t="str">
        <f t="shared" si="2"/>
        <v/>
      </c>
      <c r="I28" s="339" t="str">
        <f t="shared" si="3"/>
        <v/>
      </c>
      <c r="J28" s="7"/>
    </row>
    <row r="29" spans="1:10" ht="15.75" hidden="1" customHeight="1">
      <c r="A29" s="8"/>
      <c r="B29" s="7"/>
      <c r="C29" s="146"/>
      <c r="D29" s="146"/>
      <c r="E29" s="158"/>
      <c r="F29" s="5"/>
      <c r="G29" s="5"/>
      <c r="H29" s="28" t="str">
        <f t="shared" si="2"/>
        <v/>
      </c>
      <c r="I29" s="339" t="str">
        <f t="shared" si="3"/>
        <v/>
      </c>
      <c r="J29" s="7"/>
    </row>
    <row r="30" spans="1:10" ht="15.75" hidden="1" customHeight="1">
      <c r="A30" s="8"/>
      <c r="B30" s="7"/>
      <c r="C30" s="146"/>
      <c r="D30" s="146"/>
      <c r="E30" s="158"/>
      <c r="F30" s="5"/>
      <c r="G30" s="5"/>
      <c r="H30" s="28" t="str">
        <f t="shared" si="2"/>
        <v/>
      </c>
      <c r="I30" s="339" t="str">
        <f t="shared" si="3"/>
        <v/>
      </c>
      <c r="J30" s="7"/>
    </row>
    <row r="31" spans="1:10" ht="15.75" hidden="1" customHeight="1">
      <c r="A31" s="8"/>
      <c r="B31" s="7"/>
      <c r="C31" s="146"/>
      <c r="D31" s="146"/>
      <c r="E31" s="158"/>
      <c r="F31" s="5"/>
      <c r="G31" s="5"/>
      <c r="H31" s="28" t="str">
        <f t="shared" si="2"/>
        <v/>
      </c>
      <c r="I31" s="339" t="str">
        <f t="shared" si="3"/>
        <v/>
      </c>
      <c r="J31" s="7"/>
    </row>
    <row r="32" spans="1:10" ht="15.75" hidden="1" customHeight="1">
      <c r="A32" s="8"/>
      <c r="B32" s="7"/>
      <c r="C32" s="146"/>
      <c r="D32" s="146"/>
      <c r="E32" s="158"/>
      <c r="F32" s="5"/>
      <c r="G32" s="5"/>
      <c r="H32" s="28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146"/>
      <c r="D33" s="146"/>
      <c r="E33" s="158"/>
      <c r="F33" s="5"/>
      <c r="G33" s="5"/>
      <c r="H33" s="28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146"/>
      <c r="D34" s="146"/>
      <c r="E34" s="158"/>
      <c r="F34" s="5"/>
      <c r="G34" s="5"/>
      <c r="H34" s="28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146"/>
      <c r="D35" s="146"/>
      <c r="E35" s="158"/>
      <c r="F35" s="5"/>
      <c r="G35" s="5"/>
      <c r="H35" s="28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146"/>
      <c r="D36" s="146"/>
      <c r="E36" s="158"/>
      <c r="F36" s="5"/>
      <c r="G36" s="5"/>
      <c r="H36" s="28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146"/>
      <c r="D37" s="146"/>
      <c r="E37" s="158"/>
      <c r="F37" s="5"/>
      <c r="G37" s="5"/>
      <c r="H37" s="28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146"/>
      <c r="D38" s="146"/>
      <c r="E38" s="158"/>
      <c r="F38" s="5"/>
      <c r="G38" s="5"/>
      <c r="H38" s="28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146"/>
      <c r="D39" s="146"/>
      <c r="E39" s="158"/>
      <c r="F39" s="5"/>
      <c r="G39" s="5"/>
      <c r="H39" s="28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146"/>
      <c r="D40" s="146"/>
      <c r="E40" s="158"/>
      <c r="F40" s="5"/>
      <c r="G40" s="5"/>
      <c r="H40" s="28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146"/>
      <c r="D41" s="146"/>
      <c r="E41" s="158"/>
      <c r="F41" s="5"/>
      <c r="G41" s="5"/>
      <c r="H41" s="28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146"/>
      <c r="D42" s="146"/>
      <c r="E42" s="158"/>
      <c r="F42" s="5"/>
      <c r="G42" s="5"/>
      <c r="H42" s="28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146"/>
      <c r="D43" s="146"/>
      <c r="E43" s="158"/>
      <c r="F43" s="5"/>
      <c r="G43" s="5"/>
      <c r="H43" s="28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146"/>
      <c r="D44" s="146"/>
      <c r="E44" s="158"/>
      <c r="F44" s="5"/>
      <c r="G44" s="5"/>
      <c r="H44" s="28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146"/>
      <c r="D45" s="146"/>
      <c r="E45" s="158"/>
      <c r="F45" s="5"/>
      <c r="G45" s="5"/>
      <c r="H45" s="28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146"/>
      <c r="D46" s="146"/>
      <c r="E46" s="158"/>
      <c r="F46" s="5"/>
      <c r="G46" s="5"/>
      <c r="H46" s="28" t="str">
        <f t="shared" si="2"/>
        <v/>
      </c>
      <c r="I46" s="339" t="str">
        <f t="shared" si="3"/>
        <v/>
      </c>
      <c r="J46" s="7"/>
    </row>
  </sheetData>
  <mergeCells count="12">
    <mergeCell ref="Q5:Q6"/>
    <mergeCell ref="A26:B26"/>
    <mergeCell ref="L5:L6"/>
    <mergeCell ref="M5:M6"/>
    <mergeCell ref="N5:N6"/>
    <mergeCell ref="O5:O6"/>
    <mergeCell ref="P5:P6"/>
    <mergeCell ref="A1:J1"/>
    <mergeCell ref="A2:J2"/>
    <mergeCell ref="A25:B25"/>
    <mergeCell ref="A24:B24"/>
    <mergeCell ref="K5:K6"/>
  </mergeCells>
  <phoneticPr fontId="6" type="noConversion"/>
  <printOptions horizontalCentered="1" verticalCentered="1"/>
  <pageMargins left="1.3385826771653544" right="0.82677165354330717" top="0.4" bottom="0.8267716535433071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&amp;R&amp;"宋体,常规"&amp;10表3-3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3</xdr:col>
                    <xdr:colOff>279400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B017E-C8B6-47E0-9629-5A1B602E3299}">
  <sheetPr codeName="Sheet17">
    <pageSetUpPr fitToPage="1"/>
  </sheetPr>
  <dimension ref="A1:R47"/>
  <sheetViews>
    <sheetView zoomScaleNormal="100" workbookViewId="0">
      <pane ySplit="6" topLeftCell="A7" activePane="bottomLeft" state="frozen"/>
      <selection activeCell="F17" sqref="F17"/>
      <selection pane="bottomLeft" activeCell="C7" sqref="C7"/>
    </sheetView>
  </sheetViews>
  <sheetFormatPr baseColWidth="10" defaultColWidth="9" defaultRowHeight="15.75" customHeight="1"/>
  <cols>
    <col min="1" max="1" width="5.1640625" style="81" customWidth="1"/>
    <col min="2" max="2" width="18.6640625" style="81" customWidth="1"/>
    <col min="3" max="3" width="10.5" style="81" customWidth="1"/>
    <col min="4" max="4" width="10.1640625" style="81" customWidth="1"/>
    <col min="5" max="5" width="8.6640625" style="81" customWidth="1"/>
    <col min="6" max="6" width="13.6640625" style="81" customWidth="1"/>
    <col min="7" max="7" width="9.5" style="81" customWidth="1"/>
    <col min="8" max="8" width="13.6640625" style="135" customWidth="1"/>
    <col min="9" max="9" width="10.6640625" style="340" customWidth="1"/>
    <col min="10" max="10" width="10.5" style="81" customWidth="1"/>
    <col min="11" max="11" width="6.33203125" style="81" customWidth="1"/>
    <col min="12" max="12" width="7.6640625" style="81" customWidth="1"/>
    <col min="13" max="13" width="10.1640625" style="81" customWidth="1"/>
    <col min="14" max="14" width="6.6640625" style="81" customWidth="1"/>
    <col min="15" max="15" width="4.5" style="81" customWidth="1"/>
    <col min="16" max="16" width="6" style="81" customWidth="1"/>
    <col min="17" max="17" width="7.1640625" style="81" customWidth="1"/>
    <col min="18" max="18" width="8" style="81" customWidth="1"/>
    <col min="19" max="16384" width="9" style="81"/>
  </cols>
  <sheetData>
    <row r="1" spans="1:18" s="80" customFormat="1" ht="30" customHeight="1">
      <c r="A1" s="374" t="s">
        <v>976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</row>
    <row r="3" spans="1:18" ht="14.25" customHeight="1">
      <c r="A3" s="40"/>
      <c r="B3" s="40"/>
      <c r="C3" s="40"/>
      <c r="D3" s="40"/>
      <c r="E3" s="40"/>
      <c r="F3" s="171"/>
      <c r="G3" s="171"/>
      <c r="H3" s="172"/>
      <c r="I3" s="131"/>
      <c r="J3" s="178"/>
    </row>
    <row r="4" spans="1:18" ht="14.25" customHeight="1">
      <c r="A4" s="40"/>
      <c r="B4" s="40"/>
      <c r="C4" s="40"/>
      <c r="D4" s="40"/>
      <c r="E4" s="40"/>
      <c r="F4" s="171"/>
      <c r="G4" s="171"/>
      <c r="H4" s="172"/>
      <c r="I4" s="131"/>
      <c r="J4" s="178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183"/>
      <c r="G5" s="42"/>
      <c r="H5" s="173"/>
      <c r="I5" s="218"/>
      <c r="J5" s="122"/>
      <c r="K5" s="449" t="s">
        <v>691</v>
      </c>
      <c r="L5" s="449"/>
      <c r="M5" s="307" t="s">
        <v>692</v>
      </c>
      <c r="N5" s="308" t="s">
        <v>693</v>
      </c>
      <c r="O5" s="447" t="s">
        <v>597</v>
      </c>
      <c r="P5" s="447" t="s">
        <v>651</v>
      </c>
      <c r="Q5" s="425" t="s">
        <v>598</v>
      </c>
      <c r="R5" s="425" t="s">
        <v>599</v>
      </c>
    </row>
    <row r="6" spans="1:18" s="101" customFormat="1" ht="15.75" customHeight="1">
      <c r="A6" s="45" t="s">
        <v>7</v>
      </c>
      <c r="B6" s="45" t="s">
        <v>34</v>
      </c>
      <c r="C6" s="45" t="s">
        <v>35</v>
      </c>
      <c r="D6" s="45" t="s">
        <v>36</v>
      </c>
      <c r="E6" s="45" t="s">
        <v>136</v>
      </c>
      <c r="F6" s="124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309" t="s">
        <v>694</v>
      </c>
      <c r="L6" s="309" t="s">
        <v>695</v>
      </c>
      <c r="M6" s="310" t="s">
        <v>696</v>
      </c>
      <c r="N6" s="290" t="s">
        <v>697</v>
      </c>
      <c r="O6" s="448"/>
      <c r="P6" s="448"/>
      <c r="Q6" s="426"/>
      <c r="R6" s="426"/>
    </row>
    <row r="7" spans="1:18" ht="15.75" customHeight="1">
      <c r="A7" s="8"/>
      <c r="B7" s="7"/>
      <c r="C7" s="8"/>
      <c r="D7" s="146"/>
      <c r="E7" s="8"/>
      <c r="F7" s="5"/>
      <c r="G7" s="5"/>
      <c r="H7" s="31" t="str">
        <f>IF(ISERROR(G7-F7),"",IF(G7=0,"",G7-F7))</f>
        <v/>
      </c>
      <c r="I7" s="339" t="str">
        <f>IF(ISERROR(G7-F7),"",IF(G7=0,"",IF(H7="",0,ROUND(H7*100/F7,2))))</f>
        <v/>
      </c>
      <c r="J7" s="7"/>
      <c r="K7" s="7"/>
      <c r="L7" s="7"/>
      <c r="M7" s="7"/>
      <c r="N7" s="7"/>
      <c r="O7" s="7"/>
      <c r="P7" s="7"/>
      <c r="Q7" s="7"/>
      <c r="R7" s="7"/>
    </row>
    <row r="8" spans="1:18" ht="15.75" customHeight="1">
      <c r="A8" s="8"/>
      <c r="B8" s="7"/>
      <c r="C8" s="8"/>
      <c r="D8" s="146"/>
      <c r="E8" s="8"/>
      <c r="F8" s="5"/>
      <c r="G8" s="5"/>
      <c r="H8" s="31" t="str">
        <f t="shared" ref="H8:H26" si="0">IF(ISERROR(G8-F8),"",IF(G8=0,"",G8-F8))</f>
        <v/>
      </c>
      <c r="I8" s="339" t="str">
        <f t="shared" ref="I8:I26" si="1">IF(ISERROR(G8-F8),"",IF(G8=0,"",IF(H8="",0,ROUND(H8*100/F8,2))))</f>
        <v/>
      </c>
      <c r="J8" s="7"/>
      <c r="K8" s="7"/>
      <c r="L8" s="7"/>
      <c r="M8" s="7"/>
      <c r="N8" s="7"/>
      <c r="O8" s="7"/>
      <c r="P8" s="7"/>
      <c r="Q8" s="7"/>
      <c r="R8" s="7"/>
    </row>
    <row r="9" spans="1:18" ht="15.75" customHeight="1">
      <c r="A9" s="8"/>
      <c r="B9" s="7"/>
      <c r="C9" s="8"/>
      <c r="D9" s="146"/>
      <c r="E9" s="8"/>
      <c r="F9" s="5"/>
      <c r="G9" s="5"/>
      <c r="H9" s="31" t="str">
        <f t="shared" si="0"/>
        <v/>
      </c>
      <c r="I9" s="339" t="str">
        <f t="shared" si="1"/>
        <v/>
      </c>
      <c r="J9" s="7"/>
      <c r="K9" s="7"/>
      <c r="L9" s="7"/>
      <c r="M9" s="7"/>
      <c r="N9" s="7"/>
      <c r="O9" s="7"/>
      <c r="P9" s="7"/>
      <c r="Q9" s="7"/>
      <c r="R9" s="7"/>
    </row>
    <row r="10" spans="1:18" ht="15.75" customHeight="1">
      <c r="A10" s="8"/>
      <c r="B10" s="7"/>
      <c r="C10" s="8"/>
      <c r="D10" s="146"/>
      <c r="E10" s="8"/>
      <c r="F10" s="5"/>
      <c r="G10" s="5"/>
      <c r="H10" s="31" t="str">
        <f t="shared" si="0"/>
        <v/>
      </c>
      <c r="I10" s="339" t="str">
        <f t="shared" si="1"/>
        <v/>
      </c>
      <c r="J10" s="7"/>
      <c r="K10" s="7"/>
      <c r="L10" s="7"/>
      <c r="M10" s="7"/>
      <c r="N10" s="7"/>
      <c r="O10" s="7"/>
      <c r="P10" s="7"/>
      <c r="Q10" s="7"/>
      <c r="R10" s="7"/>
    </row>
    <row r="11" spans="1:18" ht="15.75" customHeight="1">
      <c r="A11" s="8"/>
      <c r="B11" s="7"/>
      <c r="C11" s="8"/>
      <c r="D11" s="146"/>
      <c r="E11" s="8"/>
      <c r="F11" s="5"/>
      <c r="G11" s="5"/>
      <c r="H11" s="31" t="str">
        <f t="shared" si="0"/>
        <v/>
      </c>
      <c r="I11" s="339" t="str">
        <f t="shared" si="1"/>
        <v/>
      </c>
      <c r="J11" s="7"/>
      <c r="K11" s="7"/>
      <c r="L11" s="7"/>
      <c r="M11" s="7"/>
      <c r="N11" s="7"/>
      <c r="O11" s="7"/>
      <c r="P11" s="7"/>
      <c r="Q11" s="7"/>
      <c r="R11" s="7"/>
    </row>
    <row r="12" spans="1:18" ht="15.75" customHeight="1">
      <c r="A12" s="8"/>
      <c r="B12" s="7"/>
      <c r="C12" s="8"/>
      <c r="D12" s="146"/>
      <c r="E12" s="8"/>
      <c r="F12" s="5"/>
      <c r="G12" s="5"/>
      <c r="H12" s="31" t="str">
        <f t="shared" si="0"/>
        <v/>
      </c>
      <c r="I12" s="339" t="str">
        <f t="shared" si="1"/>
        <v/>
      </c>
      <c r="J12" s="7"/>
      <c r="K12" s="7"/>
      <c r="L12" s="7"/>
      <c r="M12" s="7"/>
      <c r="N12" s="7"/>
      <c r="O12" s="7"/>
      <c r="P12" s="7"/>
      <c r="Q12" s="7"/>
      <c r="R12" s="7"/>
    </row>
    <row r="13" spans="1:18" ht="15.75" customHeight="1">
      <c r="A13" s="8"/>
      <c r="B13" s="7"/>
      <c r="C13" s="8"/>
      <c r="D13" s="146"/>
      <c r="E13" s="8"/>
      <c r="F13" s="5"/>
      <c r="G13" s="5"/>
      <c r="H13" s="31" t="str">
        <f t="shared" si="0"/>
        <v/>
      </c>
      <c r="I13" s="339" t="str">
        <f t="shared" si="1"/>
        <v/>
      </c>
      <c r="J13" s="7"/>
      <c r="K13" s="7"/>
      <c r="L13" s="7"/>
      <c r="M13" s="7"/>
      <c r="N13" s="7"/>
      <c r="O13" s="7"/>
      <c r="P13" s="7"/>
      <c r="Q13" s="7"/>
      <c r="R13" s="7"/>
    </row>
    <row r="14" spans="1:18" ht="15.75" customHeight="1">
      <c r="A14" s="8"/>
      <c r="B14" s="7"/>
      <c r="C14" s="8"/>
      <c r="D14" s="146"/>
      <c r="E14" s="8"/>
      <c r="F14" s="5"/>
      <c r="G14" s="5"/>
      <c r="H14" s="31" t="str">
        <f t="shared" si="0"/>
        <v/>
      </c>
      <c r="I14" s="339" t="str">
        <f t="shared" si="1"/>
        <v/>
      </c>
      <c r="J14" s="7"/>
      <c r="K14" s="7"/>
      <c r="L14" s="7"/>
      <c r="M14" s="7"/>
      <c r="N14" s="7"/>
      <c r="O14" s="7"/>
      <c r="P14" s="7"/>
      <c r="Q14" s="7"/>
      <c r="R14" s="7"/>
    </row>
    <row r="15" spans="1:18" ht="15.75" customHeight="1">
      <c r="A15" s="8"/>
      <c r="B15" s="7"/>
      <c r="C15" s="8"/>
      <c r="D15" s="146"/>
      <c r="E15" s="8"/>
      <c r="F15" s="5"/>
      <c r="G15" s="5"/>
      <c r="H15" s="31" t="str">
        <f t="shared" si="0"/>
        <v/>
      </c>
      <c r="I15" s="339" t="str">
        <f t="shared" si="1"/>
        <v/>
      </c>
      <c r="J15" s="7"/>
      <c r="K15" s="7"/>
      <c r="L15" s="7"/>
      <c r="M15" s="7"/>
      <c r="N15" s="7"/>
      <c r="O15" s="7"/>
      <c r="P15" s="7"/>
      <c r="Q15" s="7"/>
      <c r="R15" s="7"/>
    </row>
    <row r="16" spans="1:18" ht="15.75" customHeight="1">
      <c r="A16" s="8"/>
      <c r="B16" s="7"/>
      <c r="C16" s="8"/>
      <c r="D16" s="146"/>
      <c r="E16" s="8"/>
      <c r="F16" s="5"/>
      <c r="G16" s="5"/>
      <c r="H16" s="31" t="str">
        <f t="shared" si="0"/>
        <v/>
      </c>
      <c r="I16" s="339" t="str">
        <f t="shared" si="1"/>
        <v/>
      </c>
      <c r="J16" s="7"/>
      <c r="K16" s="7"/>
      <c r="L16" s="7"/>
      <c r="M16" s="7"/>
      <c r="N16" s="7"/>
      <c r="O16" s="7"/>
      <c r="P16" s="7"/>
      <c r="Q16" s="7"/>
      <c r="R16" s="7"/>
    </row>
    <row r="17" spans="1:18" ht="15.75" customHeight="1">
      <c r="A17" s="8"/>
      <c r="B17" s="7"/>
      <c r="C17" s="8"/>
      <c r="D17" s="146"/>
      <c r="E17" s="8"/>
      <c r="F17" s="5"/>
      <c r="G17" s="5"/>
      <c r="H17" s="31" t="str">
        <f t="shared" si="0"/>
        <v/>
      </c>
      <c r="I17" s="339" t="str">
        <f t="shared" si="1"/>
        <v/>
      </c>
      <c r="J17" s="7"/>
      <c r="K17" s="7"/>
      <c r="L17" s="7"/>
      <c r="M17" s="7"/>
      <c r="N17" s="7"/>
      <c r="O17" s="7"/>
      <c r="P17" s="7"/>
      <c r="Q17" s="7"/>
      <c r="R17" s="7"/>
    </row>
    <row r="18" spans="1:18" ht="15.75" customHeight="1">
      <c r="A18" s="8"/>
      <c r="B18" s="7"/>
      <c r="C18" s="8"/>
      <c r="D18" s="146"/>
      <c r="E18" s="8"/>
      <c r="F18" s="5"/>
      <c r="G18" s="5"/>
      <c r="H18" s="31" t="str">
        <f t="shared" si="0"/>
        <v/>
      </c>
      <c r="I18" s="339" t="str">
        <f t="shared" si="1"/>
        <v/>
      </c>
      <c r="J18" s="7"/>
      <c r="K18" s="7"/>
      <c r="L18" s="7"/>
      <c r="M18" s="7"/>
      <c r="N18" s="7"/>
      <c r="O18" s="7"/>
      <c r="P18" s="7"/>
      <c r="Q18" s="7"/>
      <c r="R18" s="7"/>
    </row>
    <row r="19" spans="1:18" ht="15.75" customHeight="1">
      <c r="A19" s="8"/>
      <c r="B19" s="7"/>
      <c r="C19" s="8"/>
      <c r="D19" s="146"/>
      <c r="E19" s="8"/>
      <c r="F19" s="5"/>
      <c r="G19" s="5"/>
      <c r="H19" s="31" t="str">
        <f t="shared" si="0"/>
        <v/>
      </c>
      <c r="I19" s="339" t="str">
        <f t="shared" si="1"/>
        <v/>
      </c>
      <c r="J19" s="7"/>
      <c r="K19" s="7"/>
      <c r="L19" s="7"/>
      <c r="M19" s="7"/>
      <c r="N19" s="7"/>
      <c r="O19" s="7"/>
      <c r="P19" s="7"/>
      <c r="Q19" s="7"/>
      <c r="R19" s="7"/>
    </row>
    <row r="20" spans="1:18" ht="15.75" customHeight="1">
      <c r="A20" s="8"/>
      <c r="B20" s="7"/>
      <c r="C20" s="8"/>
      <c r="D20" s="146"/>
      <c r="E20" s="8"/>
      <c r="F20" s="5"/>
      <c r="G20" s="5"/>
      <c r="H20" s="31" t="str">
        <f t="shared" si="0"/>
        <v/>
      </c>
      <c r="I20" s="339" t="str">
        <f t="shared" si="1"/>
        <v/>
      </c>
      <c r="J20" s="7"/>
      <c r="K20" s="7"/>
      <c r="L20" s="7"/>
      <c r="M20" s="7"/>
      <c r="N20" s="7"/>
      <c r="O20" s="7"/>
      <c r="P20" s="7"/>
      <c r="Q20" s="7"/>
      <c r="R20" s="7"/>
    </row>
    <row r="21" spans="1:18" ht="15.75" customHeight="1">
      <c r="A21" s="8"/>
      <c r="B21" s="7"/>
      <c r="C21" s="8"/>
      <c r="D21" s="146"/>
      <c r="E21" s="8"/>
      <c r="F21" s="5"/>
      <c r="G21" s="5"/>
      <c r="H21" s="31" t="str">
        <f t="shared" si="0"/>
        <v/>
      </c>
      <c r="I21" s="339" t="str">
        <f t="shared" si="1"/>
        <v/>
      </c>
      <c r="J21" s="7"/>
      <c r="K21" s="7"/>
      <c r="L21" s="7"/>
      <c r="M21" s="7"/>
      <c r="N21" s="7"/>
      <c r="O21" s="7"/>
      <c r="P21" s="7"/>
      <c r="Q21" s="7"/>
      <c r="R21" s="7"/>
    </row>
    <row r="22" spans="1:18" ht="15.75" customHeight="1">
      <c r="A22" s="8"/>
      <c r="B22" s="7"/>
      <c r="C22" s="8"/>
      <c r="D22" s="146"/>
      <c r="E22" s="8"/>
      <c r="F22" s="5"/>
      <c r="G22" s="5"/>
      <c r="H22" s="31" t="str">
        <f t="shared" si="0"/>
        <v/>
      </c>
      <c r="I22" s="339" t="str">
        <f t="shared" si="1"/>
        <v/>
      </c>
      <c r="J22" s="7"/>
      <c r="K22" s="7"/>
      <c r="L22" s="7"/>
      <c r="M22" s="7"/>
      <c r="N22" s="7"/>
      <c r="O22" s="7"/>
      <c r="P22" s="7"/>
      <c r="Q22" s="7"/>
      <c r="R22" s="7"/>
    </row>
    <row r="23" spans="1:18" ht="15.75" customHeight="1">
      <c r="A23" s="8"/>
      <c r="B23" s="7"/>
      <c r="C23" s="8"/>
      <c r="D23" s="146"/>
      <c r="E23" s="8"/>
      <c r="F23" s="5"/>
      <c r="G23" s="5"/>
      <c r="H23" s="31" t="str">
        <f t="shared" si="0"/>
        <v/>
      </c>
      <c r="I23" s="339" t="str">
        <f t="shared" si="1"/>
        <v/>
      </c>
      <c r="J23" s="7"/>
      <c r="K23" s="7"/>
      <c r="L23" s="7"/>
      <c r="M23" s="7"/>
      <c r="N23" s="7"/>
      <c r="O23" s="7"/>
      <c r="P23" s="7"/>
      <c r="Q23" s="7"/>
      <c r="R23" s="7"/>
    </row>
    <row r="24" spans="1:18" ht="15.75" customHeight="1">
      <c r="A24" s="420" t="s">
        <v>534</v>
      </c>
      <c r="B24" s="421"/>
      <c r="C24" s="237"/>
      <c r="D24" s="232"/>
      <c r="E24" s="237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t="shared" ca="1" si="0"/>
        <v/>
      </c>
      <c r="I24" s="339" t="str">
        <f t="shared" ca="1" si="1"/>
        <v/>
      </c>
      <c r="J24" s="234"/>
      <c r="K24" s="234"/>
      <c r="L24" s="234"/>
      <c r="M24" s="234"/>
      <c r="N24" s="234"/>
      <c r="O24" s="234"/>
      <c r="P24" s="234"/>
      <c r="Q24" s="234"/>
      <c r="R24" s="234"/>
    </row>
    <row r="25" spans="1:18" ht="15.75" customHeight="1">
      <c r="A25" s="379" t="s">
        <v>441</v>
      </c>
      <c r="B25" s="444"/>
      <c r="C25" s="237"/>
      <c r="D25" s="232"/>
      <c r="E25" s="237"/>
      <c r="F25" s="31"/>
      <c r="G25" s="31"/>
      <c r="H25" s="31"/>
      <c r="I25" s="339"/>
      <c r="J25" s="234"/>
      <c r="K25" s="234"/>
      <c r="L25" s="234"/>
      <c r="M25" s="234"/>
      <c r="N25" s="234"/>
      <c r="O25" s="234"/>
      <c r="P25" s="234"/>
      <c r="Q25" s="234"/>
      <c r="R25" s="234"/>
    </row>
    <row r="26" spans="1:18" ht="15.75" customHeight="1">
      <c r="A26" s="420" t="s">
        <v>534</v>
      </c>
      <c r="B26" s="421"/>
      <c r="C26" s="30"/>
      <c r="D26" s="232"/>
      <c r="E26" s="30"/>
      <c r="F26" s="31" t="str">
        <f ca="1">IF(F25="",F24,F24-F25)</f>
        <v/>
      </c>
      <c r="G26" s="31" t="str">
        <f ca="1">IF(G25="",G24,G24-G25)</f>
        <v/>
      </c>
      <c r="H26" s="31" t="str">
        <f t="shared" ca="1" si="0"/>
        <v/>
      </c>
      <c r="I26" s="339" t="str">
        <f t="shared" ca="1" si="1"/>
        <v/>
      </c>
      <c r="J26" s="234"/>
      <c r="K26" s="234"/>
      <c r="L26" s="234"/>
      <c r="M26" s="234"/>
      <c r="N26" s="234"/>
      <c r="O26" s="234"/>
      <c r="P26" s="234"/>
      <c r="Q26" s="234"/>
      <c r="R26" s="234"/>
    </row>
    <row r="27" spans="1:18" ht="15.75" hidden="1" customHeight="1">
      <c r="A27" s="8"/>
      <c r="B27" s="7"/>
      <c r="C27" s="8"/>
      <c r="D27" s="146"/>
      <c r="E27" s="8"/>
      <c r="F27" s="5"/>
      <c r="G27" s="5"/>
      <c r="H27" s="31" t="str">
        <f t="shared" ref="H27:H46" si="2">IF(ISERROR(G27-F27),"",IF(G27=0,"",G27-F27))</f>
        <v/>
      </c>
      <c r="I27" s="339" t="str">
        <f t="shared" ref="I27:I46" si="3">IF(ISERROR(G27-F27),"",IF(G27=0,"",IF(H27="",0,ROUND(H27*100/F27,2))))</f>
        <v/>
      </c>
      <c r="J27" s="7"/>
    </row>
    <row r="28" spans="1:18" ht="15.75" hidden="1" customHeight="1">
      <c r="A28" s="8"/>
      <c r="B28" s="7"/>
      <c r="C28" s="8"/>
      <c r="D28" s="146"/>
      <c r="E28" s="8"/>
      <c r="F28" s="5"/>
      <c r="G28" s="5"/>
      <c r="H28" s="31" t="str">
        <f t="shared" si="2"/>
        <v/>
      </c>
      <c r="I28" s="339" t="str">
        <f t="shared" si="3"/>
        <v/>
      </c>
      <c r="J28" s="7"/>
    </row>
    <row r="29" spans="1:18" ht="15.75" hidden="1" customHeight="1">
      <c r="A29" s="8"/>
      <c r="B29" s="7"/>
      <c r="C29" s="8"/>
      <c r="D29" s="146"/>
      <c r="E29" s="8"/>
      <c r="F29" s="5"/>
      <c r="G29" s="5"/>
      <c r="H29" s="31" t="str">
        <f t="shared" si="2"/>
        <v/>
      </c>
      <c r="I29" s="339" t="str">
        <f t="shared" si="3"/>
        <v/>
      </c>
      <c r="J29" s="7"/>
    </row>
    <row r="30" spans="1:18" ht="15.75" hidden="1" customHeight="1">
      <c r="A30" s="8"/>
      <c r="B30" s="7"/>
      <c r="C30" s="8"/>
      <c r="D30" s="146"/>
      <c r="E30" s="8"/>
      <c r="F30" s="5"/>
      <c r="G30" s="5"/>
      <c r="H30" s="31" t="str">
        <f t="shared" si="2"/>
        <v/>
      </c>
      <c r="I30" s="339" t="str">
        <f t="shared" si="3"/>
        <v/>
      </c>
      <c r="J30" s="7"/>
    </row>
    <row r="31" spans="1:18" ht="15.75" hidden="1" customHeight="1">
      <c r="A31" s="8"/>
      <c r="B31" s="7"/>
      <c r="C31" s="8"/>
      <c r="D31" s="146"/>
      <c r="E31" s="8"/>
      <c r="F31" s="5"/>
      <c r="G31" s="5"/>
      <c r="H31" s="31" t="str">
        <f t="shared" si="2"/>
        <v/>
      </c>
      <c r="I31" s="339" t="str">
        <f t="shared" si="3"/>
        <v/>
      </c>
      <c r="J31" s="7"/>
    </row>
    <row r="32" spans="1:18" ht="15.75" hidden="1" customHeight="1">
      <c r="A32" s="8"/>
      <c r="B32" s="7"/>
      <c r="C32" s="8"/>
      <c r="D32" s="146"/>
      <c r="E32" s="8"/>
      <c r="F32" s="5"/>
      <c r="G32" s="5"/>
      <c r="H32" s="31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8"/>
      <c r="D33" s="146"/>
      <c r="E33" s="8"/>
      <c r="F33" s="5"/>
      <c r="G33" s="5"/>
      <c r="H33" s="31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8"/>
      <c r="D34" s="146"/>
      <c r="E34" s="8"/>
      <c r="F34" s="5"/>
      <c r="G34" s="5"/>
      <c r="H34" s="31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8"/>
      <c r="D35" s="146"/>
      <c r="E35" s="8"/>
      <c r="F35" s="5"/>
      <c r="G35" s="5"/>
      <c r="H35" s="31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8"/>
      <c r="D36" s="146"/>
      <c r="E36" s="8"/>
      <c r="F36" s="5"/>
      <c r="G36" s="5"/>
      <c r="H36" s="31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8"/>
      <c r="D37" s="146"/>
      <c r="E37" s="8"/>
      <c r="F37" s="5"/>
      <c r="G37" s="5"/>
      <c r="H37" s="31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8"/>
      <c r="D38" s="146"/>
      <c r="E38" s="8"/>
      <c r="F38" s="5"/>
      <c r="G38" s="5"/>
      <c r="H38" s="31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8"/>
      <c r="D39" s="146"/>
      <c r="E39" s="8"/>
      <c r="F39" s="5"/>
      <c r="G39" s="5"/>
      <c r="H39" s="31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8"/>
      <c r="D40" s="146"/>
      <c r="E40" s="8"/>
      <c r="F40" s="5"/>
      <c r="G40" s="5"/>
      <c r="H40" s="31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8"/>
      <c r="D41" s="146"/>
      <c r="E41" s="8"/>
      <c r="F41" s="5"/>
      <c r="G41" s="5"/>
      <c r="H41" s="31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8"/>
      <c r="D42" s="146"/>
      <c r="E42" s="8"/>
      <c r="F42" s="5"/>
      <c r="G42" s="5"/>
      <c r="H42" s="31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8"/>
      <c r="D43" s="146"/>
      <c r="E43" s="8"/>
      <c r="F43" s="5"/>
      <c r="G43" s="5"/>
      <c r="H43" s="31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8"/>
      <c r="D44" s="146"/>
      <c r="E44" s="8"/>
      <c r="F44" s="5"/>
      <c r="G44" s="5"/>
      <c r="H44" s="31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8"/>
      <c r="D45" s="146"/>
      <c r="E45" s="8"/>
      <c r="F45" s="5"/>
      <c r="G45" s="5"/>
      <c r="H45" s="31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8"/>
      <c r="D46" s="146"/>
      <c r="E46" s="8"/>
      <c r="F46" s="5"/>
      <c r="G46" s="5"/>
      <c r="H46" s="31" t="str">
        <f t="shared" si="2"/>
        <v/>
      </c>
      <c r="I46" s="339" t="str">
        <f t="shared" si="3"/>
        <v/>
      </c>
      <c r="J46" s="7"/>
    </row>
    <row r="47" spans="1:10" ht="15.75" customHeight="1">
      <c r="H47" s="333"/>
      <c r="I47" s="346"/>
    </row>
  </sheetData>
  <mergeCells count="10">
    <mergeCell ref="A1:J1"/>
    <mergeCell ref="A2:J2"/>
    <mergeCell ref="A24:B24"/>
    <mergeCell ref="A25:B25"/>
    <mergeCell ref="K5:L5"/>
    <mergeCell ref="O5:O6"/>
    <mergeCell ref="P5:P6"/>
    <mergeCell ref="Q5:Q6"/>
    <mergeCell ref="R5:R6"/>
    <mergeCell ref="A26:B26"/>
  </mergeCells>
  <phoneticPr fontId="6" type="noConversion"/>
  <printOptions horizontalCentered="1" verticalCentered="1"/>
  <pageMargins left="1.1417322834645669" right="0.74803149606299213" top="0.43307086614173229" bottom="0.86614173228346458" header="1.7716535433070868" footer="1.1811023622047245"/>
  <pageSetup paperSize="9" scale="70" fitToHeight="0" orientation="landscape" blackAndWhite="1" horizontalDpi="1200" verticalDpi="1200" r:id="rId1"/>
  <headerFooter scaleWithDoc="0">
    <oddHeader>&amp;R&amp;"宋体,常规"&amp;10表3-5
共&amp;N页 第&amp;P页
金额单位：人民币元</oddHeader>
    <oddFooter>&amp;L&amp;10申报单位填表人：_x000D_填表日期：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B04-9E3D-42B7-8C99-0E0E4397ED00}">
  <sheetPr codeName="Sheet20">
    <pageSetUpPr fitToPage="1"/>
  </sheetPr>
  <dimension ref="A1:S46"/>
  <sheetViews>
    <sheetView workbookViewId="0">
      <pane ySplit="6" topLeftCell="A7" activePane="bottomLeft" state="frozen"/>
      <selection activeCell="F17" sqref="F17"/>
      <selection pane="bottomLeft" activeCell="I3" sqref="I1:I65536"/>
    </sheetView>
  </sheetViews>
  <sheetFormatPr baseColWidth="10" defaultColWidth="9" defaultRowHeight="15.75" customHeight="1"/>
  <cols>
    <col min="1" max="1" width="6.5" style="81" customWidth="1"/>
    <col min="2" max="2" width="21.6640625" style="81" customWidth="1"/>
    <col min="3" max="3" width="14.1640625" style="81" customWidth="1"/>
    <col min="4" max="4" width="7.5" style="81" customWidth="1"/>
    <col min="5" max="5" width="9.1640625" style="81" customWidth="1"/>
    <col min="6" max="6" width="13.1640625" style="81" bestFit="1" customWidth="1"/>
    <col min="7" max="7" width="14.1640625" style="81" customWidth="1"/>
    <col min="8" max="8" width="10.6640625" style="135" customWidth="1"/>
    <col min="9" max="9" width="11" style="340" customWidth="1"/>
    <col min="10" max="10" width="10.1640625" style="81" customWidth="1"/>
    <col min="11" max="11" width="4.6640625" style="81" customWidth="1"/>
    <col min="12" max="12" width="6.6640625" style="81" customWidth="1"/>
    <col min="13" max="13" width="9" style="81" customWidth="1"/>
    <col min="14" max="14" width="10" style="81" customWidth="1"/>
    <col min="15" max="15" width="5" style="81" customWidth="1"/>
    <col min="16" max="16" width="11.1640625" style="81" customWidth="1"/>
    <col min="17" max="17" width="6.5" style="81" customWidth="1"/>
    <col min="18" max="18" width="9" style="81"/>
    <col min="19" max="19" width="8.1640625" style="81" customWidth="1"/>
    <col min="20" max="16384" width="9" style="81"/>
  </cols>
  <sheetData>
    <row r="1" spans="1:19" s="80" customFormat="1" ht="30" customHeight="1">
      <c r="A1" s="374" t="s">
        <v>977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</row>
    <row r="3" spans="1:19" ht="14.25" customHeight="1">
      <c r="A3" s="40"/>
      <c r="B3" s="40"/>
      <c r="C3" s="40"/>
      <c r="D3" s="40"/>
      <c r="E3" s="40"/>
      <c r="F3" s="40"/>
      <c r="G3" s="171"/>
      <c r="H3" s="172"/>
      <c r="I3" s="131"/>
      <c r="J3" s="178"/>
    </row>
    <row r="4" spans="1:19" ht="14.25" customHeight="1">
      <c r="A4" s="40"/>
      <c r="B4" s="40"/>
      <c r="C4" s="40"/>
      <c r="D4" s="40"/>
      <c r="E4" s="40"/>
      <c r="F4" s="40"/>
      <c r="G4" s="171"/>
      <c r="H4" s="172"/>
      <c r="I4" s="131"/>
      <c r="J4" s="178"/>
    </row>
    <row r="5" spans="1:19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73"/>
      <c r="I5" s="218"/>
      <c r="J5" s="122"/>
      <c r="K5" s="452" t="s">
        <v>691</v>
      </c>
      <c r="L5" s="452"/>
      <c r="M5" s="311" t="s">
        <v>692</v>
      </c>
      <c r="N5" s="312" t="s">
        <v>693</v>
      </c>
      <c r="O5" s="453" t="s">
        <v>597</v>
      </c>
      <c r="P5" s="455" t="s">
        <v>674</v>
      </c>
      <c r="Q5" s="455" t="s">
        <v>651</v>
      </c>
      <c r="R5" s="450" t="s">
        <v>598</v>
      </c>
      <c r="S5" s="450" t="s">
        <v>599</v>
      </c>
    </row>
    <row r="6" spans="1:19" s="101" customFormat="1" ht="15.75" customHeight="1">
      <c r="A6" s="45" t="s">
        <v>7</v>
      </c>
      <c r="B6" s="45" t="s">
        <v>111</v>
      </c>
      <c r="C6" s="45" t="s">
        <v>35</v>
      </c>
      <c r="D6" s="45" t="s">
        <v>36</v>
      </c>
      <c r="E6" s="45" t="s">
        <v>136</v>
      </c>
      <c r="F6" s="45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304" t="s">
        <v>694</v>
      </c>
      <c r="L6" s="305" t="s">
        <v>695</v>
      </c>
      <c r="M6" s="306" t="s">
        <v>696</v>
      </c>
      <c r="N6" s="313" t="s">
        <v>698</v>
      </c>
      <c r="O6" s="454"/>
      <c r="P6" s="456"/>
      <c r="Q6" s="457"/>
      <c r="R6" s="451"/>
      <c r="S6" s="451"/>
    </row>
    <row r="7" spans="1:19" ht="15.75" customHeight="1">
      <c r="A7" s="8"/>
      <c r="B7" s="7"/>
      <c r="C7" s="8"/>
      <c r="D7" s="146"/>
      <c r="E7" s="8"/>
      <c r="F7" s="5"/>
      <c r="G7" s="5"/>
      <c r="H7" s="31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9" ht="15.75" customHeight="1">
      <c r="A8" s="8"/>
      <c r="B8" s="7"/>
      <c r="C8" s="8"/>
      <c r="D8" s="146"/>
      <c r="E8" s="12"/>
      <c r="F8" s="5"/>
      <c r="G8" s="5"/>
      <c r="H8" s="31" t="str">
        <f t="shared" ref="H8:H26" si="0">IF(ISERROR(G8-F8),"",IF(G8=0,"",G8-F8))</f>
        <v/>
      </c>
      <c r="I8" s="339" t="str">
        <f t="shared" ref="I8:I26" si="1">IF(ISERROR(G8-F8),"",IF(G8=0,"",IF(H8="",0,ROUND(H8*100/F8,2))))</f>
        <v/>
      </c>
      <c r="J8" s="7"/>
    </row>
    <row r="9" spans="1:19" ht="15.75" customHeight="1">
      <c r="A9" s="8"/>
      <c r="B9" s="7"/>
      <c r="C9" s="8"/>
      <c r="D9" s="146"/>
      <c r="E9" s="12"/>
      <c r="F9" s="5"/>
      <c r="G9" s="5"/>
      <c r="H9" s="31" t="str">
        <f t="shared" si="0"/>
        <v/>
      </c>
      <c r="I9" s="339" t="str">
        <f t="shared" si="1"/>
        <v/>
      </c>
      <c r="J9" s="7"/>
    </row>
    <row r="10" spans="1:19" ht="15.75" customHeight="1">
      <c r="A10" s="8"/>
      <c r="B10" s="7"/>
      <c r="C10" s="8"/>
      <c r="D10" s="146"/>
      <c r="E10" s="12"/>
      <c r="F10" s="5"/>
      <c r="G10" s="5"/>
      <c r="H10" s="31" t="str">
        <f t="shared" si="0"/>
        <v/>
      </c>
      <c r="I10" s="339" t="str">
        <f t="shared" si="1"/>
        <v/>
      </c>
      <c r="J10" s="7"/>
    </row>
    <row r="11" spans="1:19" ht="15.75" customHeight="1">
      <c r="A11" s="8"/>
      <c r="B11" s="7"/>
      <c r="C11" s="8"/>
      <c r="D11" s="146"/>
      <c r="E11" s="12"/>
      <c r="F11" s="5"/>
      <c r="G11" s="5"/>
      <c r="H11" s="31" t="str">
        <f t="shared" si="0"/>
        <v/>
      </c>
      <c r="I11" s="339" t="str">
        <f t="shared" si="1"/>
        <v/>
      </c>
      <c r="J11" s="7"/>
    </row>
    <row r="12" spans="1:19" ht="15.75" customHeight="1">
      <c r="A12" s="8"/>
      <c r="B12" s="7"/>
      <c r="C12" s="8"/>
      <c r="D12" s="146"/>
      <c r="E12" s="12"/>
      <c r="F12" s="5"/>
      <c r="G12" s="5"/>
      <c r="H12" s="31" t="str">
        <f t="shared" si="0"/>
        <v/>
      </c>
      <c r="I12" s="339" t="str">
        <f t="shared" si="1"/>
        <v/>
      </c>
      <c r="J12" s="7"/>
    </row>
    <row r="13" spans="1:19" ht="15.75" customHeight="1">
      <c r="A13" s="8"/>
      <c r="B13" s="7"/>
      <c r="C13" s="8"/>
      <c r="D13" s="146"/>
      <c r="E13" s="12"/>
      <c r="F13" s="5"/>
      <c r="G13" s="5"/>
      <c r="H13" s="31" t="str">
        <f t="shared" si="0"/>
        <v/>
      </c>
      <c r="I13" s="339" t="str">
        <f t="shared" si="1"/>
        <v/>
      </c>
      <c r="J13" s="7"/>
    </row>
    <row r="14" spans="1:19" ht="15.75" customHeight="1">
      <c r="A14" s="8"/>
      <c r="B14" s="7"/>
      <c r="C14" s="8"/>
      <c r="D14" s="146"/>
      <c r="E14" s="12"/>
      <c r="F14" s="5"/>
      <c r="G14" s="5"/>
      <c r="H14" s="31" t="str">
        <f t="shared" si="0"/>
        <v/>
      </c>
      <c r="I14" s="339" t="str">
        <f t="shared" si="1"/>
        <v/>
      </c>
      <c r="J14" s="7"/>
    </row>
    <row r="15" spans="1:19" ht="15.75" customHeight="1">
      <c r="A15" s="8"/>
      <c r="B15" s="7"/>
      <c r="C15" s="8"/>
      <c r="D15" s="146"/>
      <c r="E15" s="12"/>
      <c r="F15" s="5"/>
      <c r="G15" s="5"/>
      <c r="H15" s="31" t="str">
        <f t="shared" si="0"/>
        <v/>
      </c>
      <c r="I15" s="339" t="str">
        <f t="shared" si="1"/>
        <v/>
      </c>
      <c r="J15" s="7"/>
    </row>
    <row r="16" spans="1:19" ht="15.75" customHeight="1">
      <c r="A16" s="8"/>
      <c r="B16" s="7"/>
      <c r="C16" s="8"/>
      <c r="D16" s="146"/>
      <c r="E16" s="12"/>
      <c r="F16" s="5"/>
      <c r="G16" s="5"/>
      <c r="H16" s="31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8"/>
      <c r="D17" s="146"/>
      <c r="E17" s="12"/>
      <c r="F17" s="5"/>
      <c r="G17" s="5"/>
      <c r="H17" s="31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8"/>
      <c r="D18" s="146"/>
      <c r="E18" s="12"/>
      <c r="F18" s="5"/>
      <c r="G18" s="5"/>
      <c r="H18" s="31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8"/>
      <c r="D19" s="146"/>
      <c r="E19" s="12"/>
      <c r="F19" s="5"/>
      <c r="G19" s="5"/>
      <c r="H19" s="31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8"/>
      <c r="D20" s="146"/>
      <c r="E20" s="12"/>
      <c r="F20" s="5"/>
      <c r="G20" s="5"/>
      <c r="H20" s="31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8"/>
      <c r="D21" s="146"/>
      <c r="E21" s="12"/>
      <c r="F21" s="5"/>
      <c r="G21" s="5"/>
      <c r="H21" s="31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8"/>
      <c r="D22" s="146"/>
      <c r="E22" s="12"/>
      <c r="F22" s="5"/>
      <c r="G22" s="5"/>
      <c r="H22" s="31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8"/>
      <c r="D23" s="146"/>
      <c r="E23" s="12"/>
      <c r="F23" s="5"/>
      <c r="G23" s="5"/>
      <c r="H23" s="31" t="str">
        <f t="shared" si="0"/>
        <v/>
      </c>
      <c r="I23" s="339" t="str">
        <f t="shared" si="1"/>
        <v/>
      </c>
      <c r="J23" s="7"/>
    </row>
    <row r="24" spans="1:10" ht="15.75" customHeight="1">
      <c r="A24" s="420" t="s">
        <v>534</v>
      </c>
      <c r="B24" s="421"/>
      <c r="C24" s="237"/>
      <c r="D24" s="232"/>
      <c r="E24" s="237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t="shared" ca="1" si="0"/>
        <v/>
      </c>
      <c r="I24" s="339" t="str">
        <f t="shared" ca="1" si="1"/>
        <v/>
      </c>
      <c r="J24" s="234"/>
    </row>
    <row r="25" spans="1:10" ht="15.75" customHeight="1">
      <c r="A25" s="379" t="s">
        <v>443</v>
      </c>
      <c r="B25" s="444"/>
      <c r="C25" s="237"/>
      <c r="D25" s="232"/>
      <c r="E25" s="237"/>
      <c r="F25" s="31"/>
      <c r="G25" s="31"/>
      <c r="H25" s="31"/>
      <c r="I25" s="339"/>
      <c r="J25" s="234"/>
    </row>
    <row r="26" spans="1:10" ht="15.75" customHeight="1">
      <c r="A26" s="420" t="s">
        <v>534</v>
      </c>
      <c r="B26" s="421"/>
      <c r="C26" s="30"/>
      <c r="D26" s="30"/>
      <c r="E26" s="30"/>
      <c r="F26" s="31" t="str">
        <f ca="1">IF(F25="",F24,F24-F25)</f>
        <v/>
      </c>
      <c r="G26" s="31" t="str">
        <f ca="1">IF(G25="",G24,G24-G25)</f>
        <v/>
      </c>
      <c r="H26" s="31" t="str">
        <f t="shared" ca="1" si="0"/>
        <v/>
      </c>
      <c r="I26" s="339" t="str">
        <f t="shared" ca="1" si="1"/>
        <v/>
      </c>
      <c r="J26" s="234"/>
    </row>
    <row r="27" spans="1:10" ht="15.75" hidden="1" customHeight="1">
      <c r="A27" s="8"/>
      <c r="B27" s="7"/>
      <c r="C27" s="8"/>
      <c r="D27" s="146"/>
      <c r="E27" s="12"/>
      <c r="F27" s="5"/>
      <c r="G27" s="5"/>
      <c r="H27" s="28" t="str">
        <f t="shared" ref="H27:H46" si="2">IF(ISERROR(G27-F27),"",IF(G27=0,"",G27-F27))</f>
        <v/>
      </c>
      <c r="I27" s="339" t="str">
        <f t="shared" ref="I27:I46" si="3">IF(ISERROR(G27-F27),"",IF(G27=0,"",IF(H27="",0,ROUND(H27*100/F27,2))))</f>
        <v/>
      </c>
      <c r="J27" s="7"/>
    </row>
    <row r="28" spans="1:10" ht="15.75" hidden="1" customHeight="1">
      <c r="A28" s="8"/>
      <c r="B28" s="7"/>
      <c r="C28" s="8"/>
      <c r="D28" s="146"/>
      <c r="E28" s="12"/>
      <c r="F28" s="5"/>
      <c r="G28" s="5"/>
      <c r="H28" s="28" t="str">
        <f t="shared" si="2"/>
        <v/>
      </c>
      <c r="I28" s="339" t="str">
        <f t="shared" si="3"/>
        <v/>
      </c>
      <c r="J28" s="7"/>
    </row>
    <row r="29" spans="1:10" ht="15.75" hidden="1" customHeight="1">
      <c r="A29" s="8"/>
      <c r="B29" s="7"/>
      <c r="C29" s="8"/>
      <c r="D29" s="146"/>
      <c r="E29" s="12"/>
      <c r="F29" s="5"/>
      <c r="G29" s="5"/>
      <c r="H29" s="28" t="str">
        <f t="shared" si="2"/>
        <v/>
      </c>
      <c r="I29" s="339" t="str">
        <f t="shared" si="3"/>
        <v/>
      </c>
      <c r="J29" s="7"/>
    </row>
    <row r="30" spans="1:10" ht="15.75" hidden="1" customHeight="1">
      <c r="A30" s="8"/>
      <c r="B30" s="7"/>
      <c r="C30" s="8"/>
      <c r="D30" s="146"/>
      <c r="E30" s="12"/>
      <c r="F30" s="5"/>
      <c r="G30" s="5"/>
      <c r="H30" s="28" t="str">
        <f t="shared" si="2"/>
        <v/>
      </c>
      <c r="I30" s="339" t="str">
        <f t="shared" si="3"/>
        <v/>
      </c>
      <c r="J30" s="7"/>
    </row>
    <row r="31" spans="1:10" ht="15.75" hidden="1" customHeight="1">
      <c r="A31" s="8"/>
      <c r="B31" s="7"/>
      <c r="C31" s="8"/>
      <c r="D31" s="146"/>
      <c r="E31" s="12"/>
      <c r="F31" s="5"/>
      <c r="G31" s="5"/>
      <c r="H31" s="28" t="str">
        <f t="shared" si="2"/>
        <v/>
      </c>
      <c r="I31" s="339" t="str">
        <f t="shared" si="3"/>
        <v/>
      </c>
      <c r="J31" s="7"/>
    </row>
    <row r="32" spans="1:10" ht="15.75" hidden="1" customHeight="1">
      <c r="A32" s="8"/>
      <c r="B32" s="7"/>
      <c r="C32" s="8"/>
      <c r="D32" s="146"/>
      <c r="E32" s="12"/>
      <c r="F32" s="5"/>
      <c r="G32" s="5"/>
      <c r="H32" s="28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8"/>
      <c r="D33" s="146"/>
      <c r="E33" s="12"/>
      <c r="F33" s="5"/>
      <c r="G33" s="5"/>
      <c r="H33" s="28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8"/>
      <c r="D34" s="146"/>
      <c r="E34" s="12"/>
      <c r="F34" s="5"/>
      <c r="G34" s="5"/>
      <c r="H34" s="28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8"/>
      <c r="D35" s="146"/>
      <c r="E35" s="12"/>
      <c r="F35" s="5"/>
      <c r="G35" s="5"/>
      <c r="H35" s="28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8"/>
      <c r="D36" s="146"/>
      <c r="E36" s="12"/>
      <c r="F36" s="5"/>
      <c r="G36" s="5"/>
      <c r="H36" s="28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8"/>
      <c r="D37" s="146"/>
      <c r="E37" s="12"/>
      <c r="F37" s="5"/>
      <c r="G37" s="5"/>
      <c r="H37" s="28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8"/>
      <c r="D38" s="146"/>
      <c r="E38" s="12"/>
      <c r="F38" s="5"/>
      <c r="G38" s="5"/>
      <c r="H38" s="28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8"/>
      <c r="D39" s="146"/>
      <c r="E39" s="12"/>
      <c r="F39" s="5"/>
      <c r="G39" s="5"/>
      <c r="H39" s="28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8"/>
      <c r="D40" s="146"/>
      <c r="E40" s="12"/>
      <c r="F40" s="5"/>
      <c r="G40" s="5"/>
      <c r="H40" s="28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8"/>
      <c r="D41" s="146"/>
      <c r="E41" s="12"/>
      <c r="F41" s="5"/>
      <c r="G41" s="5"/>
      <c r="H41" s="28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8"/>
      <c r="D42" s="146"/>
      <c r="E42" s="12"/>
      <c r="F42" s="5"/>
      <c r="G42" s="5"/>
      <c r="H42" s="28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8"/>
      <c r="D43" s="146"/>
      <c r="E43" s="12"/>
      <c r="F43" s="5"/>
      <c r="G43" s="5"/>
      <c r="H43" s="28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8"/>
      <c r="D44" s="146"/>
      <c r="E44" s="12"/>
      <c r="F44" s="5"/>
      <c r="G44" s="5"/>
      <c r="H44" s="28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8"/>
      <c r="D45" s="146"/>
      <c r="E45" s="12"/>
      <c r="F45" s="5"/>
      <c r="G45" s="5"/>
      <c r="H45" s="28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8"/>
      <c r="D46" s="146"/>
      <c r="E46" s="12"/>
      <c r="F46" s="5"/>
      <c r="G46" s="5"/>
      <c r="H46" s="28" t="str">
        <f t="shared" si="2"/>
        <v/>
      </c>
      <c r="I46" s="339" t="str">
        <f t="shared" si="3"/>
        <v/>
      </c>
      <c r="J46" s="7"/>
    </row>
  </sheetData>
  <mergeCells count="11">
    <mergeCell ref="A26:B26"/>
    <mergeCell ref="K5:L5"/>
    <mergeCell ref="O5:O6"/>
    <mergeCell ref="P5:P6"/>
    <mergeCell ref="Q5:Q6"/>
    <mergeCell ref="R5:R6"/>
    <mergeCell ref="S5:S6"/>
    <mergeCell ref="A1:J1"/>
    <mergeCell ref="A2:J2"/>
    <mergeCell ref="A25:B25"/>
    <mergeCell ref="A24:B24"/>
  </mergeCells>
  <phoneticPr fontId="6" type="noConversion"/>
  <printOptions horizontalCentered="1" verticalCentered="1"/>
  <pageMargins left="1.1023622047244095" right="0.74803149606299213" top="0.39370078740157483" bottom="0.78740157480314965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&amp;R&amp;"宋体,常规"&amp;10表3-7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901700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1155700</xdr:colOff>
                    <xdr:row>2</xdr:row>
                    <xdr:rowOff>0</xdr:rowOff>
                  </from>
                  <to>
                    <xdr:col>2</xdr:col>
                    <xdr:colOff>520700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CBB5A-546F-4FCF-9601-2DDBBE389E83}">
  <sheetPr codeName="Sheet19">
    <pageSetUpPr fitToPage="1"/>
  </sheetPr>
  <dimension ref="A1:P46"/>
  <sheetViews>
    <sheetView zoomScaleNormal="100" workbookViewId="0">
      <pane ySplit="6" topLeftCell="A7" activePane="bottomLeft" state="frozen"/>
      <selection activeCell="F17" sqref="F17"/>
      <selection pane="bottomLeft" activeCell="J14" sqref="J14"/>
    </sheetView>
  </sheetViews>
  <sheetFormatPr baseColWidth="10" defaultColWidth="9" defaultRowHeight="15.75" customHeight="1"/>
  <cols>
    <col min="1" max="1" width="5" style="81" customWidth="1"/>
    <col min="2" max="2" width="20.5" style="81" customWidth="1"/>
    <col min="3" max="3" width="9" style="81"/>
    <col min="4" max="4" width="11" style="81" customWidth="1"/>
    <col min="5" max="5" width="13" style="81" customWidth="1"/>
    <col min="6" max="6" width="10.5" style="81" customWidth="1"/>
    <col min="7" max="8" width="12.6640625" style="81" customWidth="1"/>
    <col min="9" max="9" width="10" style="135" customWidth="1"/>
    <col min="10" max="10" width="9.6640625" style="340" customWidth="1"/>
    <col min="11" max="11" width="8.5" style="81" customWidth="1"/>
    <col min="12" max="12" width="7.5" style="81" customWidth="1"/>
    <col min="13" max="13" width="9.6640625" style="81" customWidth="1"/>
    <col min="14" max="14" width="11.6640625" style="81" customWidth="1"/>
    <col min="15" max="15" width="9.83203125" style="81" customWidth="1"/>
    <col min="16" max="16" width="6.6640625" style="81" customWidth="1"/>
    <col min="17" max="16384" width="9" style="81"/>
  </cols>
  <sheetData>
    <row r="1" spans="1:16" s="80" customFormat="1" ht="30" customHeight="1">
      <c r="A1" s="374" t="s">
        <v>978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6" ht="14.25" customHeight="1">
      <c r="A3" s="40"/>
      <c r="B3" s="40"/>
      <c r="C3" s="40"/>
      <c r="D3" s="40"/>
      <c r="E3" s="40"/>
      <c r="F3" s="40"/>
      <c r="G3" s="40"/>
      <c r="H3" s="171"/>
      <c r="I3" s="172"/>
      <c r="J3" s="131"/>
      <c r="K3" s="178"/>
    </row>
    <row r="4" spans="1:16" ht="14.25" customHeight="1">
      <c r="A4" s="40"/>
      <c r="B4" s="40"/>
      <c r="C4" s="40"/>
      <c r="D4" s="40"/>
      <c r="E4" s="40"/>
      <c r="F4" s="40"/>
      <c r="G4" s="40"/>
      <c r="H4" s="171"/>
      <c r="I4" s="172"/>
      <c r="J4" s="131"/>
      <c r="K4" s="178"/>
    </row>
    <row r="5" spans="1:16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218"/>
      <c r="K5" s="122"/>
      <c r="L5" s="460" t="s">
        <v>605</v>
      </c>
      <c r="M5" s="460" t="s">
        <v>606</v>
      </c>
      <c r="N5" s="280" t="s">
        <v>699</v>
      </c>
      <c r="O5" s="458" t="s">
        <v>598</v>
      </c>
      <c r="P5" s="458" t="s">
        <v>599</v>
      </c>
    </row>
    <row r="6" spans="1:16" s="101" customFormat="1" ht="15.75" customHeight="1">
      <c r="A6" s="45" t="s">
        <v>7</v>
      </c>
      <c r="B6" s="45" t="s">
        <v>34</v>
      </c>
      <c r="C6" s="45" t="s">
        <v>36</v>
      </c>
      <c r="D6" s="45" t="s">
        <v>112</v>
      </c>
      <c r="E6" s="45" t="s">
        <v>113</v>
      </c>
      <c r="F6" s="120" t="s">
        <v>513</v>
      </c>
      <c r="G6" s="45" t="s">
        <v>117</v>
      </c>
      <c r="H6" s="45" t="s">
        <v>0</v>
      </c>
      <c r="I6" s="175" t="s">
        <v>1</v>
      </c>
      <c r="J6" s="341" t="s">
        <v>479</v>
      </c>
      <c r="K6" s="45" t="s">
        <v>39</v>
      </c>
      <c r="L6" s="460"/>
      <c r="M6" s="460"/>
      <c r="N6" s="280" t="s">
        <v>700</v>
      </c>
      <c r="O6" s="459"/>
      <c r="P6" s="459"/>
    </row>
    <row r="7" spans="1:16" ht="15.75" customHeight="1">
      <c r="A7" s="8"/>
      <c r="B7" s="7"/>
      <c r="C7" s="146"/>
      <c r="D7" s="5"/>
      <c r="E7" s="8"/>
      <c r="F7" s="8"/>
      <c r="G7" s="5"/>
      <c r="H7" s="5"/>
      <c r="I7" s="31" t="str">
        <f>IF(ISERROR(H7-G7),"",IF(H7=0,"",H7-G7))</f>
        <v/>
      </c>
      <c r="J7" s="339" t="str">
        <f>IF(ISERROR(H7-G7),"",IF(H7=0,"",IF(I7="",0,ROUND(I7*100/G7,2))))</f>
        <v/>
      </c>
      <c r="K7" s="7"/>
    </row>
    <row r="8" spans="1:16" ht="15.75" customHeight="1">
      <c r="A8" s="8"/>
      <c r="B8" s="7"/>
      <c r="C8" s="146"/>
      <c r="D8" s="5"/>
      <c r="E8" s="8"/>
      <c r="F8" s="8"/>
      <c r="G8" s="5"/>
      <c r="H8" s="5"/>
      <c r="I8" s="31" t="str">
        <f t="shared" ref="I8:I26" si="0">IF(ISERROR(H8-G8),"",IF(H8=0,"",H8-G8))</f>
        <v/>
      </c>
      <c r="J8" s="339" t="str">
        <f t="shared" ref="J8:J26" si="1">IF(ISERROR(H8-G8),"",IF(H8=0,"",IF(I8="",0,ROUND(I8*100/G8,2))))</f>
        <v/>
      </c>
      <c r="K8" s="7"/>
    </row>
    <row r="9" spans="1:16" ht="15.75" customHeight="1">
      <c r="A9" s="8"/>
      <c r="B9" s="7"/>
      <c r="C9" s="146"/>
      <c r="D9" s="5"/>
      <c r="E9" s="8"/>
      <c r="F9" s="8"/>
      <c r="G9" s="5"/>
      <c r="H9" s="5"/>
      <c r="I9" s="31" t="str">
        <f t="shared" si="0"/>
        <v/>
      </c>
      <c r="J9" s="339" t="str">
        <f t="shared" si="1"/>
        <v/>
      </c>
      <c r="K9" s="7"/>
    </row>
    <row r="10" spans="1:16" ht="15.75" customHeight="1">
      <c r="A10" s="8"/>
      <c r="B10" s="7"/>
      <c r="C10" s="146"/>
      <c r="D10" s="5"/>
      <c r="E10" s="8"/>
      <c r="F10" s="8"/>
      <c r="G10" s="5"/>
      <c r="H10" s="5"/>
      <c r="I10" s="31" t="str">
        <f t="shared" si="0"/>
        <v/>
      </c>
      <c r="J10" s="339" t="str">
        <f t="shared" si="1"/>
        <v/>
      </c>
      <c r="K10" s="7"/>
    </row>
    <row r="11" spans="1:16" ht="15.75" customHeight="1">
      <c r="A11" s="8"/>
      <c r="B11" s="7"/>
      <c r="C11" s="146"/>
      <c r="D11" s="5"/>
      <c r="E11" s="8"/>
      <c r="F11" s="8"/>
      <c r="G11" s="5"/>
      <c r="H11" s="5"/>
      <c r="I11" s="31" t="str">
        <f t="shared" si="0"/>
        <v/>
      </c>
      <c r="J11" s="339" t="str">
        <f t="shared" si="1"/>
        <v/>
      </c>
      <c r="K11" s="7"/>
    </row>
    <row r="12" spans="1:16" ht="15.75" customHeight="1">
      <c r="A12" s="8"/>
      <c r="B12" s="7"/>
      <c r="C12" s="146"/>
      <c r="D12" s="5"/>
      <c r="E12" s="8"/>
      <c r="F12" s="8"/>
      <c r="G12" s="5"/>
      <c r="H12" s="5"/>
      <c r="I12" s="31" t="str">
        <f t="shared" si="0"/>
        <v/>
      </c>
      <c r="J12" s="339" t="str">
        <f t="shared" si="1"/>
        <v/>
      </c>
      <c r="K12" s="7"/>
    </row>
    <row r="13" spans="1:16" ht="15.75" customHeight="1">
      <c r="A13" s="8"/>
      <c r="B13" s="7"/>
      <c r="C13" s="146"/>
      <c r="D13" s="5"/>
      <c r="E13" s="8"/>
      <c r="F13" s="8"/>
      <c r="G13" s="5"/>
      <c r="H13" s="5"/>
      <c r="I13" s="31" t="str">
        <f t="shared" si="0"/>
        <v/>
      </c>
      <c r="J13" s="339" t="str">
        <f t="shared" si="1"/>
        <v/>
      </c>
      <c r="K13" s="7"/>
    </row>
    <row r="14" spans="1:16" ht="15.75" customHeight="1">
      <c r="A14" s="8"/>
      <c r="B14" s="7"/>
      <c r="C14" s="146"/>
      <c r="D14" s="5"/>
      <c r="E14" s="8"/>
      <c r="F14" s="8"/>
      <c r="G14" s="5"/>
      <c r="H14" s="5"/>
      <c r="I14" s="31" t="str">
        <f t="shared" si="0"/>
        <v/>
      </c>
      <c r="J14" s="339" t="str">
        <f t="shared" si="1"/>
        <v/>
      </c>
      <c r="K14" s="7"/>
    </row>
    <row r="15" spans="1:16" ht="15.75" customHeight="1">
      <c r="A15" s="8"/>
      <c r="B15" s="7"/>
      <c r="C15" s="146"/>
      <c r="D15" s="5"/>
      <c r="E15" s="8"/>
      <c r="F15" s="8"/>
      <c r="G15" s="5"/>
      <c r="H15" s="5"/>
      <c r="I15" s="31" t="str">
        <f t="shared" si="0"/>
        <v/>
      </c>
      <c r="J15" s="339" t="str">
        <f t="shared" si="1"/>
        <v/>
      </c>
      <c r="K15" s="7"/>
    </row>
    <row r="16" spans="1:16" ht="15.75" customHeight="1">
      <c r="A16" s="8"/>
      <c r="B16" s="7"/>
      <c r="C16" s="146"/>
      <c r="D16" s="5"/>
      <c r="E16" s="8"/>
      <c r="F16" s="8"/>
      <c r="G16" s="5"/>
      <c r="H16" s="5"/>
      <c r="I16" s="31" t="str">
        <f t="shared" si="0"/>
        <v/>
      </c>
      <c r="J16" s="339" t="str">
        <f t="shared" si="1"/>
        <v/>
      </c>
      <c r="K16" s="7"/>
    </row>
    <row r="17" spans="1:11" ht="15.75" customHeight="1">
      <c r="A17" s="8"/>
      <c r="B17" s="7"/>
      <c r="C17" s="146"/>
      <c r="D17" s="5"/>
      <c r="E17" s="8"/>
      <c r="F17" s="8"/>
      <c r="G17" s="5"/>
      <c r="H17" s="5"/>
      <c r="I17" s="31" t="str">
        <f t="shared" si="0"/>
        <v/>
      </c>
      <c r="J17" s="339" t="str">
        <f t="shared" si="1"/>
        <v/>
      </c>
      <c r="K17" s="7"/>
    </row>
    <row r="18" spans="1:11" ht="15.75" customHeight="1">
      <c r="A18" s="8"/>
      <c r="B18" s="7"/>
      <c r="C18" s="146"/>
      <c r="D18" s="5"/>
      <c r="E18" s="8"/>
      <c r="F18" s="8"/>
      <c r="G18" s="5"/>
      <c r="H18" s="5"/>
      <c r="I18" s="31" t="str">
        <f t="shared" si="0"/>
        <v/>
      </c>
      <c r="J18" s="339" t="str">
        <f t="shared" si="1"/>
        <v/>
      </c>
      <c r="K18" s="7"/>
    </row>
    <row r="19" spans="1:11" ht="15.75" customHeight="1">
      <c r="A19" s="8"/>
      <c r="B19" s="7"/>
      <c r="C19" s="146"/>
      <c r="D19" s="5"/>
      <c r="E19" s="8"/>
      <c r="F19" s="8"/>
      <c r="G19" s="5"/>
      <c r="H19" s="5"/>
      <c r="I19" s="31" t="str">
        <f t="shared" si="0"/>
        <v/>
      </c>
      <c r="J19" s="339" t="str">
        <f t="shared" si="1"/>
        <v/>
      </c>
      <c r="K19" s="7"/>
    </row>
    <row r="20" spans="1:11" ht="15.75" customHeight="1">
      <c r="A20" s="8"/>
      <c r="B20" s="7"/>
      <c r="C20" s="146"/>
      <c r="D20" s="5"/>
      <c r="E20" s="8"/>
      <c r="F20" s="8"/>
      <c r="G20" s="5"/>
      <c r="H20" s="5"/>
      <c r="I20" s="31" t="str">
        <f t="shared" si="0"/>
        <v/>
      </c>
      <c r="J20" s="339" t="str">
        <f t="shared" si="1"/>
        <v/>
      </c>
      <c r="K20" s="7"/>
    </row>
    <row r="21" spans="1:11" ht="15.75" customHeight="1">
      <c r="A21" s="8"/>
      <c r="B21" s="7"/>
      <c r="C21" s="146"/>
      <c r="D21" s="5"/>
      <c r="E21" s="8"/>
      <c r="F21" s="8"/>
      <c r="G21" s="5"/>
      <c r="H21" s="5"/>
      <c r="I21" s="31" t="str">
        <f t="shared" si="0"/>
        <v/>
      </c>
      <c r="J21" s="339" t="str">
        <f t="shared" si="1"/>
        <v/>
      </c>
      <c r="K21" s="7"/>
    </row>
    <row r="22" spans="1:11" ht="15.75" customHeight="1">
      <c r="A22" s="8"/>
      <c r="B22" s="7"/>
      <c r="C22" s="146"/>
      <c r="D22" s="5"/>
      <c r="E22" s="8"/>
      <c r="F22" s="8"/>
      <c r="G22" s="5"/>
      <c r="H22" s="5"/>
      <c r="I22" s="31" t="str">
        <f t="shared" si="0"/>
        <v/>
      </c>
      <c r="J22" s="339" t="str">
        <f t="shared" si="1"/>
        <v/>
      </c>
      <c r="K22" s="7"/>
    </row>
    <row r="23" spans="1:11" ht="15.75" customHeight="1">
      <c r="A23" s="8"/>
      <c r="B23" s="7"/>
      <c r="C23" s="146"/>
      <c r="D23" s="5"/>
      <c r="E23" s="8"/>
      <c r="F23" s="8"/>
      <c r="G23" s="5"/>
      <c r="H23" s="5"/>
      <c r="I23" s="31" t="str">
        <f t="shared" si="0"/>
        <v/>
      </c>
      <c r="J23" s="339" t="str">
        <f t="shared" si="1"/>
        <v/>
      </c>
      <c r="K23" s="7"/>
    </row>
    <row r="24" spans="1:11" ht="15.75" customHeight="1">
      <c r="A24" s="8"/>
      <c r="B24" s="7"/>
      <c r="C24" s="146"/>
      <c r="D24" s="5"/>
      <c r="E24" s="8"/>
      <c r="F24" s="8"/>
      <c r="G24" s="5"/>
      <c r="H24" s="5"/>
      <c r="I24" s="31" t="str">
        <f t="shared" si="0"/>
        <v/>
      </c>
      <c r="J24" s="339" t="str">
        <f t="shared" si="1"/>
        <v/>
      </c>
      <c r="K24" s="7"/>
    </row>
    <row r="25" spans="1:11" ht="15.75" customHeight="1">
      <c r="A25" s="8"/>
      <c r="B25" s="7"/>
      <c r="C25" s="146"/>
      <c r="D25" s="5"/>
      <c r="E25" s="8"/>
      <c r="F25" s="8"/>
      <c r="G25" s="5"/>
      <c r="H25" s="5"/>
      <c r="I25" s="31" t="str">
        <f t="shared" si="0"/>
        <v/>
      </c>
      <c r="J25" s="339" t="str">
        <f t="shared" si="1"/>
        <v/>
      </c>
      <c r="K25" s="7"/>
    </row>
    <row r="26" spans="1:11" ht="15.75" customHeight="1">
      <c r="A26" s="420" t="s">
        <v>534</v>
      </c>
      <c r="B26" s="421"/>
      <c r="C26" s="30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/>
      <c r="F26" s="31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31" t="str">
        <f t="shared" ca="1" si="0"/>
        <v/>
      </c>
      <c r="J26" s="339" t="str">
        <f t="shared" ca="1" si="1"/>
        <v/>
      </c>
      <c r="K26" s="234"/>
    </row>
    <row r="27" spans="1:11" ht="15.75" hidden="1" customHeight="1">
      <c r="A27" s="8"/>
      <c r="B27" s="7"/>
      <c r="C27" s="146"/>
      <c r="D27" s="5"/>
      <c r="E27" s="8"/>
      <c r="F27" s="8"/>
      <c r="G27" s="5"/>
      <c r="H27" s="5"/>
      <c r="I27" s="31" t="str">
        <f>IF(ISERROR(H27-G27),"",IF(H27=0,"",H27-G27))</f>
        <v/>
      </c>
      <c r="J27" s="339" t="str">
        <f>IF(ISERROR(H27-G27),"",IF(H27=0,"",IF(I27="",0,ROUND(I27*100/G27,2))))</f>
        <v/>
      </c>
      <c r="K27" s="7"/>
    </row>
    <row r="28" spans="1:11" ht="15.75" hidden="1" customHeight="1">
      <c r="A28" s="8"/>
      <c r="B28" s="7"/>
      <c r="C28" s="150"/>
      <c r="D28" s="150"/>
      <c r="E28" s="5"/>
      <c r="F28" s="259"/>
      <c r="G28" s="27"/>
      <c r="H28" s="27"/>
      <c r="I28" s="31" t="str">
        <f t="shared" ref="I28:I46" si="2">IF(ISERROR(H28-G28),"",IF(H28=0,"",H28-G28))</f>
        <v/>
      </c>
      <c r="J28" s="339" t="str">
        <f t="shared" ref="J28:J46" si="3">IF(ISERROR(H28-G28),"",IF(H28=0,"",IF(I28="",0,ROUND(I28*100/G28,2))))</f>
        <v/>
      </c>
      <c r="K28" s="7"/>
    </row>
    <row r="29" spans="1:11" ht="15.75" hidden="1" customHeight="1">
      <c r="A29" s="8"/>
      <c r="B29" s="7"/>
      <c r="C29" s="150"/>
      <c r="D29" s="150"/>
      <c r="E29" s="5"/>
      <c r="F29" s="259"/>
      <c r="G29" s="27"/>
      <c r="H29" s="27"/>
      <c r="I29" s="31" t="str">
        <f t="shared" si="2"/>
        <v/>
      </c>
      <c r="J29" s="339" t="str">
        <f t="shared" si="3"/>
        <v/>
      </c>
      <c r="K29" s="7"/>
    </row>
    <row r="30" spans="1:11" ht="15.75" hidden="1" customHeight="1">
      <c r="A30" s="8"/>
      <c r="B30" s="7"/>
      <c r="C30" s="150"/>
      <c r="D30" s="150"/>
      <c r="E30" s="5"/>
      <c r="F30" s="259"/>
      <c r="G30" s="27"/>
      <c r="H30" s="27"/>
      <c r="I30" s="31" t="str">
        <f t="shared" si="2"/>
        <v/>
      </c>
      <c r="J30" s="339" t="str">
        <f t="shared" si="3"/>
        <v/>
      </c>
      <c r="K30" s="7"/>
    </row>
    <row r="31" spans="1:11" ht="15.75" hidden="1" customHeight="1">
      <c r="A31" s="8"/>
      <c r="B31" s="7"/>
      <c r="C31" s="150"/>
      <c r="D31" s="150"/>
      <c r="E31" s="5"/>
      <c r="F31" s="259"/>
      <c r="G31" s="27"/>
      <c r="H31" s="27"/>
      <c r="I31" s="31" t="str">
        <f t="shared" si="2"/>
        <v/>
      </c>
      <c r="J31" s="339" t="str">
        <f t="shared" si="3"/>
        <v/>
      </c>
      <c r="K31" s="7"/>
    </row>
    <row r="32" spans="1:11" ht="15.75" hidden="1" customHeight="1">
      <c r="A32" s="8"/>
      <c r="B32" s="7"/>
      <c r="C32" s="150"/>
      <c r="D32" s="150"/>
      <c r="E32" s="5"/>
      <c r="F32" s="259"/>
      <c r="G32" s="27"/>
      <c r="H32" s="27"/>
      <c r="I32" s="31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150"/>
      <c r="D33" s="150"/>
      <c r="E33" s="5"/>
      <c r="F33" s="259"/>
      <c r="G33" s="27"/>
      <c r="H33" s="27"/>
      <c r="I33" s="31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150"/>
      <c r="D34" s="150"/>
      <c r="E34" s="5"/>
      <c r="F34" s="259"/>
      <c r="G34" s="27"/>
      <c r="H34" s="27"/>
      <c r="I34" s="31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150"/>
      <c r="D35" s="150"/>
      <c r="E35" s="5"/>
      <c r="F35" s="259"/>
      <c r="G35" s="27"/>
      <c r="H35" s="27"/>
      <c r="I35" s="31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150"/>
      <c r="D36" s="150"/>
      <c r="E36" s="5"/>
      <c r="F36" s="259"/>
      <c r="G36" s="27"/>
      <c r="H36" s="27"/>
      <c r="I36" s="31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150"/>
      <c r="D37" s="150"/>
      <c r="E37" s="5"/>
      <c r="F37" s="259"/>
      <c r="G37" s="27"/>
      <c r="H37" s="27"/>
      <c r="I37" s="31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150"/>
      <c r="D38" s="150"/>
      <c r="E38" s="5"/>
      <c r="F38" s="259"/>
      <c r="G38" s="27"/>
      <c r="H38" s="27"/>
      <c r="I38" s="31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150"/>
      <c r="D39" s="150"/>
      <c r="E39" s="5"/>
      <c r="F39" s="259"/>
      <c r="G39" s="27"/>
      <c r="H39" s="27"/>
      <c r="I39" s="31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150"/>
      <c r="D40" s="150"/>
      <c r="E40" s="5"/>
      <c r="F40" s="259"/>
      <c r="G40" s="27"/>
      <c r="H40" s="27"/>
      <c r="I40" s="31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150"/>
      <c r="D41" s="150"/>
      <c r="E41" s="5"/>
      <c r="F41" s="259"/>
      <c r="G41" s="27"/>
      <c r="H41" s="27"/>
      <c r="I41" s="2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150"/>
      <c r="D42" s="150"/>
      <c r="E42" s="5"/>
      <c r="F42" s="259"/>
      <c r="G42" s="27"/>
      <c r="H42" s="27"/>
      <c r="I42" s="2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150"/>
      <c r="D43" s="150"/>
      <c r="E43" s="5"/>
      <c r="F43" s="259"/>
      <c r="G43" s="27"/>
      <c r="H43" s="27"/>
      <c r="I43" s="2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150"/>
      <c r="D44" s="150"/>
      <c r="E44" s="5"/>
      <c r="F44" s="259"/>
      <c r="G44" s="27"/>
      <c r="H44" s="27"/>
      <c r="I44" s="2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150"/>
      <c r="D45" s="150"/>
      <c r="E45" s="5"/>
      <c r="F45" s="259"/>
      <c r="G45" s="27"/>
      <c r="H45" s="27"/>
      <c r="I45" s="2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150"/>
      <c r="D46" s="150"/>
      <c r="E46" s="5"/>
      <c r="F46" s="259"/>
      <c r="G46" s="27"/>
      <c r="H46" s="27"/>
      <c r="I46" s="28" t="str">
        <f t="shared" si="2"/>
        <v/>
      </c>
      <c r="J46" s="339" t="str">
        <f t="shared" si="3"/>
        <v/>
      </c>
      <c r="K46" s="7"/>
    </row>
  </sheetData>
  <mergeCells count="7">
    <mergeCell ref="O5:O6"/>
    <mergeCell ref="P5:P6"/>
    <mergeCell ref="A1:K1"/>
    <mergeCell ref="A2:K2"/>
    <mergeCell ref="A26:B26"/>
    <mergeCell ref="L5:L6"/>
    <mergeCell ref="M5:M6"/>
  </mergeCells>
  <phoneticPr fontId="6" type="noConversion"/>
  <printOptions horizontalCentered="1" verticalCentered="1"/>
  <pageMargins left="0.98425196850393704" right="0.59055118110236227" top="0.43307086614173229" bottom="0.86614173228346458" header="1.7716535433070868" footer="1.1811023622047245"/>
  <pageSetup paperSize="9" scale="75" fitToHeight="0" orientation="landscape" blackAndWhite="1" horizontalDpi="1200" verticalDpi="1200" r:id="rId1"/>
  <headerFooter scaleWithDoc="0">
    <oddHeader>&amp;R&amp;"宋体,常规"&amp;10表3-8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1003300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1257300</xdr:colOff>
                    <xdr:row>2</xdr:row>
                    <xdr:rowOff>0</xdr:rowOff>
                  </from>
                  <to>
                    <xdr:col>3</xdr:col>
                    <xdr:colOff>38100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ACB6-249F-4970-9B1F-C39DD93B4972}">
  <sheetPr codeName="Sheet18">
    <pageSetUpPr fitToPage="1"/>
  </sheetPr>
  <dimension ref="A1:O66"/>
  <sheetViews>
    <sheetView workbookViewId="0">
      <pane ySplit="6" topLeftCell="A10" activePane="bottomLeft" state="frozen"/>
      <selection activeCell="F17" sqref="F17"/>
      <selection pane="bottomLeft" activeCell="H14" sqref="H14"/>
    </sheetView>
  </sheetViews>
  <sheetFormatPr baseColWidth="10" defaultColWidth="9" defaultRowHeight="15.75" customHeight="1"/>
  <cols>
    <col min="1" max="1" width="5.5" style="81" customWidth="1"/>
    <col min="2" max="2" width="16.5" style="81" customWidth="1"/>
    <col min="3" max="3" width="7.6640625" style="81" customWidth="1"/>
    <col min="4" max="4" width="20.6640625" style="81" customWidth="1"/>
    <col min="5" max="5" width="15.5" style="81" customWidth="1"/>
    <col min="6" max="6" width="15.6640625" style="81" customWidth="1"/>
    <col min="7" max="7" width="12.1640625" style="351" customWidth="1"/>
    <col min="8" max="8" width="11.1640625" style="135" customWidth="1"/>
    <col min="9" max="9" width="16.1640625" style="81" customWidth="1"/>
    <col min="10" max="10" width="10" style="81" customWidth="1"/>
    <col min="11" max="11" width="6.5" style="81" customWidth="1"/>
    <col min="12" max="12" width="9.5" style="81" customWidth="1"/>
    <col min="13" max="13" width="7.1640625" style="81" customWidth="1"/>
    <col min="14" max="14" width="10" style="81" customWidth="1"/>
    <col min="15" max="15" width="8.5" style="81" customWidth="1"/>
    <col min="16" max="16384" width="9" style="81"/>
  </cols>
  <sheetData>
    <row r="1" spans="1:15" s="80" customFormat="1" ht="30" customHeight="1">
      <c r="A1" s="374" t="s">
        <v>979</v>
      </c>
      <c r="B1" s="375"/>
      <c r="C1" s="375"/>
      <c r="D1" s="375"/>
      <c r="E1" s="375"/>
      <c r="F1" s="375"/>
      <c r="G1" s="375"/>
      <c r="H1" s="375"/>
      <c r="I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</row>
    <row r="3" spans="1:15" ht="14.25" customHeight="1">
      <c r="A3" s="40"/>
      <c r="B3" s="40"/>
      <c r="C3" s="40"/>
      <c r="D3" s="40"/>
      <c r="E3" s="40"/>
      <c r="F3" s="40"/>
      <c r="G3" s="347"/>
      <c r="H3" s="172"/>
      <c r="I3" s="178"/>
    </row>
    <row r="4" spans="1:15" ht="14.25" customHeight="1">
      <c r="A4" s="40"/>
      <c r="B4" s="40"/>
      <c r="C4" s="40"/>
      <c r="D4" s="40"/>
      <c r="E4" s="40"/>
      <c r="F4" s="40"/>
      <c r="G4" s="347"/>
      <c r="H4" s="172"/>
      <c r="I4" s="178"/>
    </row>
    <row r="5" spans="1:15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348"/>
      <c r="H5" s="173"/>
      <c r="I5" s="122"/>
      <c r="J5" s="460" t="s">
        <v>607</v>
      </c>
      <c r="K5" s="460" t="s">
        <v>596</v>
      </c>
      <c r="L5" s="460" t="s">
        <v>699</v>
      </c>
      <c r="M5" s="460"/>
      <c r="N5" s="458" t="s">
        <v>598</v>
      </c>
      <c r="O5" s="458" t="s">
        <v>599</v>
      </c>
    </row>
    <row r="6" spans="1:15" s="101" customFormat="1" ht="15.75" customHeight="1">
      <c r="A6" s="45" t="s">
        <v>7</v>
      </c>
      <c r="B6" s="45" t="s">
        <v>51</v>
      </c>
      <c r="C6" s="45" t="s">
        <v>36</v>
      </c>
      <c r="D6" s="45" t="s">
        <v>338</v>
      </c>
      <c r="E6" s="45" t="s">
        <v>117</v>
      </c>
      <c r="F6" s="45" t="s">
        <v>0</v>
      </c>
      <c r="G6" s="349" t="s">
        <v>1</v>
      </c>
      <c r="H6" s="175" t="s">
        <v>479</v>
      </c>
      <c r="I6" s="45" t="s">
        <v>39</v>
      </c>
      <c r="J6" s="460"/>
      <c r="K6" s="460"/>
      <c r="L6" s="314" t="s">
        <v>608</v>
      </c>
      <c r="M6" s="314" t="s">
        <v>609</v>
      </c>
      <c r="N6" s="459"/>
      <c r="O6" s="459"/>
    </row>
    <row r="7" spans="1:15" ht="15.75" customHeight="1">
      <c r="A7" s="8"/>
      <c r="B7" s="7"/>
      <c r="C7" s="146"/>
      <c r="D7" s="12"/>
      <c r="E7" s="5"/>
      <c r="F7" s="5"/>
      <c r="G7" s="350" t="str">
        <f>IF(ISERROR(F7-E7),"",IF(F7=0,"",F7-E7))</f>
        <v/>
      </c>
      <c r="H7" s="28" t="str">
        <f>IF(ISERROR(F7-E7),"",IF(F7=0,"",IF(G7="",0,ROUND(G7*100/E7,2))))</f>
        <v/>
      </c>
      <c r="I7" s="7"/>
    </row>
    <row r="8" spans="1:15" ht="15.75" customHeight="1">
      <c r="A8" s="8"/>
      <c r="B8" s="7"/>
      <c r="C8" s="146"/>
      <c r="D8" s="12"/>
      <c r="E8" s="5"/>
      <c r="F8" s="5"/>
      <c r="G8" s="350" t="str">
        <f t="shared" ref="G8:G46" si="0">IF(ISERROR(F8-E8),"",IF(F8=0,"",F8-E8))</f>
        <v/>
      </c>
      <c r="H8" s="28" t="str">
        <f t="shared" ref="H8:H46" si="1">IF(ISERROR(F8-E8),"",IF(F8=0,"",IF(G8="",0,ROUND(G8*100/E8,2))))</f>
        <v/>
      </c>
      <c r="I8" s="7"/>
    </row>
    <row r="9" spans="1:15" ht="15.75" customHeight="1">
      <c r="A9" s="8"/>
      <c r="B9" s="7"/>
      <c r="C9" s="146"/>
      <c r="D9" s="12"/>
      <c r="E9" s="5"/>
      <c r="F9" s="5"/>
      <c r="G9" s="350" t="str">
        <f t="shared" si="0"/>
        <v/>
      </c>
      <c r="H9" s="28" t="str">
        <f t="shared" si="1"/>
        <v/>
      </c>
      <c r="I9" s="7"/>
    </row>
    <row r="10" spans="1:15" ht="15.75" customHeight="1">
      <c r="A10" s="8"/>
      <c r="B10" s="7"/>
      <c r="C10" s="146"/>
      <c r="D10" s="12"/>
      <c r="E10" s="5"/>
      <c r="F10" s="5"/>
      <c r="G10" s="350" t="str">
        <f t="shared" si="0"/>
        <v/>
      </c>
      <c r="H10" s="28" t="str">
        <f t="shared" si="1"/>
        <v/>
      </c>
      <c r="I10" s="7"/>
    </row>
    <row r="11" spans="1:15" ht="15.75" customHeight="1">
      <c r="A11" s="8"/>
      <c r="B11" s="7"/>
      <c r="C11" s="146"/>
      <c r="D11" s="12"/>
      <c r="E11" s="5"/>
      <c r="F11" s="5"/>
      <c r="G11" s="350" t="str">
        <f t="shared" si="0"/>
        <v/>
      </c>
      <c r="H11" s="28" t="str">
        <f t="shared" si="1"/>
        <v/>
      </c>
      <c r="I11" s="7"/>
    </row>
    <row r="12" spans="1:15" ht="15.75" customHeight="1">
      <c r="A12" s="8"/>
      <c r="B12" s="7"/>
      <c r="C12" s="146"/>
      <c r="D12" s="12"/>
      <c r="E12" s="5"/>
      <c r="F12" s="5"/>
      <c r="G12" s="350" t="str">
        <f t="shared" si="0"/>
        <v/>
      </c>
      <c r="H12" s="28" t="str">
        <f t="shared" si="1"/>
        <v/>
      </c>
      <c r="I12" s="7"/>
    </row>
    <row r="13" spans="1:15" ht="15.75" customHeight="1">
      <c r="A13" s="8"/>
      <c r="B13" s="7"/>
      <c r="C13" s="146"/>
      <c r="D13" s="12"/>
      <c r="E13" s="5"/>
      <c r="F13" s="5"/>
      <c r="G13" s="350" t="str">
        <f t="shared" si="0"/>
        <v/>
      </c>
      <c r="H13" s="28" t="str">
        <f t="shared" si="1"/>
        <v/>
      </c>
      <c r="I13" s="7"/>
    </row>
    <row r="14" spans="1:15" ht="15.75" customHeight="1">
      <c r="A14" s="8"/>
      <c r="B14" s="7"/>
      <c r="C14" s="146"/>
      <c r="D14" s="12"/>
      <c r="E14" s="5"/>
      <c r="F14" s="5"/>
      <c r="G14" s="350" t="str">
        <f t="shared" si="0"/>
        <v/>
      </c>
      <c r="H14" s="28" t="str">
        <f t="shared" si="1"/>
        <v/>
      </c>
      <c r="I14" s="7"/>
    </row>
    <row r="15" spans="1:15" ht="15.75" customHeight="1">
      <c r="A15" s="8"/>
      <c r="B15" s="7"/>
      <c r="C15" s="146"/>
      <c r="D15" s="12"/>
      <c r="E15" s="5"/>
      <c r="F15" s="5"/>
      <c r="G15" s="350" t="str">
        <f t="shared" si="0"/>
        <v/>
      </c>
      <c r="H15" s="28" t="str">
        <f t="shared" si="1"/>
        <v/>
      </c>
      <c r="I15" s="7"/>
    </row>
    <row r="16" spans="1:15" ht="15.75" customHeight="1">
      <c r="A16" s="8"/>
      <c r="B16" s="7"/>
      <c r="C16" s="146"/>
      <c r="D16" s="12"/>
      <c r="E16" s="5"/>
      <c r="F16" s="5"/>
      <c r="G16" s="350" t="str">
        <f t="shared" si="0"/>
        <v/>
      </c>
      <c r="H16" s="28" t="str">
        <f t="shared" si="1"/>
        <v/>
      </c>
      <c r="I16" s="7"/>
    </row>
    <row r="17" spans="1:9" ht="15.75" customHeight="1">
      <c r="A17" s="8"/>
      <c r="B17" s="7"/>
      <c r="C17" s="146"/>
      <c r="D17" s="12"/>
      <c r="E17" s="5"/>
      <c r="F17" s="5"/>
      <c r="G17" s="350" t="str">
        <f t="shared" si="0"/>
        <v/>
      </c>
      <c r="H17" s="28" t="str">
        <f t="shared" si="1"/>
        <v/>
      </c>
      <c r="I17" s="7"/>
    </row>
    <row r="18" spans="1:9" ht="15.75" customHeight="1">
      <c r="A18" s="8"/>
      <c r="B18" s="7"/>
      <c r="C18" s="146"/>
      <c r="D18" s="12"/>
      <c r="E18" s="5"/>
      <c r="F18" s="5"/>
      <c r="G18" s="350" t="str">
        <f t="shared" si="0"/>
        <v/>
      </c>
      <c r="H18" s="28" t="str">
        <f t="shared" si="1"/>
        <v/>
      </c>
      <c r="I18" s="7"/>
    </row>
    <row r="19" spans="1:9" ht="15.75" customHeight="1">
      <c r="A19" s="8"/>
      <c r="B19" s="7"/>
      <c r="C19" s="146"/>
      <c r="D19" s="12"/>
      <c r="E19" s="5"/>
      <c r="F19" s="5"/>
      <c r="G19" s="350" t="str">
        <f t="shared" si="0"/>
        <v/>
      </c>
      <c r="H19" s="28" t="str">
        <f t="shared" si="1"/>
        <v/>
      </c>
      <c r="I19" s="7"/>
    </row>
    <row r="20" spans="1:9" ht="15.75" customHeight="1">
      <c r="A20" s="8"/>
      <c r="B20" s="7"/>
      <c r="C20" s="146"/>
      <c r="D20" s="12"/>
      <c r="E20" s="5"/>
      <c r="F20" s="5"/>
      <c r="G20" s="350" t="str">
        <f t="shared" si="0"/>
        <v/>
      </c>
      <c r="H20" s="28" t="str">
        <f t="shared" si="1"/>
        <v/>
      </c>
      <c r="I20" s="7"/>
    </row>
    <row r="21" spans="1:9" ht="15.75" customHeight="1">
      <c r="A21" s="8"/>
      <c r="B21" s="7"/>
      <c r="C21" s="146"/>
      <c r="D21" s="12"/>
      <c r="E21" s="5"/>
      <c r="F21" s="5"/>
      <c r="G21" s="350" t="str">
        <f t="shared" si="0"/>
        <v/>
      </c>
      <c r="H21" s="28" t="str">
        <f t="shared" si="1"/>
        <v/>
      </c>
      <c r="I21" s="7"/>
    </row>
    <row r="22" spans="1:9" ht="15.75" customHeight="1">
      <c r="A22" s="8"/>
      <c r="B22" s="7"/>
      <c r="C22" s="146"/>
      <c r="D22" s="12"/>
      <c r="E22" s="5"/>
      <c r="F22" s="5"/>
      <c r="G22" s="350" t="str">
        <f t="shared" si="0"/>
        <v/>
      </c>
      <c r="H22" s="28" t="str">
        <f t="shared" si="1"/>
        <v/>
      </c>
      <c r="I22" s="7"/>
    </row>
    <row r="23" spans="1:9" ht="15.75" customHeight="1">
      <c r="A23" s="8"/>
      <c r="B23" s="7"/>
      <c r="C23" s="146"/>
      <c r="D23" s="12"/>
      <c r="E23" s="5"/>
      <c r="F23" s="5"/>
      <c r="G23" s="350" t="str">
        <f t="shared" si="0"/>
        <v/>
      </c>
      <c r="H23" s="28" t="str">
        <f t="shared" si="1"/>
        <v/>
      </c>
      <c r="I23" s="7"/>
    </row>
    <row r="24" spans="1:9" ht="15.75" customHeight="1">
      <c r="A24" s="8"/>
      <c r="B24" s="7"/>
      <c r="C24" s="146"/>
      <c r="D24" s="12"/>
      <c r="E24" s="5"/>
      <c r="F24" s="5"/>
      <c r="G24" s="350" t="str">
        <f t="shared" si="0"/>
        <v/>
      </c>
      <c r="H24" s="28" t="str">
        <f t="shared" si="1"/>
        <v/>
      </c>
      <c r="I24" s="7"/>
    </row>
    <row r="25" spans="1:9" ht="15.75" customHeight="1">
      <c r="A25" s="8"/>
      <c r="B25" s="7"/>
      <c r="C25" s="146"/>
      <c r="D25" s="12"/>
      <c r="E25" s="5"/>
      <c r="F25" s="5"/>
      <c r="G25" s="350" t="str">
        <f t="shared" si="0"/>
        <v/>
      </c>
      <c r="H25" s="28" t="str">
        <f t="shared" si="1"/>
        <v/>
      </c>
      <c r="I25" s="7"/>
    </row>
    <row r="26" spans="1:9" ht="15.75" customHeight="1">
      <c r="A26" s="8"/>
      <c r="B26" s="7"/>
      <c r="C26" s="146"/>
      <c r="D26" s="12"/>
      <c r="E26" s="5"/>
      <c r="F26" s="5"/>
      <c r="G26" s="350" t="str">
        <f>IF(ISERROR(F26-E26),"",IF(F26=0,"",F26-E26))</f>
        <v/>
      </c>
      <c r="H26" s="28" t="str">
        <f>IF(ISERROR(F26-E26),"",IF(F26=0,"",IF(G26="",0,ROUND(G26*100/E26,2))))</f>
        <v/>
      </c>
      <c r="I26" s="7"/>
    </row>
    <row r="27" spans="1:9" ht="15.75" customHeight="1">
      <c r="A27" s="8"/>
      <c r="B27" s="7"/>
      <c r="C27" s="146"/>
      <c r="D27" s="12"/>
      <c r="E27" s="5"/>
      <c r="F27" s="5"/>
      <c r="G27" s="350" t="str">
        <f t="shared" ref="G27:G45" si="2">IF(ISERROR(F27-E27),"",IF(F27=0,"",F27-E27))</f>
        <v/>
      </c>
      <c r="H27" s="28" t="str">
        <f t="shared" ref="H27:H45" si="3">IF(ISERROR(F27-E27),"",IF(F27=0,"",IF(G27="",0,ROUND(G27*100/E27,2))))</f>
        <v/>
      </c>
      <c r="I27" s="7"/>
    </row>
    <row r="28" spans="1:9" ht="15.75" customHeight="1">
      <c r="A28" s="8"/>
      <c r="B28" s="7"/>
      <c r="C28" s="146"/>
      <c r="D28" s="12"/>
      <c r="E28" s="5"/>
      <c r="F28" s="5"/>
      <c r="G28" s="350" t="str">
        <f t="shared" si="2"/>
        <v/>
      </c>
      <c r="H28" s="28" t="str">
        <f t="shared" si="3"/>
        <v/>
      </c>
      <c r="I28" s="7"/>
    </row>
    <row r="29" spans="1:9" ht="15.75" customHeight="1">
      <c r="A29" s="8"/>
      <c r="B29" s="7"/>
      <c r="C29" s="146"/>
      <c r="D29" s="12"/>
      <c r="E29" s="5"/>
      <c r="F29" s="5"/>
      <c r="G29" s="350" t="str">
        <f t="shared" si="2"/>
        <v/>
      </c>
      <c r="H29" s="28" t="str">
        <f t="shared" si="3"/>
        <v/>
      </c>
      <c r="I29" s="7"/>
    </row>
    <row r="30" spans="1:9" ht="15.75" customHeight="1">
      <c r="A30" s="8"/>
      <c r="B30" s="7"/>
      <c r="C30" s="146"/>
      <c r="D30" s="12"/>
      <c r="E30" s="5"/>
      <c r="F30" s="5"/>
      <c r="G30" s="350" t="str">
        <f t="shared" si="2"/>
        <v/>
      </c>
      <c r="H30" s="28" t="str">
        <f t="shared" si="3"/>
        <v/>
      </c>
      <c r="I30" s="7"/>
    </row>
    <row r="31" spans="1:9" ht="15.75" customHeight="1">
      <c r="A31" s="8"/>
      <c r="B31" s="7"/>
      <c r="C31" s="146"/>
      <c r="D31" s="12"/>
      <c r="E31" s="5"/>
      <c r="F31" s="5"/>
      <c r="G31" s="350" t="str">
        <f t="shared" si="2"/>
        <v/>
      </c>
      <c r="H31" s="28" t="str">
        <f t="shared" si="3"/>
        <v/>
      </c>
      <c r="I31" s="7"/>
    </row>
    <row r="32" spans="1:9" ht="15.75" customHeight="1">
      <c r="A32" s="8"/>
      <c r="B32" s="7"/>
      <c r="C32" s="146"/>
      <c r="D32" s="12"/>
      <c r="E32" s="5"/>
      <c r="F32" s="5"/>
      <c r="G32" s="350" t="str">
        <f t="shared" si="2"/>
        <v/>
      </c>
      <c r="H32" s="28" t="str">
        <f t="shared" si="3"/>
        <v/>
      </c>
      <c r="I32" s="7"/>
    </row>
    <row r="33" spans="1:9" ht="15.75" customHeight="1">
      <c r="A33" s="8"/>
      <c r="B33" s="7"/>
      <c r="C33" s="146"/>
      <c r="D33" s="12"/>
      <c r="E33" s="5"/>
      <c r="F33" s="5"/>
      <c r="G33" s="350" t="str">
        <f t="shared" si="2"/>
        <v/>
      </c>
      <c r="H33" s="28" t="str">
        <f t="shared" si="3"/>
        <v/>
      </c>
      <c r="I33" s="7"/>
    </row>
    <row r="34" spans="1:9" ht="15.75" customHeight="1">
      <c r="A34" s="8"/>
      <c r="B34" s="7"/>
      <c r="C34" s="146"/>
      <c r="D34" s="12"/>
      <c r="E34" s="5"/>
      <c r="F34" s="5"/>
      <c r="G34" s="350" t="str">
        <f t="shared" si="2"/>
        <v/>
      </c>
      <c r="H34" s="28" t="str">
        <f t="shared" si="3"/>
        <v/>
      </c>
      <c r="I34" s="7"/>
    </row>
    <row r="35" spans="1:9" ht="15.75" customHeight="1">
      <c r="A35" s="8"/>
      <c r="B35" s="7"/>
      <c r="C35" s="146"/>
      <c r="D35" s="12"/>
      <c r="E35" s="5"/>
      <c r="F35" s="5"/>
      <c r="G35" s="350" t="str">
        <f t="shared" si="2"/>
        <v/>
      </c>
      <c r="H35" s="28" t="str">
        <f t="shared" si="3"/>
        <v/>
      </c>
      <c r="I35" s="7"/>
    </row>
    <row r="36" spans="1:9" ht="15.75" customHeight="1">
      <c r="A36" s="8"/>
      <c r="B36" s="7"/>
      <c r="C36" s="146"/>
      <c r="D36" s="12"/>
      <c r="E36" s="5"/>
      <c r="F36" s="5"/>
      <c r="G36" s="350" t="str">
        <f t="shared" si="2"/>
        <v/>
      </c>
      <c r="H36" s="28" t="str">
        <f t="shared" si="3"/>
        <v/>
      </c>
      <c r="I36" s="7"/>
    </row>
    <row r="37" spans="1:9" ht="15.75" customHeight="1">
      <c r="A37" s="8"/>
      <c r="B37" s="7"/>
      <c r="C37" s="146"/>
      <c r="D37" s="12"/>
      <c r="E37" s="5"/>
      <c r="F37" s="5"/>
      <c r="G37" s="350" t="str">
        <f t="shared" si="2"/>
        <v/>
      </c>
      <c r="H37" s="28" t="str">
        <f t="shared" si="3"/>
        <v/>
      </c>
      <c r="I37" s="7"/>
    </row>
    <row r="38" spans="1:9" ht="15.75" customHeight="1">
      <c r="A38" s="8"/>
      <c r="B38" s="7"/>
      <c r="C38" s="146"/>
      <c r="D38" s="12"/>
      <c r="E38" s="5"/>
      <c r="F38" s="5"/>
      <c r="G38" s="350" t="str">
        <f t="shared" si="2"/>
        <v/>
      </c>
      <c r="H38" s="28" t="str">
        <f t="shared" si="3"/>
        <v/>
      </c>
      <c r="I38" s="7"/>
    </row>
    <row r="39" spans="1:9" ht="15.75" customHeight="1">
      <c r="A39" s="8"/>
      <c r="B39" s="7"/>
      <c r="C39" s="146"/>
      <c r="D39" s="12"/>
      <c r="E39" s="5"/>
      <c r="F39" s="5"/>
      <c r="G39" s="350" t="str">
        <f t="shared" si="2"/>
        <v/>
      </c>
      <c r="H39" s="28" t="str">
        <f t="shared" si="3"/>
        <v/>
      </c>
      <c r="I39" s="7"/>
    </row>
    <row r="40" spans="1:9" ht="15.75" customHeight="1">
      <c r="A40" s="8"/>
      <c r="B40" s="7"/>
      <c r="C40" s="146"/>
      <c r="D40" s="12"/>
      <c r="E40" s="5"/>
      <c r="F40" s="5"/>
      <c r="G40" s="350" t="str">
        <f t="shared" si="2"/>
        <v/>
      </c>
      <c r="H40" s="28" t="str">
        <f t="shared" si="3"/>
        <v/>
      </c>
      <c r="I40" s="7"/>
    </row>
    <row r="41" spans="1:9" ht="15.75" customHeight="1">
      <c r="A41" s="8"/>
      <c r="B41" s="7"/>
      <c r="C41" s="146"/>
      <c r="D41" s="12"/>
      <c r="E41" s="5"/>
      <c r="F41" s="5"/>
      <c r="G41" s="350" t="str">
        <f t="shared" si="2"/>
        <v/>
      </c>
      <c r="H41" s="28" t="str">
        <f t="shared" si="3"/>
        <v/>
      </c>
      <c r="I41" s="7"/>
    </row>
    <row r="42" spans="1:9" ht="15.75" customHeight="1">
      <c r="A42" s="8"/>
      <c r="B42" s="7"/>
      <c r="C42" s="146"/>
      <c r="D42" s="12"/>
      <c r="E42" s="5"/>
      <c r="F42" s="5"/>
      <c r="G42" s="350" t="str">
        <f t="shared" si="2"/>
        <v/>
      </c>
      <c r="H42" s="28" t="str">
        <f t="shared" si="3"/>
        <v/>
      </c>
      <c r="I42" s="7"/>
    </row>
    <row r="43" spans="1:9" ht="15.75" customHeight="1">
      <c r="A43" s="8"/>
      <c r="B43" s="7"/>
      <c r="C43" s="146"/>
      <c r="D43" s="12"/>
      <c r="E43" s="5"/>
      <c r="F43" s="5"/>
      <c r="G43" s="350" t="str">
        <f t="shared" si="2"/>
        <v/>
      </c>
      <c r="H43" s="28" t="str">
        <f t="shared" si="3"/>
        <v/>
      </c>
      <c r="I43" s="7"/>
    </row>
    <row r="44" spans="1:9" ht="15.75" customHeight="1">
      <c r="A44" s="8"/>
      <c r="B44" s="7"/>
      <c r="C44" s="146"/>
      <c r="D44" s="12"/>
      <c r="E44" s="5"/>
      <c r="F44" s="5"/>
      <c r="G44" s="350" t="str">
        <f t="shared" si="2"/>
        <v/>
      </c>
      <c r="H44" s="28" t="str">
        <f t="shared" si="3"/>
        <v/>
      </c>
      <c r="I44" s="7"/>
    </row>
    <row r="45" spans="1:9" ht="15.75" customHeight="1">
      <c r="A45" s="8"/>
      <c r="B45" s="7"/>
      <c r="C45" s="146"/>
      <c r="D45" s="12"/>
      <c r="E45" s="5"/>
      <c r="F45" s="5"/>
      <c r="G45" s="350" t="str">
        <f t="shared" si="2"/>
        <v/>
      </c>
      <c r="H45" s="28" t="str">
        <f t="shared" si="3"/>
        <v/>
      </c>
      <c r="I45" s="7"/>
    </row>
    <row r="46" spans="1:9" ht="15.75" customHeight="1">
      <c r="A46" s="420" t="s">
        <v>534</v>
      </c>
      <c r="B46" s="421"/>
      <c r="C46" s="232"/>
      <c r="D46" s="30"/>
      <c r="E4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4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46" s="350" t="str">
        <f t="shared" ca="1" si="0"/>
        <v/>
      </c>
      <c r="H46" s="28" t="str">
        <f t="shared" ca="1" si="1"/>
        <v/>
      </c>
      <c r="I46" s="234"/>
    </row>
    <row r="47" spans="1:9" ht="15.75" hidden="1" customHeight="1">
      <c r="A47" s="8"/>
      <c r="B47" s="7"/>
      <c r="C47" s="146"/>
      <c r="D47" s="12"/>
      <c r="E47" s="5"/>
      <c r="F47" s="5"/>
      <c r="G47" s="350" t="str">
        <f>IF(ISERROR(F47-E47),"",IF(F47=0,"",F47-E47))</f>
        <v/>
      </c>
      <c r="H47" s="28" t="str">
        <f>IF(ISERROR(F47-E47),"",IF(F47=0,"",IF(G47="",0,ROUND(G47*100/E47,2))))</f>
        <v/>
      </c>
      <c r="I47" s="7"/>
    </row>
    <row r="48" spans="1:9" ht="15.75" hidden="1" customHeight="1">
      <c r="A48" s="8"/>
      <c r="B48" s="7"/>
      <c r="C48" s="146"/>
      <c r="D48" s="12"/>
      <c r="E48" s="5"/>
      <c r="F48" s="5"/>
      <c r="G48" s="350" t="str">
        <f t="shared" ref="G48:G66" si="4">IF(ISERROR(F48-E48),"",IF(F48=0,"",F48-E48))</f>
        <v/>
      </c>
      <c r="H48" s="28" t="str">
        <f t="shared" ref="H48:H66" si="5">IF(ISERROR(F48-E48),"",IF(F48=0,"",IF(G48="",0,ROUND(G48*100/E48,2))))</f>
        <v/>
      </c>
      <c r="I48" s="7"/>
    </row>
    <row r="49" spans="1:9" ht="15.75" hidden="1" customHeight="1">
      <c r="A49" s="8"/>
      <c r="B49" s="7"/>
      <c r="C49" s="146"/>
      <c r="D49" s="12"/>
      <c r="E49" s="5"/>
      <c r="F49" s="5"/>
      <c r="G49" s="350" t="str">
        <f t="shared" si="4"/>
        <v/>
      </c>
      <c r="H49" s="28" t="str">
        <f t="shared" si="5"/>
        <v/>
      </c>
      <c r="I49" s="7"/>
    </row>
    <row r="50" spans="1:9" ht="15.75" hidden="1" customHeight="1">
      <c r="A50" s="8"/>
      <c r="B50" s="7"/>
      <c r="C50" s="146"/>
      <c r="D50" s="12"/>
      <c r="E50" s="5"/>
      <c r="F50" s="5"/>
      <c r="G50" s="350" t="str">
        <f t="shared" si="4"/>
        <v/>
      </c>
      <c r="H50" s="28" t="str">
        <f t="shared" si="5"/>
        <v/>
      </c>
      <c r="I50" s="7"/>
    </row>
    <row r="51" spans="1:9" ht="15.75" hidden="1" customHeight="1">
      <c r="A51" s="8"/>
      <c r="B51" s="7"/>
      <c r="C51" s="146"/>
      <c r="D51" s="12"/>
      <c r="E51" s="5"/>
      <c r="F51" s="5"/>
      <c r="G51" s="350" t="str">
        <f t="shared" si="4"/>
        <v/>
      </c>
      <c r="H51" s="28" t="str">
        <f t="shared" si="5"/>
        <v/>
      </c>
      <c r="I51" s="7"/>
    </row>
    <row r="52" spans="1:9" ht="15.75" hidden="1" customHeight="1">
      <c r="A52" s="8"/>
      <c r="B52" s="7"/>
      <c r="C52" s="146"/>
      <c r="D52" s="12"/>
      <c r="E52" s="5"/>
      <c r="F52" s="5"/>
      <c r="G52" s="350" t="str">
        <f t="shared" si="4"/>
        <v/>
      </c>
      <c r="H52" s="28" t="str">
        <f t="shared" si="5"/>
        <v/>
      </c>
      <c r="I52" s="7"/>
    </row>
    <row r="53" spans="1:9" ht="15.75" hidden="1" customHeight="1">
      <c r="A53" s="8"/>
      <c r="B53" s="7"/>
      <c r="C53" s="146"/>
      <c r="D53" s="12"/>
      <c r="E53" s="5"/>
      <c r="F53" s="5"/>
      <c r="G53" s="350" t="str">
        <f t="shared" si="4"/>
        <v/>
      </c>
      <c r="H53" s="28" t="str">
        <f t="shared" si="5"/>
        <v/>
      </c>
      <c r="I53" s="7"/>
    </row>
    <row r="54" spans="1:9" ht="15.75" hidden="1" customHeight="1">
      <c r="A54" s="8"/>
      <c r="B54" s="7"/>
      <c r="C54" s="146"/>
      <c r="D54" s="12"/>
      <c r="E54" s="5"/>
      <c r="F54" s="5"/>
      <c r="G54" s="350" t="str">
        <f t="shared" si="4"/>
        <v/>
      </c>
      <c r="H54" s="28" t="str">
        <f t="shared" si="5"/>
        <v/>
      </c>
      <c r="I54" s="7"/>
    </row>
    <row r="55" spans="1:9" ht="15.75" hidden="1" customHeight="1">
      <c r="A55" s="8"/>
      <c r="B55" s="7"/>
      <c r="C55" s="146"/>
      <c r="D55" s="12"/>
      <c r="E55" s="5"/>
      <c r="F55" s="5"/>
      <c r="G55" s="350" t="str">
        <f t="shared" si="4"/>
        <v/>
      </c>
      <c r="H55" s="28" t="str">
        <f t="shared" si="5"/>
        <v/>
      </c>
      <c r="I55" s="7"/>
    </row>
    <row r="56" spans="1:9" ht="15.75" hidden="1" customHeight="1">
      <c r="A56" s="8"/>
      <c r="B56" s="7"/>
      <c r="C56" s="146"/>
      <c r="D56" s="12"/>
      <c r="E56" s="5"/>
      <c r="F56" s="5"/>
      <c r="G56" s="350" t="str">
        <f t="shared" si="4"/>
        <v/>
      </c>
      <c r="H56" s="28" t="str">
        <f t="shared" si="5"/>
        <v/>
      </c>
      <c r="I56" s="7"/>
    </row>
    <row r="57" spans="1:9" ht="15.75" hidden="1" customHeight="1">
      <c r="A57" s="8"/>
      <c r="B57" s="7"/>
      <c r="C57" s="146"/>
      <c r="D57" s="12"/>
      <c r="E57" s="5"/>
      <c r="F57" s="5"/>
      <c r="G57" s="350" t="str">
        <f t="shared" si="4"/>
        <v/>
      </c>
      <c r="H57" s="28" t="str">
        <f t="shared" si="5"/>
        <v/>
      </c>
      <c r="I57" s="7"/>
    </row>
    <row r="58" spans="1:9" ht="15.75" hidden="1" customHeight="1">
      <c r="A58" s="8"/>
      <c r="B58" s="7"/>
      <c r="C58" s="146"/>
      <c r="D58" s="12"/>
      <c r="E58" s="5"/>
      <c r="F58" s="5"/>
      <c r="G58" s="350" t="str">
        <f t="shared" si="4"/>
        <v/>
      </c>
      <c r="H58" s="28" t="str">
        <f t="shared" si="5"/>
        <v/>
      </c>
      <c r="I58" s="7"/>
    </row>
    <row r="59" spans="1:9" ht="15.75" hidden="1" customHeight="1">
      <c r="A59" s="8"/>
      <c r="B59" s="7"/>
      <c r="C59" s="146"/>
      <c r="D59" s="12"/>
      <c r="E59" s="5"/>
      <c r="F59" s="5"/>
      <c r="G59" s="350" t="str">
        <f t="shared" si="4"/>
        <v/>
      </c>
      <c r="H59" s="28" t="str">
        <f t="shared" si="5"/>
        <v/>
      </c>
      <c r="I59" s="7"/>
    </row>
    <row r="60" spans="1:9" ht="15.75" hidden="1" customHeight="1">
      <c r="A60" s="8"/>
      <c r="B60" s="7"/>
      <c r="C60" s="146"/>
      <c r="D60" s="12"/>
      <c r="E60" s="5"/>
      <c r="F60" s="5"/>
      <c r="G60" s="350" t="str">
        <f t="shared" si="4"/>
        <v/>
      </c>
      <c r="H60" s="28" t="str">
        <f t="shared" si="5"/>
        <v/>
      </c>
      <c r="I60" s="7"/>
    </row>
    <row r="61" spans="1:9" ht="15.75" hidden="1" customHeight="1">
      <c r="A61" s="8"/>
      <c r="B61" s="7"/>
      <c r="C61" s="146"/>
      <c r="D61" s="12"/>
      <c r="E61" s="5"/>
      <c r="F61" s="5"/>
      <c r="G61" s="350" t="str">
        <f t="shared" si="4"/>
        <v/>
      </c>
      <c r="H61" s="28" t="str">
        <f t="shared" si="5"/>
        <v/>
      </c>
      <c r="I61" s="7"/>
    </row>
    <row r="62" spans="1:9" ht="15.75" hidden="1" customHeight="1">
      <c r="A62" s="8"/>
      <c r="B62" s="7"/>
      <c r="C62" s="146"/>
      <c r="D62" s="12"/>
      <c r="E62" s="5"/>
      <c r="F62" s="5"/>
      <c r="G62" s="350" t="str">
        <f t="shared" si="4"/>
        <v/>
      </c>
      <c r="H62" s="28" t="str">
        <f t="shared" si="5"/>
        <v/>
      </c>
      <c r="I62" s="7"/>
    </row>
    <row r="63" spans="1:9" ht="15.75" hidden="1" customHeight="1">
      <c r="A63" s="8"/>
      <c r="B63" s="7"/>
      <c r="C63" s="146"/>
      <c r="D63" s="12"/>
      <c r="E63" s="5"/>
      <c r="F63" s="5"/>
      <c r="G63" s="350" t="str">
        <f t="shared" si="4"/>
        <v/>
      </c>
      <c r="H63" s="28" t="str">
        <f t="shared" si="5"/>
        <v/>
      </c>
      <c r="I63" s="7"/>
    </row>
    <row r="64" spans="1:9" ht="15.75" hidden="1" customHeight="1">
      <c r="A64" s="8"/>
      <c r="B64" s="7"/>
      <c r="C64" s="146"/>
      <c r="D64" s="12"/>
      <c r="E64" s="5"/>
      <c r="F64" s="5"/>
      <c r="G64" s="350" t="str">
        <f t="shared" si="4"/>
        <v/>
      </c>
      <c r="H64" s="28" t="str">
        <f t="shared" si="5"/>
        <v/>
      </c>
      <c r="I64" s="7"/>
    </row>
    <row r="65" spans="1:9" ht="15.75" hidden="1" customHeight="1">
      <c r="A65" s="8"/>
      <c r="B65" s="7"/>
      <c r="C65" s="146"/>
      <c r="D65" s="12"/>
      <c r="E65" s="5"/>
      <c r="F65" s="5"/>
      <c r="G65" s="350" t="str">
        <f t="shared" si="4"/>
        <v/>
      </c>
      <c r="H65" s="28" t="str">
        <f t="shared" si="5"/>
        <v/>
      </c>
      <c r="I65" s="7"/>
    </row>
    <row r="66" spans="1:9" ht="15.75" hidden="1" customHeight="1">
      <c r="A66" s="8"/>
      <c r="B66" s="7"/>
      <c r="C66" s="146"/>
      <c r="D66" s="12"/>
      <c r="E66" s="5"/>
      <c r="F66" s="5"/>
      <c r="G66" s="350" t="str">
        <f t="shared" si="4"/>
        <v/>
      </c>
      <c r="H66" s="28" t="str">
        <f t="shared" si="5"/>
        <v/>
      </c>
      <c r="I66" s="7"/>
    </row>
  </sheetData>
  <mergeCells count="8">
    <mergeCell ref="N5:N6"/>
    <mergeCell ref="O5:O6"/>
    <mergeCell ref="A1:I1"/>
    <mergeCell ref="A2:I2"/>
    <mergeCell ref="A46:B46"/>
    <mergeCell ref="J5:J6"/>
    <mergeCell ref="K5:K6"/>
    <mergeCell ref="L5:M5"/>
  </mergeCells>
  <phoneticPr fontId="6" type="noConversion"/>
  <printOptions horizontalCentered="1" verticalCentered="1"/>
  <pageMargins left="0.98425196850393704" right="0.59055118110236227" top="0.39370078740157483" bottom="0.8267716535433071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&amp;R&amp;"宋体,常规"&amp;10表3-9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rowBreaks count="2" manualBreakCount="2">
    <brk id="26" max="16383" man="1"/>
    <brk id="4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2</xdr:row>
                    <xdr:rowOff>0</xdr:rowOff>
                  </from>
                  <to>
                    <xdr:col>3</xdr:col>
                    <xdr:colOff>406400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7D7-141D-42BD-80D3-6F874DAE03DA}">
  <sheetPr codeName="Sheet22">
    <pageSetUpPr fitToPage="1"/>
  </sheetPr>
  <dimension ref="A1:R46"/>
  <sheetViews>
    <sheetView workbookViewId="0">
      <pane ySplit="6" topLeftCell="A7" activePane="bottomLeft" state="frozen"/>
      <selection activeCell="F17" sqref="F17"/>
      <selection pane="bottomLeft" activeCell="E16" sqref="E16"/>
    </sheetView>
  </sheetViews>
  <sheetFormatPr baseColWidth="10" defaultColWidth="9" defaultRowHeight="15.75" customHeight="1"/>
  <cols>
    <col min="1" max="1" width="5.1640625" style="81" customWidth="1"/>
    <col min="2" max="2" width="19.6640625" style="81" customWidth="1"/>
    <col min="3" max="3" width="10.5" style="81" customWidth="1"/>
    <col min="4" max="4" width="8" style="81" customWidth="1"/>
    <col min="5" max="5" width="7.6640625" style="81" customWidth="1"/>
    <col min="6" max="7" width="14.5" style="81" customWidth="1"/>
    <col min="8" max="8" width="11.5" style="351" customWidth="1"/>
    <col min="9" max="9" width="10.5" style="135" customWidth="1"/>
    <col min="10" max="10" width="12.5" style="81" customWidth="1"/>
    <col min="11" max="11" width="4.5" style="81" customWidth="1"/>
    <col min="12" max="12" width="7" style="81" customWidth="1"/>
    <col min="13" max="13" width="10.1640625" style="81" customWidth="1"/>
    <col min="14" max="14" width="6.6640625" style="81" customWidth="1"/>
    <col min="15" max="15" width="5.5" style="81" customWidth="1"/>
    <col min="16" max="17" width="7" style="81" customWidth="1"/>
    <col min="18" max="16384" width="9" style="81"/>
  </cols>
  <sheetData>
    <row r="1" spans="1:18" s="80" customFormat="1" ht="30" customHeight="1">
      <c r="A1" s="374" t="s">
        <v>980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</row>
    <row r="3" spans="1:18" ht="14.25" customHeight="1">
      <c r="A3" s="40"/>
      <c r="B3" s="40"/>
      <c r="C3" s="40"/>
      <c r="D3" s="40"/>
      <c r="E3" s="40"/>
      <c r="F3" s="171"/>
      <c r="G3" s="171"/>
      <c r="H3" s="347"/>
      <c r="I3" s="172"/>
      <c r="J3" s="178"/>
    </row>
    <row r="4" spans="1:18" ht="14.25" customHeight="1">
      <c r="A4" s="40"/>
      <c r="B4" s="40"/>
      <c r="C4" s="40"/>
      <c r="D4" s="40"/>
      <c r="E4" s="40"/>
      <c r="F4" s="171"/>
      <c r="G4" s="171"/>
      <c r="H4" s="347"/>
      <c r="I4" s="172"/>
      <c r="J4" s="178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183"/>
      <c r="G5" s="42"/>
      <c r="H5" s="348"/>
      <c r="I5" s="173"/>
      <c r="J5" s="122"/>
      <c r="K5" s="463" t="s">
        <v>691</v>
      </c>
      <c r="L5" s="464"/>
      <c r="M5" s="280" t="s">
        <v>692</v>
      </c>
      <c r="N5" s="315" t="s">
        <v>693</v>
      </c>
      <c r="O5" s="461" t="s">
        <v>597</v>
      </c>
      <c r="P5" s="461" t="s">
        <v>651</v>
      </c>
      <c r="Q5" s="425" t="s">
        <v>598</v>
      </c>
      <c r="R5" s="458" t="s">
        <v>599</v>
      </c>
    </row>
    <row r="6" spans="1:18" s="101" customFormat="1" ht="15.75" customHeight="1">
      <c r="A6" s="45" t="s">
        <v>7</v>
      </c>
      <c r="B6" s="45" t="s">
        <v>408</v>
      </c>
      <c r="C6" s="45" t="s">
        <v>35</v>
      </c>
      <c r="D6" s="45" t="s">
        <v>36</v>
      </c>
      <c r="E6" s="45" t="s">
        <v>136</v>
      </c>
      <c r="F6" s="124" t="s">
        <v>117</v>
      </c>
      <c r="G6" s="45" t="s">
        <v>0</v>
      </c>
      <c r="H6" s="349" t="s">
        <v>1</v>
      </c>
      <c r="I6" s="175" t="s">
        <v>479</v>
      </c>
      <c r="J6" s="45" t="s">
        <v>39</v>
      </c>
      <c r="K6" s="309" t="s">
        <v>694</v>
      </c>
      <c r="L6" s="309" t="s">
        <v>695</v>
      </c>
      <c r="M6" s="310" t="s">
        <v>696</v>
      </c>
      <c r="N6" s="316" t="s">
        <v>697</v>
      </c>
      <c r="O6" s="462"/>
      <c r="P6" s="462"/>
      <c r="Q6" s="426"/>
      <c r="R6" s="459"/>
    </row>
    <row r="7" spans="1:18" ht="15.75" customHeight="1">
      <c r="A7" s="8">
        <v>1</v>
      </c>
      <c r="B7" s="7" t="s">
        <v>1059</v>
      </c>
      <c r="C7" s="372" t="s">
        <v>1065</v>
      </c>
      <c r="D7" s="146" t="s">
        <v>1069</v>
      </c>
      <c r="E7" s="8"/>
      <c r="F7" s="5"/>
      <c r="G7" s="5"/>
      <c r="H7" s="350" t="str">
        <f>IF(ISERROR(G7-F7),"",IF(G7=0,"",G7-F7))</f>
        <v/>
      </c>
      <c r="I7" s="28" t="str">
        <f>IF(ISERROR(G7-F7),"",IF(G7=0,"",IF(H7="",0,ROUND(H7*100/F7,2))))</f>
        <v/>
      </c>
      <c r="J7" s="7"/>
      <c r="K7" s="7"/>
      <c r="L7" s="7"/>
      <c r="M7" s="7"/>
      <c r="N7" s="7"/>
      <c r="O7" s="7"/>
      <c r="P7" s="7"/>
      <c r="Q7" s="7"/>
      <c r="R7" s="7"/>
    </row>
    <row r="8" spans="1:18" ht="15.75" customHeight="1">
      <c r="A8" s="8">
        <v>2</v>
      </c>
      <c r="B8" s="7" t="s">
        <v>1060</v>
      </c>
      <c r="C8" s="372" t="s">
        <v>1066</v>
      </c>
      <c r="D8" s="146" t="s">
        <v>1069</v>
      </c>
      <c r="E8" s="8"/>
      <c r="F8" s="5"/>
      <c r="G8" s="5"/>
      <c r="H8" s="350" t="str">
        <f t="shared" ref="H8:H26" si="0">IF(ISERROR(G8-F8),"",IF(G8=0,"",G8-F8))</f>
        <v/>
      </c>
      <c r="I8" s="28" t="str">
        <f t="shared" ref="I8:I26" si="1">IF(ISERROR(G8-F8),"",IF(G8=0,"",IF(H8="",0,ROUND(H8*100/F8,2))))</f>
        <v/>
      </c>
      <c r="J8" s="7"/>
      <c r="K8" s="7"/>
      <c r="L8" s="7"/>
      <c r="M8" s="7"/>
      <c r="N8" s="7"/>
      <c r="O8" s="7"/>
      <c r="P8" s="7"/>
      <c r="Q8" s="7"/>
      <c r="R8" s="7"/>
    </row>
    <row r="9" spans="1:18" ht="15.75" customHeight="1">
      <c r="A9" s="8">
        <v>3</v>
      </c>
      <c r="B9" s="7" t="s">
        <v>1061</v>
      </c>
      <c r="C9" s="372" t="s">
        <v>1067</v>
      </c>
      <c r="D9" s="146" t="s">
        <v>1069</v>
      </c>
      <c r="E9" s="8"/>
      <c r="F9" s="5"/>
      <c r="G9" s="5"/>
      <c r="H9" s="350" t="str">
        <f t="shared" si="0"/>
        <v/>
      </c>
      <c r="I9" s="28" t="str">
        <f t="shared" si="1"/>
        <v/>
      </c>
      <c r="J9" s="7"/>
      <c r="K9" s="7"/>
      <c r="L9" s="7"/>
      <c r="M9" s="7"/>
      <c r="N9" s="7"/>
      <c r="O9" s="7"/>
      <c r="P9" s="7"/>
      <c r="Q9" s="7"/>
      <c r="R9" s="7"/>
    </row>
    <row r="10" spans="1:18" ht="15.75" customHeight="1">
      <c r="A10" s="8">
        <v>4</v>
      </c>
      <c r="B10" s="7" t="s">
        <v>1062</v>
      </c>
      <c r="C10" s="372" t="s">
        <v>1068</v>
      </c>
      <c r="D10" s="146" t="s">
        <v>1069</v>
      </c>
      <c r="E10" s="8"/>
      <c r="F10" s="5"/>
      <c r="G10" s="5"/>
      <c r="H10" s="350" t="str">
        <f t="shared" si="0"/>
        <v/>
      </c>
      <c r="I10" s="28" t="str">
        <f t="shared" si="1"/>
        <v/>
      </c>
      <c r="J10" s="7"/>
      <c r="K10" s="7"/>
      <c r="L10" s="7"/>
      <c r="M10" s="7"/>
      <c r="N10" s="7"/>
      <c r="O10" s="7"/>
      <c r="P10" s="7"/>
      <c r="Q10" s="7"/>
      <c r="R10" s="7"/>
    </row>
    <row r="11" spans="1:18" ht="15.75" customHeight="1">
      <c r="A11" s="8">
        <v>5</v>
      </c>
      <c r="B11" s="7" t="s">
        <v>1063</v>
      </c>
      <c r="C11" s="8"/>
      <c r="D11" s="146" t="s">
        <v>1069</v>
      </c>
      <c r="E11" s="8"/>
      <c r="F11" s="5"/>
      <c r="G11" s="5"/>
      <c r="H11" s="350" t="str">
        <f t="shared" si="0"/>
        <v/>
      </c>
      <c r="I11" s="28" t="str">
        <f t="shared" si="1"/>
        <v/>
      </c>
      <c r="J11" s="7"/>
      <c r="K11" s="7"/>
      <c r="L11" s="7"/>
      <c r="M11" s="7"/>
      <c r="N11" s="7"/>
      <c r="O11" s="7"/>
      <c r="P11" s="7"/>
      <c r="Q11" s="7"/>
      <c r="R11" s="7"/>
    </row>
    <row r="12" spans="1:18" ht="15.75" customHeight="1">
      <c r="A12" s="8">
        <v>6</v>
      </c>
      <c r="B12" s="7" t="s">
        <v>1064</v>
      </c>
      <c r="C12" s="8"/>
      <c r="D12" s="146" t="s">
        <v>1069</v>
      </c>
      <c r="E12" s="8"/>
      <c r="F12" s="5"/>
      <c r="G12" s="5"/>
      <c r="H12" s="350" t="str">
        <f t="shared" si="0"/>
        <v/>
      </c>
      <c r="I12" s="28" t="str">
        <f t="shared" si="1"/>
        <v/>
      </c>
      <c r="J12" s="7"/>
      <c r="K12" s="7"/>
      <c r="L12" s="7"/>
      <c r="M12" s="7"/>
      <c r="N12" s="7"/>
      <c r="O12" s="7"/>
      <c r="P12" s="7"/>
      <c r="Q12" s="7"/>
      <c r="R12" s="7"/>
    </row>
    <row r="13" spans="1:18" ht="15.75" customHeight="1">
      <c r="A13" s="8"/>
      <c r="B13" s="7"/>
      <c r="C13" s="8"/>
      <c r="D13" s="146"/>
      <c r="E13" s="8"/>
      <c r="F13" s="5"/>
      <c r="G13" s="5"/>
      <c r="H13" s="350" t="str">
        <f t="shared" si="0"/>
        <v/>
      </c>
      <c r="I13" s="28" t="str">
        <f t="shared" si="1"/>
        <v/>
      </c>
      <c r="J13" s="7"/>
      <c r="K13" s="7"/>
      <c r="L13" s="7"/>
      <c r="M13" s="7"/>
      <c r="N13" s="7"/>
      <c r="O13" s="7"/>
      <c r="P13" s="7"/>
      <c r="Q13" s="7"/>
      <c r="R13" s="7"/>
    </row>
    <row r="14" spans="1:18" ht="15.75" customHeight="1">
      <c r="A14" s="8"/>
      <c r="B14" s="7"/>
      <c r="C14" s="8"/>
      <c r="D14" s="146"/>
      <c r="E14" s="8"/>
      <c r="F14" s="5"/>
      <c r="G14" s="5"/>
      <c r="H14" s="350" t="str">
        <f t="shared" si="0"/>
        <v/>
      </c>
      <c r="I14" s="28" t="str">
        <f t="shared" si="1"/>
        <v/>
      </c>
      <c r="J14" s="7"/>
      <c r="K14" s="7"/>
      <c r="L14" s="7"/>
      <c r="M14" s="7"/>
      <c r="N14" s="7"/>
      <c r="O14" s="7"/>
      <c r="P14" s="7"/>
      <c r="Q14" s="7"/>
      <c r="R14" s="7"/>
    </row>
    <row r="15" spans="1:18" ht="15.75" customHeight="1">
      <c r="A15" s="8"/>
      <c r="B15" s="7"/>
      <c r="C15" s="8"/>
      <c r="D15" s="146"/>
      <c r="E15" s="8"/>
      <c r="F15" s="5"/>
      <c r="G15" s="5"/>
      <c r="H15" s="350" t="str">
        <f t="shared" si="0"/>
        <v/>
      </c>
      <c r="I15" s="28" t="str">
        <f t="shared" si="1"/>
        <v/>
      </c>
      <c r="J15" s="7"/>
      <c r="K15" s="7"/>
      <c r="L15" s="7"/>
      <c r="M15" s="7"/>
      <c r="N15" s="7"/>
      <c r="O15" s="7"/>
      <c r="P15" s="7"/>
      <c r="Q15" s="7"/>
      <c r="R15" s="7"/>
    </row>
    <row r="16" spans="1:18" ht="15.75" customHeight="1">
      <c r="A16" s="8"/>
      <c r="B16" s="7"/>
      <c r="C16" s="8"/>
      <c r="D16" s="146"/>
      <c r="E16" s="8"/>
      <c r="F16" s="5"/>
      <c r="G16" s="5"/>
      <c r="H16" s="350" t="str">
        <f t="shared" si="0"/>
        <v/>
      </c>
      <c r="I16" s="28" t="str">
        <f t="shared" si="1"/>
        <v/>
      </c>
      <c r="J16" s="7"/>
      <c r="K16" s="7"/>
      <c r="L16" s="7"/>
      <c r="M16" s="7"/>
      <c r="N16" s="7"/>
      <c r="O16" s="7"/>
      <c r="P16" s="7"/>
      <c r="Q16" s="7"/>
      <c r="R16" s="7"/>
    </row>
    <row r="17" spans="1:18" ht="15.75" customHeight="1">
      <c r="A17" s="8"/>
      <c r="B17" s="7"/>
      <c r="C17" s="8"/>
      <c r="D17" s="146"/>
      <c r="E17" s="8"/>
      <c r="F17" s="5"/>
      <c r="G17" s="5"/>
      <c r="H17" s="350" t="str">
        <f t="shared" si="0"/>
        <v/>
      </c>
      <c r="I17" s="28" t="str">
        <f t="shared" si="1"/>
        <v/>
      </c>
      <c r="J17" s="7"/>
      <c r="K17" s="7"/>
      <c r="L17" s="7"/>
      <c r="M17" s="7"/>
      <c r="N17" s="7"/>
      <c r="O17" s="7"/>
      <c r="P17" s="7"/>
      <c r="Q17" s="7"/>
      <c r="R17" s="7"/>
    </row>
    <row r="18" spans="1:18" ht="15.75" customHeight="1">
      <c r="A18" s="8"/>
      <c r="B18" s="7"/>
      <c r="C18" s="8"/>
      <c r="D18" s="146"/>
      <c r="E18" s="8"/>
      <c r="F18" s="5"/>
      <c r="G18" s="5"/>
      <c r="H18" s="350" t="str">
        <f t="shared" si="0"/>
        <v/>
      </c>
      <c r="I18" s="28" t="str">
        <f t="shared" si="1"/>
        <v/>
      </c>
      <c r="J18" s="7"/>
      <c r="K18" s="7"/>
      <c r="L18" s="7"/>
      <c r="M18" s="7"/>
      <c r="N18" s="7"/>
      <c r="O18" s="7"/>
      <c r="P18" s="7"/>
      <c r="Q18" s="7"/>
      <c r="R18" s="7"/>
    </row>
    <row r="19" spans="1:18" ht="15.75" customHeight="1">
      <c r="A19" s="8"/>
      <c r="B19" s="7"/>
      <c r="C19" s="8"/>
      <c r="D19" s="146"/>
      <c r="E19" s="8"/>
      <c r="F19" s="5"/>
      <c r="G19" s="5"/>
      <c r="H19" s="350" t="str">
        <f t="shared" si="0"/>
        <v/>
      </c>
      <c r="I19" s="28" t="str">
        <f t="shared" si="1"/>
        <v/>
      </c>
      <c r="J19" s="7"/>
      <c r="K19" s="7"/>
      <c r="L19" s="7"/>
      <c r="M19" s="7"/>
      <c r="N19" s="7"/>
      <c r="O19" s="7"/>
      <c r="P19" s="7"/>
      <c r="Q19" s="7"/>
      <c r="R19" s="7"/>
    </row>
    <row r="20" spans="1:18" ht="15.75" customHeight="1">
      <c r="A20" s="8"/>
      <c r="B20" s="7"/>
      <c r="C20" s="8"/>
      <c r="D20" s="146"/>
      <c r="E20" s="8"/>
      <c r="F20" s="5"/>
      <c r="G20" s="5"/>
      <c r="H20" s="350" t="str">
        <f t="shared" si="0"/>
        <v/>
      </c>
      <c r="I20" s="28" t="str">
        <f t="shared" si="1"/>
        <v/>
      </c>
      <c r="J20" s="7"/>
      <c r="K20" s="7"/>
      <c r="L20" s="7"/>
      <c r="M20" s="7"/>
      <c r="N20" s="7"/>
      <c r="O20" s="7"/>
      <c r="P20" s="7"/>
      <c r="Q20" s="7"/>
      <c r="R20" s="7"/>
    </row>
    <row r="21" spans="1:18" ht="15.75" customHeight="1">
      <c r="A21" s="8"/>
      <c r="B21" s="7"/>
      <c r="C21" s="8"/>
      <c r="D21" s="146"/>
      <c r="E21" s="8"/>
      <c r="F21" s="5"/>
      <c r="G21" s="5"/>
      <c r="H21" s="350" t="str">
        <f t="shared" si="0"/>
        <v/>
      </c>
      <c r="I21" s="28" t="str">
        <f t="shared" si="1"/>
        <v/>
      </c>
      <c r="J21" s="7"/>
      <c r="K21" s="7"/>
      <c r="L21" s="7"/>
      <c r="M21" s="7"/>
      <c r="N21" s="7"/>
      <c r="O21" s="7"/>
      <c r="P21" s="7"/>
      <c r="Q21" s="7"/>
      <c r="R21" s="7"/>
    </row>
    <row r="22" spans="1:18" ht="15.75" customHeight="1">
      <c r="A22" s="8"/>
      <c r="B22" s="7"/>
      <c r="C22" s="8"/>
      <c r="D22" s="146"/>
      <c r="E22" s="8"/>
      <c r="F22" s="5"/>
      <c r="G22" s="5"/>
      <c r="H22" s="350" t="str">
        <f t="shared" si="0"/>
        <v/>
      </c>
      <c r="I22" s="28" t="str">
        <f t="shared" si="1"/>
        <v/>
      </c>
      <c r="J22" s="7"/>
      <c r="K22" s="7"/>
      <c r="L22" s="7"/>
      <c r="M22" s="7"/>
      <c r="N22" s="7"/>
      <c r="O22" s="7"/>
      <c r="P22" s="7"/>
      <c r="Q22" s="7"/>
      <c r="R22" s="7"/>
    </row>
    <row r="23" spans="1:18" ht="15.75" customHeight="1">
      <c r="A23" s="8"/>
      <c r="B23" s="7"/>
      <c r="C23" s="8"/>
      <c r="D23" s="146"/>
      <c r="E23" s="8"/>
      <c r="F23" s="5"/>
      <c r="G23" s="5"/>
      <c r="H23" s="350" t="str">
        <f t="shared" si="0"/>
        <v/>
      </c>
      <c r="I23" s="28" t="str">
        <f t="shared" si="1"/>
        <v/>
      </c>
      <c r="J23" s="7"/>
      <c r="K23" s="7"/>
      <c r="L23" s="7"/>
      <c r="M23" s="7"/>
      <c r="N23" s="7"/>
      <c r="O23" s="7"/>
      <c r="P23" s="7"/>
      <c r="Q23" s="7"/>
      <c r="R23" s="7"/>
    </row>
    <row r="24" spans="1:18" ht="15.75" customHeight="1">
      <c r="A24" s="420" t="s">
        <v>534</v>
      </c>
      <c r="B24" s="421"/>
      <c r="C24" s="237"/>
      <c r="D24" s="232"/>
      <c r="E24" s="237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50" t="str">
        <f t="shared" ca="1" si="0"/>
        <v/>
      </c>
      <c r="I24" s="28" t="str">
        <f t="shared" ca="1" si="1"/>
        <v/>
      </c>
      <c r="J24" s="234"/>
      <c r="K24" s="234"/>
      <c r="L24" s="234"/>
      <c r="M24" s="234"/>
      <c r="N24" s="234"/>
      <c r="O24" s="234"/>
      <c r="P24" s="234"/>
      <c r="Q24" s="234"/>
      <c r="R24" s="234"/>
    </row>
    <row r="25" spans="1:18" ht="15.75" customHeight="1">
      <c r="A25" s="379" t="s">
        <v>444</v>
      </c>
      <c r="B25" s="444"/>
      <c r="C25" s="237"/>
      <c r="D25" s="232"/>
      <c r="E25" s="237"/>
      <c r="F25" s="31"/>
      <c r="G25" s="31"/>
      <c r="H25" s="350"/>
      <c r="I25" s="28"/>
      <c r="J25" s="234"/>
      <c r="K25" s="234"/>
      <c r="L25" s="234"/>
      <c r="M25" s="234"/>
      <c r="N25" s="234"/>
      <c r="O25" s="234"/>
      <c r="P25" s="234"/>
      <c r="Q25" s="234"/>
      <c r="R25" s="234"/>
    </row>
    <row r="26" spans="1:18" ht="15.75" customHeight="1">
      <c r="A26" s="420" t="s">
        <v>534</v>
      </c>
      <c r="B26" s="421"/>
      <c r="C26" s="30"/>
      <c r="D26" s="232"/>
      <c r="E26" s="30"/>
      <c r="F26" s="31" t="str">
        <f ca="1">IF(F25="",F24,F24-F25)</f>
        <v/>
      </c>
      <c r="G26" s="31" t="str">
        <f ca="1">IF(G25="",G24,G24-G25)</f>
        <v/>
      </c>
      <c r="H26" s="350" t="str">
        <f t="shared" ca="1" si="0"/>
        <v/>
      </c>
      <c r="I26" s="28" t="str">
        <f t="shared" ca="1" si="1"/>
        <v/>
      </c>
      <c r="J26" s="234"/>
      <c r="K26" s="234"/>
      <c r="L26" s="234"/>
      <c r="M26" s="234"/>
      <c r="N26" s="234"/>
      <c r="O26" s="234"/>
      <c r="P26" s="234"/>
      <c r="Q26" s="234"/>
      <c r="R26" s="234"/>
    </row>
    <row r="27" spans="1:18" ht="15.75" hidden="1" customHeight="1">
      <c r="A27" s="8"/>
      <c r="B27" s="7"/>
      <c r="C27" s="8"/>
      <c r="D27" s="146"/>
      <c r="E27" s="8"/>
      <c r="F27" s="5"/>
      <c r="G27" s="5"/>
      <c r="H27" s="350" t="str">
        <f t="shared" ref="H27:H46" si="2">IF(ISERROR(G27-F27),"",IF(G27=0,"",G27-F27))</f>
        <v/>
      </c>
      <c r="I27" s="28" t="str">
        <f t="shared" ref="I27:I46" si="3">IF(ISERROR(G27-F27),"",IF(G27=0,"",IF(H27="",0,ROUND(H27*100/F27,2))))</f>
        <v/>
      </c>
      <c r="J27" s="7"/>
    </row>
    <row r="28" spans="1:18" ht="15.75" hidden="1" customHeight="1">
      <c r="A28" s="8"/>
      <c r="B28" s="7"/>
      <c r="C28" s="8"/>
      <c r="D28" s="146"/>
      <c r="E28" s="8"/>
      <c r="F28" s="5"/>
      <c r="G28" s="5"/>
      <c r="H28" s="350" t="str">
        <f t="shared" si="2"/>
        <v/>
      </c>
      <c r="I28" s="28" t="str">
        <f t="shared" si="3"/>
        <v/>
      </c>
      <c r="J28" s="7"/>
    </row>
    <row r="29" spans="1:18" ht="15.75" hidden="1" customHeight="1">
      <c r="A29" s="8"/>
      <c r="B29" s="7"/>
      <c r="C29" s="8"/>
      <c r="D29" s="146"/>
      <c r="E29" s="8"/>
      <c r="F29" s="5"/>
      <c r="G29" s="5"/>
      <c r="H29" s="350" t="str">
        <f t="shared" si="2"/>
        <v/>
      </c>
      <c r="I29" s="28" t="str">
        <f t="shared" si="3"/>
        <v/>
      </c>
      <c r="J29" s="7"/>
    </row>
    <row r="30" spans="1:18" ht="15.75" hidden="1" customHeight="1">
      <c r="A30" s="8"/>
      <c r="B30" s="7"/>
      <c r="C30" s="8"/>
      <c r="D30" s="146"/>
      <c r="E30" s="8"/>
      <c r="F30" s="5"/>
      <c r="G30" s="5"/>
      <c r="H30" s="350" t="str">
        <f t="shared" si="2"/>
        <v/>
      </c>
      <c r="I30" s="28" t="str">
        <f t="shared" si="3"/>
        <v/>
      </c>
      <c r="J30" s="7"/>
    </row>
    <row r="31" spans="1:18" ht="15.75" hidden="1" customHeight="1">
      <c r="A31" s="8"/>
      <c r="B31" s="7"/>
      <c r="C31" s="8"/>
      <c r="D31" s="146"/>
      <c r="E31" s="8"/>
      <c r="F31" s="5"/>
      <c r="G31" s="5"/>
      <c r="H31" s="350" t="str">
        <f t="shared" si="2"/>
        <v/>
      </c>
      <c r="I31" s="28" t="str">
        <f t="shared" si="3"/>
        <v/>
      </c>
      <c r="J31" s="7"/>
    </row>
    <row r="32" spans="1:18" ht="15.75" hidden="1" customHeight="1">
      <c r="A32" s="8"/>
      <c r="B32" s="7"/>
      <c r="C32" s="8"/>
      <c r="D32" s="146"/>
      <c r="E32" s="8"/>
      <c r="F32" s="5"/>
      <c r="G32" s="5"/>
      <c r="H32" s="350" t="str">
        <f t="shared" si="2"/>
        <v/>
      </c>
      <c r="I32" s="28" t="str">
        <f t="shared" si="3"/>
        <v/>
      </c>
      <c r="J32" s="7"/>
    </row>
    <row r="33" spans="1:10" ht="15.75" hidden="1" customHeight="1">
      <c r="A33" s="8"/>
      <c r="B33" s="7"/>
      <c r="C33" s="8"/>
      <c r="D33" s="146"/>
      <c r="E33" s="8"/>
      <c r="F33" s="5"/>
      <c r="G33" s="5"/>
      <c r="H33" s="350" t="str">
        <f t="shared" si="2"/>
        <v/>
      </c>
      <c r="I33" s="28" t="str">
        <f t="shared" si="3"/>
        <v/>
      </c>
      <c r="J33" s="7"/>
    </row>
    <row r="34" spans="1:10" ht="15.75" hidden="1" customHeight="1">
      <c r="A34" s="8"/>
      <c r="B34" s="7"/>
      <c r="C34" s="8"/>
      <c r="D34" s="146"/>
      <c r="E34" s="8"/>
      <c r="F34" s="5"/>
      <c r="G34" s="5"/>
      <c r="H34" s="350" t="str">
        <f t="shared" si="2"/>
        <v/>
      </c>
      <c r="I34" s="28" t="str">
        <f t="shared" si="3"/>
        <v/>
      </c>
      <c r="J34" s="7"/>
    </row>
    <row r="35" spans="1:10" ht="15.75" hidden="1" customHeight="1">
      <c r="A35" s="8"/>
      <c r="B35" s="7"/>
      <c r="C35" s="8"/>
      <c r="D35" s="146"/>
      <c r="E35" s="8"/>
      <c r="F35" s="5"/>
      <c r="G35" s="5"/>
      <c r="H35" s="350" t="str">
        <f t="shared" si="2"/>
        <v/>
      </c>
      <c r="I35" s="28" t="str">
        <f t="shared" si="3"/>
        <v/>
      </c>
      <c r="J35" s="7"/>
    </row>
    <row r="36" spans="1:10" ht="15.75" hidden="1" customHeight="1">
      <c r="A36" s="8"/>
      <c r="B36" s="7"/>
      <c r="C36" s="8"/>
      <c r="D36" s="146"/>
      <c r="E36" s="8"/>
      <c r="F36" s="5"/>
      <c r="G36" s="5"/>
      <c r="H36" s="350" t="str">
        <f t="shared" si="2"/>
        <v/>
      </c>
      <c r="I36" s="28" t="str">
        <f t="shared" si="3"/>
        <v/>
      </c>
      <c r="J36" s="7"/>
    </row>
    <row r="37" spans="1:10" ht="15.75" hidden="1" customHeight="1">
      <c r="A37" s="8"/>
      <c r="B37" s="7"/>
      <c r="C37" s="8"/>
      <c r="D37" s="146"/>
      <c r="E37" s="8"/>
      <c r="F37" s="5"/>
      <c r="G37" s="5"/>
      <c r="H37" s="350" t="str">
        <f t="shared" si="2"/>
        <v/>
      </c>
      <c r="I37" s="28" t="str">
        <f t="shared" si="3"/>
        <v/>
      </c>
      <c r="J37" s="7"/>
    </row>
    <row r="38" spans="1:10" ht="15.75" hidden="1" customHeight="1">
      <c r="A38" s="8"/>
      <c r="B38" s="7"/>
      <c r="C38" s="8"/>
      <c r="D38" s="146"/>
      <c r="E38" s="8"/>
      <c r="F38" s="5"/>
      <c r="G38" s="5"/>
      <c r="H38" s="350" t="str">
        <f t="shared" si="2"/>
        <v/>
      </c>
      <c r="I38" s="28" t="str">
        <f t="shared" si="3"/>
        <v/>
      </c>
      <c r="J38" s="7"/>
    </row>
    <row r="39" spans="1:10" ht="15.75" hidden="1" customHeight="1">
      <c r="A39" s="8"/>
      <c r="B39" s="7"/>
      <c r="C39" s="8"/>
      <c r="D39" s="146"/>
      <c r="E39" s="8"/>
      <c r="F39" s="5"/>
      <c r="G39" s="5"/>
      <c r="H39" s="350" t="str">
        <f t="shared" si="2"/>
        <v/>
      </c>
      <c r="I39" s="28" t="str">
        <f t="shared" si="3"/>
        <v/>
      </c>
      <c r="J39" s="7"/>
    </row>
    <row r="40" spans="1:10" ht="15.75" hidden="1" customHeight="1">
      <c r="A40" s="8"/>
      <c r="B40" s="7"/>
      <c r="C40" s="8"/>
      <c r="D40" s="146"/>
      <c r="E40" s="8"/>
      <c r="F40" s="5"/>
      <c r="G40" s="5"/>
      <c r="H40" s="350" t="str">
        <f t="shared" si="2"/>
        <v/>
      </c>
      <c r="I40" s="28" t="str">
        <f t="shared" si="3"/>
        <v/>
      </c>
      <c r="J40" s="7"/>
    </row>
    <row r="41" spans="1:10" ht="15.75" hidden="1" customHeight="1">
      <c r="A41" s="8"/>
      <c r="B41" s="7"/>
      <c r="C41" s="8"/>
      <c r="D41" s="146"/>
      <c r="E41" s="8"/>
      <c r="F41" s="5"/>
      <c r="G41" s="5"/>
      <c r="H41" s="350" t="str">
        <f t="shared" si="2"/>
        <v/>
      </c>
      <c r="I41" s="28" t="str">
        <f t="shared" si="3"/>
        <v/>
      </c>
      <c r="J41" s="7"/>
    </row>
    <row r="42" spans="1:10" ht="15.75" hidden="1" customHeight="1">
      <c r="A42" s="8"/>
      <c r="B42" s="7"/>
      <c r="C42" s="8"/>
      <c r="D42" s="146"/>
      <c r="E42" s="8"/>
      <c r="F42" s="5"/>
      <c r="G42" s="5"/>
      <c r="H42" s="350" t="str">
        <f t="shared" si="2"/>
        <v/>
      </c>
      <c r="I42" s="28" t="str">
        <f t="shared" si="3"/>
        <v/>
      </c>
      <c r="J42" s="7"/>
    </row>
    <row r="43" spans="1:10" ht="15.75" hidden="1" customHeight="1">
      <c r="A43" s="8"/>
      <c r="B43" s="7"/>
      <c r="C43" s="8"/>
      <c r="D43" s="146"/>
      <c r="E43" s="8"/>
      <c r="F43" s="5"/>
      <c r="G43" s="5"/>
      <c r="H43" s="350" t="str">
        <f t="shared" si="2"/>
        <v/>
      </c>
      <c r="I43" s="28" t="str">
        <f t="shared" si="3"/>
        <v/>
      </c>
      <c r="J43" s="7"/>
    </row>
    <row r="44" spans="1:10" ht="15.75" hidden="1" customHeight="1">
      <c r="A44" s="8"/>
      <c r="B44" s="7"/>
      <c r="C44" s="8"/>
      <c r="D44" s="146"/>
      <c r="E44" s="8"/>
      <c r="F44" s="5"/>
      <c r="G44" s="5"/>
      <c r="H44" s="350" t="str">
        <f t="shared" si="2"/>
        <v/>
      </c>
      <c r="I44" s="28" t="str">
        <f t="shared" si="3"/>
        <v/>
      </c>
      <c r="J44" s="7"/>
    </row>
    <row r="45" spans="1:10" ht="15.75" hidden="1" customHeight="1">
      <c r="A45" s="8"/>
      <c r="B45" s="7"/>
      <c r="C45" s="8"/>
      <c r="D45" s="146"/>
      <c r="E45" s="8"/>
      <c r="F45" s="5"/>
      <c r="G45" s="5"/>
      <c r="H45" s="350" t="str">
        <f t="shared" si="2"/>
        <v/>
      </c>
      <c r="I45" s="28" t="str">
        <f t="shared" si="3"/>
        <v/>
      </c>
      <c r="J45" s="7"/>
    </row>
    <row r="46" spans="1:10" ht="15.75" hidden="1" customHeight="1">
      <c r="A46" s="8"/>
      <c r="B46" s="7"/>
      <c r="C46" s="8"/>
      <c r="D46" s="146"/>
      <c r="E46" s="8"/>
      <c r="F46" s="5"/>
      <c r="G46" s="5"/>
      <c r="H46" s="350" t="str">
        <f t="shared" si="2"/>
        <v/>
      </c>
      <c r="I46" s="28" t="str">
        <f t="shared" si="3"/>
        <v/>
      </c>
      <c r="J46" s="7"/>
    </row>
  </sheetData>
  <mergeCells count="10">
    <mergeCell ref="A1:J1"/>
    <mergeCell ref="A2:J2"/>
    <mergeCell ref="A24:B24"/>
    <mergeCell ref="A25:B25"/>
    <mergeCell ref="K5:L5"/>
    <mergeCell ref="O5:O6"/>
    <mergeCell ref="P5:P6"/>
    <mergeCell ref="Q5:Q6"/>
    <mergeCell ref="R5:R6"/>
    <mergeCell ref="A26:B26"/>
  </mergeCells>
  <phoneticPr fontId="6" type="noConversion"/>
  <printOptions horizontalCentered="1" verticalCentered="1"/>
  <pageMargins left="1.0236220472440944" right="0.62992125984251968" top="0.39370078740157483" bottom="0.78740157480314965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&amp;R&amp;"宋体,常规"&amp;10表3-10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330200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E9902-EBF6-4CCF-9B92-4872A1AB599A}">
  <sheetPr codeName="Sheet23">
    <pageSetUpPr fitToPage="1"/>
  </sheetPr>
  <dimension ref="A1:F30"/>
  <sheetViews>
    <sheetView workbookViewId="0">
      <pane ySplit="5" topLeftCell="A6" activePane="bottomLeft" state="frozen"/>
      <selection pane="bottomLeft" activeCell="F8" sqref="F8"/>
    </sheetView>
  </sheetViews>
  <sheetFormatPr baseColWidth="10" defaultColWidth="9" defaultRowHeight="15.75" customHeight="1"/>
  <cols>
    <col min="1" max="1" width="7" style="81" customWidth="1"/>
    <col min="2" max="2" width="27" style="81" customWidth="1"/>
    <col min="3" max="3" width="22.6640625" style="81" customWidth="1"/>
    <col min="4" max="4" width="23.6640625" style="81" customWidth="1"/>
    <col min="5" max="5" width="19.1640625" style="135" customWidth="1"/>
    <col min="6" max="6" width="12.6640625" style="340" customWidth="1"/>
    <col min="7" max="16384" width="9" style="81"/>
  </cols>
  <sheetData>
    <row r="1" spans="1:6" s="80" customFormat="1" ht="30" customHeight="1">
      <c r="A1" s="374" t="s">
        <v>548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331" t="s">
        <v>885</v>
      </c>
    </row>
    <row r="4" spans="1:6" ht="15.75" customHeight="1">
      <c r="A4" s="125" t="str">
        <f>'1-汇总表'!A4</f>
        <v>被评估单位：A有限公司</v>
      </c>
      <c r="B4" s="125"/>
      <c r="C4" s="42"/>
      <c r="D4" s="42"/>
      <c r="E4" s="419" t="s">
        <v>137</v>
      </c>
      <c r="F4" s="419"/>
    </row>
    <row r="5" spans="1:6" s="82" customFormat="1" ht="15.75" customHeight="1">
      <c r="A5" s="43" t="s">
        <v>138</v>
      </c>
      <c r="B5" s="43" t="s">
        <v>139</v>
      </c>
      <c r="C5" s="43" t="s">
        <v>117</v>
      </c>
      <c r="D5" s="43" t="s">
        <v>140</v>
      </c>
      <c r="E5" s="133" t="s">
        <v>1</v>
      </c>
      <c r="F5" s="352" t="s">
        <v>479</v>
      </c>
    </row>
    <row r="6" spans="1:6" ht="15.75" customHeight="1">
      <c r="A6" s="1" t="s">
        <v>886</v>
      </c>
      <c r="B6" s="3" t="s">
        <v>176</v>
      </c>
      <c r="C6" s="32" t="str">
        <f ca="1">IF('3-11-1材料采购（在途物资）'!F27=0,"",'3-11-1材料采购（在途物资）'!F27)</f>
        <v/>
      </c>
      <c r="D6" s="32" t="str">
        <f ca="1">IF('3-11-1材料采购（在途物资）'!I27=0,"",'3-11-1材料采购（在途物资）'!I27)</f>
        <v/>
      </c>
      <c r="E6" s="28" t="str">
        <f ca="1">IF(ISERROR(D6-C6),"",IF(C6=0,"",D6-C6))</f>
        <v/>
      </c>
      <c r="F6" s="339" t="str">
        <f t="shared" ref="F6:F13" ca="1" si="0">IF(ISERROR(D6-C6),"",IF(C6=0,"",IF(E6="",0,ROUND(E6*100/C6,2))))</f>
        <v/>
      </c>
    </row>
    <row r="7" spans="1:6" ht="15.75" customHeight="1">
      <c r="A7" s="1" t="s">
        <v>887</v>
      </c>
      <c r="B7" s="4" t="s">
        <v>142</v>
      </c>
      <c r="C7" s="32" t="str">
        <f ca="1">IF('3-11-2原材料'!G27=0,"",'3-11-2原材料'!G27)</f>
        <v/>
      </c>
      <c r="D7" s="32" t="str">
        <f ca="1">IF('3-11-2原材料'!J27=0,"",'3-11-2原材料'!J27)</f>
        <v/>
      </c>
      <c r="E7" s="28" t="str">
        <f t="shared" ref="E7:E13" ca="1" si="1">IF(ISERROR(D7-C7),"",IF(C7=0,"",D7-C7))</f>
        <v/>
      </c>
      <c r="F7" s="339" t="str">
        <f t="shared" ca="1" si="0"/>
        <v/>
      </c>
    </row>
    <row r="8" spans="1:6" ht="15.75" customHeight="1">
      <c r="A8" s="1" t="s">
        <v>888</v>
      </c>
      <c r="B8" s="4" t="s">
        <v>177</v>
      </c>
      <c r="C8" s="32" t="str">
        <f ca="1">IF('3-11-3在库周转材料'!G27=0,"",'3-11-3在库周转材料'!G27)</f>
        <v/>
      </c>
      <c r="D8" s="32" t="str">
        <f ca="1">IF('3-11-3在库周转材料'!J27=0,"",'3-11-3在库周转材料'!J27)</f>
        <v/>
      </c>
      <c r="E8" s="28" t="str">
        <f t="shared" ca="1" si="1"/>
        <v/>
      </c>
      <c r="F8" s="339" t="str">
        <f t="shared" ca="1" si="0"/>
        <v/>
      </c>
    </row>
    <row r="9" spans="1:6" ht="15.75" customHeight="1">
      <c r="A9" s="1" t="s">
        <v>889</v>
      </c>
      <c r="B9" s="4" t="s">
        <v>274</v>
      </c>
      <c r="C9" s="32" t="str">
        <f ca="1">IF('3-11-4委托加工物资'!G27=0,"",'3-11-4委托加工物资'!G27)</f>
        <v/>
      </c>
      <c r="D9" s="32" t="str">
        <f ca="1">IF('3-11-4委托加工物资'!J27=0,"",'3-11-4委托加工物资'!J27)</f>
        <v/>
      </c>
      <c r="E9" s="28" t="str">
        <f t="shared" ca="1" si="1"/>
        <v/>
      </c>
      <c r="F9" s="339" t="str">
        <f t="shared" ca="1" si="0"/>
        <v/>
      </c>
    </row>
    <row r="10" spans="1:6" ht="15.75" customHeight="1">
      <c r="A10" s="1" t="s">
        <v>890</v>
      </c>
      <c r="B10" s="4" t="s">
        <v>275</v>
      </c>
      <c r="C10" s="32" t="str">
        <f ca="1">IF('3-11-5产成品（库存商品）'!H27=0,"",'3-11-5产成品（库存商品）'!H27)</f>
        <v/>
      </c>
      <c r="D10" s="32" t="str">
        <f ca="1">IF('3-11-5产成品（库存商品）'!M27=0,"",'3-11-5产成品（库存商品）'!M27)</f>
        <v/>
      </c>
      <c r="E10" s="28" t="str">
        <f t="shared" ca="1" si="1"/>
        <v/>
      </c>
      <c r="F10" s="339" t="str">
        <f t="shared" ca="1" si="0"/>
        <v/>
      </c>
    </row>
    <row r="11" spans="1:6" ht="15.75" customHeight="1">
      <c r="A11" s="1" t="s">
        <v>891</v>
      </c>
      <c r="B11" s="4" t="s">
        <v>276</v>
      </c>
      <c r="C11" s="32" t="str">
        <f ca="1">IF('3-11-6在产品（自制半成品）'!F27=0,"",'3-11-6在产品（自制半成品）'!F27)</f>
        <v/>
      </c>
      <c r="D11" s="32" t="str">
        <f ca="1">IF('3-11-6在产品（自制半成品）'!I27=0,"",'3-11-6在产品（自制半成品）'!I27)</f>
        <v/>
      </c>
      <c r="E11" s="28" t="str">
        <f t="shared" ca="1" si="1"/>
        <v/>
      </c>
      <c r="F11" s="339" t="str">
        <f t="shared" ca="1" si="0"/>
        <v/>
      </c>
    </row>
    <row r="12" spans="1:6" ht="15.75" customHeight="1">
      <c r="A12" s="1" t="s">
        <v>892</v>
      </c>
      <c r="B12" s="4" t="s">
        <v>277</v>
      </c>
      <c r="C12" s="32" t="str">
        <f ca="1">IF('3-11-7发出商品'!G27=0,"",'3-11-7发出商品'!G27)</f>
        <v/>
      </c>
      <c r="D12" s="32" t="str">
        <f ca="1">IF('3-11-7发出商品'!J27=0,"",'3-11-7发出商品'!J27)</f>
        <v/>
      </c>
      <c r="E12" s="28" t="str">
        <f t="shared" ca="1" si="1"/>
        <v/>
      </c>
      <c r="F12" s="339" t="str">
        <f t="shared" ca="1" si="0"/>
        <v/>
      </c>
    </row>
    <row r="13" spans="1:6" ht="15.75" customHeight="1">
      <c r="A13" s="1" t="s">
        <v>893</v>
      </c>
      <c r="B13" s="4" t="s">
        <v>178</v>
      </c>
      <c r="C13" s="32" t="str">
        <f ca="1">IF('3-11-8在用周转材料'!F27=0,"",'3-11-8在用周转材料'!F27)</f>
        <v/>
      </c>
      <c r="D13" s="32" t="str">
        <f ca="1">IF('3-11-8在用周转材料'!J27=0,"",'3-11-8在用周转材料'!J27)</f>
        <v/>
      </c>
      <c r="E13" s="28" t="str">
        <f t="shared" ca="1" si="1"/>
        <v/>
      </c>
      <c r="F13" s="339" t="str">
        <f t="shared" ca="1" si="0"/>
        <v/>
      </c>
    </row>
    <row r="14" spans="1:6" ht="15.75" customHeight="1">
      <c r="A14" s="1"/>
      <c r="B14" s="4"/>
      <c r="C14" s="32"/>
      <c r="D14" s="29"/>
      <c r="E14" s="31"/>
      <c r="F14" s="339"/>
    </row>
    <row r="15" spans="1:6" ht="15.75" customHeight="1">
      <c r="A15" s="1"/>
      <c r="B15" s="4"/>
      <c r="C15" s="32"/>
      <c r="D15" s="29"/>
      <c r="E15" s="31"/>
      <c r="F15" s="339"/>
    </row>
    <row r="16" spans="1:6" ht="15.75" customHeight="1">
      <c r="A16" s="1"/>
      <c r="B16" s="2"/>
      <c r="C16" s="32"/>
      <c r="D16" s="29"/>
      <c r="E16" s="31"/>
      <c r="F16" s="339"/>
    </row>
    <row r="17" spans="1:6" ht="15.75" customHeight="1">
      <c r="A17" s="1"/>
      <c r="B17" s="2"/>
      <c r="C17" s="32"/>
      <c r="D17" s="29"/>
      <c r="E17" s="31"/>
      <c r="F17" s="339"/>
    </row>
    <row r="18" spans="1:6" ht="15.75" customHeight="1">
      <c r="A18" s="1"/>
      <c r="B18" s="2"/>
      <c r="C18" s="32"/>
      <c r="D18" s="29"/>
      <c r="E18" s="31"/>
      <c r="F18" s="339"/>
    </row>
    <row r="19" spans="1:6" ht="15.75" customHeight="1">
      <c r="A19" s="46"/>
      <c r="B19" s="2"/>
      <c r="C19" s="32"/>
      <c r="D19" s="29"/>
      <c r="E19" s="31"/>
      <c r="F19" s="339"/>
    </row>
    <row r="20" spans="1:6" ht="15.75" customHeight="1">
      <c r="A20" s="46"/>
      <c r="B20" s="2"/>
      <c r="C20" s="32"/>
      <c r="D20" s="29"/>
      <c r="E20" s="31"/>
      <c r="F20" s="339"/>
    </row>
    <row r="21" spans="1:6" ht="15.75" customHeight="1">
      <c r="A21" s="46"/>
      <c r="B21" s="2"/>
      <c r="C21" s="32"/>
      <c r="D21" s="29"/>
      <c r="E21" s="31"/>
      <c r="F21" s="339"/>
    </row>
    <row r="22" spans="1:6" ht="15.75" customHeight="1">
      <c r="A22" s="46"/>
      <c r="B22" s="2"/>
      <c r="C22" s="32"/>
      <c r="D22" s="29"/>
      <c r="E22" s="31"/>
      <c r="F22" s="339"/>
    </row>
    <row r="23" spans="1:6" ht="15.75" customHeight="1">
      <c r="A23" s="46"/>
      <c r="B23" s="2"/>
      <c r="C23" s="32"/>
      <c r="D23" s="29"/>
      <c r="E23" s="31"/>
      <c r="F23" s="339"/>
    </row>
    <row r="24" spans="1:6" ht="15.75" customHeight="1">
      <c r="A24" s="46"/>
      <c r="B24" s="2"/>
      <c r="C24" s="32"/>
      <c r="D24" s="29"/>
      <c r="E24" s="31"/>
      <c r="F24" s="339"/>
    </row>
    <row r="25" spans="1:6" ht="15.75" customHeight="1">
      <c r="A25" s="46"/>
      <c r="B25" s="2"/>
      <c r="C25" s="32"/>
      <c r="D25" s="29"/>
      <c r="E25" s="31"/>
      <c r="F25" s="339"/>
    </row>
    <row r="26" spans="1:6" ht="15.75" customHeight="1">
      <c r="A26" s="413" t="s">
        <v>446</v>
      </c>
      <c r="B26" s="414"/>
      <c r="C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28" t="str">
        <f ca="1">IF(ISERROR(D26-C26),"",IF(C26=0,"",D26-C26))</f>
        <v/>
      </c>
      <c r="F26" s="339" t="str">
        <f ca="1">IF(ISERROR(D26-C26),"",IF(C26=0,"",IF(E26="",0,ROUND(E26*100/C26,2))))</f>
        <v/>
      </c>
    </row>
    <row r="27" spans="1:6" ht="15.75" customHeight="1">
      <c r="A27" s="413" t="s">
        <v>409</v>
      </c>
      <c r="B27" s="414"/>
      <c r="C27" s="239"/>
      <c r="D27" s="240"/>
      <c r="E27" s="31"/>
      <c r="F27" s="339"/>
    </row>
    <row r="28" spans="1:6" ht="15.75" customHeight="1">
      <c r="A28" s="413" t="s">
        <v>442</v>
      </c>
      <c r="B28" s="414"/>
      <c r="C28" s="32" t="str">
        <f ca="1">IF(C27="",C26,C26-C27)</f>
        <v/>
      </c>
      <c r="D28" s="32" t="str">
        <f ca="1">IF(D27="",D26,D26-D27)</f>
        <v/>
      </c>
      <c r="E28" s="28" t="str">
        <f ca="1">IF(ISERROR(D28-C28),"",IF(C28=0,"",D28-C28))</f>
        <v/>
      </c>
      <c r="F28" s="339" t="str">
        <f ca="1">IF(ISERROR(D28-C28),"",IF(C28=0,"",IF(E28="",0,ROUND(E28*100/C28,2))))</f>
        <v/>
      </c>
    </row>
    <row r="29" spans="1:6" ht="15.75" customHeight="1">
      <c r="A29" s="83"/>
      <c r="D29" s="25"/>
      <c r="E29" s="26"/>
      <c r="F29" s="353"/>
    </row>
    <row r="30" spans="1:6" ht="15.75" customHeight="1">
      <c r="A30" s="83"/>
    </row>
  </sheetData>
  <mergeCells count="6">
    <mergeCell ref="A27:B27"/>
    <mergeCell ref="A28:B28"/>
    <mergeCell ref="A1:F1"/>
    <mergeCell ref="A2:F2"/>
    <mergeCell ref="A26:B26"/>
    <mergeCell ref="E4:F4"/>
  </mergeCells>
  <phoneticPr fontId="6" type="noConversion"/>
  <printOptions horizontalCentered="1" verticalCentered="1"/>
  <pageMargins left="0.78740157480314965" right="0.27559055118110237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1117600</xdr:colOff>
                    <xdr:row>2</xdr:row>
                    <xdr:rowOff>0</xdr:rowOff>
                  </from>
                  <to>
                    <xdr:col>2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7FD8-8AA7-4E6C-A978-329E1168451B}">
  <sheetPr codeName="Sheet25">
    <pageSetUpPr fitToPage="1"/>
  </sheetPr>
  <dimension ref="A1:L47"/>
  <sheetViews>
    <sheetView workbookViewId="0">
      <pane ySplit="7" topLeftCell="A8" activePane="bottomLeft" state="frozen"/>
      <selection activeCell="F17" sqref="F17"/>
      <selection pane="bottomLeft" activeCell="G17" sqref="G17"/>
    </sheetView>
  </sheetViews>
  <sheetFormatPr baseColWidth="10" defaultColWidth="9" defaultRowHeight="15.75" customHeight="1"/>
  <cols>
    <col min="1" max="1" width="5.5" style="81" customWidth="1"/>
    <col min="2" max="2" width="14.6640625" style="81" customWidth="1"/>
    <col min="3" max="3" width="5.5" style="81" customWidth="1"/>
    <col min="4" max="4" width="9.6640625" style="81" customWidth="1"/>
    <col min="5" max="5" width="7.6640625" style="81" customWidth="1"/>
    <col min="6" max="6" width="13.1640625" style="81" bestFit="1" customWidth="1"/>
    <col min="7" max="8" width="10.6640625" style="81" customWidth="1"/>
    <col min="9" max="9" width="12.6640625" style="81" customWidth="1"/>
    <col min="10" max="10" width="9.6640625" style="351" customWidth="1"/>
    <col min="11" max="11" width="9.1640625" style="135" customWidth="1"/>
    <col min="12" max="12" width="11.1640625" style="81" customWidth="1"/>
    <col min="13" max="16384" width="9" style="81"/>
  </cols>
  <sheetData>
    <row r="1" spans="1:12" s="80" customFormat="1" ht="30" customHeight="1">
      <c r="A1" s="374" t="s">
        <v>981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  <c r="L2" s="378"/>
    </row>
    <row r="3" spans="1:12" ht="14.25" customHeight="1">
      <c r="A3" s="40"/>
      <c r="B3" s="40"/>
      <c r="C3" s="40"/>
      <c r="D3" s="40"/>
      <c r="E3" s="40"/>
      <c r="F3" s="40"/>
      <c r="G3" s="171"/>
      <c r="H3" s="171"/>
      <c r="I3" s="171"/>
      <c r="J3" s="347"/>
      <c r="K3" s="172"/>
      <c r="L3" s="178"/>
    </row>
    <row r="4" spans="1:12" ht="14.25" customHeight="1">
      <c r="A4" s="40"/>
      <c r="B4" s="40"/>
      <c r="C4" s="40"/>
      <c r="D4" s="40"/>
      <c r="E4" s="40"/>
      <c r="F4" s="40"/>
      <c r="G4" s="171"/>
      <c r="H4" s="171"/>
      <c r="I4" s="171"/>
      <c r="J4" s="347"/>
      <c r="K4" s="172"/>
      <c r="L4" s="178"/>
    </row>
    <row r="5" spans="1:12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348"/>
      <c r="K5" s="173"/>
      <c r="L5" s="122"/>
    </row>
    <row r="6" spans="1:12" s="101" customFormat="1" ht="15.75" customHeight="1">
      <c r="A6" s="465" t="s">
        <v>7</v>
      </c>
      <c r="B6" s="465" t="s">
        <v>143</v>
      </c>
      <c r="C6" s="467" t="s">
        <v>84</v>
      </c>
      <c r="D6" s="465" t="s">
        <v>117</v>
      </c>
      <c r="E6" s="465"/>
      <c r="F6" s="465"/>
      <c r="G6" s="465" t="s">
        <v>0</v>
      </c>
      <c r="H6" s="465"/>
      <c r="I6" s="466"/>
      <c r="J6" s="471" t="s">
        <v>1</v>
      </c>
      <c r="K6" s="469" t="s">
        <v>479</v>
      </c>
      <c r="L6" s="465" t="s">
        <v>39</v>
      </c>
    </row>
    <row r="7" spans="1:12" s="101" customFormat="1" ht="15.75" customHeight="1">
      <c r="A7" s="466"/>
      <c r="B7" s="466"/>
      <c r="C7" s="468"/>
      <c r="D7" s="45" t="s">
        <v>43</v>
      </c>
      <c r="E7" s="45" t="s">
        <v>81</v>
      </c>
      <c r="F7" s="45" t="s">
        <v>38</v>
      </c>
      <c r="G7" s="45" t="s">
        <v>80</v>
      </c>
      <c r="H7" s="45" t="s">
        <v>339</v>
      </c>
      <c r="I7" s="45" t="s">
        <v>38</v>
      </c>
      <c r="J7" s="472"/>
      <c r="K7" s="470"/>
      <c r="L7" s="466"/>
    </row>
    <row r="8" spans="1:12" ht="15.75" customHeight="1">
      <c r="A8" s="9"/>
      <c r="B8" s="150"/>
      <c r="C8" s="151"/>
      <c r="D8" s="5"/>
      <c r="E8" s="5"/>
      <c r="F8" s="5"/>
      <c r="G8" s="5"/>
      <c r="H8" s="5"/>
      <c r="I8" s="5"/>
      <c r="J8" s="350" t="str">
        <f>IF(ISERROR(I8-F8),"",IF(I8=0,"",I8-F8))</f>
        <v/>
      </c>
      <c r="K8" s="28" t="str">
        <f>IF(ISERROR(I8-F8),"",IF(I8=0,"",IF(J8="",0,ROUND(J8*100/F8,2))))</f>
        <v/>
      </c>
      <c r="L8" s="7"/>
    </row>
    <row r="9" spans="1:12" ht="15.75" customHeight="1">
      <c r="A9" s="149"/>
      <c r="B9" s="150"/>
      <c r="C9" s="151"/>
      <c r="D9" s="5"/>
      <c r="E9" s="5"/>
      <c r="F9" s="5"/>
      <c r="G9" s="5"/>
      <c r="H9" s="5"/>
      <c r="I9" s="5"/>
      <c r="J9" s="350" t="str">
        <f t="shared" ref="J9:J27" si="0">IF(ISERROR(I9-F9),"",IF(I9=0,"",I9-F9))</f>
        <v/>
      </c>
      <c r="K9" s="28" t="str">
        <f t="shared" ref="K9:K27" si="1">IF(ISERROR(I9-F9),"",IF(I9=0,"",IF(J9="",0,ROUND(J9*100/F9,2))))</f>
        <v/>
      </c>
      <c r="L9" s="7"/>
    </row>
    <row r="10" spans="1:12" ht="15.75" customHeight="1">
      <c r="A10" s="9"/>
      <c r="B10" s="150"/>
      <c r="C10" s="151"/>
      <c r="D10" s="5"/>
      <c r="E10" s="5"/>
      <c r="F10" s="5"/>
      <c r="G10" s="5"/>
      <c r="H10" s="5"/>
      <c r="I10" s="5"/>
      <c r="J10" s="350" t="str">
        <f t="shared" si="0"/>
        <v/>
      </c>
      <c r="K10" s="28" t="str">
        <f t="shared" si="1"/>
        <v/>
      </c>
      <c r="L10" s="7"/>
    </row>
    <row r="11" spans="1:12" ht="15.75" customHeight="1">
      <c r="A11" s="9"/>
      <c r="B11" s="150"/>
      <c r="C11" s="151"/>
      <c r="D11" s="5"/>
      <c r="E11" s="5"/>
      <c r="F11" s="5"/>
      <c r="G11" s="5"/>
      <c r="H11" s="5"/>
      <c r="I11" s="5"/>
      <c r="J11" s="350" t="str">
        <f t="shared" si="0"/>
        <v/>
      </c>
      <c r="K11" s="28" t="str">
        <f t="shared" si="1"/>
        <v/>
      </c>
      <c r="L11" s="7"/>
    </row>
    <row r="12" spans="1:12" ht="15.75" customHeight="1">
      <c r="A12" s="149"/>
      <c r="B12" s="150"/>
      <c r="C12" s="151"/>
      <c r="D12" s="5"/>
      <c r="E12" s="5"/>
      <c r="F12" s="5"/>
      <c r="G12" s="5"/>
      <c r="H12" s="5"/>
      <c r="I12" s="5"/>
      <c r="J12" s="350" t="str">
        <f t="shared" si="0"/>
        <v/>
      </c>
      <c r="K12" s="28" t="str">
        <f t="shared" si="1"/>
        <v/>
      </c>
      <c r="L12" s="7"/>
    </row>
    <row r="13" spans="1:12" ht="15.75" customHeight="1">
      <c r="A13" s="9"/>
      <c r="B13" s="150"/>
      <c r="C13" s="151"/>
      <c r="D13" s="5"/>
      <c r="E13" s="5"/>
      <c r="F13" s="5"/>
      <c r="G13" s="5"/>
      <c r="H13" s="5"/>
      <c r="I13" s="5"/>
      <c r="J13" s="350" t="str">
        <f t="shared" si="0"/>
        <v/>
      </c>
      <c r="K13" s="28" t="str">
        <f t="shared" si="1"/>
        <v/>
      </c>
      <c r="L13" s="7"/>
    </row>
    <row r="14" spans="1:12" ht="15.75" customHeight="1">
      <c r="A14" s="9"/>
      <c r="B14" s="150"/>
      <c r="C14" s="151"/>
      <c r="D14" s="5"/>
      <c r="E14" s="5"/>
      <c r="F14" s="5"/>
      <c r="G14" s="5"/>
      <c r="H14" s="5"/>
      <c r="I14" s="5"/>
      <c r="J14" s="350" t="str">
        <f t="shared" si="0"/>
        <v/>
      </c>
      <c r="K14" s="28" t="str">
        <f t="shared" si="1"/>
        <v/>
      </c>
      <c r="L14" s="7"/>
    </row>
    <row r="15" spans="1:12" ht="15.75" customHeight="1">
      <c r="A15" s="149"/>
      <c r="B15" s="150"/>
      <c r="C15" s="151"/>
      <c r="D15" s="5"/>
      <c r="E15" s="5"/>
      <c r="F15" s="5"/>
      <c r="G15" s="5"/>
      <c r="H15" s="5"/>
      <c r="I15" s="5"/>
      <c r="J15" s="350" t="str">
        <f t="shared" si="0"/>
        <v/>
      </c>
      <c r="K15" s="28" t="str">
        <f t="shared" si="1"/>
        <v/>
      </c>
      <c r="L15" s="7"/>
    </row>
    <row r="16" spans="1:12" ht="15.75" customHeight="1">
      <c r="A16" s="9"/>
      <c r="B16" s="150"/>
      <c r="C16" s="151"/>
      <c r="D16" s="5"/>
      <c r="E16" s="5"/>
      <c r="F16" s="5"/>
      <c r="G16" s="5"/>
      <c r="H16" s="5"/>
      <c r="I16" s="5"/>
      <c r="J16" s="350" t="str">
        <f t="shared" si="0"/>
        <v/>
      </c>
      <c r="K16" s="28" t="str">
        <f t="shared" si="1"/>
        <v/>
      </c>
      <c r="L16" s="7"/>
    </row>
    <row r="17" spans="1:12" ht="15.75" customHeight="1">
      <c r="A17" s="9"/>
      <c r="B17" s="150"/>
      <c r="C17" s="151"/>
      <c r="D17" s="5"/>
      <c r="E17" s="5"/>
      <c r="F17" s="5"/>
      <c r="G17" s="5"/>
      <c r="H17" s="5"/>
      <c r="I17" s="5"/>
      <c r="J17" s="350" t="str">
        <f t="shared" si="0"/>
        <v/>
      </c>
      <c r="K17" s="28" t="str">
        <f t="shared" si="1"/>
        <v/>
      </c>
      <c r="L17" s="7"/>
    </row>
    <row r="18" spans="1:12" ht="15.75" customHeight="1">
      <c r="A18" s="149"/>
      <c r="B18" s="150"/>
      <c r="C18" s="151"/>
      <c r="D18" s="5"/>
      <c r="E18" s="5"/>
      <c r="F18" s="5"/>
      <c r="G18" s="5"/>
      <c r="H18" s="5"/>
      <c r="I18" s="5"/>
      <c r="J18" s="350" t="str">
        <f t="shared" si="0"/>
        <v/>
      </c>
      <c r="K18" s="28" t="str">
        <f t="shared" si="1"/>
        <v/>
      </c>
      <c r="L18" s="7"/>
    </row>
    <row r="19" spans="1:12" ht="15.75" customHeight="1">
      <c r="A19" s="9"/>
      <c r="B19" s="150"/>
      <c r="C19" s="151"/>
      <c r="D19" s="5"/>
      <c r="E19" s="5"/>
      <c r="F19" s="5"/>
      <c r="G19" s="5"/>
      <c r="H19" s="5"/>
      <c r="I19" s="5"/>
      <c r="J19" s="350" t="str">
        <f t="shared" si="0"/>
        <v/>
      </c>
      <c r="K19" s="28" t="str">
        <f t="shared" si="1"/>
        <v/>
      </c>
      <c r="L19" s="7"/>
    </row>
    <row r="20" spans="1:12" ht="15.75" customHeight="1">
      <c r="A20" s="9"/>
      <c r="B20" s="150"/>
      <c r="C20" s="151"/>
      <c r="D20" s="5"/>
      <c r="E20" s="5"/>
      <c r="F20" s="5"/>
      <c r="G20" s="5"/>
      <c r="H20" s="5"/>
      <c r="I20" s="5"/>
      <c r="J20" s="350" t="str">
        <f t="shared" si="0"/>
        <v/>
      </c>
      <c r="K20" s="28" t="str">
        <f t="shared" si="1"/>
        <v/>
      </c>
      <c r="L20" s="7"/>
    </row>
    <row r="21" spans="1:12" ht="15.75" customHeight="1">
      <c r="A21" s="149"/>
      <c r="B21" s="150"/>
      <c r="C21" s="151"/>
      <c r="D21" s="5"/>
      <c r="E21" s="5"/>
      <c r="F21" s="5"/>
      <c r="G21" s="5"/>
      <c r="H21" s="5"/>
      <c r="I21" s="5"/>
      <c r="J21" s="350" t="str">
        <f t="shared" si="0"/>
        <v/>
      </c>
      <c r="K21" s="28" t="str">
        <f t="shared" si="1"/>
        <v/>
      </c>
      <c r="L21" s="7"/>
    </row>
    <row r="22" spans="1:12" ht="15.75" customHeight="1">
      <c r="A22" s="9"/>
      <c r="B22" s="150"/>
      <c r="C22" s="151"/>
      <c r="D22" s="5"/>
      <c r="E22" s="5"/>
      <c r="F22" s="5"/>
      <c r="G22" s="5"/>
      <c r="H22" s="5"/>
      <c r="I22" s="5"/>
      <c r="J22" s="350" t="str">
        <f t="shared" si="0"/>
        <v/>
      </c>
      <c r="K22" s="28" t="str">
        <f t="shared" si="1"/>
        <v/>
      </c>
      <c r="L22" s="7"/>
    </row>
    <row r="23" spans="1:12" ht="15.75" customHeight="1">
      <c r="A23" s="9"/>
      <c r="B23" s="150"/>
      <c r="C23" s="151"/>
      <c r="D23" s="5"/>
      <c r="E23" s="5"/>
      <c r="F23" s="5"/>
      <c r="G23" s="5"/>
      <c r="H23" s="5"/>
      <c r="I23" s="5"/>
      <c r="J23" s="350" t="str">
        <f t="shared" si="0"/>
        <v/>
      </c>
      <c r="K23" s="28" t="str">
        <f t="shared" si="1"/>
        <v/>
      </c>
      <c r="L23" s="7"/>
    </row>
    <row r="24" spans="1:12" ht="15.75" customHeight="1">
      <c r="A24" s="149"/>
      <c r="B24" s="150"/>
      <c r="C24" s="151"/>
      <c r="D24" s="5"/>
      <c r="E24" s="5"/>
      <c r="F24" s="5"/>
      <c r="G24" s="5"/>
      <c r="H24" s="5"/>
      <c r="I24" s="5"/>
      <c r="J24" s="350" t="str">
        <f t="shared" si="0"/>
        <v/>
      </c>
      <c r="K24" s="28" t="str">
        <f t="shared" si="1"/>
        <v/>
      </c>
      <c r="L24" s="7"/>
    </row>
    <row r="25" spans="1:12" ht="15.75" customHeight="1">
      <c r="A25" s="9"/>
      <c r="B25" s="150"/>
      <c r="C25" s="151"/>
      <c r="D25" s="5"/>
      <c r="E25" s="5"/>
      <c r="F25" s="5"/>
      <c r="G25" s="5"/>
      <c r="H25" s="5"/>
      <c r="I25" s="5"/>
      <c r="J25" s="350" t="str">
        <f t="shared" si="0"/>
        <v/>
      </c>
      <c r="K25" s="28" t="str">
        <f t="shared" si="1"/>
        <v/>
      </c>
      <c r="L25" s="7"/>
    </row>
    <row r="26" spans="1:12" ht="15.75" customHeight="1">
      <c r="A26" s="9"/>
      <c r="B26" s="150"/>
      <c r="C26" s="151"/>
      <c r="D26" s="5"/>
      <c r="E26" s="5"/>
      <c r="F26" s="5"/>
      <c r="G26" s="5"/>
      <c r="H26" s="5"/>
      <c r="I26" s="5"/>
      <c r="J26" s="350" t="str">
        <f t="shared" si="0"/>
        <v/>
      </c>
      <c r="K26" s="28" t="str">
        <f t="shared" si="1"/>
        <v/>
      </c>
      <c r="L26" s="7"/>
    </row>
    <row r="27" spans="1:12" ht="15.75" customHeight="1">
      <c r="A27" s="420" t="s">
        <v>534</v>
      </c>
      <c r="B27" s="421"/>
      <c r="C27" s="30"/>
      <c r="D27" s="31"/>
      <c r="E27" s="31"/>
      <c r="F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7" s="31"/>
      <c r="H27" s="31"/>
      <c r="I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7" s="350" t="str">
        <f t="shared" ca="1" si="0"/>
        <v/>
      </c>
      <c r="K27" s="28" t="str">
        <f t="shared" ca="1" si="1"/>
        <v/>
      </c>
      <c r="L27" s="234"/>
    </row>
    <row r="28" spans="1:12" ht="15.75" hidden="1" customHeight="1">
      <c r="A28" s="9"/>
      <c r="B28" s="150"/>
      <c r="C28" s="151"/>
      <c r="D28" s="5"/>
      <c r="E28" s="5"/>
      <c r="F28" s="5"/>
      <c r="G28" s="5"/>
      <c r="H28" s="5"/>
      <c r="I28" s="5"/>
      <c r="J28" s="350" t="str">
        <f t="shared" ref="J28:J47" si="2">IF(ISERROR(I28-F28),"",IF(I28=0,"",I28-F28))</f>
        <v/>
      </c>
      <c r="K28" s="28" t="str">
        <f t="shared" ref="K28:K47" si="3">IF(ISERROR(I28-F28),"",IF(I28=0,"",IF(J28="",0,ROUND(J28*100/F28,2))))</f>
        <v/>
      </c>
      <c r="L28" s="7"/>
    </row>
    <row r="29" spans="1:12" ht="15.75" hidden="1" customHeight="1">
      <c r="A29" s="9"/>
      <c r="B29" s="150"/>
      <c r="C29" s="151"/>
      <c r="D29" s="5"/>
      <c r="E29" s="5"/>
      <c r="F29" s="5"/>
      <c r="G29" s="5"/>
      <c r="H29" s="5"/>
      <c r="I29" s="5"/>
      <c r="J29" s="350" t="str">
        <f t="shared" si="2"/>
        <v/>
      </c>
      <c r="K29" s="28" t="str">
        <f t="shared" si="3"/>
        <v/>
      </c>
      <c r="L29" s="7"/>
    </row>
    <row r="30" spans="1:12" ht="15.75" hidden="1" customHeight="1">
      <c r="A30" s="9"/>
      <c r="B30" s="150"/>
      <c r="C30" s="151"/>
      <c r="D30" s="5"/>
      <c r="E30" s="5"/>
      <c r="F30" s="5"/>
      <c r="G30" s="5"/>
      <c r="H30" s="5"/>
      <c r="I30" s="5"/>
      <c r="J30" s="350" t="str">
        <f t="shared" si="2"/>
        <v/>
      </c>
      <c r="K30" s="28" t="str">
        <f t="shared" si="3"/>
        <v/>
      </c>
      <c r="L30" s="7"/>
    </row>
    <row r="31" spans="1:12" ht="15.75" hidden="1" customHeight="1">
      <c r="A31" s="9"/>
      <c r="B31" s="150"/>
      <c r="C31" s="151"/>
      <c r="D31" s="5"/>
      <c r="E31" s="5"/>
      <c r="F31" s="5"/>
      <c r="G31" s="5"/>
      <c r="H31" s="5"/>
      <c r="I31" s="5"/>
      <c r="J31" s="350" t="str">
        <f t="shared" si="2"/>
        <v/>
      </c>
      <c r="K31" s="28" t="str">
        <f t="shared" si="3"/>
        <v/>
      </c>
      <c r="L31" s="7"/>
    </row>
    <row r="32" spans="1:12" ht="15.75" hidden="1" customHeight="1">
      <c r="A32" s="9"/>
      <c r="B32" s="150"/>
      <c r="C32" s="151"/>
      <c r="D32" s="5"/>
      <c r="E32" s="5"/>
      <c r="F32" s="5"/>
      <c r="G32" s="5"/>
      <c r="H32" s="5"/>
      <c r="I32" s="5"/>
      <c r="J32" s="350" t="str">
        <f t="shared" si="2"/>
        <v/>
      </c>
      <c r="K32" s="28" t="str">
        <f t="shared" si="3"/>
        <v/>
      </c>
      <c r="L32" s="7"/>
    </row>
    <row r="33" spans="1:12" ht="15.75" hidden="1" customHeight="1">
      <c r="A33" s="9"/>
      <c r="B33" s="150"/>
      <c r="C33" s="151"/>
      <c r="D33" s="5"/>
      <c r="E33" s="5"/>
      <c r="F33" s="5"/>
      <c r="G33" s="5"/>
      <c r="H33" s="5"/>
      <c r="I33" s="5"/>
      <c r="J33" s="350" t="str">
        <f t="shared" si="2"/>
        <v/>
      </c>
      <c r="K33" s="28" t="str">
        <f t="shared" si="3"/>
        <v/>
      </c>
      <c r="L33" s="7"/>
    </row>
    <row r="34" spans="1:12" ht="15.75" hidden="1" customHeight="1">
      <c r="A34" s="9"/>
      <c r="B34" s="150"/>
      <c r="C34" s="151"/>
      <c r="D34" s="5"/>
      <c r="E34" s="5"/>
      <c r="F34" s="5"/>
      <c r="G34" s="5"/>
      <c r="H34" s="5"/>
      <c r="I34" s="5"/>
      <c r="J34" s="350" t="str">
        <f t="shared" si="2"/>
        <v/>
      </c>
      <c r="K34" s="28" t="str">
        <f t="shared" si="3"/>
        <v/>
      </c>
      <c r="L34" s="7"/>
    </row>
    <row r="35" spans="1:12" ht="15.75" hidden="1" customHeight="1">
      <c r="A35" s="9"/>
      <c r="B35" s="150"/>
      <c r="C35" s="151"/>
      <c r="D35" s="5"/>
      <c r="E35" s="5"/>
      <c r="F35" s="5"/>
      <c r="G35" s="5"/>
      <c r="H35" s="5"/>
      <c r="I35" s="5"/>
      <c r="J35" s="350" t="str">
        <f t="shared" si="2"/>
        <v/>
      </c>
      <c r="K35" s="28" t="str">
        <f t="shared" si="3"/>
        <v/>
      </c>
      <c r="L35" s="7"/>
    </row>
    <row r="36" spans="1:12" ht="15.75" hidden="1" customHeight="1">
      <c r="A36" s="9"/>
      <c r="B36" s="150"/>
      <c r="C36" s="151"/>
      <c r="D36" s="5"/>
      <c r="E36" s="5"/>
      <c r="F36" s="5"/>
      <c r="G36" s="5"/>
      <c r="H36" s="5"/>
      <c r="I36" s="5"/>
      <c r="J36" s="350" t="str">
        <f t="shared" si="2"/>
        <v/>
      </c>
      <c r="K36" s="28" t="str">
        <f t="shared" si="3"/>
        <v/>
      </c>
      <c r="L36" s="7"/>
    </row>
    <row r="37" spans="1:12" ht="15.75" hidden="1" customHeight="1">
      <c r="A37" s="9"/>
      <c r="B37" s="150"/>
      <c r="C37" s="151"/>
      <c r="D37" s="5"/>
      <c r="E37" s="5"/>
      <c r="F37" s="5"/>
      <c r="G37" s="5"/>
      <c r="H37" s="5"/>
      <c r="I37" s="5"/>
      <c r="J37" s="350" t="str">
        <f t="shared" si="2"/>
        <v/>
      </c>
      <c r="K37" s="28" t="str">
        <f t="shared" si="3"/>
        <v/>
      </c>
      <c r="L37" s="7"/>
    </row>
    <row r="38" spans="1:12" ht="15.75" hidden="1" customHeight="1">
      <c r="A38" s="9"/>
      <c r="B38" s="150"/>
      <c r="C38" s="151"/>
      <c r="D38" s="5"/>
      <c r="E38" s="5"/>
      <c r="F38" s="5"/>
      <c r="G38" s="5"/>
      <c r="H38" s="5"/>
      <c r="I38" s="5"/>
      <c r="J38" s="350" t="str">
        <f t="shared" si="2"/>
        <v/>
      </c>
      <c r="K38" s="28" t="str">
        <f t="shared" si="3"/>
        <v/>
      </c>
      <c r="L38" s="7"/>
    </row>
    <row r="39" spans="1:12" ht="15.75" hidden="1" customHeight="1">
      <c r="A39" s="9"/>
      <c r="B39" s="150"/>
      <c r="C39" s="151"/>
      <c r="D39" s="5"/>
      <c r="E39" s="5"/>
      <c r="F39" s="5"/>
      <c r="G39" s="5"/>
      <c r="H39" s="5"/>
      <c r="I39" s="5"/>
      <c r="J39" s="350" t="str">
        <f t="shared" si="2"/>
        <v/>
      </c>
      <c r="K39" s="28" t="str">
        <f t="shared" si="3"/>
        <v/>
      </c>
      <c r="L39" s="7"/>
    </row>
    <row r="40" spans="1:12" ht="15.75" hidden="1" customHeight="1">
      <c r="A40" s="9"/>
      <c r="B40" s="150"/>
      <c r="C40" s="151"/>
      <c r="D40" s="5"/>
      <c r="E40" s="5"/>
      <c r="F40" s="5"/>
      <c r="G40" s="5"/>
      <c r="H40" s="5"/>
      <c r="I40" s="5"/>
      <c r="J40" s="350" t="str">
        <f t="shared" si="2"/>
        <v/>
      </c>
      <c r="K40" s="28" t="str">
        <f t="shared" si="3"/>
        <v/>
      </c>
      <c r="L40" s="7"/>
    </row>
    <row r="41" spans="1:12" ht="15.75" hidden="1" customHeight="1">
      <c r="A41" s="9"/>
      <c r="B41" s="150"/>
      <c r="C41" s="151"/>
      <c r="D41" s="5"/>
      <c r="E41" s="5"/>
      <c r="F41" s="5"/>
      <c r="G41" s="5"/>
      <c r="H41" s="5"/>
      <c r="I41" s="5"/>
      <c r="J41" s="350" t="str">
        <f t="shared" si="2"/>
        <v/>
      </c>
      <c r="K41" s="28" t="str">
        <f t="shared" si="3"/>
        <v/>
      </c>
      <c r="L41" s="7"/>
    </row>
    <row r="42" spans="1:12" ht="15.75" hidden="1" customHeight="1">
      <c r="A42" s="9"/>
      <c r="B42" s="150"/>
      <c r="C42" s="151"/>
      <c r="D42" s="5"/>
      <c r="E42" s="5"/>
      <c r="F42" s="5"/>
      <c r="G42" s="5"/>
      <c r="H42" s="5"/>
      <c r="I42" s="5"/>
      <c r="J42" s="350" t="str">
        <f t="shared" si="2"/>
        <v/>
      </c>
      <c r="K42" s="28" t="str">
        <f t="shared" si="3"/>
        <v/>
      </c>
      <c r="L42" s="7"/>
    </row>
    <row r="43" spans="1:12" ht="15.75" hidden="1" customHeight="1">
      <c r="A43" s="9"/>
      <c r="B43" s="150"/>
      <c r="C43" s="151"/>
      <c r="D43" s="5"/>
      <c r="E43" s="5"/>
      <c r="F43" s="5"/>
      <c r="G43" s="5"/>
      <c r="H43" s="5"/>
      <c r="I43" s="5"/>
      <c r="J43" s="350" t="str">
        <f t="shared" si="2"/>
        <v/>
      </c>
      <c r="K43" s="28" t="str">
        <f t="shared" si="3"/>
        <v/>
      </c>
      <c r="L43" s="7"/>
    </row>
    <row r="44" spans="1:12" ht="15.75" hidden="1" customHeight="1">
      <c r="A44" s="9"/>
      <c r="B44" s="150"/>
      <c r="C44" s="151"/>
      <c r="D44" s="5"/>
      <c r="E44" s="5"/>
      <c r="F44" s="5"/>
      <c r="G44" s="5"/>
      <c r="H44" s="5"/>
      <c r="I44" s="5"/>
      <c r="J44" s="350" t="str">
        <f t="shared" si="2"/>
        <v/>
      </c>
      <c r="K44" s="28" t="str">
        <f t="shared" si="3"/>
        <v/>
      </c>
      <c r="L44" s="7"/>
    </row>
    <row r="45" spans="1:12" ht="15.75" hidden="1" customHeight="1">
      <c r="A45" s="9"/>
      <c r="B45" s="150"/>
      <c r="C45" s="151"/>
      <c r="D45" s="5"/>
      <c r="E45" s="5"/>
      <c r="F45" s="5"/>
      <c r="G45" s="5"/>
      <c r="H45" s="5"/>
      <c r="I45" s="5"/>
      <c r="J45" s="350" t="str">
        <f t="shared" si="2"/>
        <v/>
      </c>
      <c r="K45" s="28" t="str">
        <f t="shared" si="3"/>
        <v/>
      </c>
      <c r="L45" s="7"/>
    </row>
    <row r="46" spans="1:12" ht="15.75" hidden="1" customHeight="1">
      <c r="A46" s="9"/>
      <c r="B46" s="150"/>
      <c r="C46" s="151"/>
      <c r="D46" s="5"/>
      <c r="E46" s="5"/>
      <c r="F46" s="5"/>
      <c r="G46" s="5"/>
      <c r="H46" s="5"/>
      <c r="I46" s="5"/>
      <c r="J46" s="350" t="str">
        <f t="shared" si="2"/>
        <v/>
      </c>
      <c r="K46" s="28" t="str">
        <f t="shared" si="3"/>
        <v/>
      </c>
      <c r="L46" s="7"/>
    </row>
    <row r="47" spans="1:12" ht="15.75" hidden="1" customHeight="1">
      <c r="A47" s="9"/>
      <c r="B47" s="150"/>
      <c r="C47" s="151"/>
      <c r="D47" s="5"/>
      <c r="E47" s="5"/>
      <c r="F47" s="5"/>
      <c r="G47" s="5"/>
      <c r="H47" s="5"/>
      <c r="I47" s="5"/>
      <c r="J47" s="350" t="str">
        <f t="shared" si="2"/>
        <v/>
      </c>
      <c r="K47" s="28" t="str">
        <f t="shared" si="3"/>
        <v/>
      </c>
      <c r="L47" s="7"/>
    </row>
  </sheetData>
  <mergeCells count="11">
    <mergeCell ref="A27:B27"/>
    <mergeCell ref="A1:L1"/>
    <mergeCell ref="A6:A7"/>
    <mergeCell ref="B6:B7"/>
    <mergeCell ref="G6:I6"/>
    <mergeCell ref="A2:L2"/>
    <mergeCell ref="C6:C7"/>
    <mergeCell ref="D6:F6"/>
    <mergeCell ref="K6:K7"/>
    <mergeCell ref="J6:J7"/>
    <mergeCell ref="L6:L7"/>
  </mergeCells>
  <phoneticPr fontId="6" type="noConversion"/>
  <printOptions horizontalCentered="1" verticalCentered="1"/>
  <pageMargins left="1.0629921259842521" right="0.6692913385826772" top="0.39370078740157483" bottom="0.6692913385826772" header="1.7716535433070868" footer="1.0629921259842521"/>
  <pageSetup paperSize="9" fitToHeight="0" orientation="landscape" blackAndWhite="1" horizontalDpi="1200" verticalDpi="1200" r:id="rId1"/>
  <headerFooter scaleWithDoc="0">
    <oddHeader>&amp;R&amp;"宋体,常规"&amp;10表3-11-1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114300</xdr:colOff>
                    <xdr:row>2</xdr:row>
                    <xdr:rowOff>0</xdr:rowOff>
                  </from>
                  <to>
                    <xdr:col>3</xdr:col>
                    <xdr:colOff>711200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4061-1513-47CE-A13E-CE9F3A56C5B3}">
  <sheetPr codeName="Sheet24">
    <pageSetUpPr fitToPage="1"/>
  </sheetPr>
  <dimension ref="A1:T47"/>
  <sheetViews>
    <sheetView topLeftCell="F1" workbookViewId="0">
      <pane ySplit="7" topLeftCell="A8" activePane="bottomLeft" state="frozen"/>
      <selection activeCell="F17" sqref="F17"/>
      <selection pane="bottomLeft" activeCell="K3" sqref="K1:K65536"/>
    </sheetView>
  </sheetViews>
  <sheetFormatPr baseColWidth="10" defaultColWidth="9" defaultRowHeight="15.75" customHeight="1"/>
  <cols>
    <col min="1" max="1" width="4.6640625" style="101" customWidth="1"/>
    <col min="2" max="2" width="15.6640625" style="81" customWidth="1"/>
    <col min="3" max="3" width="4.5" style="81" customWidth="1"/>
    <col min="4" max="4" width="5.1640625" style="81" customWidth="1"/>
    <col min="5" max="5" width="11" style="142" customWidth="1"/>
    <col min="6" max="6" width="8.5" style="142" customWidth="1"/>
    <col min="7" max="7" width="13.1640625" style="142" customWidth="1"/>
    <col min="8" max="8" width="9.6640625" style="81" bestFit="1" customWidth="1"/>
    <col min="9" max="9" width="9.6640625" style="81" customWidth="1"/>
    <col min="10" max="10" width="11.5" style="81" customWidth="1"/>
    <col min="11" max="11" width="8.1640625" style="351" customWidth="1"/>
    <col min="12" max="12" width="9.6640625" style="135" customWidth="1"/>
    <col min="13" max="13" width="10.1640625" style="81" customWidth="1"/>
    <col min="14" max="14" width="10" style="81" customWidth="1"/>
    <col min="15" max="15" width="10.5" style="81" customWidth="1"/>
    <col min="16" max="16" width="7.1640625" style="81" customWidth="1"/>
    <col min="17" max="17" width="6.83203125" style="81" customWidth="1"/>
    <col min="18" max="18" width="7" style="81" customWidth="1"/>
    <col min="19" max="19" width="6.6640625" style="81" customWidth="1"/>
    <col min="20" max="20" width="15.5" style="81" customWidth="1"/>
    <col min="21" max="16384" width="9" style="81"/>
  </cols>
  <sheetData>
    <row r="1" spans="1:20" s="80" customFormat="1" ht="30" customHeight="1">
      <c r="A1" s="374" t="s">
        <v>982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</row>
    <row r="2" spans="1:2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</row>
    <row r="3" spans="1:20" ht="14.2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347"/>
      <c r="L3" s="131"/>
      <c r="M3" s="85"/>
    </row>
    <row r="4" spans="1:20" ht="14.25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347"/>
      <c r="L4" s="131"/>
      <c r="M4" s="85"/>
    </row>
    <row r="5" spans="1:20" ht="15.75" customHeight="1">
      <c r="A5" s="41" t="str">
        <f>'1-汇总表'!A4</f>
        <v>被评估单位：A有限公司</v>
      </c>
      <c r="B5" s="42"/>
      <c r="C5" s="42"/>
      <c r="D5" s="42"/>
      <c r="E5" s="184"/>
      <c r="F5" s="184"/>
      <c r="G5" s="184"/>
      <c r="H5" s="42"/>
      <c r="I5" s="42"/>
      <c r="J5" s="42"/>
      <c r="K5" s="348"/>
      <c r="L5" s="173"/>
      <c r="M5" s="122"/>
    </row>
    <row r="6" spans="1:20" s="101" customFormat="1" ht="15.75" customHeight="1">
      <c r="A6" s="465" t="s">
        <v>7</v>
      </c>
      <c r="B6" s="465" t="s">
        <v>143</v>
      </c>
      <c r="C6" s="467" t="s">
        <v>84</v>
      </c>
      <c r="D6" s="467" t="s">
        <v>109</v>
      </c>
      <c r="E6" s="465" t="s">
        <v>117</v>
      </c>
      <c r="F6" s="465"/>
      <c r="G6" s="465"/>
      <c r="H6" s="465" t="s">
        <v>0</v>
      </c>
      <c r="I6" s="465"/>
      <c r="J6" s="466"/>
      <c r="K6" s="471" t="s">
        <v>1</v>
      </c>
      <c r="L6" s="469" t="s">
        <v>479</v>
      </c>
      <c r="M6" s="465" t="s">
        <v>39</v>
      </c>
      <c r="N6" s="473" t="s">
        <v>610</v>
      </c>
      <c r="O6" s="473" t="s">
        <v>611</v>
      </c>
      <c r="P6" s="473" t="s">
        <v>612</v>
      </c>
      <c r="Q6" s="473" t="s">
        <v>613</v>
      </c>
      <c r="R6" s="473" t="s">
        <v>621</v>
      </c>
      <c r="S6" s="473"/>
      <c r="T6" s="473" t="s">
        <v>614</v>
      </c>
    </row>
    <row r="7" spans="1:20" s="101" customFormat="1" ht="15.75" customHeight="1">
      <c r="A7" s="466"/>
      <c r="B7" s="466"/>
      <c r="C7" s="468"/>
      <c r="D7" s="474"/>
      <c r="E7" s="45" t="s">
        <v>43</v>
      </c>
      <c r="F7" s="45" t="s">
        <v>81</v>
      </c>
      <c r="G7" s="45" t="s">
        <v>38</v>
      </c>
      <c r="H7" s="45" t="s">
        <v>80</v>
      </c>
      <c r="I7" s="45" t="s">
        <v>339</v>
      </c>
      <c r="J7" s="45" t="s">
        <v>38</v>
      </c>
      <c r="K7" s="472"/>
      <c r="L7" s="470"/>
      <c r="M7" s="466"/>
      <c r="N7" s="473"/>
      <c r="O7" s="473"/>
      <c r="P7" s="473"/>
      <c r="Q7" s="473"/>
      <c r="R7" s="285" t="s">
        <v>615</v>
      </c>
      <c r="S7" s="285" t="s">
        <v>616</v>
      </c>
      <c r="T7" s="473"/>
    </row>
    <row r="8" spans="1:20" s="143" customFormat="1" ht="15.75" customHeight="1">
      <c r="A8" s="149"/>
      <c r="B8" s="150"/>
      <c r="C8" s="151"/>
      <c r="D8" s="151"/>
      <c r="E8" s="5"/>
      <c r="F8" s="5"/>
      <c r="G8" s="5"/>
      <c r="H8" s="5"/>
      <c r="I8" s="5"/>
      <c r="J8" s="5"/>
      <c r="K8" s="350" t="str">
        <f>IF(ISERROR(J8-G8),"",IF(J8=0,"",J8-G8))</f>
        <v/>
      </c>
      <c r="L8" s="28" t="str">
        <f>IF(ISERROR(J8-G8),"",IF(J8=0,"",IF(K8="",0,ROUND(K8*100/G8,2))))</f>
        <v/>
      </c>
      <c r="M8" s="7"/>
    </row>
    <row r="9" spans="1:20" ht="15.75" customHeight="1">
      <c r="A9" s="8"/>
      <c r="B9" s="153"/>
      <c r="C9" s="8"/>
      <c r="D9" s="8"/>
      <c r="E9" s="5"/>
      <c r="F9" s="5"/>
      <c r="G9" s="5"/>
      <c r="H9" s="5"/>
      <c r="I9" s="5"/>
      <c r="J9" s="5"/>
      <c r="K9" s="350" t="str">
        <f t="shared" ref="K9:K27" si="0">IF(ISERROR(J9-G9),"",IF(J9=0,"",J9-G9))</f>
        <v/>
      </c>
      <c r="L9" s="28" t="str">
        <f t="shared" ref="L9:L27" si="1">IF(ISERROR(J9-G9),"",IF(J9=0,"",IF(K9="",0,ROUND(K9*100/G9,2))))</f>
        <v/>
      </c>
      <c r="M9" s="7"/>
    </row>
    <row r="10" spans="1:20" ht="15.75" customHeight="1">
      <c r="A10" s="8"/>
      <c r="B10" s="7"/>
      <c r="C10" s="8"/>
      <c r="D10" s="8"/>
      <c r="E10" s="5"/>
      <c r="F10" s="5"/>
      <c r="G10" s="5"/>
      <c r="H10" s="5"/>
      <c r="I10" s="5"/>
      <c r="J10" s="5"/>
      <c r="K10" s="350" t="str">
        <f t="shared" si="0"/>
        <v/>
      </c>
      <c r="L10" s="28" t="str">
        <f t="shared" si="1"/>
        <v/>
      </c>
      <c r="M10" s="7"/>
    </row>
    <row r="11" spans="1:20" ht="15.75" customHeight="1">
      <c r="A11" s="8"/>
      <c r="B11" s="7"/>
      <c r="C11" s="8"/>
      <c r="D11" s="8"/>
      <c r="E11" s="5"/>
      <c r="F11" s="5"/>
      <c r="G11" s="5"/>
      <c r="H11" s="5"/>
      <c r="I11" s="5"/>
      <c r="J11" s="5"/>
      <c r="K11" s="350" t="str">
        <f t="shared" si="0"/>
        <v/>
      </c>
      <c r="L11" s="28" t="str">
        <f t="shared" si="1"/>
        <v/>
      </c>
      <c r="M11" s="7"/>
    </row>
    <row r="12" spans="1:20" ht="15.75" customHeight="1">
      <c r="A12" s="8"/>
      <c r="B12" s="7"/>
      <c r="C12" s="8"/>
      <c r="D12" s="8"/>
      <c r="E12" s="5"/>
      <c r="F12" s="5"/>
      <c r="G12" s="5"/>
      <c r="H12" s="5"/>
      <c r="I12" s="5"/>
      <c r="J12" s="5"/>
      <c r="K12" s="350" t="str">
        <f t="shared" si="0"/>
        <v/>
      </c>
      <c r="L12" s="28" t="str">
        <f t="shared" si="1"/>
        <v/>
      </c>
      <c r="M12" s="7"/>
    </row>
    <row r="13" spans="1:20" ht="15.75" customHeight="1">
      <c r="A13" s="8"/>
      <c r="B13" s="7"/>
      <c r="C13" s="8"/>
      <c r="D13" s="8"/>
      <c r="E13" s="5"/>
      <c r="F13" s="5"/>
      <c r="G13" s="5"/>
      <c r="H13" s="5"/>
      <c r="I13" s="5"/>
      <c r="J13" s="5"/>
      <c r="K13" s="350" t="str">
        <f t="shared" si="0"/>
        <v/>
      </c>
      <c r="L13" s="28" t="str">
        <f t="shared" si="1"/>
        <v/>
      </c>
      <c r="M13" s="7"/>
    </row>
    <row r="14" spans="1:20" ht="15.75" customHeight="1">
      <c r="A14" s="8"/>
      <c r="B14" s="7"/>
      <c r="C14" s="8"/>
      <c r="D14" s="8"/>
      <c r="E14" s="5"/>
      <c r="F14" s="5"/>
      <c r="G14" s="5"/>
      <c r="H14" s="5"/>
      <c r="I14" s="5"/>
      <c r="J14" s="5"/>
      <c r="K14" s="350" t="str">
        <f t="shared" si="0"/>
        <v/>
      </c>
      <c r="L14" s="28" t="str">
        <f t="shared" si="1"/>
        <v/>
      </c>
      <c r="M14" s="7"/>
    </row>
    <row r="15" spans="1:20" ht="15.75" customHeight="1">
      <c r="A15" s="8"/>
      <c r="B15" s="7"/>
      <c r="C15" s="8"/>
      <c r="D15" s="8"/>
      <c r="E15" s="5"/>
      <c r="F15" s="5"/>
      <c r="G15" s="5"/>
      <c r="H15" s="5"/>
      <c r="I15" s="5"/>
      <c r="J15" s="5"/>
      <c r="K15" s="350" t="str">
        <f t="shared" si="0"/>
        <v/>
      </c>
      <c r="L15" s="28" t="str">
        <f t="shared" si="1"/>
        <v/>
      </c>
      <c r="M15" s="7"/>
    </row>
    <row r="16" spans="1:20" ht="15.75" customHeight="1">
      <c r="A16" s="8"/>
      <c r="B16" s="7"/>
      <c r="C16" s="8"/>
      <c r="D16" s="8"/>
      <c r="E16" s="5"/>
      <c r="F16" s="5"/>
      <c r="G16" s="5"/>
      <c r="H16" s="5"/>
      <c r="I16" s="5"/>
      <c r="J16" s="5"/>
      <c r="K16" s="350" t="str">
        <f t="shared" si="0"/>
        <v/>
      </c>
      <c r="L16" s="28" t="str">
        <f t="shared" si="1"/>
        <v/>
      </c>
      <c r="M16" s="7"/>
    </row>
    <row r="17" spans="1:13" ht="15.75" customHeight="1">
      <c r="A17" s="8"/>
      <c r="B17" s="7"/>
      <c r="C17" s="8"/>
      <c r="D17" s="8"/>
      <c r="E17" s="5"/>
      <c r="F17" s="5"/>
      <c r="G17" s="5"/>
      <c r="H17" s="5"/>
      <c r="I17" s="5"/>
      <c r="J17" s="5"/>
      <c r="K17" s="350" t="str">
        <f t="shared" si="0"/>
        <v/>
      </c>
      <c r="L17" s="28" t="str">
        <f t="shared" si="1"/>
        <v/>
      </c>
      <c r="M17" s="7"/>
    </row>
    <row r="18" spans="1:13" ht="15.75" customHeight="1">
      <c r="A18" s="8"/>
      <c r="B18" s="7"/>
      <c r="C18" s="8"/>
      <c r="D18" s="8"/>
      <c r="E18" s="5"/>
      <c r="F18" s="5"/>
      <c r="G18" s="5"/>
      <c r="H18" s="5"/>
      <c r="I18" s="5"/>
      <c r="J18" s="5"/>
      <c r="K18" s="350" t="str">
        <f t="shared" si="0"/>
        <v/>
      </c>
      <c r="L18" s="28" t="str">
        <f t="shared" si="1"/>
        <v/>
      </c>
      <c r="M18" s="7"/>
    </row>
    <row r="19" spans="1:13" ht="15.75" customHeight="1">
      <c r="A19" s="8"/>
      <c r="B19" s="7"/>
      <c r="C19" s="8"/>
      <c r="D19" s="8"/>
      <c r="E19" s="5"/>
      <c r="F19" s="5"/>
      <c r="G19" s="5"/>
      <c r="H19" s="5"/>
      <c r="I19" s="5"/>
      <c r="J19" s="5"/>
      <c r="K19" s="350" t="str">
        <f t="shared" si="0"/>
        <v/>
      </c>
      <c r="L19" s="28" t="str">
        <f t="shared" si="1"/>
        <v/>
      </c>
      <c r="M19" s="7"/>
    </row>
    <row r="20" spans="1:13" ht="15.75" customHeight="1">
      <c r="A20" s="8"/>
      <c r="B20" s="7"/>
      <c r="C20" s="8"/>
      <c r="D20" s="8"/>
      <c r="E20" s="5"/>
      <c r="F20" s="5"/>
      <c r="G20" s="5"/>
      <c r="H20" s="5"/>
      <c r="I20" s="5"/>
      <c r="J20" s="5"/>
      <c r="K20" s="350" t="str">
        <f t="shared" si="0"/>
        <v/>
      </c>
      <c r="L20" s="28" t="str">
        <f t="shared" si="1"/>
        <v/>
      </c>
      <c r="M20" s="7"/>
    </row>
    <row r="21" spans="1:13" ht="15.75" customHeight="1">
      <c r="A21" s="8"/>
      <c r="B21" s="153"/>
      <c r="C21" s="8"/>
      <c r="D21" s="8"/>
      <c r="E21" s="5"/>
      <c r="F21" s="5"/>
      <c r="G21" s="5"/>
      <c r="H21" s="5"/>
      <c r="I21" s="5"/>
      <c r="J21" s="5"/>
      <c r="K21" s="350" t="str">
        <f t="shared" si="0"/>
        <v/>
      </c>
      <c r="L21" s="28" t="str">
        <f t="shared" si="1"/>
        <v/>
      </c>
      <c r="M21" s="7"/>
    </row>
    <row r="22" spans="1:13" ht="15.75" customHeight="1">
      <c r="A22" s="8"/>
      <c r="B22" s="7"/>
      <c r="C22" s="8"/>
      <c r="D22" s="8"/>
      <c r="E22" s="5"/>
      <c r="F22" s="5"/>
      <c r="G22" s="5"/>
      <c r="H22" s="5"/>
      <c r="I22" s="5"/>
      <c r="J22" s="5"/>
      <c r="K22" s="350" t="str">
        <f t="shared" si="0"/>
        <v/>
      </c>
      <c r="L22" s="28" t="str">
        <f t="shared" si="1"/>
        <v/>
      </c>
      <c r="M22" s="7"/>
    </row>
    <row r="23" spans="1:13" ht="15.75" customHeight="1">
      <c r="A23" s="8"/>
      <c r="B23" s="7"/>
      <c r="C23" s="8"/>
      <c r="D23" s="8"/>
      <c r="E23" s="5"/>
      <c r="F23" s="5"/>
      <c r="G23" s="5"/>
      <c r="H23" s="5"/>
      <c r="I23" s="5"/>
      <c r="J23" s="5"/>
      <c r="K23" s="350" t="str">
        <f t="shared" si="0"/>
        <v/>
      </c>
      <c r="L23" s="28" t="str">
        <f t="shared" si="1"/>
        <v/>
      </c>
      <c r="M23" s="7"/>
    </row>
    <row r="24" spans="1:13" ht="15.75" customHeight="1">
      <c r="A24" s="8"/>
      <c r="B24" s="7"/>
      <c r="C24" s="8"/>
      <c r="D24" s="8"/>
      <c r="E24" s="5"/>
      <c r="F24" s="5"/>
      <c r="G24" s="5"/>
      <c r="H24" s="5"/>
      <c r="I24" s="5"/>
      <c r="J24" s="5"/>
      <c r="K24" s="350" t="str">
        <f t="shared" si="0"/>
        <v/>
      </c>
      <c r="L24" s="28" t="str">
        <f t="shared" si="1"/>
        <v/>
      </c>
      <c r="M24" s="7"/>
    </row>
    <row r="25" spans="1:13" ht="15.75" customHeight="1">
      <c r="A25" s="8"/>
      <c r="B25" s="7"/>
      <c r="C25" s="8"/>
      <c r="D25" s="8"/>
      <c r="E25" s="5"/>
      <c r="F25" s="5"/>
      <c r="G25" s="5"/>
      <c r="H25" s="5"/>
      <c r="I25" s="5"/>
      <c r="J25" s="5"/>
      <c r="K25" s="350" t="str">
        <f t="shared" si="0"/>
        <v/>
      </c>
      <c r="L25" s="28" t="str">
        <f t="shared" si="1"/>
        <v/>
      </c>
      <c r="M25" s="7"/>
    </row>
    <row r="26" spans="1:13" ht="15.75" customHeight="1">
      <c r="A26" s="8"/>
      <c r="B26" s="153"/>
      <c r="C26" s="8"/>
      <c r="D26" s="8"/>
      <c r="E26" s="5"/>
      <c r="F26" s="5"/>
      <c r="G26" s="5"/>
      <c r="H26" s="5"/>
      <c r="I26" s="5"/>
      <c r="J26" s="5"/>
      <c r="K26" s="350" t="str">
        <f t="shared" si="0"/>
        <v/>
      </c>
      <c r="L26" s="28" t="str">
        <f t="shared" si="1"/>
        <v/>
      </c>
      <c r="M26" s="7"/>
    </row>
    <row r="27" spans="1:13" ht="15.75" customHeight="1">
      <c r="A27" s="420" t="s">
        <v>534</v>
      </c>
      <c r="B27" s="421"/>
      <c r="C27" s="30"/>
      <c r="D27" s="30"/>
      <c r="E27" s="31"/>
      <c r="F27" s="31"/>
      <c r="G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7" s="31"/>
      <c r="I27" s="31"/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350" t="str">
        <f t="shared" ca="1" si="0"/>
        <v/>
      </c>
      <c r="L27" s="28" t="str">
        <f t="shared" ca="1" si="1"/>
        <v/>
      </c>
      <c r="M27" s="234"/>
    </row>
    <row r="28" spans="1:13" ht="15.75" hidden="1" customHeight="1">
      <c r="A28" s="8"/>
      <c r="B28" s="153"/>
      <c r="C28" s="8"/>
      <c r="D28" s="8"/>
      <c r="E28" s="5"/>
      <c r="F28" s="5"/>
      <c r="G28" s="5"/>
      <c r="H28" s="5"/>
      <c r="I28" s="5"/>
      <c r="J28" s="5"/>
      <c r="K28" s="350" t="str">
        <f t="shared" ref="K28:K47" si="2">IF(ISERROR(J28-G28),"",IF(J28=0,"",J28-G28))</f>
        <v/>
      </c>
      <c r="L28" s="28" t="str">
        <f t="shared" ref="L28:L47" si="3">IF(ISERROR(J28-G28),"",IF(J28=0,"",IF(K28="",0,ROUND(K28*100/G28,2))))</f>
        <v/>
      </c>
      <c r="M28" s="7"/>
    </row>
    <row r="29" spans="1:13" ht="15.75" hidden="1" customHeight="1">
      <c r="A29" s="8"/>
      <c r="B29" s="153"/>
      <c r="C29" s="8"/>
      <c r="D29" s="8"/>
      <c r="E29" s="5"/>
      <c r="F29" s="5"/>
      <c r="G29" s="5"/>
      <c r="H29" s="5"/>
      <c r="I29" s="5"/>
      <c r="J29" s="5"/>
      <c r="K29" s="350" t="str">
        <f t="shared" si="2"/>
        <v/>
      </c>
      <c r="L29" s="28" t="str">
        <f t="shared" si="3"/>
        <v/>
      </c>
      <c r="M29" s="7"/>
    </row>
    <row r="30" spans="1:13" ht="15.75" hidden="1" customHeight="1">
      <c r="A30" s="8"/>
      <c r="B30" s="153"/>
      <c r="C30" s="8"/>
      <c r="D30" s="8"/>
      <c r="E30" s="5"/>
      <c r="F30" s="5"/>
      <c r="G30" s="5"/>
      <c r="H30" s="5"/>
      <c r="I30" s="5"/>
      <c r="J30" s="5"/>
      <c r="K30" s="350" t="str">
        <f t="shared" si="2"/>
        <v/>
      </c>
      <c r="L30" s="28" t="str">
        <f t="shared" si="3"/>
        <v/>
      </c>
      <c r="M30" s="7"/>
    </row>
    <row r="31" spans="1:13" ht="15.75" hidden="1" customHeight="1">
      <c r="A31" s="8"/>
      <c r="B31" s="153"/>
      <c r="C31" s="8"/>
      <c r="D31" s="8"/>
      <c r="E31" s="5"/>
      <c r="F31" s="5"/>
      <c r="G31" s="5"/>
      <c r="H31" s="5"/>
      <c r="I31" s="5"/>
      <c r="J31" s="5"/>
      <c r="K31" s="350" t="str">
        <f t="shared" si="2"/>
        <v/>
      </c>
      <c r="L31" s="28" t="str">
        <f t="shared" si="3"/>
        <v/>
      </c>
      <c r="M31" s="7"/>
    </row>
    <row r="32" spans="1:13" ht="15.75" hidden="1" customHeight="1">
      <c r="A32" s="8"/>
      <c r="B32" s="153"/>
      <c r="C32" s="8"/>
      <c r="D32" s="8"/>
      <c r="E32" s="5"/>
      <c r="F32" s="5"/>
      <c r="G32" s="5"/>
      <c r="H32" s="5"/>
      <c r="I32" s="5"/>
      <c r="J32" s="5"/>
      <c r="K32" s="350" t="str">
        <f t="shared" si="2"/>
        <v/>
      </c>
      <c r="L32" s="28" t="str">
        <f t="shared" si="3"/>
        <v/>
      </c>
      <c r="M32" s="7"/>
    </row>
    <row r="33" spans="1:13" ht="15.75" hidden="1" customHeight="1">
      <c r="A33" s="8"/>
      <c r="B33" s="153"/>
      <c r="C33" s="8"/>
      <c r="D33" s="8"/>
      <c r="E33" s="5"/>
      <c r="F33" s="5"/>
      <c r="G33" s="5"/>
      <c r="H33" s="5"/>
      <c r="I33" s="5"/>
      <c r="J33" s="5"/>
      <c r="K33" s="350" t="str">
        <f t="shared" si="2"/>
        <v/>
      </c>
      <c r="L33" s="28" t="str">
        <f t="shared" si="3"/>
        <v/>
      </c>
      <c r="M33" s="7"/>
    </row>
    <row r="34" spans="1:13" ht="15.75" hidden="1" customHeight="1">
      <c r="A34" s="8"/>
      <c r="B34" s="153"/>
      <c r="C34" s="8"/>
      <c r="D34" s="8"/>
      <c r="E34" s="5"/>
      <c r="F34" s="5"/>
      <c r="G34" s="5"/>
      <c r="H34" s="5"/>
      <c r="I34" s="5"/>
      <c r="J34" s="5"/>
      <c r="K34" s="350" t="str">
        <f t="shared" si="2"/>
        <v/>
      </c>
      <c r="L34" s="28" t="str">
        <f t="shared" si="3"/>
        <v/>
      </c>
      <c r="M34" s="7"/>
    </row>
    <row r="35" spans="1:13" ht="15.75" hidden="1" customHeight="1">
      <c r="A35" s="8"/>
      <c r="B35" s="153"/>
      <c r="C35" s="8"/>
      <c r="D35" s="8"/>
      <c r="E35" s="5"/>
      <c r="F35" s="5"/>
      <c r="G35" s="5"/>
      <c r="H35" s="5"/>
      <c r="I35" s="5"/>
      <c r="J35" s="5"/>
      <c r="K35" s="350" t="str">
        <f t="shared" si="2"/>
        <v/>
      </c>
      <c r="L35" s="28" t="str">
        <f t="shared" si="3"/>
        <v/>
      </c>
      <c r="M35" s="7"/>
    </row>
    <row r="36" spans="1:13" ht="15.75" hidden="1" customHeight="1">
      <c r="A36" s="8"/>
      <c r="B36" s="153"/>
      <c r="C36" s="8"/>
      <c r="D36" s="8"/>
      <c r="E36" s="5"/>
      <c r="F36" s="5"/>
      <c r="G36" s="5"/>
      <c r="H36" s="5"/>
      <c r="I36" s="5"/>
      <c r="J36" s="5"/>
      <c r="K36" s="350" t="str">
        <f t="shared" si="2"/>
        <v/>
      </c>
      <c r="L36" s="28" t="str">
        <f t="shared" si="3"/>
        <v/>
      </c>
      <c r="M36" s="7"/>
    </row>
    <row r="37" spans="1:13" ht="15.75" hidden="1" customHeight="1">
      <c r="A37" s="8"/>
      <c r="B37" s="153"/>
      <c r="C37" s="8"/>
      <c r="D37" s="8"/>
      <c r="E37" s="5"/>
      <c r="F37" s="5"/>
      <c r="G37" s="5"/>
      <c r="H37" s="5"/>
      <c r="I37" s="5"/>
      <c r="J37" s="5"/>
      <c r="K37" s="350" t="str">
        <f t="shared" si="2"/>
        <v/>
      </c>
      <c r="L37" s="28" t="str">
        <f t="shared" si="3"/>
        <v/>
      </c>
      <c r="M37" s="7"/>
    </row>
    <row r="38" spans="1:13" ht="15.75" hidden="1" customHeight="1">
      <c r="A38" s="8"/>
      <c r="B38" s="153"/>
      <c r="C38" s="8"/>
      <c r="D38" s="8"/>
      <c r="E38" s="5"/>
      <c r="F38" s="5"/>
      <c r="G38" s="5"/>
      <c r="H38" s="5"/>
      <c r="I38" s="5"/>
      <c r="J38" s="5"/>
      <c r="K38" s="350" t="str">
        <f t="shared" si="2"/>
        <v/>
      </c>
      <c r="L38" s="28" t="str">
        <f t="shared" si="3"/>
        <v/>
      </c>
      <c r="M38" s="7"/>
    </row>
    <row r="39" spans="1:13" ht="15.75" hidden="1" customHeight="1">
      <c r="A39" s="8"/>
      <c r="B39" s="153"/>
      <c r="C39" s="8"/>
      <c r="D39" s="8"/>
      <c r="E39" s="5"/>
      <c r="F39" s="5"/>
      <c r="G39" s="5"/>
      <c r="H39" s="5"/>
      <c r="I39" s="5"/>
      <c r="J39" s="5"/>
      <c r="K39" s="350" t="str">
        <f t="shared" si="2"/>
        <v/>
      </c>
      <c r="L39" s="28" t="str">
        <f t="shared" si="3"/>
        <v/>
      </c>
      <c r="M39" s="7"/>
    </row>
    <row r="40" spans="1:13" ht="15.75" hidden="1" customHeight="1">
      <c r="A40" s="8"/>
      <c r="B40" s="153"/>
      <c r="C40" s="8"/>
      <c r="D40" s="8"/>
      <c r="E40" s="5"/>
      <c r="F40" s="5"/>
      <c r="G40" s="5"/>
      <c r="H40" s="5"/>
      <c r="I40" s="5"/>
      <c r="J40" s="5"/>
      <c r="K40" s="350" t="str">
        <f t="shared" si="2"/>
        <v/>
      </c>
      <c r="L40" s="28" t="str">
        <f t="shared" si="3"/>
        <v/>
      </c>
      <c r="M40" s="7"/>
    </row>
    <row r="41" spans="1:13" ht="15.75" hidden="1" customHeight="1">
      <c r="A41" s="8"/>
      <c r="B41" s="153"/>
      <c r="C41" s="8"/>
      <c r="D41" s="8"/>
      <c r="E41" s="5"/>
      <c r="F41" s="5"/>
      <c r="G41" s="5"/>
      <c r="H41" s="5"/>
      <c r="I41" s="5"/>
      <c r="J41" s="5"/>
      <c r="K41" s="350" t="str">
        <f t="shared" si="2"/>
        <v/>
      </c>
      <c r="L41" s="28" t="str">
        <f t="shared" si="3"/>
        <v/>
      </c>
      <c r="M41" s="7"/>
    </row>
    <row r="42" spans="1:13" ht="15.75" hidden="1" customHeight="1">
      <c r="A42" s="8"/>
      <c r="B42" s="153"/>
      <c r="C42" s="8"/>
      <c r="D42" s="8"/>
      <c r="E42" s="5"/>
      <c r="F42" s="5"/>
      <c r="G42" s="5"/>
      <c r="H42" s="5"/>
      <c r="I42" s="5"/>
      <c r="J42" s="5"/>
      <c r="K42" s="350" t="str">
        <f t="shared" si="2"/>
        <v/>
      </c>
      <c r="L42" s="28" t="str">
        <f t="shared" si="3"/>
        <v/>
      </c>
      <c r="M42" s="7"/>
    </row>
    <row r="43" spans="1:13" ht="15.75" hidden="1" customHeight="1">
      <c r="A43" s="8"/>
      <c r="B43" s="153"/>
      <c r="C43" s="8"/>
      <c r="D43" s="8"/>
      <c r="E43" s="5"/>
      <c r="F43" s="5"/>
      <c r="G43" s="5"/>
      <c r="H43" s="5"/>
      <c r="I43" s="5"/>
      <c r="J43" s="5"/>
      <c r="K43" s="350" t="str">
        <f t="shared" si="2"/>
        <v/>
      </c>
      <c r="L43" s="28" t="str">
        <f t="shared" si="3"/>
        <v/>
      </c>
      <c r="M43" s="7"/>
    </row>
    <row r="44" spans="1:13" ht="15.75" hidden="1" customHeight="1">
      <c r="A44" s="8"/>
      <c r="B44" s="153"/>
      <c r="C44" s="8"/>
      <c r="D44" s="8"/>
      <c r="E44" s="5"/>
      <c r="F44" s="5"/>
      <c r="G44" s="5"/>
      <c r="H44" s="5"/>
      <c r="I44" s="5"/>
      <c r="J44" s="5"/>
      <c r="K44" s="350" t="str">
        <f t="shared" si="2"/>
        <v/>
      </c>
      <c r="L44" s="28" t="str">
        <f t="shared" si="3"/>
        <v/>
      </c>
      <c r="M44" s="7"/>
    </row>
    <row r="45" spans="1:13" ht="15.75" hidden="1" customHeight="1">
      <c r="A45" s="8"/>
      <c r="B45" s="153"/>
      <c r="C45" s="8"/>
      <c r="D45" s="8"/>
      <c r="E45" s="5"/>
      <c r="F45" s="5"/>
      <c r="G45" s="5"/>
      <c r="H45" s="5"/>
      <c r="I45" s="5"/>
      <c r="J45" s="5"/>
      <c r="K45" s="350" t="str">
        <f t="shared" si="2"/>
        <v/>
      </c>
      <c r="L45" s="28" t="str">
        <f t="shared" si="3"/>
        <v/>
      </c>
      <c r="M45" s="7"/>
    </row>
    <row r="46" spans="1:13" ht="15.75" hidden="1" customHeight="1">
      <c r="A46" s="8"/>
      <c r="B46" s="153"/>
      <c r="C46" s="8"/>
      <c r="D46" s="8"/>
      <c r="E46" s="5"/>
      <c r="F46" s="5"/>
      <c r="G46" s="5"/>
      <c r="H46" s="5"/>
      <c r="I46" s="5"/>
      <c r="J46" s="5"/>
      <c r="K46" s="350" t="str">
        <f t="shared" si="2"/>
        <v/>
      </c>
      <c r="L46" s="28" t="str">
        <f t="shared" si="3"/>
        <v/>
      </c>
      <c r="M46" s="7"/>
    </row>
    <row r="47" spans="1:13" ht="15.75" hidden="1" customHeight="1">
      <c r="A47" s="8"/>
      <c r="B47" s="153"/>
      <c r="C47" s="8"/>
      <c r="D47" s="8"/>
      <c r="E47" s="5"/>
      <c r="F47" s="5"/>
      <c r="G47" s="5"/>
      <c r="H47" s="5"/>
      <c r="I47" s="5"/>
      <c r="J47" s="5"/>
      <c r="K47" s="350" t="str">
        <f t="shared" si="2"/>
        <v/>
      </c>
      <c r="L47" s="28" t="str">
        <f t="shared" si="3"/>
        <v/>
      </c>
      <c r="M47" s="7"/>
    </row>
  </sheetData>
  <mergeCells count="18">
    <mergeCell ref="R6:S6"/>
    <mergeCell ref="T6:T7"/>
    <mergeCell ref="D6:D7"/>
    <mergeCell ref="K6:K7"/>
    <mergeCell ref="N6:N7"/>
    <mergeCell ref="O6:O7"/>
    <mergeCell ref="P6:P7"/>
    <mergeCell ref="Q6:Q7"/>
    <mergeCell ref="A27:B27"/>
    <mergeCell ref="A1:M1"/>
    <mergeCell ref="A2:M2"/>
    <mergeCell ref="M6:M7"/>
    <mergeCell ref="H6:J6"/>
    <mergeCell ref="A6:A7"/>
    <mergeCell ref="B6:B7"/>
    <mergeCell ref="C6:C7"/>
    <mergeCell ref="L6:L7"/>
    <mergeCell ref="E6:G6"/>
  </mergeCells>
  <phoneticPr fontId="6" type="noConversion"/>
  <printOptions horizontalCentered="1" verticalCentered="1"/>
  <pageMargins left="1.0236220472440944" right="0.51181102362204722" top="0.31496062992125984" bottom="0.62992125984251968" header="1.7322834645669292" footer="1.0629921259842521"/>
  <pageSetup paperSize="9" fitToHeight="0" orientation="landscape" blackAndWhite="1" horizontalDpi="1200" verticalDpi="1200" r:id="rId1"/>
  <headerFooter scaleWithDoc="0">
    <oddHeader>&amp;R&amp;"宋体,常规"&amp;10表3-11-2
共&amp;N页 第&amp;P页
金额单位：人民币元</oddHeader>
    <oddFooter>&amp;L&amp;10申报单位填表人：_x000D_填表日期：</oddFooter>
  </headerFooter>
  <rowBreaks count="1" manualBreakCount="1">
    <brk id="2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1016000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76200</xdr:colOff>
                    <xdr:row>2</xdr:row>
                    <xdr:rowOff>0</xdr:rowOff>
                  </from>
                  <to>
                    <xdr:col>4</xdr:col>
                    <xdr:colOff>355600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9A9FA-37AE-4385-915A-99B7BCA8D609}">
  <sheetPr codeName="Sheet26">
    <pageSetUpPr fitToPage="1"/>
  </sheetPr>
  <dimension ref="A1:U47"/>
  <sheetViews>
    <sheetView workbookViewId="0">
      <pane ySplit="7" topLeftCell="A12" activePane="bottomLeft" state="frozen"/>
      <selection activeCell="F17" sqref="F17"/>
      <selection pane="bottomLeft" activeCell="K16" sqref="K16"/>
    </sheetView>
  </sheetViews>
  <sheetFormatPr baseColWidth="10" defaultColWidth="9" defaultRowHeight="15.75" customHeight="1"/>
  <cols>
    <col min="1" max="1" width="5" style="81" customWidth="1"/>
    <col min="2" max="2" width="13.1640625" style="81" bestFit="1" customWidth="1"/>
    <col min="3" max="3" width="4.6640625" style="81" customWidth="1"/>
    <col min="4" max="4" width="9.6640625" style="81" customWidth="1"/>
    <col min="5" max="5" width="10.6640625" style="81" customWidth="1"/>
    <col min="6" max="6" width="8.6640625" style="142" customWidth="1"/>
    <col min="7" max="7" width="11.5" style="81" bestFit="1" customWidth="1"/>
    <col min="8" max="8" width="9.6640625" style="81" customWidth="1"/>
    <col min="9" max="9" width="7.5" style="81" customWidth="1"/>
    <col min="10" max="10" width="12.6640625" style="81" customWidth="1"/>
    <col min="11" max="11" width="9" style="351" customWidth="1"/>
    <col min="12" max="12" width="9.6640625" style="135" customWidth="1"/>
    <col min="13" max="13" width="10.1640625" style="81" customWidth="1"/>
    <col min="14" max="14" width="10.83203125" style="81" customWidth="1"/>
    <col min="15" max="15" width="10" style="81" customWidth="1"/>
    <col min="16" max="16" width="7.5" style="81" customWidth="1"/>
    <col min="17" max="17" width="7.1640625" style="81" customWidth="1"/>
    <col min="18" max="18" width="9" style="81"/>
    <col min="19" max="19" width="10.1640625" style="81" customWidth="1"/>
    <col min="20" max="20" width="10.83203125" style="81" customWidth="1"/>
    <col min="21" max="21" width="7.1640625" style="81" customWidth="1"/>
    <col min="22" max="16384" width="9" style="81"/>
  </cols>
  <sheetData>
    <row r="1" spans="1:21" s="80" customFormat="1" ht="30" customHeight="1">
      <c r="A1" s="374" t="s">
        <v>983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</row>
    <row r="2" spans="1:2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  <c r="K2" s="378"/>
      <c r="L2" s="378"/>
      <c r="M2" s="378"/>
    </row>
    <row r="3" spans="1:21" ht="14.25" customHeight="1">
      <c r="A3" s="40"/>
      <c r="B3" s="40"/>
      <c r="C3" s="40"/>
      <c r="D3" s="40"/>
      <c r="E3" s="40"/>
      <c r="F3" s="171"/>
      <c r="G3" s="171"/>
      <c r="H3" s="171"/>
      <c r="I3" s="171"/>
      <c r="J3" s="171"/>
      <c r="K3" s="347"/>
      <c r="L3" s="172"/>
      <c r="M3" s="178"/>
    </row>
    <row r="4" spans="1:21" ht="14.25" customHeight="1">
      <c r="A4" s="40"/>
      <c r="B4" s="40"/>
      <c r="C4" s="40"/>
      <c r="D4" s="40"/>
      <c r="E4" s="40"/>
      <c r="F4" s="171"/>
      <c r="G4" s="171"/>
      <c r="H4" s="171"/>
      <c r="I4" s="171"/>
      <c r="J4" s="171"/>
      <c r="K4" s="347"/>
      <c r="L4" s="172"/>
      <c r="M4" s="178"/>
    </row>
    <row r="5" spans="1:21" ht="15.75" customHeight="1">
      <c r="A5" s="41" t="str">
        <f>'1-汇总表'!A4</f>
        <v>被评估单位：A有限公司</v>
      </c>
      <c r="B5" s="42"/>
      <c r="C5" s="42"/>
      <c r="D5" s="42"/>
      <c r="E5" s="42"/>
      <c r="F5" s="184"/>
      <c r="G5" s="42"/>
      <c r="H5" s="42"/>
      <c r="I5" s="42"/>
      <c r="J5" s="42"/>
      <c r="K5" s="348"/>
      <c r="L5" s="173"/>
      <c r="M5" s="122"/>
    </row>
    <row r="6" spans="1:21" s="101" customFormat="1" ht="15.75" customHeight="1">
      <c r="A6" s="465" t="s">
        <v>7</v>
      </c>
      <c r="B6" s="465" t="s">
        <v>143</v>
      </c>
      <c r="C6" s="467" t="s">
        <v>84</v>
      </c>
      <c r="D6" s="467" t="s">
        <v>109</v>
      </c>
      <c r="E6" s="465" t="s">
        <v>117</v>
      </c>
      <c r="F6" s="465"/>
      <c r="G6" s="465"/>
      <c r="H6" s="465" t="s">
        <v>0</v>
      </c>
      <c r="I6" s="465"/>
      <c r="J6" s="466"/>
      <c r="K6" s="471" t="s">
        <v>1</v>
      </c>
      <c r="L6" s="469" t="s">
        <v>479</v>
      </c>
      <c r="M6" s="465" t="s">
        <v>39</v>
      </c>
      <c r="N6" s="473" t="s">
        <v>610</v>
      </c>
      <c r="O6" s="473" t="s">
        <v>611</v>
      </c>
      <c r="P6" s="473" t="s">
        <v>612</v>
      </c>
      <c r="Q6" s="473" t="s">
        <v>613</v>
      </c>
      <c r="R6" s="475" t="s">
        <v>617</v>
      </c>
      <c r="S6" s="475"/>
      <c r="T6" s="476" t="s">
        <v>614</v>
      </c>
      <c r="U6" s="473" t="s">
        <v>618</v>
      </c>
    </row>
    <row r="7" spans="1:21" s="101" customFormat="1" ht="15.75" customHeight="1">
      <c r="A7" s="466"/>
      <c r="B7" s="466"/>
      <c r="C7" s="468"/>
      <c r="D7" s="474"/>
      <c r="E7" s="45" t="s">
        <v>43</v>
      </c>
      <c r="F7" s="45" t="s">
        <v>81</v>
      </c>
      <c r="G7" s="45" t="s">
        <v>38</v>
      </c>
      <c r="H7" s="45" t="s">
        <v>80</v>
      </c>
      <c r="I7" s="45" t="s">
        <v>339</v>
      </c>
      <c r="J7" s="45" t="s">
        <v>38</v>
      </c>
      <c r="K7" s="472"/>
      <c r="L7" s="470"/>
      <c r="M7" s="466"/>
      <c r="N7" s="473"/>
      <c r="O7" s="473"/>
      <c r="P7" s="473"/>
      <c r="Q7" s="473"/>
      <c r="R7" s="285" t="s">
        <v>615</v>
      </c>
      <c r="S7" s="285" t="s">
        <v>616</v>
      </c>
      <c r="T7" s="477"/>
      <c r="U7" s="473"/>
    </row>
    <row r="8" spans="1:21" s="143" customFormat="1" ht="15.75" customHeight="1">
      <c r="A8" s="149"/>
      <c r="B8" s="150"/>
      <c r="C8" s="151"/>
      <c r="D8" s="155"/>
      <c r="E8" s="5"/>
      <c r="F8" s="5"/>
      <c r="G8" s="5"/>
      <c r="H8" s="5"/>
      <c r="I8" s="5"/>
      <c r="J8" s="5"/>
      <c r="K8" s="350" t="str">
        <f>IF(ISERROR(J8-G8),"",IF(J8=0,"",J8-G8))</f>
        <v/>
      </c>
      <c r="L8" s="28" t="str">
        <f>IF(ISERROR(J8-G8),"",IF(J8=0,"",IF(K8="",0,ROUND(K8*100/G8,2))))</f>
        <v/>
      </c>
      <c r="M8" s="7"/>
    </row>
    <row r="9" spans="1:21" ht="15.75" customHeight="1">
      <c r="A9" s="8"/>
      <c r="B9" s="7"/>
      <c r="C9" s="8"/>
      <c r="D9" s="7"/>
      <c r="E9" s="5"/>
      <c r="F9" s="5"/>
      <c r="G9" s="5"/>
      <c r="H9" s="5"/>
      <c r="I9" s="5"/>
      <c r="J9" s="5"/>
      <c r="K9" s="350" t="str">
        <f t="shared" ref="K9:K27" si="0">IF(ISERROR(J9-G9),"",IF(J9=0,"",J9-G9))</f>
        <v/>
      </c>
      <c r="L9" s="28" t="str">
        <f t="shared" ref="L9:L27" si="1">IF(ISERROR(J9-G9),"",IF(J9=0,"",IF(K9="",0,ROUND(K9*100/G9,2))))</f>
        <v/>
      </c>
      <c r="M9" s="7"/>
    </row>
    <row r="10" spans="1:21" ht="15.75" customHeight="1">
      <c r="A10" s="8"/>
      <c r="B10" s="7"/>
      <c r="C10" s="8"/>
      <c r="D10" s="7"/>
      <c r="E10" s="5"/>
      <c r="F10" s="5"/>
      <c r="G10" s="5"/>
      <c r="H10" s="5"/>
      <c r="I10" s="5"/>
      <c r="J10" s="5"/>
      <c r="K10" s="350" t="str">
        <f t="shared" si="0"/>
        <v/>
      </c>
      <c r="L10" s="28" t="str">
        <f t="shared" si="1"/>
        <v/>
      </c>
      <c r="M10" s="7"/>
    </row>
    <row r="11" spans="1:21" ht="15.75" customHeight="1">
      <c r="A11" s="8"/>
      <c r="B11" s="7"/>
      <c r="C11" s="8"/>
      <c r="D11" s="7"/>
      <c r="E11" s="5"/>
      <c r="F11" s="5"/>
      <c r="G11" s="5"/>
      <c r="H11" s="5"/>
      <c r="I11" s="5"/>
      <c r="J11" s="5"/>
      <c r="K11" s="350" t="str">
        <f t="shared" si="0"/>
        <v/>
      </c>
      <c r="L11" s="28" t="str">
        <f t="shared" si="1"/>
        <v/>
      </c>
      <c r="M11" s="7"/>
    </row>
    <row r="12" spans="1:21" ht="15.75" customHeight="1">
      <c r="A12" s="8"/>
      <c r="B12" s="7"/>
      <c r="C12" s="8"/>
      <c r="D12" s="7"/>
      <c r="E12" s="5"/>
      <c r="F12" s="5"/>
      <c r="G12" s="5"/>
      <c r="H12" s="5"/>
      <c r="I12" s="5"/>
      <c r="J12" s="5"/>
      <c r="K12" s="350" t="str">
        <f t="shared" si="0"/>
        <v/>
      </c>
      <c r="L12" s="28" t="str">
        <f t="shared" si="1"/>
        <v/>
      </c>
      <c r="M12" s="7"/>
    </row>
    <row r="13" spans="1:21" ht="15.75" customHeight="1">
      <c r="A13" s="8"/>
      <c r="B13" s="7"/>
      <c r="C13" s="8"/>
      <c r="D13" s="7"/>
      <c r="E13" s="5"/>
      <c r="F13" s="5"/>
      <c r="G13" s="5"/>
      <c r="H13" s="5"/>
      <c r="I13" s="5"/>
      <c r="J13" s="5"/>
      <c r="K13" s="350" t="str">
        <f t="shared" si="0"/>
        <v/>
      </c>
      <c r="L13" s="28" t="str">
        <f t="shared" si="1"/>
        <v/>
      </c>
      <c r="M13" s="7"/>
    </row>
    <row r="14" spans="1:21" ht="15.75" customHeight="1">
      <c r="A14" s="8"/>
      <c r="B14" s="7"/>
      <c r="C14" s="8"/>
      <c r="D14" s="7"/>
      <c r="E14" s="5"/>
      <c r="F14" s="5"/>
      <c r="G14" s="5"/>
      <c r="H14" s="5"/>
      <c r="I14" s="5"/>
      <c r="J14" s="5"/>
      <c r="K14" s="350" t="str">
        <f t="shared" si="0"/>
        <v/>
      </c>
      <c r="L14" s="28" t="str">
        <f t="shared" si="1"/>
        <v/>
      </c>
      <c r="M14" s="7"/>
    </row>
    <row r="15" spans="1:21" ht="15.75" customHeight="1">
      <c r="A15" s="8"/>
      <c r="B15" s="7"/>
      <c r="C15" s="8"/>
      <c r="D15" s="7"/>
      <c r="E15" s="5"/>
      <c r="F15" s="5"/>
      <c r="G15" s="5"/>
      <c r="H15" s="5"/>
      <c r="I15" s="5"/>
      <c r="J15" s="5"/>
      <c r="K15" s="350" t="str">
        <f t="shared" si="0"/>
        <v/>
      </c>
      <c r="L15" s="28" t="str">
        <f t="shared" si="1"/>
        <v/>
      </c>
      <c r="M15" s="7"/>
    </row>
    <row r="16" spans="1:21" ht="15.75" customHeight="1">
      <c r="A16" s="8"/>
      <c r="B16" s="7"/>
      <c r="C16" s="8"/>
      <c r="D16" s="7"/>
      <c r="E16" s="5"/>
      <c r="F16" s="5"/>
      <c r="G16" s="5"/>
      <c r="H16" s="5"/>
      <c r="I16" s="5"/>
      <c r="J16" s="5"/>
      <c r="K16" s="350" t="str">
        <f t="shared" si="0"/>
        <v/>
      </c>
      <c r="L16" s="28" t="str">
        <f t="shared" si="1"/>
        <v/>
      </c>
      <c r="M16" s="7"/>
    </row>
    <row r="17" spans="1:13" ht="15.75" customHeight="1">
      <c r="A17" s="8"/>
      <c r="B17" s="153"/>
      <c r="C17" s="8"/>
      <c r="D17" s="7"/>
      <c r="E17" s="5"/>
      <c r="F17" s="5"/>
      <c r="G17" s="5"/>
      <c r="H17" s="5"/>
      <c r="I17" s="5"/>
      <c r="J17" s="5"/>
      <c r="K17" s="350" t="str">
        <f t="shared" si="0"/>
        <v/>
      </c>
      <c r="L17" s="28" t="str">
        <f t="shared" si="1"/>
        <v/>
      </c>
      <c r="M17" s="7"/>
    </row>
    <row r="18" spans="1:13" ht="15.75" customHeight="1">
      <c r="A18" s="8"/>
      <c r="B18" s="153"/>
      <c r="C18" s="8"/>
      <c r="D18" s="7"/>
      <c r="E18" s="5"/>
      <c r="F18" s="5"/>
      <c r="G18" s="5"/>
      <c r="H18" s="5"/>
      <c r="I18" s="5"/>
      <c r="J18" s="5"/>
      <c r="K18" s="350" t="str">
        <f t="shared" si="0"/>
        <v/>
      </c>
      <c r="L18" s="28" t="str">
        <f t="shared" si="1"/>
        <v/>
      </c>
      <c r="M18" s="7"/>
    </row>
    <row r="19" spans="1:13" ht="15" customHeight="1">
      <c r="A19" s="8"/>
      <c r="B19" s="7"/>
      <c r="C19" s="8"/>
      <c r="D19" s="7"/>
      <c r="E19" s="5"/>
      <c r="F19" s="5"/>
      <c r="G19" s="5"/>
      <c r="H19" s="5"/>
      <c r="I19" s="5"/>
      <c r="J19" s="5"/>
      <c r="K19" s="350" t="str">
        <f t="shared" si="0"/>
        <v/>
      </c>
      <c r="L19" s="28" t="str">
        <f t="shared" si="1"/>
        <v/>
      </c>
      <c r="M19" s="7"/>
    </row>
    <row r="20" spans="1:13" ht="15.75" customHeight="1">
      <c r="A20" s="8"/>
      <c r="B20" s="153"/>
      <c r="C20" s="8"/>
      <c r="D20" s="7"/>
      <c r="E20" s="5"/>
      <c r="F20" s="5"/>
      <c r="G20" s="5"/>
      <c r="H20" s="5"/>
      <c r="I20" s="5"/>
      <c r="J20" s="5"/>
      <c r="K20" s="350" t="str">
        <f t="shared" si="0"/>
        <v/>
      </c>
      <c r="L20" s="28" t="str">
        <f t="shared" si="1"/>
        <v/>
      </c>
      <c r="M20" s="7"/>
    </row>
    <row r="21" spans="1:13" ht="15.75" customHeight="1">
      <c r="A21" s="8"/>
      <c r="B21" s="7"/>
      <c r="C21" s="8"/>
      <c r="D21" s="7"/>
      <c r="E21" s="5"/>
      <c r="F21" s="5"/>
      <c r="G21" s="5"/>
      <c r="H21" s="5"/>
      <c r="I21" s="5"/>
      <c r="J21" s="5"/>
      <c r="K21" s="350" t="str">
        <f t="shared" si="0"/>
        <v/>
      </c>
      <c r="L21" s="28" t="str">
        <f t="shared" si="1"/>
        <v/>
      </c>
      <c r="M21" s="7"/>
    </row>
    <row r="22" spans="1:13" ht="15.75" customHeight="1">
      <c r="A22" s="8"/>
      <c r="B22" s="7"/>
      <c r="C22" s="8"/>
      <c r="D22" s="7"/>
      <c r="E22" s="5"/>
      <c r="F22" s="5"/>
      <c r="G22" s="5"/>
      <c r="H22" s="5"/>
      <c r="I22" s="5"/>
      <c r="J22" s="5"/>
      <c r="K22" s="350" t="str">
        <f t="shared" si="0"/>
        <v/>
      </c>
      <c r="L22" s="28" t="str">
        <f t="shared" si="1"/>
        <v/>
      </c>
      <c r="M22" s="7"/>
    </row>
    <row r="23" spans="1:13" ht="15.75" customHeight="1">
      <c r="A23" s="8"/>
      <c r="B23" s="7"/>
      <c r="C23" s="8"/>
      <c r="D23" s="7"/>
      <c r="E23" s="5"/>
      <c r="F23" s="5"/>
      <c r="G23" s="5"/>
      <c r="H23" s="5"/>
      <c r="I23" s="5"/>
      <c r="J23" s="5"/>
      <c r="K23" s="350" t="str">
        <f t="shared" si="0"/>
        <v/>
      </c>
      <c r="L23" s="28" t="str">
        <f t="shared" si="1"/>
        <v/>
      </c>
      <c r="M23" s="7"/>
    </row>
    <row r="24" spans="1:13" ht="15.75" customHeight="1">
      <c r="A24" s="8"/>
      <c r="B24" s="7"/>
      <c r="C24" s="8"/>
      <c r="D24" s="7"/>
      <c r="E24" s="5"/>
      <c r="F24" s="5"/>
      <c r="G24" s="5"/>
      <c r="H24" s="5"/>
      <c r="I24" s="5"/>
      <c r="J24" s="5"/>
      <c r="K24" s="350" t="str">
        <f t="shared" si="0"/>
        <v/>
      </c>
      <c r="L24" s="28" t="str">
        <f t="shared" si="1"/>
        <v/>
      </c>
      <c r="M24" s="7"/>
    </row>
    <row r="25" spans="1:13" ht="15.75" customHeight="1">
      <c r="A25" s="8"/>
      <c r="B25" s="7"/>
      <c r="C25" s="8"/>
      <c r="D25" s="7"/>
      <c r="E25" s="5"/>
      <c r="F25" s="5"/>
      <c r="G25" s="5"/>
      <c r="H25" s="5"/>
      <c r="I25" s="5"/>
      <c r="J25" s="5"/>
      <c r="K25" s="350" t="str">
        <f t="shared" si="0"/>
        <v/>
      </c>
      <c r="L25" s="28" t="str">
        <f t="shared" si="1"/>
        <v/>
      </c>
      <c r="M25" s="7"/>
    </row>
    <row r="26" spans="1:13" ht="15.75" customHeight="1">
      <c r="A26" s="8"/>
      <c r="B26" s="7"/>
      <c r="C26" s="8"/>
      <c r="D26" s="7"/>
      <c r="E26" s="5"/>
      <c r="F26" s="5"/>
      <c r="G26" s="5"/>
      <c r="H26" s="5"/>
      <c r="I26" s="5"/>
      <c r="J26" s="5"/>
      <c r="K26" s="350" t="str">
        <f t="shared" si="0"/>
        <v/>
      </c>
      <c r="L26" s="28" t="str">
        <f t="shared" si="1"/>
        <v/>
      </c>
      <c r="M26" s="7"/>
    </row>
    <row r="27" spans="1:13" ht="15.75" customHeight="1">
      <c r="A27" s="420" t="s">
        <v>534</v>
      </c>
      <c r="B27" s="421"/>
      <c r="C27" s="30"/>
      <c r="D27" s="30"/>
      <c r="E27" s="31"/>
      <c r="F27" s="31"/>
      <c r="G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7" s="31"/>
      <c r="I27" s="31"/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350" t="str">
        <f t="shared" ca="1" si="0"/>
        <v/>
      </c>
      <c r="L27" s="28" t="str">
        <f t="shared" ca="1" si="1"/>
        <v/>
      </c>
      <c r="M27" s="234"/>
    </row>
    <row r="28" spans="1:13" ht="15.75" hidden="1" customHeight="1">
      <c r="A28" s="8"/>
      <c r="B28" s="7"/>
      <c r="C28" s="8"/>
      <c r="D28" s="7"/>
      <c r="E28" s="5"/>
      <c r="F28" s="5"/>
      <c r="G28" s="5"/>
      <c r="H28" s="5"/>
      <c r="I28" s="5"/>
      <c r="J28" s="5"/>
      <c r="K28" s="350" t="str">
        <f t="shared" ref="K28:K47" si="2">IF(ISERROR(J28-G28),"",IF(J28=0,"",J28-G28))</f>
        <v/>
      </c>
      <c r="L28" s="28" t="str">
        <f t="shared" ref="L28:L47" si="3">IF(ISERROR(J28-G28),"",IF(J28=0,"",IF(K28="",0,ROUND(K28*100/G28,2))))</f>
        <v/>
      </c>
      <c r="M28" s="7"/>
    </row>
    <row r="29" spans="1:13" ht="15.75" hidden="1" customHeight="1">
      <c r="A29" s="8"/>
      <c r="B29" s="7"/>
      <c r="C29" s="8"/>
      <c r="D29" s="7"/>
      <c r="E29" s="5"/>
      <c r="F29" s="5"/>
      <c r="G29" s="5"/>
      <c r="H29" s="5"/>
      <c r="I29" s="5"/>
      <c r="J29" s="5"/>
      <c r="K29" s="350" t="str">
        <f t="shared" si="2"/>
        <v/>
      </c>
      <c r="L29" s="28" t="str">
        <f t="shared" si="3"/>
        <v/>
      </c>
      <c r="M29" s="7"/>
    </row>
    <row r="30" spans="1:13" ht="15.75" hidden="1" customHeight="1">
      <c r="A30" s="8"/>
      <c r="B30" s="7"/>
      <c r="C30" s="8"/>
      <c r="D30" s="7"/>
      <c r="E30" s="5"/>
      <c r="F30" s="5"/>
      <c r="G30" s="5"/>
      <c r="H30" s="5"/>
      <c r="I30" s="5"/>
      <c r="J30" s="5"/>
      <c r="K30" s="350" t="str">
        <f t="shared" si="2"/>
        <v/>
      </c>
      <c r="L30" s="28" t="str">
        <f t="shared" si="3"/>
        <v/>
      </c>
      <c r="M30" s="7"/>
    </row>
    <row r="31" spans="1:13" ht="15.75" hidden="1" customHeight="1">
      <c r="A31" s="8"/>
      <c r="B31" s="7"/>
      <c r="C31" s="8"/>
      <c r="D31" s="7"/>
      <c r="E31" s="5"/>
      <c r="F31" s="5"/>
      <c r="G31" s="5"/>
      <c r="H31" s="5"/>
      <c r="I31" s="5"/>
      <c r="J31" s="5"/>
      <c r="K31" s="350" t="str">
        <f t="shared" si="2"/>
        <v/>
      </c>
      <c r="L31" s="28" t="str">
        <f t="shared" si="3"/>
        <v/>
      </c>
      <c r="M31" s="7"/>
    </row>
    <row r="32" spans="1:13" ht="15.75" hidden="1" customHeight="1">
      <c r="A32" s="8"/>
      <c r="B32" s="7"/>
      <c r="C32" s="8"/>
      <c r="D32" s="7"/>
      <c r="E32" s="5"/>
      <c r="F32" s="5"/>
      <c r="G32" s="5"/>
      <c r="H32" s="5"/>
      <c r="I32" s="5"/>
      <c r="J32" s="5"/>
      <c r="K32" s="350" t="str">
        <f t="shared" si="2"/>
        <v/>
      </c>
      <c r="L32" s="28" t="str">
        <f t="shared" si="3"/>
        <v/>
      </c>
      <c r="M32" s="7"/>
    </row>
    <row r="33" spans="1:13" ht="15.75" hidden="1" customHeight="1">
      <c r="A33" s="8"/>
      <c r="B33" s="7"/>
      <c r="C33" s="8"/>
      <c r="D33" s="7"/>
      <c r="E33" s="5"/>
      <c r="F33" s="5"/>
      <c r="G33" s="5"/>
      <c r="H33" s="5"/>
      <c r="I33" s="5"/>
      <c r="J33" s="5"/>
      <c r="K33" s="350" t="str">
        <f t="shared" si="2"/>
        <v/>
      </c>
      <c r="L33" s="28" t="str">
        <f t="shared" si="3"/>
        <v/>
      </c>
      <c r="M33" s="7"/>
    </row>
    <row r="34" spans="1:13" ht="15.75" hidden="1" customHeight="1">
      <c r="A34" s="8"/>
      <c r="B34" s="7"/>
      <c r="C34" s="8"/>
      <c r="D34" s="7"/>
      <c r="E34" s="5"/>
      <c r="F34" s="5"/>
      <c r="G34" s="5"/>
      <c r="H34" s="5"/>
      <c r="I34" s="5"/>
      <c r="J34" s="5"/>
      <c r="K34" s="350" t="str">
        <f t="shared" si="2"/>
        <v/>
      </c>
      <c r="L34" s="28" t="str">
        <f t="shared" si="3"/>
        <v/>
      </c>
      <c r="M34" s="7"/>
    </row>
    <row r="35" spans="1:13" ht="15.75" hidden="1" customHeight="1">
      <c r="A35" s="8"/>
      <c r="B35" s="7"/>
      <c r="C35" s="8"/>
      <c r="D35" s="7"/>
      <c r="E35" s="5"/>
      <c r="F35" s="5"/>
      <c r="G35" s="5"/>
      <c r="H35" s="5"/>
      <c r="I35" s="5"/>
      <c r="J35" s="5"/>
      <c r="K35" s="350" t="str">
        <f t="shared" si="2"/>
        <v/>
      </c>
      <c r="L35" s="28" t="str">
        <f t="shared" si="3"/>
        <v/>
      </c>
      <c r="M35" s="7"/>
    </row>
    <row r="36" spans="1:13" ht="15.75" hidden="1" customHeight="1">
      <c r="A36" s="8"/>
      <c r="B36" s="7"/>
      <c r="C36" s="8"/>
      <c r="D36" s="7"/>
      <c r="E36" s="5"/>
      <c r="F36" s="5"/>
      <c r="G36" s="5"/>
      <c r="H36" s="5"/>
      <c r="I36" s="5"/>
      <c r="J36" s="5"/>
      <c r="K36" s="350" t="str">
        <f t="shared" si="2"/>
        <v/>
      </c>
      <c r="L36" s="28" t="str">
        <f t="shared" si="3"/>
        <v/>
      </c>
      <c r="M36" s="7"/>
    </row>
    <row r="37" spans="1:13" ht="15.75" hidden="1" customHeight="1">
      <c r="A37" s="8"/>
      <c r="B37" s="7"/>
      <c r="C37" s="8"/>
      <c r="D37" s="7"/>
      <c r="E37" s="5"/>
      <c r="F37" s="5"/>
      <c r="G37" s="5"/>
      <c r="H37" s="5"/>
      <c r="I37" s="5"/>
      <c r="J37" s="5"/>
      <c r="K37" s="350" t="str">
        <f t="shared" si="2"/>
        <v/>
      </c>
      <c r="L37" s="28" t="str">
        <f t="shared" si="3"/>
        <v/>
      </c>
      <c r="M37" s="7"/>
    </row>
    <row r="38" spans="1:13" ht="15.75" hidden="1" customHeight="1">
      <c r="A38" s="8"/>
      <c r="B38" s="7"/>
      <c r="C38" s="8"/>
      <c r="D38" s="7"/>
      <c r="E38" s="5"/>
      <c r="F38" s="5"/>
      <c r="G38" s="5"/>
      <c r="H38" s="5"/>
      <c r="I38" s="5"/>
      <c r="J38" s="5"/>
      <c r="K38" s="350" t="str">
        <f t="shared" si="2"/>
        <v/>
      </c>
      <c r="L38" s="28" t="str">
        <f t="shared" si="3"/>
        <v/>
      </c>
      <c r="M38" s="7"/>
    </row>
    <row r="39" spans="1:13" ht="15.75" hidden="1" customHeight="1">
      <c r="A39" s="8"/>
      <c r="B39" s="7"/>
      <c r="C39" s="8"/>
      <c r="D39" s="7"/>
      <c r="E39" s="5"/>
      <c r="F39" s="5"/>
      <c r="G39" s="5"/>
      <c r="H39" s="5"/>
      <c r="I39" s="5"/>
      <c r="J39" s="5"/>
      <c r="K39" s="350" t="str">
        <f t="shared" si="2"/>
        <v/>
      </c>
      <c r="L39" s="28" t="str">
        <f t="shared" si="3"/>
        <v/>
      </c>
      <c r="M39" s="7"/>
    </row>
    <row r="40" spans="1:13" ht="15.75" hidden="1" customHeight="1">
      <c r="A40" s="8"/>
      <c r="B40" s="7"/>
      <c r="C40" s="8"/>
      <c r="D40" s="7"/>
      <c r="E40" s="5"/>
      <c r="F40" s="5"/>
      <c r="G40" s="5"/>
      <c r="H40" s="5"/>
      <c r="I40" s="5"/>
      <c r="J40" s="5"/>
      <c r="K40" s="350" t="str">
        <f t="shared" si="2"/>
        <v/>
      </c>
      <c r="L40" s="28" t="str">
        <f t="shared" si="3"/>
        <v/>
      </c>
      <c r="M40" s="7"/>
    </row>
    <row r="41" spans="1:13" ht="15.75" hidden="1" customHeight="1">
      <c r="A41" s="8"/>
      <c r="B41" s="7"/>
      <c r="C41" s="8"/>
      <c r="D41" s="7"/>
      <c r="E41" s="5"/>
      <c r="F41" s="5"/>
      <c r="G41" s="5"/>
      <c r="H41" s="5"/>
      <c r="I41" s="5"/>
      <c r="J41" s="5"/>
      <c r="K41" s="350" t="str">
        <f t="shared" si="2"/>
        <v/>
      </c>
      <c r="L41" s="28" t="str">
        <f t="shared" si="3"/>
        <v/>
      </c>
      <c r="M41" s="7"/>
    </row>
    <row r="42" spans="1:13" ht="15.75" hidden="1" customHeight="1">
      <c r="A42" s="8"/>
      <c r="B42" s="7"/>
      <c r="C42" s="8"/>
      <c r="D42" s="7"/>
      <c r="E42" s="5"/>
      <c r="F42" s="5"/>
      <c r="G42" s="5"/>
      <c r="H42" s="5"/>
      <c r="I42" s="5"/>
      <c r="J42" s="5"/>
      <c r="K42" s="350" t="str">
        <f t="shared" si="2"/>
        <v/>
      </c>
      <c r="L42" s="28" t="str">
        <f t="shared" si="3"/>
        <v/>
      </c>
      <c r="M42" s="7"/>
    </row>
    <row r="43" spans="1:13" ht="15.75" hidden="1" customHeight="1">
      <c r="A43" s="8"/>
      <c r="B43" s="7"/>
      <c r="C43" s="8"/>
      <c r="D43" s="7"/>
      <c r="E43" s="5"/>
      <c r="F43" s="5"/>
      <c r="G43" s="5"/>
      <c r="H43" s="5"/>
      <c r="I43" s="5"/>
      <c r="J43" s="5"/>
      <c r="K43" s="350" t="str">
        <f t="shared" si="2"/>
        <v/>
      </c>
      <c r="L43" s="28" t="str">
        <f t="shared" si="3"/>
        <v/>
      </c>
      <c r="M43" s="7"/>
    </row>
    <row r="44" spans="1:13" ht="15.75" hidden="1" customHeight="1">
      <c r="A44" s="8"/>
      <c r="B44" s="7"/>
      <c r="C44" s="8"/>
      <c r="D44" s="7"/>
      <c r="E44" s="5"/>
      <c r="F44" s="5"/>
      <c r="G44" s="5"/>
      <c r="H44" s="5"/>
      <c r="I44" s="5"/>
      <c r="J44" s="5"/>
      <c r="K44" s="350" t="str">
        <f t="shared" si="2"/>
        <v/>
      </c>
      <c r="L44" s="28" t="str">
        <f t="shared" si="3"/>
        <v/>
      </c>
      <c r="M44" s="7"/>
    </row>
    <row r="45" spans="1:13" ht="15.75" hidden="1" customHeight="1">
      <c r="A45" s="8"/>
      <c r="B45" s="7"/>
      <c r="C45" s="8"/>
      <c r="D45" s="7"/>
      <c r="E45" s="5"/>
      <c r="F45" s="5"/>
      <c r="G45" s="5"/>
      <c r="H45" s="5"/>
      <c r="I45" s="5"/>
      <c r="J45" s="5"/>
      <c r="K45" s="350" t="str">
        <f t="shared" si="2"/>
        <v/>
      </c>
      <c r="L45" s="28" t="str">
        <f t="shared" si="3"/>
        <v/>
      </c>
      <c r="M45" s="7"/>
    </row>
    <row r="46" spans="1:13" ht="15.75" hidden="1" customHeight="1">
      <c r="A46" s="8"/>
      <c r="B46" s="7"/>
      <c r="C46" s="8"/>
      <c r="D46" s="7"/>
      <c r="E46" s="5"/>
      <c r="F46" s="5"/>
      <c r="G46" s="5"/>
      <c r="H46" s="5"/>
      <c r="I46" s="5"/>
      <c r="J46" s="5"/>
      <c r="K46" s="350" t="str">
        <f t="shared" si="2"/>
        <v/>
      </c>
      <c r="L46" s="28" t="str">
        <f t="shared" si="3"/>
        <v/>
      </c>
      <c r="M46" s="7"/>
    </row>
    <row r="47" spans="1:13" ht="15.75" hidden="1" customHeight="1">
      <c r="A47" s="8"/>
      <c r="B47" s="7"/>
      <c r="C47" s="8"/>
      <c r="D47" s="7"/>
      <c r="E47" s="5"/>
      <c r="F47" s="5"/>
      <c r="G47" s="5"/>
      <c r="H47" s="5"/>
      <c r="I47" s="5"/>
      <c r="J47" s="5"/>
      <c r="K47" s="350" t="str">
        <f t="shared" si="2"/>
        <v/>
      </c>
      <c r="L47" s="28" t="str">
        <f t="shared" si="3"/>
        <v/>
      </c>
      <c r="M47" s="7"/>
    </row>
  </sheetData>
  <dataConsolidate/>
  <mergeCells count="19">
    <mergeCell ref="A1:M1"/>
    <mergeCell ref="A6:A7"/>
    <mergeCell ref="B6:B7"/>
    <mergeCell ref="A2:M2"/>
    <mergeCell ref="M6:M7"/>
    <mergeCell ref="C6:C7"/>
    <mergeCell ref="E6:G6"/>
    <mergeCell ref="L6:L7"/>
    <mergeCell ref="H6:J6"/>
    <mergeCell ref="K6:K7"/>
    <mergeCell ref="R6:S6"/>
    <mergeCell ref="T6:T7"/>
    <mergeCell ref="U6:U7"/>
    <mergeCell ref="A27:B27"/>
    <mergeCell ref="D6:D7"/>
    <mergeCell ref="N6:N7"/>
    <mergeCell ref="O6:O7"/>
    <mergeCell ref="P6:P7"/>
    <mergeCell ref="Q6:Q7"/>
  </mergeCells>
  <phoneticPr fontId="6" type="noConversion"/>
  <printOptions horizontalCentered="1" verticalCentered="1"/>
  <pageMargins left="0.98425196850393704" right="0.55118110236220474" top="0.31496062992125984" bottom="0.62992125984251968" header="1.7322834645669292" footer="1.0629921259842521"/>
  <pageSetup paperSize="9" fitToHeight="0" orientation="landscape" blackAndWhite="1" horizontalDpi="1200" verticalDpi="1200" r:id="rId1"/>
  <headerFooter scaleWithDoc="0">
    <oddHeader>&amp;R&amp;"宋体,常规"&amp;10表3-11-3
共&amp;N页 第&amp;P页
金额单位：人民币元</oddHeader>
    <oddFooter>&amp;L&amp;10申报单位填表人：_x000D_填表日期：</oddFooter>
  </headerFooter>
  <rowBreaks count="1" manualBreakCount="1">
    <brk id="2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2</xdr:col>
                    <xdr:colOff>12700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266700</xdr:colOff>
                    <xdr:row>2</xdr:row>
                    <xdr:rowOff>0</xdr:rowOff>
                  </from>
                  <to>
                    <xdr:col>4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F60C8-91C2-492E-AF62-6888012B5153}">
  <sheetPr codeName="Sheet28">
    <pageSetUpPr fitToPage="1"/>
  </sheetPr>
  <dimension ref="A1:Q47"/>
  <sheetViews>
    <sheetView topLeftCell="F1" workbookViewId="0">
      <pane ySplit="7" topLeftCell="A11" activePane="bottomLeft" state="frozen"/>
      <selection activeCell="F17" sqref="F17"/>
      <selection pane="bottomLeft" activeCell="G19" sqref="G19"/>
    </sheetView>
  </sheetViews>
  <sheetFormatPr baseColWidth="10" defaultColWidth="9" defaultRowHeight="15.75" customHeight="1"/>
  <cols>
    <col min="1" max="1" width="5.6640625" style="81" customWidth="1"/>
    <col min="2" max="2" width="13.6640625" style="81" customWidth="1"/>
    <col min="3" max="3" width="11" style="81" customWidth="1"/>
    <col min="4" max="4" width="5.1640625" style="81" customWidth="1"/>
    <col min="5" max="5" width="10.1640625" style="138" customWidth="1"/>
    <col min="6" max="6" width="7" style="138" customWidth="1"/>
    <col min="7" max="7" width="13.1640625" style="138" bestFit="1" customWidth="1"/>
    <col min="8" max="8" width="8" style="81" customWidth="1"/>
    <col min="9" max="9" width="8.5" style="138" customWidth="1"/>
    <col min="10" max="10" width="12.1640625" style="138" customWidth="1"/>
    <col min="11" max="11" width="10" style="351" customWidth="1"/>
    <col min="12" max="12" width="9.5" style="139" customWidth="1"/>
    <col min="13" max="13" width="6.6640625" style="81" customWidth="1"/>
    <col min="14" max="14" width="7" style="81" customWidth="1"/>
    <col min="15" max="15" width="7.5" style="81" customWidth="1"/>
    <col min="16" max="16" width="10.5" style="81" customWidth="1"/>
    <col min="17" max="17" width="7.33203125" style="81" customWidth="1"/>
    <col min="18" max="16384" width="9" style="81"/>
  </cols>
  <sheetData>
    <row r="1" spans="1:17" s="80" customFormat="1" ht="30" customHeight="1">
      <c r="A1" s="374" t="s">
        <v>984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  <c r="L2" s="378"/>
      <c r="M2" s="378"/>
    </row>
    <row r="3" spans="1:17" ht="14.25" customHeight="1">
      <c r="A3" s="40"/>
      <c r="B3" s="40"/>
      <c r="C3" s="40"/>
      <c r="D3" s="40"/>
      <c r="E3" s="40"/>
      <c r="F3" s="40"/>
      <c r="G3" s="171"/>
      <c r="H3" s="171"/>
      <c r="I3" s="171"/>
      <c r="J3" s="171"/>
      <c r="K3" s="347"/>
      <c r="L3" s="176"/>
      <c r="M3" s="177"/>
    </row>
    <row r="4" spans="1:17" ht="14.25" customHeight="1">
      <c r="A4" s="40"/>
      <c r="B4" s="40"/>
      <c r="C4" s="40"/>
      <c r="D4" s="40"/>
      <c r="E4" s="40"/>
      <c r="F4" s="40"/>
      <c r="G4" s="171"/>
      <c r="H4" s="171"/>
      <c r="I4" s="171"/>
      <c r="J4" s="171"/>
      <c r="K4" s="347"/>
      <c r="L4" s="36"/>
      <c r="M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179"/>
      <c r="F5" s="179"/>
      <c r="G5" s="179"/>
      <c r="H5" s="42"/>
      <c r="I5" s="179"/>
      <c r="J5" s="179"/>
      <c r="K5" s="348"/>
      <c r="L5" s="180"/>
      <c r="M5" s="122"/>
    </row>
    <row r="6" spans="1:17" s="101" customFormat="1" ht="15.75" customHeight="1">
      <c r="A6" s="465" t="s">
        <v>7</v>
      </c>
      <c r="B6" s="465" t="s">
        <v>143</v>
      </c>
      <c r="C6" s="465" t="s">
        <v>110</v>
      </c>
      <c r="D6" s="480" t="s">
        <v>84</v>
      </c>
      <c r="E6" s="465" t="s">
        <v>117</v>
      </c>
      <c r="F6" s="465"/>
      <c r="G6" s="465"/>
      <c r="H6" s="482" t="s">
        <v>0</v>
      </c>
      <c r="I6" s="482"/>
      <c r="J6" s="482"/>
      <c r="K6" s="471" t="s">
        <v>1</v>
      </c>
      <c r="L6" s="483" t="s">
        <v>479</v>
      </c>
      <c r="M6" s="465" t="s">
        <v>39</v>
      </c>
      <c r="N6" s="449" t="s">
        <v>619</v>
      </c>
      <c r="O6" s="449"/>
      <c r="P6" s="425" t="s">
        <v>598</v>
      </c>
      <c r="Q6" s="425" t="s">
        <v>599</v>
      </c>
    </row>
    <row r="7" spans="1:17" s="101" customFormat="1" ht="15.75" customHeight="1">
      <c r="A7" s="466"/>
      <c r="B7" s="466"/>
      <c r="C7" s="466"/>
      <c r="D7" s="481"/>
      <c r="E7" s="45" t="s">
        <v>43</v>
      </c>
      <c r="F7" s="45" t="s">
        <v>81</v>
      </c>
      <c r="G7" s="45" t="s">
        <v>38</v>
      </c>
      <c r="H7" s="185" t="s">
        <v>80</v>
      </c>
      <c r="I7" s="181" t="s">
        <v>339</v>
      </c>
      <c r="J7" s="181" t="s">
        <v>38</v>
      </c>
      <c r="K7" s="478"/>
      <c r="L7" s="484"/>
      <c r="M7" s="466"/>
      <c r="N7" s="292" t="s">
        <v>620</v>
      </c>
      <c r="O7" s="292" t="s">
        <v>597</v>
      </c>
      <c r="P7" s="426"/>
      <c r="Q7" s="426"/>
    </row>
    <row r="8" spans="1:17" ht="15.75" customHeight="1">
      <c r="A8" s="149"/>
      <c r="B8" s="156"/>
      <c r="C8" s="8"/>
      <c r="D8" s="151"/>
      <c r="E8" s="5"/>
      <c r="F8" s="5"/>
      <c r="G8" s="5"/>
      <c r="H8" s="5"/>
      <c r="I8" s="5"/>
      <c r="J8" s="5"/>
      <c r="K8" s="350" t="str">
        <f>IF(ISERROR(J8-G8),"",IF(J8=0,"",J8-G8))</f>
        <v/>
      </c>
      <c r="L8" s="28" t="str">
        <f>IF(ISERROR(J8-G8),"",IF(J8=0,"",IF(K8="",0,ROUND(K8*100/G8,2))))</f>
        <v/>
      </c>
      <c r="M8" s="7"/>
    </row>
    <row r="9" spans="1:17" ht="15.75" customHeight="1">
      <c r="A9" s="8"/>
      <c r="B9" s="153"/>
      <c r="C9" s="8"/>
      <c r="D9" s="8"/>
      <c r="E9" s="5"/>
      <c r="F9" s="5"/>
      <c r="G9" s="5"/>
      <c r="H9" s="5"/>
      <c r="I9" s="5"/>
      <c r="J9" s="5"/>
      <c r="K9" s="350" t="str">
        <f t="shared" ref="K9:K27" si="0">IF(ISERROR(J9-G9),"",IF(J9=0,"",J9-G9))</f>
        <v/>
      </c>
      <c r="L9" s="28" t="str">
        <f t="shared" ref="L9:L27" si="1">IF(ISERROR(J9-G9),"",IF(J9=0,"",IF(K9="",0,ROUND(K9*100/G9,2))))</f>
        <v/>
      </c>
      <c r="M9" s="7"/>
    </row>
    <row r="10" spans="1:17" ht="15.75" customHeight="1">
      <c r="A10" s="8"/>
      <c r="B10" s="7"/>
      <c r="C10" s="8"/>
      <c r="D10" s="8"/>
      <c r="E10" s="5"/>
      <c r="F10" s="5"/>
      <c r="G10" s="5"/>
      <c r="H10" s="5"/>
      <c r="I10" s="5"/>
      <c r="J10" s="5"/>
      <c r="K10" s="350" t="str">
        <f t="shared" si="0"/>
        <v/>
      </c>
      <c r="L10" s="28" t="str">
        <f t="shared" si="1"/>
        <v/>
      </c>
      <c r="M10" s="7"/>
    </row>
    <row r="11" spans="1:17" ht="15.75" customHeight="1">
      <c r="A11" s="8"/>
      <c r="B11" s="7"/>
      <c r="C11" s="8"/>
      <c r="D11" s="8"/>
      <c r="E11" s="5"/>
      <c r="F11" s="5"/>
      <c r="G11" s="5"/>
      <c r="H11" s="5"/>
      <c r="I11" s="5"/>
      <c r="J11" s="5"/>
      <c r="K11" s="350" t="str">
        <f t="shared" si="0"/>
        <v/>
      </c>
      <c r="L11" s="28" t="str">
        <f t="shared" si="1"/>
        <v/>
      </c>
      <c r="M11" s="7"/>
    </row>
    <row r="12" spans="1:17" ht="15.75" customHeight="1">
      <c r="A12" s="8"/>
      <c r="B12" s="7"/>
      <c r="C12" s="8"/>
      <c r="D12" s="8"/>
      <c r="E12" s="5"/>
      <c r="F12" s="5"/>
      <c r="G12" s="5"/>
      <c r="H12" s="5"/>
      <c r="I12" s="5"/>
      <c r="J12" s="5"/>
      <c r="K12" s="350" t="str">
        <f t="shared" si="0"/>
        <v/>
      </c>
      <c r="L12" s="28" t="str">
        <f t="shared" si="1"/>
        <v/>
      </c>
      <c r="M12" s="7"/>
    </row>
    <row r="13" spans="1:17" ht="15.75" customHeight="1">
      <c r="A13" s="8"/>
      <c r="B13" s="7"/>
      <c r="C13" s="8"/>
      <c r="D13" s="8"/>
      <c r="E13" s="5"/>
      <c r="F13" s="5"/>
      <c r="G13" s="5"/>
      <c r="H13" s="5"/>
      <c r="I13" s="5"/>
      <c r="J13" s="5"/>
      <c r="K13" s="350" t="str">
        <f t="shared" si="0"/>
        <v/>
      </c>
      <c r="L13" s="28" t="str">
        <f t="shared" si="1"/>
        <v/>
      </c>
      <c r="M13" s="7"/>
    </row>
    <row r="14" spans="1:17" ht="15.75" customHeight="1">
      <c r="A14" s="8"/>
      <c r="B14" s="7"/>
      <c r="C14" s="8"/>
      <c r="D14" s="8"/>
      <c r="E14" s="5"/>
      <c r="F14" s="5"/>
      <c r="G14" s="5"/>
      <c r="H14" s="5"/>
      <c r="I14" s="5"/>
      <c r="J14" s="5"/>
      <c r="K14" s="350" t="str">
        <f t="shared" si="0"/>
        <v/>
      </c>
      <c r="L14" s="28" t="str">
        <f t="shared" si="1"/>
        <v/>
      </c>
      <c r="M14" s="7"/>
    </row>
    <row r="15" spans="1:17" ht="15.75" customHeight="1">
      <c r="A15" s="8"/>
      <c r="B15" s="153"/>
      <c r="C15" s="8"/>
      <c r="D15" s="8"/>
      <c r="E15" s="5"/>
      <c r="F15" s="5"/>
      <c r="G15" s="5"/>
      <c r="H15" s="5"/>
      <c r="I15" s="5"/>
      <c r="J15" s="5"/>
      <c r="K15" s="350" t="str">
        <f t="shared" si="0"/>
        <v/>
      </c>
      <c r="L15" s="28" t="str">
        <f t="shared" si="1"/>
        <v/>
      </c>
      <c r="M15" s="7"/>
    </row>
    <row r="16" spans="1:17" ht="15.75" customHeight="1">
      <c r="A16" s="8"/>
      <c r="B16" s="153"/>
      <c r="C16" s="8"/>
      <c r="D16" s="8"/>
      <c r="E16" s="5"/>
      <c r="F16" s="5"/>
      <c r="G16" s="5"/>
      <c r="H16" s="5"/>
      <c r="I16" s="5"/>
      <c r="J16" s="5"/>
      <c r="K16" s="350" t="str">
        <f t="shared" si="0"/>
        <v/>
      </c>
      <c r="L16" s="28" t="str">
        <f t="shared" si="1"/>
        <v/>
      </c>
      <c r="M16" s="7"/>
    </row>
    <row r="17" spans="1:13" ht="15.75" customHeight="1">
      <c r="A17" s="8"/>
      <c r="B17" s="7"/>
      <c r="C17" s="8"/>
      <c r="D17" s="8"/>
      <c r="E17" s="5"/>
      <c r="F17" s="5"/>
      <c r="G17" s="5"/>
      <c r="H17" s="5"/>
      <c r="I17" s="5"/>
      <c r="J17" s="5"/>
      <c r="K17" s="350" t="str">
        <f t="shared" si="0"/>
        <v/>
      </c>
      <c r="L17" s="28" t="str">
        <f t="shared" si="1"/>
        <v/>
      </c>
      <c r="M17" s="7"/>
    </row>
    <row r="18" spans="1:13" ht="15.75" customHeight="1">
      <c r="A18" s="8"/>
      <c r="B18" s="7"/>
      <c r="C18" s="8"/>
      <c r="D18" s="8"/>
      <c r="E18" s="5"/>
      <c r="F18" s="5"/>
      <c r="G18" s="5"/>
      <c r="H18" s="5"/>
      <c r="I18" s="5"/>
      <c r="J18" s="5"/>
      <c r="K18" s="350" t="str">
        <f t="shared" si="0"/>
        <v/>
      </c>
      <c r="L18" s="28" t="str">
        <f t="shared" si="1"/>
        <v/>
      </c>
      <c r="M18" s="7"/>
    </row>
    <row r="19" spans="1:13" ht="15.75" customHeight="1">
      <c r="A19" s="8"/>
      <c r="B19" s="7"/>
      <c r="C19" s="8"/>
      <c r="D19" s="8"/>
      <c r="E19" s="5"/>
      <c r="F19" s="5"/>
      <c r="G19" s="5"/>
      <c r="H19" s="5"/>
      <c r="I19" s="5"/>
      <c r="J19" s="5"/>
      <c r="K19" s="350" t="str">
        <f t="shared" si="0"/>
        <v/>
      </c>
      <c r="L19" s="28" t="str">
        <f t="shared" si="1"/>
        <v/>
      </c>
      <c r="M19" s="7"/>
    </row>
    <row r="20" spans="1:13" ht="15.75" customHeight="1">
      <c r="A20" s="8"/>
      <c r="B20" s="7"/>
      <c r="C20" s="8"/>
      <c r="D20" s="8"/>
      <c r="E20" s="5"/>
      <c r="F20" s="5"/>
      <c r="G20" s="5"/>
      <c r="H20" s="5"/>
      <c r="I20" s="5"/>
      <c r="J20" s="5"/>
      <c r="K20" s="350" t="str">
        <f t="shared" si="0"/>
        <v/>
      </c>
      <c r="L20" s="28" t="str">
        <f t="shared" si="1"/>
        <v/>
      </c>
      <c r="M20" s="7"/>
    </row>
    <row r="21" spans="1:13" ht="15.75" customHeight="1">
      <c r="A21" s="8"/>
      <c r="B21" s="7"/>
      <c r="C21" s="8"/>
      <c r="D21" s="8"/>
      <c r="E21" s="5"/>
      <c r="F21" s="5"/>
      <c r="G21" s="5"/>
      <c r="H21" s="5"/>
      <c r="I21" s="5"/>
      <c r="J21" s="5"/>
      <c r="K21" s="350" t="str">
        <f t="shared" si="0"/>
        <v/>
      </c>
      <c r="L21" s="28" t="str">
        <f t="shared" si="1"/>
        <v/>
      </c>
      <c r="M21" s="7"/>
    </row>
    <row r="22" spans="1:13" ht="15.75" customHeight="1">
      <c r="A22" s="8"/>
      <c r="B22" s="7"/>
      <c r="C22" s="8"/>
      <c r="D22" s="8"/>
      <c r="E22" s="5"/>
      <c r="F22" s="5"/>
      <c r="G22" s="5"/>
      <c r="H22" s="5"/>
      <c r="I22" s="5"/>
      <c r="J22" s="5"/>
      <c r="K22" s="350" t="str">
        <f t="shared" si="0"/>
        <v/>
      </c>
      <c r="L22" s="28" t="str">
        <f t="shared" si="1"/>
        <v/>
      </c>
      <c r="M22" s="7"/>
    </row>
    <row r="23" spans="1:13" ht="15.75" customHeight="1">
      <c r="A23" s="8"/>
      <c r="B23" s="153"/>
      <c r="C23" s="8"/>
      <c r="D23" s="8"/>
      <c r="E23" s="5"/>
      <c r="F23" s="5"/>
      <c r="G23" s="5"/>
      <c r="H23" s="5"/>
      <c r="I23" s="5"/>
      <c r="J23" s="5"/>
      <c r="K23" s="350" t="str">
        <f t="shared" si="0"/>
        <v/>
      </c>
      <c r="L23" s="28" t="str">
        <f t="shared" si="1"/>
        <v/>
      </c>
      <c r="M23" s="7"/>
    </row>
    <row r="24" spans="1:13" ht="15.75" customHeight="1">
      <c r="A24" s="8"/>
      <c r="B24" s="153"/>
      <c r="C24" s="8"/>
      <c r="D24" s="8"/>
      <c r="E24" s="5"/>
      <c r="F24" s="5"/>
      <c r="G24" s="5"/>
      <c r="H24" s="5"/>
      <c r="I24" s="5"/>
      <c r="J24" s="5"/>
      <c r="K24" s="350" t="str">
        <f t="shared" si="0"/>
        <v/>
      </c>
      <c r="L24" s="28" t="str">
        <f t="shared" si="1"/>
        <v/>
      </c>
      <c r="M24" s="7"/>
    </row>
    <row r="25" spans="1:13" ht="15.75" customHeight="1">
      <c r="A25" s="8"/>
      <c r="B25" s="153"/>
      <c r="C25" s="8"/>
      <c r="D25" s="8"/>
      <c r="E25" s="5"/>
      <c r="F25" s="5"/>
      <c r="G25" s="5"/>
      <c r="H25" s="5"/>
      <c r="I25" s="5"/>
      <c r="J25" s="5"/>
      <c r="K25" s="350" t="str">
        <f t="shared" si="0"/>
        <v/>
      </c>
      <c r="L25" s="28" t="str">
        <f t="shared" si="1"/>
        <v/>
      </c>
      <c r="M25" s="7"/>
    </row>
    <row r="26" spans="1:13" ht="15.75" customHeight="1">
      <c r="A26" s="8"/>
      <c r="B26" s="7"/>
      <c r="C26" s="8"/>
      <c r="D26" s="8"/>
      <c r="E26" s="5"/>
      <c r="F26" s="5"/>
      <c r="G26" s="5"/>
      <c r="H26" s="5"/>
      <c r="I26" s="5"/>
      <c r="J26" s="5"/>
      <c r="K26" s="350" t="str">
        <f t="shared" si="0"/>
        <v/>
      </c>
      <c r="L26" s="28" t="str">
        <f t="shared" si="1"/>
        <v/>
      </c>
      <c r="M26" s="7"/>
    </row>
    <row r="27" spans="1:13" ht="15.75" customHeight="1">
      <c r="A27" s="420" t="s">
        <v>534</v>
      </c>
      <c r="B27" s="421"/>
      <c r="C27" s="237"/>
      <c r="D27" s="30"/>
      <c r="E27" s="31"/>
      <c r="F27" s="31"/>
      <c r="G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7" s="31"/>
      <c r="I27" s="31"/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350" t="str">
        <f t="shared" ca="1" si="0"/>
        <v/>
      </c>
      <c r="L27" s="28" t="str">
        <f t="shared" ca="1" si="1"/>
        <v/>
      </c>
      <c r="M27" s="234"/>
    </row>
    <row r="28" spans="1:13" ht="15.75" hidden="1" customHeight="1">
      <c r="A28" s="8"/>
      <c r="B28" s="7"/>
      <c r="C28" s="8"/>
      <c r="D28" s="8"/>
      <c r="E28" s="5"/>
      <c r="F28" s="5"/>
      <c r="G28" s="5"/>
      <c r="H28" s="5"/>
      <c r="I28" s="5"/>
      <c r="J28" s="5"/>
      <c r="K28" s="350" t="str">
        <f t="shared" ref="K28:K47" si="2">IF(ISERROR(J28-G28),"",IF(J28=0,"",J28-G28))</f>
        <v/>
      </c>
      <c r="L28" s="28" t="str">
        <f t="shared" ref="L28:L47" si="3">IF(ISERROR(J28-G28),"",IF(J28=0,"",IF(K28="",0,ROUND(K28*100/G28,2))))</f>
        <v/>
      </c>
      <c r="M28" s="7"/>
    </row>
    <row r="29" spans="1:13" ht="15.75" hidden="1" customHeight="1">
      <c r="A29" s="8"/>
      <c r="B29" s="7"/>
      <c r="C29" s="8"/>
      <c r="D29" s="8"/>
      <c r="E29" s="5"/>
      <c r="F29" s="5"/>
      <c r="G29" s="5"/>
      <c r="H29" s="5"/>
      <c r="I29" s="5"/>
      <c r="J29" s="5"/>
      <c r="K29" s="350" t="str">
        <f t="shared" si="2"/>
        <v/>
      </c>
      <c r="L29" s="28" t="str">
        <f t="shared" si="3"/>
        <v/>
      </c>
      <c r="M29" s="7"/>
    </row>
    <row r="30" spans="1:13" ht="15.75" hidden="1" customHeight="1">
      <c r="A30" s="8"/>
      <c r="B30" s="7"/>
      <c r="C30" s="8"/>
      <c r="D30" s="8"/>
      <c r="E30" s="5"/>
      <c r="F30" s="5"/>
      <c r="G30" s="5"/>
      <c r="H30" s="5"/>
      <c r="I30" s="5"/>
      <c r="J30" s="5"/>
      <c r="K30" s="350" t="str">
        <f t="shared" si="2"/>
        <v/>
      </c>
      <c r="L30" s="28" t="str">
        <f t="shared" si="3"/>
        <v/>
      </c>
      <c r="M30" s="7"/>
    </row>
    <row r="31" spans="1:13" ht="15.75" hidden="1" customHeight="1">
      <c r="A31" s="8"/>
      <c r="B31" s="7"/>
      <c r="C31" s="8"/>
      <c r="D31" s="8"/>
      <c r="E31" s="5"/>
      <c r="F31" s="5"/>
      <c r="G31" s="5"/>
      <c r="H31" s="5"/>
      <c r="I31" s="5"/>
      <c r="J31" s="5"/>
      <c r="K31" s="350" t="str">
        <f t="shared" si="2"/>
        <v/>
      </c>
      <c r="L31" s="28" t="str">
        <f t="shared" si="3"/>
        <v/>
      </c>
      <c r="M31" s="7"/>
    </row>
    <row r="32" spans="1:13" ht="15.75" hidden="1" customHeight="1">
      <c r="A32" s="8"/>
      <c r="B32" s="7"/>
      <c r="C32" s="8"/>
      <c r="D32" s="8"/>
      <c r="E32" s="5"/>
      <c r="F32" s="5"/>
      <c r="G32" s="5"/>
      <c r="H32" s="5"/>
      <c r="I32" s="5"/>
      <c r="J32" s="5"/>
      <c r="K32" s="350" t="str">
        <f t="shared" si="2"/>
        <v/>
      </c>
      <c r="L32" s="28" t="str">
        <f t="shared" si="3"/>
        <v/>
      </c>
      <c r="M32" s="7"/>
    </row>
    <row r="33" spans="1:13" ht="15.75" hidden="1" customHeight="1">
      <c r="A33" s="8"/>
      <c r="B33" s="7"/>
      <c r="C33" s="8"/>
      <c r="D33" s="8"/>
      <c r="E33" s="5"/>
      <c r="F33" s="5"/>
      <c r="G33" s="5"/>
      <c r="H33" s="5"/>
      <c r="I33" s="5"/>
      <c r="J33" s="5"/>
      <c r="K33" s="350" t="str">
        <f t="shared" si="2"/>
        <v/>
      </c>
      <c r="L33" s="28" t="str">
        <f t="shared" si="3"/>
        <v/>
      </c>
      <c r="M33" s="7"/>
    </row>
    <row r="34" spans="1:13" ht="15.75" hidden="1" customHeight="1">
      <c r="A34" s="8"/>
      <c r="B34" s="7"/>
      <c r="C34" s="8"/>
      <c r="D34" s="8"/>
      <c r="E34" s="5"/>
      <c r="F34" s="5"/>
      <c r="G34" s="5"/>
      <c r="H34" s="5"/>
      <c r="I34" s="5"/>
      <c r="J34" s="5"/>
      <c r="K34" s="350" t="str">
        <f t="shared" si="2"/>
        <v/>
      </c>
      <c r="L34" s="28" t="str">
        <f t="shared" si="3"/>
        <v/>
      </c>
      <c r="M34" s="7"/>
    </row>
    <row r="35" spans="1:13" ht="15.75" hidden="1" customHeight="1">
      <c r="A35" s="8"/>
      <c r="B35" s="7"/>
      <c r="C35" s="8"/>
      <c r="D35" s="8"/>
      <c r="E35" s="5"/>
      <c r="F35" s="5"/>
      <c r="G35" s="5"/>
      <c r="H35" s="5"/>
      <c r="I35" s="5"/>
      <c r="J35" s="5"/>
      <c r="K35" s="350" t="str">
        <f t="shared" si="2"/>
        <v/>
      </c>
      <c r="L35" s="28" t="str">
        <f t="shared" si="3"/>
        <v/>
      </c>
      <c r="M35" s="7"/>
    </row>
    <row r="36" spans="1:13" ht="15.75" hidden="1" customHeight="1">
      <c r="A36" s="8"/>
      <c r="B36" s="7"/>
      <c r="C36" s="8"/>
      <c r="D36" s="8"/>
      <c r="E36" s="5"/>
      <c r="F36" s="5"/>
      <c r="G36" s="5"/>
      <c r="H36" s="5"/>
      <c r="I36" s="5"/>
      <c r="J36" s="5"/>
      <c r="K36" s="350" t="str">
        <f t="shared" si="2"/>
        <v/>
      </c>
      <c r="L36" s="28" t="str">
        <f t="shared" si="3"/>
        <v/>
      </c>
      <c r="M36" s="7"/>
    </row>
    <row r="37" spans="1:13" ht="15.75" hidden="1" customHeight="1">
      <c r="A37" s="8"/>
      <c r="B37" s="7"/>
      <c r="C37" s="8"/>
      <c r="D37" s="8"/>
      <c r="E37" s="5"/>
      <c r="F37" s="5"/>
      <c r="G37" s="5"/>
      <c r="H37" s="5"/>
      <c r="I37" s="5"/>
      <c r="J37" s="5"/>
      <c r="K37" s="350" t="str">
        <f t="shared" si="2"/>
        <v/>
      </c>
      <c r="L37" s="28" t="str">
        <f t="shared" si="3"/>
        <v/>
      </c>
      <c r="M37" s="7"/>
    </row>
    <row r="38" spans="1:13" ht="15.75" hidden="1" customHeight="1">
      <c r="A38" s="8"/>
      <c r="B38" s="7"/>
      <c r="C38" s="8"/>
      <c r="D38" s="8"/>
      <c r="E38" s="5"/>
      <c r="F38" s="5"/>
      <c r="G38" s="5"/>
      <c r="H38" s="5"/>
      <c r="I38" s="5"/>
      <c r="J38" s="5"/>
      <c r="K38" s="350" t="str">
        <f t="shared" si="2"/>
        <v/>
      </c>
      <c r="L38" s="28" t="str">
        <f t="shared" si="3"/>
        <v/>
      </c>
      <c r="M38" s="7"/>
    </row>
    <row r="39" spans="1:13" ht="15.75" hidden="1" customHeight="1">
      <c r="A39" s="8"/>
      <c r="B39" s="7"/>
      <c r="C39" s="8"/>
      <c r="D39" s="8"/>
      <c r="E39" s="5"/>
      <c r="F39" s="5"/>
      <c r="G39" s="5"/>
      <c r="H39" s="5"/>
      <c r="I39" s="5"/>
      <c r="J39" s="5"/>
      <c r="K39" s="350" t="str">
        <f t="shared" si="2"/>
        <v/>
      </c>
      <c r="L39" s="28" t="str">
        <f t="shared" si="3"/>
        <v/>
      </c>
      <c r="M39" s="7"/>
    </row>
    <row r="40" spans="1:13" ht="15.75" hidden="1" customHeight="1">
      <c r="A40" s="8"/>
      <c r="B40" s="7"/>
      <c r="C40" s="8"/>
      <c r="D40" s="8"/>
      <c r="E40" s="5"/>
      <c r="F40" s="5"/>
      <c r="G40" s="5"/>
      <c r="H40" s="5"/>
      <c r="I40" s="5"/>
      <c r="J40" s="5"/>
      <c r="K40" s="350" t="str">
        <f t="shared" si="2"/>
        <v/>
      </c>
      <c r="L40" s="28" t="str">
        <f t="shared" si="3"/>
        <v/>
      </c>
      <c r="M40" s="7"/>
    </row>
    <row r="41" spans="1:13" ht="15.75" hidden="1" customHeight="1">
      <c r="A41" s="8"/>
      <c r="B41" s="7"/>
      <c r="C41" s="8"/>
      <c r="D41" s="8"/>
      <c r="E41" s="5"/>
      <c r="F41" s="5"/>
      <c r="G41" s="5"/>
      <c r="H41" s="5"/>
      <c r="I41" s="5"/>
      <c r="J41" s="5"/>
      <c r="K41" s="350" t="str">
        <f t="shared" si="2"/>
        <v/>
      </c>
      <c r="L41" s="28" t="str">
        <f t="shared" si="3"/>
        <v/>
      </c>
      <c r="M41" s="7"/>
    </row>
    <row r="42" spans="1:13" ht="15.75" hidden="1" customHeight="1">
      <c r="A42" s="8"/>
      <c r="B42" s="7"/>
      <c r="C42" s="8"/>
      <c r="D42" s="8"/>
      <c r="E42" s="5"/>
      <c r="F42" s="5"/>
      <c r="G42" s="5"/>
      <c r="H42" s="5"/>
      <c r="I42" s="5"/>
      <c r="J42" s="5"/>
      <c r="K42" s="350" t="str">
        <f t="shared" si="2"/>
        <v/>
      </c>
      <c r="L42" s="28" t="str">
        <f t="shared" si="3"/>
        <v/>
      </c>
      <c r="M42" s="7"/>
    </row>
    <row r="43" spans="1:13" ht="15.75" hidden="1" customHeight="1">
      <c r="A43" s="8"/>
      <c r="B43" s="7"/>
      <c r="C43" s="8"/>
      <c r="D43" s="8"/>
      <c r="E43" s="5"/>
      <c r="F43" s="5"/>
      <c r="G43" s="5"/>
      <c r="H43" s="5"/>
      <c r="I43" s="5"/>
      <c r="J43" s="5"/>
      <c r="K43" s="350" t="str">
        <f t="shared" si="2"/>
        <v/>
      </c>
      <c r="L43" s="28" t="str">
        <f t="shared" si="3"/>
        <v/>
      </c>
      <c r="M43" s="7"/>
    </row>
    <row r="44" spans="1:13" ht="15.75" hidden="1" customHeight="1">
      <c r="A44" s="8"/>
      <c r="B44" s="7"/>
      <c r="C44" s="8"/>
      <c r="D44" s="8"/>
      <c r="E44" s="5"/>
      <c r="F44" s="5"/>
      <c r="G44" s="5"/>
      <c r="H44" s="5"/>
      <c r="I44" s="5"/>
      <c r="J44" s="5"/>
      <c r="K44" s="350" t="str">
        <f t="shared" si="2"/>
        <v/>
      </c>
      <c r="L44" s="28" t="str">
        <f t="shared" si="3"/>
        <v/>
      </c>
      <c r="M44" s="7"/>
    </row>
    <row r="45" spans="1:13" ht="15.75" hidden="1" customHeight="1">
      <c r="A45" s="8"/>
      <c r="B45" s="7"/>
      <c r="C45" s="8"/>
      <c r="D45" s="8"/>
      <c r="E45" s="5"/>
      <c r="F45" s="5"/>
      <c r="G45" s="5"/>
      <c r="H45" s="5"/>
      <c r="I45" s="5"/>
      <c r="J45" s="5"/>
      <c r="K45" s="350" t="str">
        <f t="shared" si="2"/>
        <v/>
      </c>
      <c r="L45" s="28" t="str">
        <f t="shared" si="3"/>
        <v/>
      </c>
      <c r="M45" s="7"/>
    </row>
    <row r="46" spans="1:13" ht="15.75" hidden="1" customHeight="1">
      <c r="A46" s="8"/>
      <c r="B46" s="7"/>
      <c r="C46" s="8"/>
      <c r="D46" s="8"/>
      <c r="E46" s="5"/>
      <c r="F46" s="5"/>
      <c r="G46" s="5"/>
      <c r="H46" s="5"/>
      <c r="I46" s="5"/>
      <c r="J46" s="5"/>
      <c r="K46" s="350" t="str">
        <f t="shared" si="2"/>
        <v/>
      </c>
      <c r="L46" s="28" t="str">
        <f t="shared" si="3"/>
        <v/>
      </c>
      <c r="M46" s="7"/>
    </row>
    <row r="47" spans="1:13" ht="15.75" hidden="1" customHeight="1">
      <c r="A47" s="8"/>
      <c r="B47" s="7"/>
      <c r="C47" s="8"/>
      <c r="D47" s="8"/>
      <c r="E47" s="5"/>
      <c r="F47" s="5"/>
      <c r="G47" s="5"/>
      <c r="H47" s="5"/>
      <c r="I47" s="5"/>
      <c r="J47" s="5"/>
      <c r="K47" s="350" t="str">
        <f t="shared" si="2"/>
        <v/>
      </c>
      <c r="L47" s="28" t="str">
        <f t="shared" si="3"/>
        <v/>
      </c>
      <c r="M47" s="7"/>
    </row>
  </sheetData>
  <mergeCells count="15">
    <mergeCell ref="A1:M1"/>
    <mergeCell ref="D6:D7"/>
    <mergeCell ref="A2:M2"/>
    <mergeCell ref="A6:A7"/>
    <mergeCell ref="B6:B7"/>
    <mergeCell ref="H6:J6"/>
    <mergeCell ref="L6:L7"/>
    <mergeCell ref="E6:G6"/>
    <mergeCell ref="Q6:Q7"/>
    <mergeCell ref="A27:B27"/>
    <mergeCell ref="M6:M7"/>
    <mergeCell ref="C6:C7"/>
    <mergeCell ref="K6:K7"/>
    <mergeCell ref="N6:O6"/>
    <mergeCell ref="P6:P7"/>
  </mergeCells>
  <phoneticPr fontId="6" type="noConversion"/>
  <printOptions horizontalCentered="1" verticalCentered="1"/>
  <pageMargins left="1.0629921259842521" right="0.55118110236220474" top="0.27559055118110237" bottom="0.62992125984251968" header="1.6929133858267718" footer="1.0629921259842521"/>
  <pageSetup paperSize="9" fitToHeight="0" orientation="landscape" blackAndWhite="1" horizontalDpi="1200" verticalDpi="1200" r:id="rId1"/>
  <headerFooter scaleWithDoc="0">
    <oddHeader>&amp;R&amp;"宋体,常规"&amp;10表3-11-4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939800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165100</xdr:colOff>
                    <xdr:row>2</xdr:row>
                    <xdr:rowOff>0</xdr:rowOff>
                  </from>
                  <to>
                    <xdr:col>3</xdr:col>
                    <xdr:colOff>342900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8FB-70EB-4925-B0D2-9D4ED8F513FD}">
  <sheetPr codeName="Sheet29">
    <pageSetUpPr fitToPage="1"/>
  </sheetPr>
  <dimension ref="A1:X47"/>
  <sheetViews>
    <sheetView tabSelected="1" workbookViewId="0">
      <pane ySplit="7" topLeftCell="A8" activePane="bottomLeft" state="frozen"/>
      <selection activeCell="F17" sqref="F17"/>
      <selection pane="bottomLeft" activeCell="H55" sqref="H55"/>
    </sheetView>
  </sheetViews>
  <sheetFormatPr baseColWidth="10" defaultColWidth="9" defaultRowHeight="15.75" customHeight="1"/>
  <cols>
    <col min="1" max="1" width="4.5" style="81" customWidth="1"/>
    <col min="2" max="3" width="10" style="81" customWidth="1"/>
    <col min="4" max="4" width="5.1640625" style="81" customWidth="1"/>
    <col min="5" max="5" width="7.1640625" style="81" customWidth="1"/>
    <col min="6" max="7" width="8.5" style="81" customWidth="1"/>
    <col min="8" max="8" width="9.6640625" style="142" customWidth="1"/>
    <col min="9" max="9" width="8" style="81" customWidth="1"/>
    <col min="10" max="11" width="8.1640625" style="81" customWidth="1"/>
    <col min="12" max="12" width="6.5" style="81" customWidth="1"/>
    <col min="13" max="13" width="9.5" style="81" customWidth="1"/>
    <col min="14" max="14" width="7.5" style="340" customWidth="1"/>
    <col min="15" max="15" width="9.1640625" style="135" customWidth="1"/>
    <col min="16" max="16" width="7.1640625" style="81" customWidth="1"/>
    <col min="17" max="17" width="8.5" style="81" customWidth="1"/>
    <col min="18" max="18" width="9.5" style="81" customWidth="1"/>
    <col min="19" max="19" width="6.33203125" style="81" customWidth="1"/>
    <col min="20" max="20" width="7.1640625" style="81" customWidth="1"/>
    <col min="21" max="21" width="5.6640625" style="81" customWidth="1"/>
    <col min="22" max="22" width="5.1640625" style="81" customWidth="1"/>
    <col min="23" max="23" width="12" style="81" customWidth="1"/>
    <col min="24" max="24" width="7.1640625" style="81" customWidth="1"/>
    <col min="25" max="16384" width="9" style="81"/>
  </cols>
  <sheetData>
    <row r="1" spans="1:24" s="80" customFormat="1" ht="30" customHeight="1">
      <c r="A1" s="374" t="s">
        <v>985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2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  <c r="P2" s="378"/>
    </row>
    <row r="3" spans="1:24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131"/>
      <c r="O3" s="172"/>
      <c r="P3" s="178"/>
    </row>
    <row r="4" spans="1:24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131"/>
      <c r="O4" s="36"/>
      <c r="P4" s="37"/>
    </row>
    <row r="5" spans="1:24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84"/>
      <c r="I5" s="42"/>
      <c r="J5" s="42"/>
      <c r="K5" s="42"/>
      <c r="L5" s="42"/>
      <c r="M5" s="42"/>
      <c r="N5" s="218"/>
      <c r="O5" s="173"/>
      <c r="P5" s="122"/>
    </row>
    <row r="6" spans="1:24" s="101" customFormat="1" ht="15.75" customHeight="1">
      <c r="A6" s="465" t="s">
        <v>7</v>
      </c>
      <c r="B6" s="465" t="s">
        <v>280</v>
      </c>
      <c r="C6" s="486" t="s">
        <v>279</v>
      </c>
      <c r="D6" s="467" t="s">
        <v>84</v>
      </c>
      <c r="E6" s="465" t="s">
        <v>117</v>
      </c>
      <c r="F6" s="465"/>
      <c r="G6" s="465"/>
      <c r="H6" s="465"/>
      <c r="I6" s="465" t="s">
        <v>0</v>
      </c>
      <c r="J6" s="465"/>
      <c r="K6" s="465"/>
      <c r="L6" s="465"/>
      <c r="M6" s="465"/>
      <c r="N6" s="488" t="s">
        <v>1</v>
      </c>
      <c r="O6" s="469" t="s">
        <v>479</v>
      </c>
      <c r="P6" s="465" t="s">
        <v>39</v>
      </c>
      <c r="Q6" s="473" t="s">
        <v>610</v>
      </c>
      <c r="R6" s="473" t="s">
        <v>611</v>
      </c>
      <c r="S6" s="473" t="s">
        <v>612</v>
      </c>
      <c r="T6" s="473" t="s">
        <v>613</v>
      </c>
      <c r="U6" s="473" t="s">
        <v>621</v>
      </c>
      <c r="V6" s="473"/>
      <c r="W6" s="485" t="s">
        <v>614</v>
      </c>
      <c r="X6" s="473" t="s">
        <v>618</v>
      </c>
    </row>
    <row r="7" spans="1:24" s="101" customFormat="1" ht="15.75" customHeight="1">
      <c r="A7" s="466"/>
      <c r="B7" s="466"/>
      <c r="C7" s="487"/>
      <c r="D7" s="468"/>
      <c r="E7" s="45" t="s">
        <v>43</v>
      </c>
      <c r="F7" s="45" t="s">
        <v>464</v>
      </c>
      <c r="G7" s="45" t="s">
        <v>465</v>
      </c>
      <c r="H7" s="45" t="s">
        <v>38</v>
      </c>
      <c r="I7" s="186" t="s">
        <v>80</v>
      </c>
      <c r="J7" s="45" t="s">
        <v>464</v>
      </c>
      <c r="K7" s="45" t="s">
        <v>465</v>
      </c>
      <c r="L7" s="174" t="s">
        <v>482</v>
      </c>
      <c r="M7" s="45" t="s">
        <v>38</v>
      </c>
      <c r="N7" s="489"/>
      <c r="O7" s="470"/>
      <c r="P7" s="466"/>
      <c r="Q7" s="473"/>
      <c r="R7" s="473"/>
      <c r="S7" s="473"/>
      <c r="T7" s="473"/>
      <c r="U7" s="285" t="s">
        <v>615</v>
      </c>
      <c r="V7" s="285" t="s">
        <v>616</v>
      </c>
      <c r="W7" s="485"/>
      <c r="X7" s="473"/>
    </row>
    <row r="8" spans="1:24" s="143" customFormat="1" ht="15.75" customHeight="1">
      <c r="A8" s="149"/>
      <c r="B8" s="150"/>
      <c r="C8" s="155"/>
      <c r="D8" s="151"/>
      <c r="E8" s="5"/>
      <c r="F8" s="5"/>
      <c r="G8" s="5"/>
      <c r="H8" s="5"/>
      <c r="I8" s="5"/>
      <c r="J8" s="5"/>
      <c r="K8" s="5"/>
      <c r="L8" s="5"/>
      <c r="M8" s="5"/>
      <c r="N8" s="339" t="str">
        <f>IF(ISERROR(M8-H8),"",IF(M8=0,"",M8-H8))</f>
        <v/>
      </c>
      <c r="O8" s="28" t="str">
        <f>IF(ISERROR(M8-H8),"",IF(M8=0,"",IF(N8="",0,ROUND(N8*100/H8,2))))</f>
        <v/>
      </c>
      <c r="P8" s="7"/>
    </row>
    <row r="9" spans="1:24" ht="15.75" customHeight="1">
      <c r="A9" s="8"/>
      <c r="B9" s="153"/>
      <c r="C9" s="153"/>
      <c r="D9" s="8"/>
      <c r="E9" s="5"/>
      <c r="F9" s="5"/>
      <c r="G9" s="5"/>
      <c r="H9" s="5"/>
      <c r="I9" s="5"/>
      <c r="J9" s="5"/>
      <c r="K9" s="5"/>
      <c r="L9" s="5"/>
      <c r="M9" s="5"/>
      <c r="N9" s="339" t="str">
        <f t="shared" ref="N9:N27" si="0">IF(ISERROR(M9-H9),"",IF(M9=0,"",M9-H9))</f>
        <v/>
      </c>
      <c r="O9" s="28" t="str">
        <f t="shared" ref="O9:O27" si="1">IF(ISERROR(M9-H9),"",IF(M9=0,"",IF(N9="",0,ROUND(N9*100/H9,2))))</f>
        <v/>
      </c>
      <c r="P9" s="7"/>
    </row>
    <row r="10" spans="1:24" ht="15.75" customHeight="1">
      <c r="A10" s="8"/>
      <c r="B10" s="7"/>
      <c r="C10" s="7"/>
      <c r="D10" s="8"/>
      <c r="E10" s="5"/>
      <c r="F10" s="5"/>
      <c r="G10" s="5"/>
      <c r="H10" s="5"/>
      <c r="I10" s="5"/>
      <c r="J10" s="5"/>
      <c r="K10" s="5"/>
      <c r="L10" s="5"/>
      <c r="M10" s="5"/>
      <c r="N10" s="339" t="str">
        <f t="shared" si="0"/>
        <v/>
      </c>
      <c r="O10" s="28" t="str">
        <f t="shared" si="1"/>
        <v/>
      </c>
      <c r="P10" s="7"/>
    </row>
    <row r="11" spans="1:24" ht="15.75" customHeight="1">
      <c r="A11" s="8"/>
      <c r="B11" s="7"/>
      <c r="C11" s="7"/>
      <c r="D11" s="8"/>
      <c r="E11" s="5"/>
      <c r="F11" s="5"/>
      <c r="G11" s="5"/>
      <c r="H11" s="5"/>
      <c r="I11" s="5"/>
      <c r="J11" s="5"/>
      <c r="K11" s="5"/>
      <c r="L11" s="5"/>
      <c r="M11" s="5"/>
      <c r="N11" s="339" t="str">
        <f t="shared" si="0"/>
        <v/>
      </c>
      <c r="O11" s="28" t="str">
        <f t="shared" si="1"/>
        <v/>
      </c>
      <c r="P11" s="7"/>
    </row>
    <row r="12" spans="1:24" ht="15.75" customHeight="1">
      <c r="A12" s="8"/>
      <c r="B12" s="7"/>
      <c r="C12" s="7"/>
      <c r="D12" s="8"/>
      <c r="E12" s="5"/>
      <c r="F12" s="5"/>
      <c r="G12" s="5"/>
      <c r="H12" s="5"/>
      <c r="I12" s="5"/>
      <c r="J12" s="5"/>
      <c r="K12" s="5"/>
      <c r="L12" s="5"/>
      <c r="M12" s="5"/>
      <c r="N12" s="339" t="str">
        <f t="shared" si="0"/>
        <v/>
      </c>
      <c r="O12" s="28" t="str">
        <f t="shared" si="1"/>
        <v/>
      </c>
      <c r="P12" s="7"/>
    </row>
    <row r="13" spans="1:24" ht="15.75" customHeight="1">
      <c r="A13" s="8"/>
      <c r="B13" s="7"/>
      <c r="C13" s="7"/>
      <c r="D13" s="8"/>
      <c r="E13" s="5"/>
      <c r="F13" s="5"/>
      <c r="G13" s="5"/>
      <c r="H13" s="5"/>
      <c r="I13" s="5"/>
      <c r="J13" s="5"/>
      <c r="K13" s="5"/>
      <c r="L13" s="5"/>
      <c r="M13" s="5"/>
      <c r="N13" s="339" t="str">
        <f t="shared" si="0"/>
        <v/>
      </c>
      <c r="O13" s="28" t="str">
        <f t="shared" si="1"/>
        <v/>
      </c>
      <c r="P13" s="7"/>
    </row>
    <row r="14" spans="1:24" ht="15.75" customHeight="1">
      <c r="A14" s="8"/>
      <c r="B14" s="7"/>
      <c r="C14" s="7"/>
      <c r="D14" s="8"/>
      <c r="E14" s="5"/>
      <c r="F14" s="5"/>
      <c r="G14" s="5"/>
      <c r="H14" s="5"/>
      <c r="I14" s="5"/>
      <c r="J14" s="5"/>
      <c r="K14" s="5"/>
      <c r="L14" s="5"/>
      <c r="M14" s="5"/>
      <c r="N14" s="339" t="str">
        <f t="shared" si="0"/>
        <v/>
      </c>
      <c r="O14" s="28" t="str">
        <f t="shared" si="1"/>
        <v/>
      </c>
      <c r="P14" s="7"/>
    </row>
    <row r="15" spans="1:24" ht="15.75" customHeight="1">
      <c r="A15" s="8"/>
      <c r="B15" s="7"/>
      <c r="C15" s="7"/>
      <c r="D15" s="8"/>
      <c r="E15" s="5"/>
      <c r="F15" s="5"/>
      <c r="G15" s="5"/>
      <c r="H15" s="5"/>
      <c r="I15" s="5"/>
      <c r="J15" s="5"/>
      <c r="K15" s="5"/>
      <c r="L15" s="5"/>
      <c r="M15" s="5"/>
      <c r="N15" s="339" t="str">
        <f t="shared" si="0"/>
        <v/>
      </c>
      <c r="O15" s="28" t="str">
        <f t="shared" si="1"/>
        <v/>
      </c>
      <c r="P15" s="7"/>
    </row>
    <row r="16" spans="1:24" ht="15.75" customHeight="1">
      <c r="A16" s="8"/>
      <c r="B16" s="7"/>
      <c r="C16" s="7"/>
      <c r="D16" s="8"/>
      <c r="E16" s="5"/>
      <c r="F16" s="5"/>
      <c r="G16" s="5"/>
      <c r="H16" s="5"/>
      <c r="I16" s="5"/>
      <c r="J16" s="5"/>
      <c r="K16" s="5"/>
      <c r="L16" s="5"/>
      <c r="M16" s="5"/>
      <c r="N16" s="339" t="str">
        <f t="shared" si="0"/>
        <v/>
      </c>
      <c r="O16" s="28" t="str">
        <f t="shared" si="1"/>
        <v/>
      </c>
      <c r="P16" s="7"/>
    </row>
    <row r="17" spans="1:16" ht="15.75" customHeight="1">
      <c r="A17" s="8"/>
      <c r="B17" s="7"/>
      <c r="C17" s="7"/>
      <c r="D17" s="8"/>
      <c r="E17" s="5"/>
      <c r="F17" s="5"/>
      <c r="G17" s="5"/>
      <c r="H17" s="5"/>
      <c r="I17" s="5"/>
      <c r="J17" s="5"/>
      <c r="K17" s="5"/>
      <c r="L17" s="5"/>
      <c r="M17" s="5"/>
      <c r="N17" s="339" t="str">
        <f t="shared" si="0"/>
        <v/>
      </c>
      <c r="O17" s="28" t="str">
        <f t="shared" si="1"/>
        <v/>
      </c>
      <c r="P17" s="7"/>
    </row>
    <row r="18" spans="1:16" ht="15.75" customHeight="1">
      <c r="A18" s="8"/>
      <c r="B18" s="7"/>
      <c r="C18" s="7"/>
      <c r="D18" s="8"/>
      <c r="E18" s="5"/>
      <c r="F18" s="5"/>
      <c r="G18" s="5"/>
      <c r="H18" s="5"/>
      <c r="I18" s="5"/>
      <c r="J18" s="5"/>
      <c r="K18" s="5"/>
      <c r="L18" s="5"/>
      <c r="M18" s="5"/>
      <c r="N18" s="339" t="str">
        <f t="shared" si="0"/>
        <v/>
      </c>
      <c r="O18" s="28" t="str">
        <f t="shared" si="1"/>
        <v/>
      </c>
      <c r="P18" s="7"/>
    </row>
    <row r="19" spans="1:16" ht="15.75" customHeight="1">
      <c r="A19" s="8"/>
      <c r="B19" s="7"/>
      <c r="C19" s="7"/>
      <c r="D19" s="8"/>
      <c r="E19" s="5"/>
      <c r="F19" s="5"/>
      <c r="G19" s="5"/>
      <c r="H19" s="5"/>
      <c r="I19" s="5"/>
      <c r="J19" s="5"/>
      <c r="K19" s="5"/>
      <c r="L19" s="5"/>
      <c r="M19" s="5"/>
      <c r="N19" s="339" t="str">
        <f t="shared" si="0"/>
        <v/>
      </c>
      <c r="O19" s="28" t="str">
        <f t="shared" si="1"/>
        <v/>
      </c>
      <c r="P19" s="7"/>
    </row>
    <row r="20" spans="1:16" ht="15.75" customHeight="1">
      <c r="A20" s="8"/>
      <c r="B20" s="153"/>
      <c r="C20" s="153"/>
      <c r="D20" s="8"/>
      <c r="E20" s="5"/>
      <c r="F20" s="5"/>
      <c r="G20" s="5"/>
      <c r="H20" s="5"/>
      <c r="I20" s="5"/>
      <c r="J20" s="5"/>
      <c r="K20" s="5"/>
      <c r="L20" s="5"/>
      <c r="M20" s="5"/>
      <c r="N20" s="339" t="str">
        <f t="shared" si="0"/>
        <v/>
      </c>
      <c r="O20" s="28" t="str">
        <f t="shared" si="1"/>
        <v/>
      </c>
      <c r="P20" s="7"/>
    </row>
    <row r="21" spans="1:16" ht="15.75" customHeight="1">
      <c r="A21" s="8"/>
      <c r="B21" s="7"/>
      <c r="C21" s="7"/>
      <c r="D21" s="8"/>
      <c r="E21" s="5"/>
      <c r="F21" s="5"/>
      <c r="G21" s="5"/>
      <c r="H21" s="5"/>
      <c r="I21" s="5"/>
      <c r="J21" s="5"/>
      <c r="K21" s="5"/>
      <c r="L21" s="5"/>
      <c r="M21" s="5"/>
      <c r="N21" s="339" t="str">
        <f t="shared" si="0"/>
        <v/>
      </c>
      <c r="O21" s="28" t="str">
        <f t="shared" si="1"/>
        <v/>
      </c>
      <c r="P21" s="7"/>
    </row>
    <row r="22" spans="1:16" ht="15.75" customHeight="1">
      <c r="A22" s="8"/>
      <c r="B22" s="7"/>
      <c r="C22" s="7"/>
      <c r="D22" s="8"/>
      <c r="E22" s="5"/>
      <c r="F22" s="5"/>
      <c r="G22" s="5"/>
      <c r="H22" s="5"/>
      <c r="I22" s="5"/>
      <c r="J22" s="5"/>
      <c r="K22" s="5"/>
      <c r="L22" s="5"/>
      <c r="M22" s="5"/>
      <c r="N22" s="339" t="str">
        <f t="shared" si="0"/>
        <v/>
      </c>
      <c r="O22" s="28" t="str">
        <f t="shared" si="1"/>
        <v/>
      </c>
      <c r="P22" s="7"/>
    </row>
    <row r="23" spans="1:16" ht="15.75" customHeight="1">
      <c r="A23" s="8"/>
      <c r="B23" s="7"/>
      <c r="C23" s="7"/>
      <c r="D23" s="8"/>
      <c r="E23" s="5"/>
      <c r="F23" s="5"/>
      <c r="G23" s="5"/>
      <c r="H23" s="5"/>
      <c r="I23" s="5"/>
      <c r="J23" s="5"/>
      <c r="K23" s="5"/>
      <c r="L23" s="5"/>
      <c r="M23" s="5"/>
      <c r="N23" s="339" t="str">
        <f t="shared" si="0"/>
        <v/>
      </c>
      <c r="O23" s="28" t="str">
        <f t="shared" si="1"/>
        <v/>
      </c>
      <c r="P23" s="7"/>
    </row>
    <row r="24" spans="1:16" ht="15.75" customHeight="1">
      <c r="A24" s="8"/>
      <c r="B24" s="7"/>
      <c r="C24" s="7"/>
      <c r="D24" s="8"/>
      <c r="E24" s="5"/>
      <c r="F24" s="5"/>
      <c r="G24" s="5"/>
      <c r="H24" s="5"/>
      <c r="I24" s="5"/>
      <c r="J24" s="5"/>
      <c r="K24" s="5"/>
      <c r="L24" s="5"/>
      <c r="M24" s="5"/>
      <c r="N24" s="339" t="str">
        <f t="shared" si="0"/>
        <v/>
      </c>
      <c r="O24" s="28" t="str">
        <f t="shared" si="1"/>
        <v/>
      </c>
      <c r="P24" s="7"/>
    </row>
    <row r="25" spans="1:16" ht="15.75" customHeight="1">
      <c r="A25" s="8"/>
      <c r="B25" s="153"/>
      <c r="C25" s="153"/>
      <c r="D25" s="8"/>
      <c r="E25" s="5"/>
      <c r="F25" s="5"/>
      <c r="G25" s="5"/>
      <c r="H25" s="5"/>
      <c r="I25" s="5"/>
      <c r="J25" s="5"/>
      <c r="K25" s="5"/>
      <c r="L25" s="5"/>
      <c r="M25" s="5"/>
      <c r="N25" s="339" t="str">
        <f t="shared" si="0"/>
        <v/>
      </c>
      <c r="O25" s="28" t="str">
        <f t="shared" si="1"/>
        <v/>
      </c>
      <c r="P25" s="7"/>
    </row>
    <row r="26" spans="1:16" ht="15.75" customHeight="1">
      <c r="A26" s="8"/>
      <c r="B26" s="7"/>
      <c r="C26" s="7"/>
      <c r="D26" s="8"/>
      <c r="E26" s="5"/>
      <c r="F26" s="5"/>
      <c r="G26" s="5"/>
      <c r="H26" s="5"/>
      <c r="I26" s="5"/>
      <c r="J26" s="5"/>
      <c r="K26" s="5"/>
      <c r="L26" s="5"/>
      <c r="M26" s="5"/>
      <c r="N26" s="339" t="str">
        <f t="shared" si="0"/>
        <v/>
      </c>
      <c r="O26" s="28" t="str">
        <f t="shared" si="1"/>
        <v/>
      </c>
      <c r="P26" s="7"/>
    </row>
    <row r="27" spans="1:16" ht="15.75" customHeight="1">
      <c r="A27" s="420" t="s">
        <v>534</v>
      </c>
      <c r="B27" s="421"/>
      <c r="C27" s="241"/>
      <c r="D27" s="30"/>
      <c r="E27" s="31"/>
      <c r="F27" s="31"/>
      <c r="G27" s="31"/>
      <c r="H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7" s="31"/>
      <c r="J27" s="31"/>
      <c r="K27" s="31"/>
      <c r="L27" s="31"/>
      <c r="M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7" s="339" t="str">
        <f t="shared" ca="1" si="0"/>
        <v/>
      </c>
      <c r="O27" s="28" t="str">
        <f t="shared" ca="1" si="1"/>
        <v/>
      </c>
      <c r="P27" s="234"/>
    </row>
    <row r="28" spans="1:16" s="141" customFormat="1" ht="15.75" hidden="1" customHeight="1">
      <c r="A28" s="8"/>
      <c r="B28" s="7"/>
      <c r="C28" s="7"/>
      <c r="D28" s="8"/>
      <c r="E28" s="5"/>
      <c r="F28" s="5"/>
      <c r="G28" s="5"/>
      <c r="H28" s="5"/>
      <c r="I28" s="5"/>
      <c r="J28" s="5"/>
      <c r="K28" s="5"/>
      <c r="L28" s="5"/>
      <c r="M28" s="5"/>
      <c r="N28" s="339" t="str">
        <f>IF(ISERROR(M28-H28),"",IF(M28=0,"",M28-H28))</f>
        <v/>
      </c>
      <c r="O28" s="28" t="str">
        <f>IF(ISERROR(M28-H28),"",IF(M28=0,"",IF(N28="",0,ROUND(N28*100/H28,2))))</f>
        <v/>
      </c>
      <c r="P28" s="7"/>
    </row>
    <row r="29" spans="1:16" s="141" customFormat="1" ht="15.75" hidden="1" customHeight="1">
      <c r="A29" s="8"/>
      <c r="B29" s="7"/>
      <c r="C29" s="7"/>
      <c r="D29" s="8"/>
      <c r="E29" s="5"/>
      <c r="F29" s="5"/>
      <c r="G29" s="5"/>
      <c r="H29" s="5"/>
      <c r="I29" s="5"/>
      <c r="J29" s="5"/>
      <c r="K29" s="5"/>
      <c r="L29" s="5"/>
      <c r="M29" s="5"/>
      <c r="N29" s="339" t="str">
        <f t="shared" ref="N29:N47" si="2">IF(ISERROR(M29-H29),"",IF(M29=0,"",M29-H29))</f>
        <v/>
      </c>
      <c r="O29" s="28" t="str">
        <f t="shared" ref="O29:O47" si="3">IF(ISERROR(M29-H29),"",IF(M29=0,"",IF(N29="",0,ROUND(N29*100/H29,2))))</f>
        <v/>
      </c>
      <c r="P29" s="7"/>
    </row>
    <row r="30" spans="1:16" s="141" customFormat="1" ht="15.75" hidden="1" customHeight="1">
      <c r="A30" s="8"/>
      <c r="B30" s="7"/>
      <c r="C30" s="7"/>
      <c r="D30" s="8"/>
      <c r="E30" s="5"/>
      <c r="F30" s="5"/>
      <c r="G30" s="5"/>
      <c r="H30" s="5"/>
      <c r="I30" s="5"/>
      <c r="J30" s="5"/>
      <c r="K30" s="5"/>
      <c r="L30" s="5"/>
      <c r="M30" s="5"/>
      <c r="N30" s="339" t="str">
        <f t="shared" si="2"/>
        <v/>
      </c>
      <c r="O30" s="28" t="str">
        <f t="shared" si="3"/>
        <v/>
      </c>
      <c r="P30" s="7"/>
    </row>
    <row r="31" spans="1:16" s="141" customFormat="1" ht="15.75" hidden="1" customHeight="1">
      <c r="A31" s="8"/>
      <c r="B31" s="7"/>
      <c r="C31" s="7"/>
      <c r="D31" s="8"/>
      <c r="E31" s="5"/>
      <c r="F31" s="5"/>
      <c r="G31" s="5"/>
      <c r="H31" s="5"/>
      <c r="I31" s="5"/>
      <c r="J31" s="5"/>
      <c r="K31" s="5"/>
      <c r="L31" s="5"/>
      <c r="M31" s="5"/>
      <c r="N31" s="339" t="str">
        <f t="shared" si="2"/>
        <v/>
      </c>
      <c r="O31" s="28" t="str">
        <f t="shared" si="3"/>
        <v/>
      </c>
      <c r="P31" s="7"/>
    </row>
    <row r="32" spans="1:16" s="141" customFormat="1" ht="15.75" hidden="1" customHeight="1">
      <c r="A32" s="8"/>
      <c r="B32" s="7"/>
      <c r="C32" s="7"/>
      <c r="D32" s="8"/>
      <c r="E32" s="5"/>
      <c r="F32" s="5"/>
      <c r="G32" s="5"/>
      <c r="H32" s="5"/>
      <c r="I32" s="5"/>
      <c r="J32" s="5"/>
      <c r="K32" s="5"/>
      <c r="L32" s="5"/>
      <c r="M32" s="5"/>
      <c r="N32" s="339" t="str">
        <f t="shared" si="2"/>
        <v/>
      </c>
      <c r="O32" s="28" t="str">
        <f t="shared" si="3"/>
        <v/>
      </c>
      <c r="P32" s="7"/>
    </row>
    <row r="33" spans="1:16" s="141" customFormat="1" ht="15.75" hidden="1" customHeight="1">
      <c r="A33" s="8"/>
      <c r="B33" s="7"/>
      <c r="C33" s="7"/>
      <c r="D33" s="8"/>
      <c r="E33" s="5"/>
      <c r="F33" s="5"/>
      <c r="G33" s="5"/>
      <c r="H33" s="5"/>
      <c r="I33" s="5"/>
      <c r="J33" s="5"/>
      <c r="K33" s="5"/>
      <c r="L33" s="5"/>
      <c r="M33" s="5"/>
      <c r="N33" s="339" t="str">
        <f t="shared" si="2"/>
        <v/>
      </c>
      <c r="O33" s="28" t="str">
        <f t="shared" si="3"/>
        <v/>
      </c>
      <c r="P33" s="7"/>
    </row>
    <row r="34" spans="1:16" s="141" customFormat="1" ht="15.75" hidden="1" customHeight="1">
      <c r="A34" s="8"/>
      <c r="B34" s="7"/>
      <c r="C34" s="7"/>
      <c r="D34" s="8"/>
      <c r="E34" s="5"/>
      <c r="F34" s="5"/>
      <c r="G34" s="5"/>
      <c r="H34" s="5"/>
      <c r="I34" s="5"/>
      <c r="J34" s="5"/>
      <c r="K34" s="5"/>
      <c r="L34" s="5"/>
      <c r="M34" s="5"/>
      <c r="N34" s="339" t="str">
        <f t="shared" si="2"/>
        <v/>
      </c>
      <c r="O34" s="28" t="str">
        <f t="shared" si="3"/>
        <v/>
      </c>
      <c r="P34" s="7"/>
    </row>
    <row r="35" spans="1:16" s="141" customFormat="1" ht="15.75" hidden="1" customHeight="1">
      <c r="A35" s="8"/>
      <c r="B35" s="7"/>
      <c r="C35" s="7"/>
      <c r="D35" s="8"/>
      <c r="E35" s="5"/>
      <c r="F35" s="5"/>
      <c r="G35" s="5"/>
      <c r="H35" s="5"/>
      <c r="I35" s="5"/>
      <c r="J35" s="5"/>
      <c r="K35" s="5"/>
      <c r="L35" s="5"/>
      <c r="M35" s="5"/>
      <c r="N35" s="339" t="str">
        <f t="shared" si="2"/>
        <v/>
      </c>
      <c r="O35" s="28" t="str">
        <f t="shared" si="3"/>
        <v/>
      </c>
      <c r="P35" s="7"/>
    </row>
    <row r="36" spans="1:16" s="141" customFormat="1" ht="15.75" hidden="1" customHeight="1">
      <c r="A36" s="8"/>
      <c r="B36" s="7"/>
      <c r="C36" s="7"/>
      <c r="D36" s="8"/>
      <c r="E36" s="5"/>
      <c r="F36" s="5"/>
      <c r="G36" s="5"/>
      <c r="H36" s="5"/>
      <c r="I36" s="5"/>
      <c r="J36" s="5"/>
      <c r="K36" s="5"/>
      <c r="L36" s="5"/>
      <c r="M36" s="5"/>
      <c r="N36" s="339" t="str">
        <f t="shared" si="2"/>
        <v/>
      </c>
      <c r="O36" s="28" t="str">
        <f t="shared" si="3"/>
        <v/>
      </c>
      <c r="P36" s="7"/>
    </row>
    <row r="37" spans="1:16" s="141" customFormat="1" ht="15.75" hidden="1" customHeight="1">
      <c r="A37" s="8"/>
      <c r="B37" s="7"/>
      <c r="C37" s="7"/>
      <c r="D37" s="8"/>
      <c r="E37" s="5"/>
      <c r="F37" s="5"/>
      <c r="G37" s="5"/>
      <c r="H37" s="5"/>
      <c r="I37" s="5"/>
      <c r="J37" s="5"/>
      <c r="K37" s="5"/>
      <c r="L37" s="5"/>
      <c r="M37" s="5"/>
      <c r="N37" s="339" t="str">
        <f t="shared" si="2"/>
        <v/>
      </c>
      <c r="O37" s="28" t="str">
        <f t="shared" si="3"/>
        <v/>
      </c>
      <c r="P37" s="7"/>
    </row>
    <row r="38" spans="1:16" s="141" customFormat="1" ht="15.75" hidden="1" customHeight="1">
      <c r="A38" s="8"/>
      <c r="B38" s="7"/>
      <c r="C38" s="7"/>
      <c r="D38" s="8"/>
      <c r="E38" s="5"/>
      <c r="F38" s="5"/>
      <c r="G38" s="5"/>
      <c r="H38" s="5"/>
      <c r="I38" s="5"/>
      <c r="J38" s="5"/>
      <c r="K38" s="5"/>
      <c r="L38" s="5"/>
      <c r="M38" s="5"/>
      <c r="N38" s="339" t="str">
        <f t="shared" si="2"/>
        <v/>
      </c>
      <c r="O38" s="28" t="str">
        <f t="shared" si="3"/>
        <v/>
      </c>
      <c r="P38" s="7"/>
    </row>
    <row r="39" spans="1:16" s="141" customFormat="1" ht="15.75" hidden="1" customHeight="1">
      <c r="A39" s="8"/>
      <c r="B39" s="7"/>
      <c r="C39" s="7"/>
      <c r="D39" s="8"/>
      <c r="E39" s="5"/>
      <c r="F39" s="5"/>
      <c r="G39" s="5"/>
      <c r="H39" s="5"/>
      <c r="I39" s="5"/>
      <c r="J39" s="5"/>
      <c r="K39" s="5"/>
      <c r="L39" s="5"/>
      <c r="M39" s="5"/>
      <c r="N39" s="339" t="str">
        <f t="shared" si="2"/>
        <v/>
      </c>
      <c r="O39" s="28" t="str">
        <f t="shared" si="3"/>
        <v/>
      </c>
      <c r="P39" s="7"/>
    </row>
    <row r="40" spans="1:16" s="141" customFormat="1" ht="15.75" hidden="1" customHeight="1">
      <c r="A40" s="8"/>
      <c r="B40" s="7"/>
      <c r="C40" s="7"/>
      <c r="D40" s="8"/>
      <c r="E40" s="5"/>
      <c r="F40" s="5"/>
      <c r="G40" s="5"/>
      <c r="H40" s="5"/>
      <c r="I40" s="5"/>
      <c r="J40" s="5"/>
      <c r="K40" s="5"/>
      <c r="L40" s="5"/>
      <c r="M40" s="5"/>
      <c r="N40" s="339" t="str">
        <f t="shared" si="2"/>
        <v/>
      </c>
      <c r="O40" s="28" t="str">
        <f t="shared" si="3"/>
        <v/>
      </c>
      <c r="P40" s="7"/>
    </row>
    <row r="41" spans="1:16" s="141" customFormat="1" ht="15.75" hidden="1" customHeight="1">
      <c r="A41" s="8"/>
      <c r="B41" s="7"/>
      <c r="C41" s="7"/>
      <c r="D41" s="8"/>
      <c r="E41" s="5"/>
      <c r="F41" s="5"/>
      <c r="G41" s="5"/>
      <c r="H41" s="5"/>
      <c r="I41" s="5"/>
      <c r="J41" s="5"/>
      <c r="K41" s="5"/>
      <c r="L41" s="5"/>
      <c r="M41" s="5"/>
      <c r="N41" s="339" t="str">
        <f t="shared" si="2"/>
        <v/>
      </c>
      <c r="O41" s="28" t="str">
        <f t="shared" si="3"/>
        <v/>
      </c>
      <c r="P41" s="7"/>
    </row>
    <row r="42" spans="1:16" s="141" customFormat="1" ht="15.75" hidden="1" customHeight="1">
      <c r="A42" s="8"/>
      <c r="B42" s="7"/>
      <c r="C42" s="7"/>
      <c r="D42" s="8"/>
      <c r="E42" s="5"/>
      <c r="F42" s="5"/>
      <c r="G42" s="5"/>
      <c r="H42" s="5"/>
      <c r="I42" s="5"/>
      <c r="J42" s="5"/>
      <c r="K42" s="5"/>
      <c r="L42" s="5"/>
      <c r="M42" s="5"/>
      <c r="N42" s="339" t="str">
        <f t="shared" si="2"/>
        <v/>
      </c>
      <c r="O42" s="28" t="str">
        <f t="shared" si="3"/>
        <v/>
      </c>
      <c r="P42" s="7"/>
    </row>
    <row r="43" spans="1:16" s="141" customFormat="1" ht="15.75" hidden="1" customHeight="1">
      <c r="A43" s="8"/>
      <c r="B43" s="7"/>
      <c r="C43" s="7"/>
      <c r="D43" s="8"/>
      <c r="E43" s="5"/>
      <c r="F43" s="5"/>
      <c r="G43" s="5"/>
      <c r="H43" s="5"/>
      <c r="I43" s="5"/>
      <c r="J43" s="5"/>
      <c r="K43" s="5"/>
      <c r="L43" s="5"/>
      <c r="M43" s="5"/>
      <c r="N43" s="339" t="str">
        <f t="shared" si="2"/>
        <v/>
      </c>
      <c r="O43" s="28" t="str">
        <f t="shared" si="3"/>
        <v/>
      </c>
      <c r="P43" s="7"/>
    </row>
    <row r="44" spans="1:16" s="141" customFormat="1" ht="15.75" hidden="1" customHeight="1">
      <c r="A44" s="8"/>
      <c r="B44" s="7"/>
      <c r="C44" s="7"/>
      <c r="D44" s="8"/>
      <c r="E44" s="5"/>
      <c r="F44" s="5"/>
      <c r="G44" s="5"/>
      <c r="H44" s="5"/>
      <c r="I44" s="5"/>
      <c r="J44" s="5"/>
      <c r="K44" s="5"/>
      <c r="L44" s="5"/>
      <c r="M44" s="5"/>
      <c r="N44" s="339" t="str">
        <f t="shared" si="2"/>
        <v/>
      </c>
      <c r="O44" s="28" t="str">
        <f t="shared" si="3"/>
        <v/>
      </c>
      <c r="P44" s="7"/>
    </row>
    <row r="45" spans="1:16" s="141" customFormat="1" ht="15.75" hidden="1" customHeight="1">
      <c r="A45" s="8"/>
      <c r="B45" s="7"/>
      <c r="C45" s="7"/>
      <c r="D45" s="8"/>
      <c r="E45" s="5"/>
      <c r="F45" s="5"/>
      <c r="G45" s="5"/>
      <c r="H45" s="5"/>
      <c r="I45" s="5"/>
      <c r="J45" s="5"/>
      <c r="K45" s="5"/>
      <c r="L45" s="5"/>
      <c r="M45" s="5"/>
      <c r="N45" s="339" t="str">
        <f t="shared" si="2"/>
        <v/>
      </c>
      <c r="O45" s="28" t="str">
        <f t="shared" si="3"/>
        <v/>
      </c>
      <c r="P45" s="7"/>
    </row>
    <row r="46" spans="1:16" s="141" customFormat="1" ht="15.75" hidden="1" customHeight="1">
      <c r="A46" s="8"/>
      <c r="B46" s="7"/>
      <c r="C46" s="7"/>
      <c r="D46" s="8"/>
      <c r="E46" s="5"/>
      <c r="F46" s="5"/>
      <c r="G46" s="5"/>
      <c r="H46" s="5"/>
      <c r="I46" s="5"/>
      <c r="J46" s="5"/>
      <c r="K46" s="5"/>
      <c r="L46" s="5"/>
      <c r="M46" s="5"/>
      <c r="N46" s="339" t="str">
        <f t="shared" si="2"/>
        <v/>
      </c>
      <c r="O46" s="28" t="str">
        <f t="shared" si="3"/>
        <v/>
      </c>
      <c r="P46" s="7"/>
    </row>
    <row r="47" spans="1:16" s="141" customFormat="1" ht="15.75" hidden="1" customHeight="1">
      <c r="A47" s="8"/>
      <c r="B47" s="7"/>
      <c r="C47" s="7"/>
      <c r="D47" s="8"/>
      <c r="E47" s="5"/>
      <c r="F47" s="5"/>
      <c r="G47" s="5"/>
      <c r="H47" s="5"/>
      <c r="I47" s="5"/>
      <c r="J47" s="5"/>
      <c r="K47" s="5"/>
      <c r="L47" s="5"/>
      <c r="M47" s="5"/>
      <c r="N47" s="339" t="str">
        <f t="shared" si="2"/>
        <v/>
      </c>
      <c r="O47" s="28" t="str">
        <f t="shared" si="3"/>
        <v/>
      </c>
      <c r="P47" s="7"/>
    </row>
  </sheetData>
  <mergeCells count="19">
    <mergeCell ref="A1:P1"/>
    <mergeCell ref="A2:P2"/>
    <mergeCell ref="A6:A7"/>
    <mergeCell ref="B6:B7"/>
    <mergeCell ref="D6:D7"/>
    <mergeCell ref="E6:H6"/>
    <mergeCell ref="O6:O7"/>
    <mergeCell ref="P6:P7"/>
    <mergeCell ref="N6:N7"/>
    <mergeCell ref="T6:T7"/>
    <mergeCell ref="U6:V6"/>
    <mergeCell ref="W6:W7"/>
    <mergeCell ref="X6:X7"/>
    <mergeCell ref="A27:B27"/>
    <mergeCell ref="C6:C7"/>
    <mergeCell ref="I6:M6"/>
    <mergeCell ref="Q6:Q7"/>
    <mergeCell ref="R6:R7"/>
    <mergeCell ref="S6:S7"/>
  </mergeCells>
  <phoneticPr fontId="6" type="noConversion"/>
  <printOptions horizontalCentered="1" verticalCentered="1"/>
  <pageMargins left="0.74803149606299213" right="0.35433070866141736" top="0.31496062992125984" bottom="0.62992125984251968" header="1.6929133858267718" footer="1.0629921259842521"/>
  <pageSetup paperSize="9" scale="99" fitToHeight="0" orientation="landscape" blackAndWhite="1" horizontalDpi="1200" verticalDpi="1200" r:id="rId1"/>
  <headerFooter scaleWithDoc="0">
    <oddHeader>&amp;R&amp;"宋体,常规"&amp;10表3-11-5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25400</xdr:colOff>
                    <xdr:row>2</xdr:row>
                    <xdr:rowOff>0</xdr:rowOff>
                  </from>
                  <to>
                    <xdr:col>2</xdr:col>
                    <xdr:colOff>292100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546100</xdr:colOff>
                    <xdr:row>2</xdr:row>
                    <xdr:rowOff>0</xdr:rowOff>
                  </from>
                  <to>
                    <xdr:col>4</xdr:col>
                    <xdr:colOff>406400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93C96-5DA3-4C0E-BDDF-2F8693186278}">
  <sheetPr codeName="Sheet31">
    <pageSetUpPr fitToPage="1"/>
  </sheetPr>
  <dimension ref="A1:T47"/>
  <sheetViews>
    <sheetView workbookViewId="0">
      <pane ySplit="7" topLeftCell="A8" activePane="bottomLeft" state="frozen"/>
      <selection activeCell="F17" sqref="F17"/>
      <selection pane="bottomLeft" sqref="A1:L27"/>
    </sheetView>
  </sheetViews>
  <sheetFormatPr baseColWidth="10" defaultColWidth="9" defaultRowHeight="15.75" customHeight="1"/>
  <cols>
    <col min="1" max="1" width="5.6640625" style="81" customWidth="1"/>
    <col min="2" max="2" width="16.1640625" style="81" customWidth="1"/>
    <col min="3" max="3" width="4.5" style="81" customWidth="1"/>
    <col min="4" max="4" width="9.1640625" style="81" customWidth="1"/>
    <col min="5" max="5" width="9" style="138" customWidth="1"/>
    <col min="6" max="6" width="13.5" style="138" customWidth="1"/>
    <col min="7" max="8" width="8.6640625" style="138" customWidth="1"/>
    <col min="9" max="9" width="13.6640625" style="138" customWidth="1"/>
    <col min="10" max="10" width="9.1640625" style="351" customWidth="1"/>
    <col min="11" max="11" width="10.5" style="139" customWidth="1"/>
    <col min="12" max="12" width="7.5" style="81" customWidth="1"/>
    <col min="13" max="13" width="10.33203125" style="81" customWidth="1"/>
    <col min="14" max="14" width="10" style="81" customWidth="1"/>
    <col min="15" max="15" width="6.6640625" style="81" customWidth="1"/>
    <col min="16" max="16" width="6.5" style="81" customWidth="1"/>
    <col min="17" max="17" width="6.1640625" style="81" customWidth="1"/>
    <col min="18" max="18" width="6.5" style="81" customWidth="1"/>
    <col min="19" max="19" width="15.33203125" style="81" customWidth="1"/>
    <col min="20" max="20" width="6.1640625" style="81" customWidth="1"/>
    <col min="21" max="16384" width="9" style="81"/>
  </cols>
  <sheetData>
    <row r="1" spans="1:20" s="80" customFormat="1" ht="30" customHeight="1">
      <c r="A1" s="374" t="s">
        <v>986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2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  <c r="L2" s="378"/>
    </row>
    <row r="3" spans="1:20" ht="14.25" customHeight="1">
      <c r="A3" s="40"/>
      <c r="B3" s="40"/>
      <c r="C3" s="40"/>
      <c r="D3" s="40"/>
      <c r="E3" s="40"/>
      <c r="F3" s="40"/>
      <c r="G3" s="171"/>
      <c r="H3" s="171"/>
      <c r="I3" s="171"/>
      <c r="J3" s="347"/>
      <c r="K3" s="172"/>
      <c r="L3" s="178"/>
    </row>
    <row r="4" spans="1:20" ht="14.25" customHeight="1">
      <c r="A4" s="40"/>
      <c r="B4" s="40"/>
      <c r="C4" s="40"/>
      <c r="D4" s="40"/>
      <c r="E4" s="40"/>
      <c r="F4" s="40"/>
      <c r="G4" s="171"/>
      <c r="H4" s="171"/>
      <c r="I4" s="171"/>
      <c r="J4" s="347"/>
      <c r="K4" s="36"/>
      <c r="L4" s="37"/>
    </row>
    <row r="5" spans="1:20" ht="15.75" customHeight="1">
      <c r="A5" s="41" t="str">
        <f>'1-汇总表'!A4</f>
        <v>被评估单位：A有限公司</v>
      </c>
      <c r="B5" s="42"/>
      <c r="C5" s="42"/>
      <c r="D5" s="42"/>
      <c r="E5" s="179"/>
      <c r="F5" s="179"/>
      <c r="G5" s="179"/>
      <c r="H5" s="179"/>
      <c r="I5" s="179"/>
      <c r="J5" s="348"/>
      <c r="K5" s="180"/>
      <c r="L5" s="122"/>
    </row>
    <row r="6" spans="1:20" s="101" customFormat="1" ht="15.75" customHeight="1">
      <c r="A6" s="465" t="s">
        <v>7</v>
      </c>
      <c r="B6" s="465" t="s">
        <v>143</v>
      </c>
      <c r="C6" s="467" t="s">
        <v>84</v>
      </c>
      <c r="D6" s="490" t="s">
        <v>340</v>
      </c>
      <c r="E6" s="491"/>
      <c r="F6" s="492"/>
      <c r="G6" s="465" t="s">
        <v>0</v>
      </c>
      <c r="H6" s="465"/>
      <c r="I6" s="466"/>
      <c r="J6" s="471" t="s">
        <v>1</v>
      </c>
      <c r="K6" s="469" t="s">
        <v>479</v>
      </c>
      <c r="L6" s="465" t="s">
        <v>39</v>
      </c>
      <c r="M6" s="473" t="s">
        <v>610</v>
      </c>
      <c r="N6" s="473" t="s">
        <v>611</v>
      </c>
      <c r="O6" s="473" t="s">
        <v>612</v>
      </c>
      <c r="P6" s="473" t="s">
        <v>613</v>
      </c>
      <c r="Q6" s="473" t="s">
        <v>621</v>
      </c>
      <c r="R6" s="473"/>
      <c r="S6" s="473" t="s">
        <v>614</v>
      </c>
      <c r="T6" s="473" t="s">
        <v>618</v>
      </c>
    </row>
    <row r="7" spans="1:20" s="101" customFormat="1" ht="15.75" customHeight="1">
      <c r="A7" s="466"/>
      <c r="B7" s="466"/>
      <c r="C7" s="468"/>
      <c r="D7" s="45" t="s">
        <v>43</v>
      </c>
      <c r="E7" s="45" t="s">
        <v>81</v>
      </c>
      <c r="F7" s="45" t="s">
        <v>38</v>
      </c>
      <c r="G7" s="45" t="s">
        <v>80</v>
      </c>
      <c r="H7" s="45" t="s">
        <v>339</v>
      </c>
      <c r="I7" s="45" t="s">
        <v>38</v>
      </c>
      <c r="J7" s="472"/>
      <c r="K7" s="470"/>
      <c r="L7" s="466"/>
      <c r="M7" s="473"/>
      <c r="N7" s="473"/>
      <c r="O7" s="473"/>
      <c r="P7" s="473"/>
      <c r="Q7" s="285" t="s">
        <v>615</v>
      </c>
      <c r="R7" s="285" t="s">
        <v>616</v>
      </c>
      <c r="S7" s="473"/>
      <c r="T7" s="473"/>
    </row>
    <row r="8" spans="1:20" s="143" customFormat="1" ht="15.75" customHeight="1">
      <c r="A8" s="149"/>
      <c r="B8" s="150"/>
      <c r="C8" s="151"/>
      <c r="D8" s="5"/>
      <c r="E8" s="5" t="s">
        <v>37</v>
      </c>
      <c r="F8" s="5"/>
      <c r="G8" s="5"/>
      <c r="H8" s="154"/>
      <c r="I8" s="5"/>
      <c r="J8" s="350" t="str">
        <f>IF(ISERROR(I8-F8),"",IF(I8=0,"",I8-F8))</f>
        <v/>
      </c>
      <c r="K8" s="28" t="str">
        <f>IF(ISERROR(I8-F8),"",IF(I8=0,"",IF(J8="",0,ROUND(J8*100/F8,2))))</f>
        <v/>
      </c>
      <c r="L8" s="7"/>
    </row>
    <row r="9" spans="1:20" ht="15.75" customHeight="1">
      <c r="A9" s="8"/>
      <c r="B9" s="153"/>
      <c r="C9" s="8"/>
      <c r="D9" s="5"/>
      <c r="E9" s="5" t="s">
        <v>37</v>
      </c>
      <c r="F9" s="5"/>
      <c r="G9" s="5"/>
      <c r="H9" s="5"/>
      <c r="I9" s="5"/>
      <c r="J9" s="350" t="str">
        <f t="shared" ref="J9:J27" si="0">IF(ISERROR(I9-F9),"",IF(I9=0,"",I9-F9))</f>
        <v/>
      </c>
      <c r="K9" s="28" t="str">
        <f t="shared" ref="K9:K27" si="1">IF(ISERROR(I9-F9),"",IF(I9=0,"",IF(J9="",0,ROUND(J9*100/F9,2))))</f>
        <v/>
      </c>
      <c r="L9" s="7"/>
    </row>
    <row r="10" spans="1:20" ht="15.75" customHeight="1">
      <c r="A10" s="8"/>
      <c r="B10" s="7"/>
      <c r="C10" s="8"/>
      <c r="D10" s="5"/>
      <c r="E10" s="5" t="s">
        <v>37</v>
      </c>
      <c r="F10" s="5"/>
      <c r="G10" s="5"/>
      <c r="H10" s="5"/>
      <c r="I10" s="5"/>
      <c r="J10" s="350" t="str">
        <f t="shared" si="0"/>
        <v/>
      </c>
      <c r="K10" s="28" t="str">
        <f t="shared" si="1"/>
        <v/>
      </c>
      <c r="L10" s="7"/>
    </row>
    <row r="11" spans="1:20" ht="15.75" customHeight="1">
      <c r="A11" s="8"/>
      <c r="B11" s="7"/>
      <c r="C11" s="8"/>
      <c r="D11" s="5"/>
      <c r="E11" s="5" t="s">
        <v>37</v>
      </c>
      <c r="F11" s="5"/>
      <c r="G11" s="5"/>
      <c r="H11" s="5"/>
      <c r="I11" s="5"/>
      <c r="J11" s="350" t="str">
        <f t="shared" si="0"/>
        <v/>
      </c>
      <c r="K11" s="28" t="str">
        <f t="shared" si="1"/>
        <v/>
      </c>
      <c r="L11" s="7"/>
    </row>
    <row r="12" spans="1:20" ht="15.75" customHeight="1">
      <c r="A12" s="8"/>
      <c r="B12" s="7"/>
      <c r="C12" s="8"/>
      <c r="D12" s="5"/>
      <c r="E12" s="5" t="s">
        <v>37</v>
      </c>
      <c r="F12" s="5"/>
      <c r="G12" s="5"/>
      <c r="H12" s="5"/>
      <c r="I12" s="5"/>
      <c r="J12" s="350" t="str">
        <f t="shared" si="0"/>
        <v/>
      </c>
      <c r="K12" s="28" t="str">
        <f t="shared" si="1"/>
        <v/>
      </c>
      <c r="L12" s="7"/>
    </row>
    <row r="13" spans="1:20" ht="15.75" customHeight="1">
      <c r="A13" s="8"/>
      <c r="B13" s="7"/>
      <c r="C13" s="8"/>
      <c r="D13" s="5"/>
      <c r="E13" s="5" t="s">
        <v>37</v>
      </c>
      <c r="F13" s="5"/>
      <c r="G13" s="5"/>
      <c r="H13" s="5"/>
      <c r="I13" s="5"/>
      <c r="J13" s="350" t="str">
        <f t="shared" si="0"/>
        <v/>
      </c>
      <c r="K13" s="28" t="str">
        <f t="shared" si="1"/>
        <v/>
      </c>
      <c r="L13" s="7"/>
    </row>
    <row r="14" spans="1:20" ht="15.75" customHeight="1">
      <c r="A14" s="8"/>
      <c r="B14" s="7"/>
      <c r="C14" s="8"/>
      <c r="D14" s="5"/>
      <c r="E14" s="5" t="s">
        <v>37</v>
      </c>
      <c r="F14" s="5"/>
      <c r="G14" s="5"/>
      <c r="H14" s="5"/>
      <c r="I14" s="5"/>
      <c r="J14" s="350" t="str">
        <f t="shared" si="0"/>
        <v/>
      </c>
      <c r="K14" s="28" t="str">
        <f t="shared" si="1"/>
        <v/>
      </c>
      <c r="L14" s="7"/>
    </row>
    <row r="15" spans="1:20" ht="15.75" customHeight="1">
      <c r="A15" s="8"/>
      <c r="B15" s="153"/>
      <c r="C15" s="8"/>
      <c r="D15" s="5"/>
      <c r="E15" s="5" t="s">
        <v>37</v>
      </c>
      <c r="F15" s="5"/>
      <c r="G15" s="5"/>
      <c r="H15" s="5"/>
      <c r="I15" s="5"/>
      <c r="J15" s="350" t="str">
        <f t="shared" si="0"/>
        <v/>
      </c>
      <c r="K15" s="28" t="str">
        <f t="shared" si="1"/>
        <v/>
      </c>
      <c r="L15" s="7"/>
    </row>
    <row r="16" spans="1:20" ht="15.75" customHeight="1">
      <c r="A16" s="8"/>
      <c r="B16" s="153"/>
      <c r="C16" s="8"/>
      <c r="D16" s="5"/>
      <c r="E16" s="5" t="s">
        <v>37</v>
      </c>
      <c r="F16" s="5"/>
      <c r="G16" s="5"/>
      <c r="H16" s="5"/>
      <c r="I16" s="5"/>
      <c r="J16" s="350" t="str">
        <f t="shared" si="0"/>
        <v/>
      </c>
      <c r="K16" s="28" t="str">
        <f t="shared" si="1"/>
        <v/>
      </c>
      <c r="L16" s="7"/>
    </row>
    <row r="17" spans="1:12" ht="15.75" customHeight="1">
      <c r="A17" s="8"/>
      <c r="B17" s="7"/>
      <c r="C17" s="8"/>
      <c r="D17" s="5"/>
      <c r="E17" s="5" t="s">
        <v>37</v>
      </c>
      <c r="F17" s="5"/>
      <c r="G17" s="5"/>
      <c r="H17" s="5"/>
      <c r="I17" s="5"/>
      <c r="J17" s="350" t="str">
        <f t="shared" si="0"/>
        <v/>
      </c>
      <c r="K17" s="28" t="str">
        <f t="shared" si="1"/>
        <v/>
      </c>
      <c r="L17" s="7"/>
    </row>
    <row r="18" spans="1:12" ht="15.75" customHeight="1">
      <c r="A18" s="8"/>
      <c r="B18" s="7"/>
      <c r="C18" s="8"/>
      <c r="D18" s="5"/>
      <c r="E18" s="5" t="s">
        <v>37</v>
      </c>
      <c r="F18" s="5"/>
      <c r="G18" s="5"/>
      <c r="H18" s="5"/>
      <c r="I18" s="5"/>
      <c r="J18" s="350" t="str">
        <f t="shared" si="0"/>
        <v/>
      </c>
      <c r="K18" s="28" t="str">
        <f t="shared" si="1"/>
        <v/>
      </c>
      <c r="L18" s="7"/>
    </row>
    <row r="19" spans="1:12" ht="15.75" customHeight="1">
      <c r="A19" s="8"/>
      <c r="B19" s="7"/>
      <c r="C19" s="8"/>
      <c r="D19" s="5"/>
      <c r="E19" s="5" t="s">
        <v>37</v>
      </c>
      <c r="F19" s="5"/>
      <c r="G19" s="5"/>
      <c r="H19" s="5"/>
      <c r="I19" s="5"/>
      <c r="J19" s="350" t="str">
        <f t="shared" si="0"/>
        <v/>
      </c>
      <c r="K19" s="28" t="str">
        <f t="shared" si="1"/>
        <v/>
      </c>
      <c r="L19" s="7"/>
    </row>
    <row r="20" spans="1:12" ht="15.75" customHeight="1">
      <c r="A20" s="8"/>
      <c r="B20" s="7"/>
      <c r="C20" s="8"/>
      <c r="D20" s="5"/>
      <c r="E20" s="5" t="s">
        <v>37</v>
      </c>
      <c r="F20" s="5"/>
      <c r="G20" s="5"/>
      <c r="H20" s="5"/>
      <c r="I20" s="5"/>
      <c r="J20" s="350" t="str">
        <f t="shared" si="0"/>
        <v/>
      </c>
      <c r="K20" s="28" t="str">
        <f t="shared" si="1"/>
        <v/>
      </c>
      <c r="L20" s="7"/>
    </row>
    <row r="21" spans="1:12" ht="15.75" customHeight="1">
      <c r="A21" s="8"/>
      <c r="B21" s="7"/>
      <c r="C21" s="8"/>
      <c r="D21" s="5"/>
      <c r="E21" s="5" t="s">
        <v>37</v>
      </c>
      <c r="F21" s="5"/>
      <c r="G21" s="5"/>
      <c r="H21" s="5"/>
      <c r="I21" s="5"/>
      <c r="J21" s="350" t="str">
        <f t="shared" si="0"/>
        <v/>
      </c>
      <c r="K21" s="28" t="str">
        <f t="shared" si="1"/>
        <v/>
      </c>
      <c r="L21" s="7"/>
    </row>
    <row r="22" spans="1:12" ht="15.75" customHeight="1">
      <c r="A22" s="8"/>
      <c r="B22" s="7"/>
      <c r="C22" s="8"/>
      <c r="D22" s="5"/>
      <c r="E22" s="5" t="s">
        <v>37</v>
      </c>
      <c r="F22" s="5"/>
      <c r="G22" s="5"/>
      <c r="H22" s="5"/>
      <c r="I22" s="5"/>
      <c r="J22" s="350" t="str">
        <f t="shared" si="0"/>
        <v/>
      </c>
      <c r="K22" s="28" t="str">
        <f t="shared" si="1"/>
        <v/>
      </c>
      <c r="L22" s="7"/>
    </row>
    <row r="23" spans="1:12" ht="15.75" customHeight="1">
      <c r="A23" s="8"/>
      <c r="B23" s="153"/>
      <c r="C23" s="8"/>
      <c r="D23" s="5"/>
      <c r="E23" s="5" t="s">
        <v>37</v>
      </c>
      <c r="F23" s="5"/>
      <c r="G23" s="5"/>
      <c r="H23" s="5"/>
      <c r="I23" s="5"/>
      <c r="J23" s="350" t="str">
        <f t="shared" si="0"/>
        <v/>
      </c>
      <c r="K23" s="28" t="str">
        <f t="shared" si="1"/>
        <v/>
      </c>
      <c r="L23" s="7"/>
    </row>
    <row r="24" spans="1:12" ht="15.75" customHeight="1">
      <c r="A24" s="8"/>
      <c r="B24" s="153"/>
      <c r="C24" s="8"/>
      <c r="D24" s="5"/>
      <c r="E24" s="5"/>
      <c r="F24" s="5"/>
      <c r="G24" s="5"/>
      <c r="H24" s="5"/>
      <c r="I24" s="5"/>
      <c r="J24" s="350" t="str">
        <f t="shared" si="0"/>
        <v/>
      </c>
      <c r="K24" s="28" t="str">
        <f t="shared" si="1"/>
        <v/>
      </c>
      <c r="L24" s="7"/>
    </row>
    <row r="25" spans="1:12" ht="15.75" customHeight="1">
      <c r="A25" s="8"/>
      <c r="B25" s="153"/>
      <c r="C25" s="8"/>
      <c r="D25" s="5"/>
      <c r="E25" s="5" t="s">
        <v>37</v>
      </c>
      <c r="F25" s="5"/>
      <c r="G25" s="5"/>
      <c r="H25" s="5"/>
      <c r="I25" s="5"/>
      <c r="J25" s="350" t="str">
        <f t="shared" si="0"/>
        <v/>
      </c>
      <c r="K25" s="28" t="str">
        <f t="shared" si="1"/>
        <v/>
      </c>
      <c r="L25" s="7"/>
    </row>
    <row r="26" spans="1:12" ht="15.75" customHeight="1">
      <c r="A26" s="8"/>
      <c r="B26" s="7"/>
      <c r="C26" s="8"/>
      <c r="D26" s="5"/>
      <c r="E26" s="5" t="s">
        <v>37</v>
      </c>
      <c r="F26" s="5"/>
      <c r="G26" s="5"/>
      <c r="H26" s="5"/>
      <c r="I26" s="5"/>
      <c r="J26" s="350" t="str">
        <f t="shared" si="0"/>
        <v/>
      </c>
      <c r="K26" s="28" t="str">
        <f t="shared" si="1"/>
        <v/>
      </c>
      <c r="L26" s="7"/>
    </row>
    <row r="27" spans="1:12" ht="15.75" customHeight="1">
      <c r="A27" s="420" t="s">
        <v>534</v>
      </c>
      <c r="B27" s="421"/>
      <c r="C27" s="30"/>
      <c r="D27" s="31"/>
      <c r="E27" s="31"/>
      <c r="F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7" s="31"/>
      <c r="H27" s="31"/>
      <c r="I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7" s="350" t="str">
        <f t="shared" ca="1" si="0"/>
        <v/>
      </c>
      <c r="K27" s="28" t="str">
        <f t="shared" ca="1" si="1"/>
        <v/>
      </c>
      <c r="L27" s="234"/>
    </row>
    <row r="28" spans="1:12" ht="15.75" hidden="1" customHeight="1">
      <c r="A28" s="8"/>
      <c r="B28" s="7"/>
      <c r="C28" s="8"/>
      <c r="D28" s="5"/>
      <c r="E28" s="5"/>
      <c r="F28" s="5"/>
      <c r="G28" s="5"/>
      <c r="H28" s="5"/>
      <c r="I28" s="5"/>
      <c r="J28" s="350" t="str">
        <f>IF(ISERROR(I28-F28),"",IF(I28=0,"",I28-F28))</f>
        <v/>
      </c>
      <c r="K28" s="28" t="str">
        <f>IF(ISERROR(I28-F28),"",IF(I28=0,"",IF(J28="",0,ROUND(J28*100/F28,2))))</f>
        <v/>
      </c>
      <c r="L28" s="7"/>
    </row>
    <row r="29" spans="1:12" ht="15.75" hidden="1" customHeight="1">
      <c r="A29" s="8"/>
      <c r="B29" s="7"/>
      <c r="C29" s="8"/>
      <c r="D29" s="5"/>
      <c r="E29" s="5" t="s">
        <v>37</v>
      </c>
      <c r="F29" s="5"/>
      <c r="G29" s="5"/>
      <c r="H29" s="5"/>
      <c r="I29" s="5"/>
      <c r="J29" s="350" t="str">
        <f t="shared" ref="J29:J37" si="2">IF(ISERROR(I29-F29),"",IF(I29=0,"",I29-F29))</f>
        <v/>
      </c>
      <c r="K29" s="28" t="str">
        <f t="shared" ref="K29:K37" si="3">IF(ISERROR(I29-F29),"",IF(I29=0,"",IF(J29="",0,ROUND(J29*100/F29,2))))</f>
        <v/>
      </c>
      <c r="L29" s="7"/>
    </row>
    <row r="30" spans="1:12" ht="15.75" hidden="1" customHeight="1">
      <c r="A30" s="8"/>
      <c r="B30" s="7"/>
      <c r="C30" s="8"/>
      <c r="D30" s="5"/>
      <c r="E30" s="5" t="s">
        <v>37</v>
      </c>
      <c r="F30" s="5"/>
      <c r="G30" s="5"/>
      <c r="H30" s="5"/>
      <c r="I30" s="5"/>
      <c r="J30" s="350" t="str">
        <f t="shared" si="2"/>
        <v/>
      </c>
      <c r="K30" s="28" t="str">
        <f t="shared" si="3"/>
        <v/>
      </c>
      <c r="L30" s="7"/>
    </row>
    <row r="31" spans="1:12" ht="15.75" hidden="1" customHeight="1">
      <c r="A31" s="8"/>
      <c r="B31" s="7"/>
      <c r="C31" s="8"/>
      <c r="D31" s="5"/>
      <c r="E31" s="5" t="s">
        <v>37</v>
      </c>
      <c r="F31" s="5"/>
      <c r="G31" s="5"/>
      <c r="H31" s="5"/>
      <c r="I31" s="5"/>
      <c r="J31" s="350" t="str">
        <f t="shared" si="2"/>
        <v/>
      </c>
      <c r="K31" s="28" t="str">
        <f t="shared" si="3"/>
        <v/>
      </c>
      <c r="L31" s="7"/>
    </row>
    <row r="32" spans="1:12" ht="15.75" hidden="1" customHeight="1">
      <c r="A32" s="8"/>
      <c r="B32" s="7"/>
      <c r="C32" s="8"/>
      <c r="D32" s="5"/>
      <c r="E32" s="5" t="s">
        <v>37</v>
      </c>
      <c r="F32" s="5"/>
      <c r="G32" s="5"/>
      <c r="H32" s="5"/>
      <c r="I32" s="5"/>
      <c r="J32" s="350" t="str">
        <f t="shared" si="2"/>
        <v/>
      </c>
      <c r="K32" s="28" t="str">
        <f t="shared" si="3"/>
        <v/>
      </c>
      <c r="L32" s="7"/>
    </row>
    <row r="33" spans="1:12" ht="15.75" hidden="1" customHeight="1">
      <c r="A33" s="8"/>
      <c r="B33" s="7"/>
      <c r="C33" s="8"/>
      <c r="D33" s="5"/>
      <c r="E33" s="5" t="s">
        <v>37</v>
      </c>
      <c r="F33" s="5"/>
      <c r="G33" s="5"/>
      <c r="H33" s="5"/>
      <c r="I33" s="5"/>
      <c r="J33" s="350" t="str">
        <f t="shared" si="2"/>
        <v/>
      </c>
      <c r="K33" s="28" t="str">
        <f t="shared" si="3"/>
        <v/>
      </c>
      <c r="L33" s="7"/>
    </row>
    <row r="34" spans="1:12" ht="15.75" hidden="1" customHeight="1">
      <c r="A34" s="8"/>
      <c r="B34" s="7"/>
      <c r="C34" s="8"/>
      <c r="D34" s="5"/>
      <c r="E34" s="5" t="s">
        <v>37</v>
      </c>
      <c r="F34" s="5"/>
      <c r="G34" s="5"/>
      <c r="H34" s="5"/>
      <c r="I34" s="5"/>
      <c r="J34" s="350" t="str">
        <f t="shared" si="2"/>
        <v/>
      </c>
      <c r="K34" s="28" t="str">
        <f t="shared" si="3"/>
        <v/>
      </c>
      <c r="L34" s="7"/>
    </row>
    <row r="35" spans="1:12" ht="15.75" hidden="1" customHeight="1">
      <c r="A35" s="8"/>
      <c r="B35" s="7"/>
      <c r="C35" s="8"/>
      <c r="D35" s="5"/>
      <c r="E35" s="5" t="s">
        <v>37</v>
      </c>
      <c r="F35" s="5"/>
      <c r="G35" s="5"/>
      <c r="H35" s="5"/>
      <c r="I35" s="5"/>
      <c r="J35" s="350" t="str">
        <f t="shared" si="2"/>
        <v/>
      </c>
      <c r="K35" s="28" t="str">
        <f t="shared" si="3"/>
        <v/>
      </c>
      <c r="L35" s="7"/>
    </row>
    <row r="36" spans="1:12" ht="15.75" hidden="1" customHeight="1">
      <c r="A36" s="8"/>
      <c r="B36" s="7"/>
      <c r="C36" s="8"/>
      <c r="D36" s="5"/>
      <c r="E36" s="5" t="s">
        <v>37</v>
      </c>
      <c r="F36" s="5"/>
      <c r="G36" s="5"/>
      <c r="H36" s="5"/>
      <c r="I36" s="5"/>
      <c r="J36" s="350" t="str">
        <f t="shared" si="2"/>
        <v/>
      </c>
      <c r="K36" s="28" t="str">
        <f t="shared" si="3"/>
        <v/>
      </c>
      <c r="L36" s="7"/>
    </row>
    <row r="37" spans="1:12" ht="15.75" hidden="1" customHeight="1">
      <c r="A37" s="8"/>
      <c r="B37" s="7"/>
      <c r="C37" s="8"/>
      <c r="D37" s="5"/>
      <c r="E37" s="5" t="s">
        <v>37</v>
      </c>
      <c r="F37" s="5"/>
      <c r="G37" s="5"/>
      <c r="H37" s="5"/>
      <c r="I37" s="5"/>
      <c r="J37" s="350" t="str">
        <f t="shared" si="2"/>
        <v/>
      </c>
      <c r="K37" s="28" t="str">
        <f t="shared" si="3"/>
        <v/>
      </c>
      <c r="L37" s="7"/>
    </row>
    <row r="38" spans="1:12" ht="15.75" hidden="1" customHeight="1">
      <c r="A38" s="8"/>
      <c r="B38" s="7"/>
      <c r="C38" s="8"/>
      <c r="D38" s="5"/>
      <c r="E38" s="5" t="s">
        <v>37</v>
      </c>
      <c r="F38" s="5"/>
      <c r="G38" s="5"/>
      <c r="H38" s="5"/>
      <c r="I38" s="5"/>
      <c r="J38" s="350" t="str">
        <f t="shared" ref="J38:J47" si="4">IF(ISERROR(I38-F38),"",IF(I38=0,"",I38-F38))</f>
        <v/>
      </c>
      <c r="K38" s="28" t="str">
        <f t="shared" ref="K38:K47" si="5">IF(ISERROR(I38-F38),"",IF(I38=0,"",IF(J38="",0,ROUND(J38*100/F38,2))))</f>
        <v/>
      </c>
      <c r="L38" s="7"/>
    </row>
    <row r="39" spans="1:12" ht="15.75" hidden="1" customHeight="1">
      <c r="A39" s="8"/>
      <c r="B39" s="7"/>
      <c r="C39" s="8"/>
      <c r="D39" s="5"/>
      <c r="E39" s="5" t="s">
        <v>37</v>
      </c>
      <c r="F39" s="5"/>
      <c r="G39" s="5"/>
      <c r="H39" s="5"/>
      <c r="I39" s="5"/>
      <c r="J39" s="350" t="str">
        <f t="shared" si="4"/>
        <v/>
      </c>
      <c r="K39" s="28" t="str">
        <f t="shared" si="5"/>
        <v/>
      </c>
      <c r="L39" s="7"/>
    </row>
    <row r="40" spans="1:12" ht="15.75" hidden="1" customHeight="1">
      <c r="A40" s="8"/>
      <c r="B40" s="7"/>
      <c r="C40" s="8"/>
      <c r="D40" s="5"/>
      <c r="E40" s="5" t="s">
        <v>37</v>
      </c>
      <c r="F40" s="5"/>
      <c r="G40" s="5"/>
      <c r="H40" s="5"/>
      <c r="I40" s="5"/>
      <c r="J40" s="350" t="str">
        <f t="shared" si="4"/>
        <v/>
      </c>
      <c r="K40" s="28" t="str">
        <f t="shared" si="5"/>
        <v/>
      </c>
      <c r="L40" s="7"/>
    </row>
    <row r="41" spans="1:12" ht="15.75" hidden="1" customHeight="1">
      <c r="A41" s="8"/>
      <c r="B41" s="7"/>
      <c r="C41" s="8"/>
      <c r="D41" s="5"/>
      <c r="E41" s="5" t="s">
        <v>37</v>
      </c>
      <c r="F41" s="5"/>
      <c r="G41" s="5"/>
      <c r="H41" s="5"/>
      <c r="I41" s="5"/>
      <c r="J41" s="350" t="str">
        <f t="shared" si="4"/>
        <v/>
      </c>
      <c r="K41" s="28" t="str">
        <f t="shared" si="5"/>
        <v/>
      </c>
      <c r="L41" s="7"/>
    </row>
    <row r="42" spans="1:12" ht="15.75" hidden="1" customHeight="1">
      <c r="A42" s="8"/>
      <c r="B42" s="7"/>
      <c r="C42" s="8"/>
      <c r="D42" s="5"/>
      <c r="E42" s="5" t="s">
        <v>37</v>
      </c>
      <c r="F42" s="5"/>
      <c r="G42" s="5"/>
      <c r="H42" s="5"/>
      <c r="I42" s="5"/>
      <c r="J42" s="350" t="str">
        <f t="shared" si="4"/>
        <v/>
      </c>
      <c r="K42" s="28" t="str">
        <f t="shared" si="5"/>
        <v/>
      </c>
      <c r="L42" s="7"/>
    </row>
    <row r="43" spans="1:12" ht="15.75" hidden="1" customHeight="1">
      <c r="A43" s="8"/>
      <c r="B43" s="7"/>
      <c r="C43" s="8"/>
      <c r="D43" s="5"/>
      <c r="E43" s="5" t="s">
        <v>37</v>
      </c>
      <c r="F43" s="5"/>
      <c r="G43" s="5"/>
      <c r="H43" s="5"/>
      <c r="I43" s="5"/>
      <c r="J43" s="350" t="str">
        <f t="shared" si="4"/>
        <v/>
      </c>
      <c r="K43" s="28" t="str">
        <f t="shared" si="5"/>
        <v/>
      </c>
      <c r="L43" s="7"/>
    </row>
    <row r="44" spans="1:12" ht="15.75" hidden="1" customHeight="1">
      <c r="A44" s="8"/>
      <c r="B44" s="7"/>
      <c r="C44" s="8"/>
      <c r="D44" s="5"/>
      <c r="E44" s="5" t="s">
        <v>37</v>
      </c>
      <c r="F44" s="5"/>
      <c r="G44" s="5"/>
      <c r="H44" s="5"/>
      <c r="I44" s="5"/>
      <c r="J44" s="350" t="str">
        <f t="shared" si="4"/>
        <v/>
      </c>
      <c r="K44" s="28" t="str">
        <f t="shared" si="5"/>
        <v/>
      </c>
      <c r="L44" s="7"/>
    </row>
    <row r="45" spans="1:12" ht="15.75" hidden="1" customHeight="1">
      <c r="A45" s="8"/>
      <c r="B45" s="7"/>
      <c r="C45" s="8"/>
      <c r="D45" s="5"/>
      <c r="E45" s="5" t="s">
        <v>37</v>
      </c>
      <c r="F45" s="5"/>
      <c r="G45" s="5"/>
      <c r="H45" s="5"/>
      <c r="I45" s="5"/>
      <c r="J45" s="350" t="str">
        <f t="shared" si="4"/>
        <v/>
      </c>
      <c r="K45" s="28" t="str">
        <f t="shared" si="5"/>
        <v/>
      </c>
      <c r="L45" s="7"/>
    </row>
    <row r="46" spans="1:12" ht="15.75" hidden="1" customHeight="1">
      <c r="A46" s="8"/>
      <c r="B46" s="7"/>
      <c r="C46" s="8"/>
      <c r="D46" s="5"/>
      <c r="E46" s="5" t="s">
        <v>37</v>
      </c>
      <c r="F46" s="5"/>
      <c r="G46" s="5"/>
      <c r="H46" s="5"/>
      <c r="I46" s="5"/>
      <c r="J46" s="350" t="str">
        <f t="shared" si="4"/>
        <v/>
      </c>
      <c r="K46" s="28" t="str">
        <f t="shared" si="5"/>
        <v/>
      </c>
      <c r="L46" s="7"/>
    </row>
    <row r="47" spans="1:12" ht="15.75" hidden="1" customHeight="1">
      <c r="A47" s="8"/>
      <c r="B47" s="7"/>
      <c r="C47" s="8"/>
      <c r="D47" s="5"/>
      <c r="E47" s="5" t="s">
        <v>37</v>
      </c>
      <c r="F47" s="5"/>
      <c r="G47" s="5"/>
      <c r="H47" s="5"/>
      <c r="I47" s="5"/>
      <c r="J47" s="350" t="str">
        <f t="shared" si="4"/>
        <v/>
      </c>
      <c r="K47" s="28" t="str">
        <f t="shared" si="5"/>
        <v/>
      </c>
      <c r="L47" s="7"/>
    </row>
  </sheetData>
  <mergeCells count="18">
    <mergeCell ref="D6:F6"/>
    <mergeCell ref="J6:J7"/>
    <mergeCell ref="A27:B27"/>
    <mergeCell ref="A1:L1"/>
    <mergeCell ref="A6:A7"/>
    <mergeCell ref="B6:B7"/>
    <mergeCell ref="C6:C7"/>
    <mergeCell ref="G6:I6"/>
    <mergeCell ref="A2:L2"/>
    <mergeCell ref="S6:S7"/>
    <mergeCell ref="T6:T7"/>
    <mergeCell ref="K6:K7"/>
    <mergeCell ref="M6:M7"/>
    <mergeCell ref="N6:N7"/>
    <mergeCell ref="O6:O7"/>
    <mergeCell ref="P6:P7"/>
    <mergeCell ref="Q6:R6"/>
    <mergeCell ref="L6:L7"/>
  </mergeCells>
  <phoneticPr fontId="6" type="noConversion"/>
  <printOptions horizontalCentered="1" verticalCentered="1"/>
  <pageMargins left="1.1023622047244095" right="0.82677165354330717" top="0.23622047244094491" bottom="0.59055118110236227" header="1.6929133858267718" footer="1.0629921259842521"/>
  <pageSetup paperSize="9" fitToHeight="0" orientation="landscape" blackAndWhite="1" horizontalDpi="1200" verticalDpi="1200" r:id="rId1"/>
  <headerFooter scaleWithDoc="0">
    <oddHeader>&amp;R&amp;"宋体,常规"&amp;10表3-11-6
共&amp;N页 第&amp;P页
金额单位：人民币元</oddHeader>
    <oddFooter>&amp;L&amp;10申报单位填表人：_x000D_填表日期：</oddFooter>
  </headerFooter>
  <rowBreaks count="1" manualBreakCount="1">
    <brk id="2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939800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0</xdr:rowOff>
                  </from>
                  <to>
                    <xdr:col>3</xdr:col>
                    <xdr:colOff>647700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57727-FFFF-4774-AE27-8DEF9CAE56A9}">
  <sheetPr codeName="Sheet5">
    <pageSetUpPr fitToPage="1"/>
  </sheetPr>
  <dimension ref="A1:R47"/>
  <sheetViews>
    <sheetView workbookViewId="0">
      <pane ySplit="7" topLeftCell="A8" activePane="bottomLeft" state="frozen"/>
      <selection activeCell="F17" sqref="F17"/>
      <selection pane="bottomLeft" sqref="A1:M27"/>
    </sheetView>
  </sheetViews>
  <sheetFormatPr baseColWidth="10" defaultColWidth="9" defaultRowHeight="15.75" customHeight="1"/>
  <cols>
    <col min="1" max="1" width="4.6640625" style="81" customWidth="1"/>
    <col min="2" max="2" width="13.6640625" style="81" customWidth="1"/>
    <col min="3" max="3" width="11.1640625" style="81" customWidth="1"/>
    <col min="4" max="4" width="5.1640625" style="81" customWidth="1"/>
    <col min="5" max="5" width="10.1640625" style="138" customWidth="1"/>
    <col min="6" max="6" width="7" style="138" customWidth="1"/>
    <col min="7" max="7" width="13.1640625" style="138" bestFit="1" customWidth="1"/>
    <col min="8" max="9" width="8.5" style="138" customWidth="1"/>
    <col min="10" max="10" width="12.1640625" style="138" customWidth="1"/>
    <col min="11" max="11" width="8.5" style="351" customWidth="1"/>
    <col min="12" max="12" width="9.5" style="139" customWidth="1"/>
    <col min="13" max="13" width="7" style="81" customWidth="1"/>
    <col min="14" max="14" width="8" style="81" customWidth="1"/>
    <col min="15" max="15" width="7.6640625" style="81" customWidth="1"/>
    <col min="16" max="17" width="8" style="81" customWidth="1"/>
    <col min="18" max="18" width="6" style="81" customWidth="1"/>
    <col min="19" max="16384" width="9" style="81"/>
  </cols>
  <sheetData>
    <row r="1" spans="1:18" s="80" customFormat="1" ht="30" customHeight="1">
      <c r="A1" s="374" t="s">
        <v>987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  <c r="L2" s="378"/>
      <c r="M2" s="378"/>
    </row>
    <row r="3" spans="1:18" ht="14.25" customHeight="1">
      <c r="A3" s="40"/>
      <c r="B3" s="40"/>
      <c r="C3" s="40"/>
      <c r="D3" s="40"/>
      <c r="E3" s="40"/>
      <c r="F3" s="40"/>
      <c r="G3" s="171"/>
      <c r="H3" s="171"/>
      <c r="I3" s="171"/>
      <c r="J3" s="171"/>
      <c r="K3" s="347"/>
      <c r="L3" s="176"/>
      <c r="M3" s="177"/>
    </row>
    <row r="4" spans="1:18" ht="14.25" customHeight="1">
      <c r="A4" s="40"/>
      <c r="B4" s="40"/>
      <c r="C4" s="40"/>
      <c r="D4" s="40"/>
      <c r="E4" s="40"/>
      <c r="F4" s="40"/>
      <c r="G4" s="171"/>
      <c r="H4" s="171"/>
      <c r="I4" s="171"/>
      <c r="J4" s="171"/>
      <c r="K4" s="347"/>
      <c r="L4" s="36"/>
      <c r="M4" s="37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179"/>
      <c r="F5" s="179"/>
      <c r="G5" s="179"/>
      <c r="H5" s="179"/>
      <c r="I5" s="179"/>
      <c r="J5" s="179"/>
      <c r="K5" s="348"/>
      <c r="L5" s="180"/>
      <c r="M5" s="122"/>
    </row>
    <row r="6" spans="1:18" s="101" customFormat="1" ht="15.75" customHeight="1">
      <c r="A6" s="465" t="s">
        <v>7</v>
      </c>
      <c r="B6" s="465" t="s">
        <v>144</v>
      </c>
      <c r="C6" s="465" t="s">
        <v>145</v>
      </c>
      <c r="D6" s="467" t="s">
        <v>84</v>
      </c>
      <c r="E6" s="465" t="s">
        <v>117</v>
      </c>
      <c r="F6" s="465"/>
      <c r="G6" s="465"/>
      <c r="H6" s="482" t="s">
        <v>0</v>
      </c>
      <c r="I6" s="482"/>
      <c r="J6" s="497"/>
      <c r="K6" s="471" t="s">
        <v>1</v>
      </c>
      <c r="L6" s="483" t="s">
        <v>479</v>
      </c>
      <c r="M6" s="465" t="s">
        <v>39</v>
      </c>
      <c r="N6" s="493" t="s">
        <v>622</v>
      </c>
      <c r="O6" s="494"/>
      <c r="P6" s="494"/>
      <c r="Q6" s="495"/>
      <c r="R6" s="496" t="s">
        <v>623</v>
      </c>
    </row>
    <row r="7" spans="1:18" s="101" customFormat="1" ht="15.75" customHeight="1">
      <c r="A7" s="466"/>
      <c r="B7" s="466"/>
      <c r="C7" s="466"/>
      <c r="D7" s="468"/>
      <c r="E7" s="45" t="s">
        <v>43</v>
      </c>
      <c r="F7" s="45" t="s">
        <v>81</v>
      </c>
      <c r="G7" s="45" t="s">
        <v>38</v>
      </c>
      <c r="H7" s="181" t="s">
        <v>80</v>
      </c>
      <c r="I7" s="181" t="s">
        <v>339</v>
      </c>
      <c r="J7" s="181" t="s">
        <v>38</v>
      </c>
      <c r="K7" s="472"/>
      <c r="L7" s="484"/>
      <c r="M7" s="466"/>
      <c r="N7" s="293" t="s">
        <v>624</v>
      </c>
      <c r="O7" s="293" t="s">
        <v>625</v>
      </c>
      <c r="P7" s="293" t="s">
        <v>596</v>
      </c>
      <c r="Q7" s="293" t="s">
        <v>626</v>
      </c>
      <c r="R7" s="496"/>
    </row>
    <row r="8" spans="1:18" ht="15.75" customHeight="1">
      <c r="A8" s="9"/>
      <c r="B8" s="150"/>
      <c r="C8" s="8"/>
      <c r="D8" s="151"/>
      <c r="E8" s="5"/>
      <c r="F8" s="5"/>
      <c r="G8" s="5"/>
      <c r="H8" s="152"/>
      <c r="I8" s="5"/>
      <c r="J8" s="5"/>
      <c r="K8" s="350" t="str">
        <f>IF(ISERROR(J8-G8),"",IF(J8=0,"",J8-G8))</f>
        <v/>
      </c>
      <c r="L8" s="28" t="str">
        <f>IF(ISERROR(J8-G8),"",IF(J8=0,"",IF(K8="",0,ROUND(K8*100/G8,2))))</f>
        <v/>
      </c>
      <c r="M8" s="7"/>
    </row>
    <row r="9" spans="1:18" ht="15.75" customHeight="1">
      <c r="A9" s="8"/>
      <c r="B9" s="153"/>
      <c r="C9" s="8"/>
      <c r="D9" s="8"/>
      <c r="E9" s="5"/>
      <c r="F9" s="5"/>
      <c r="G9" s="5"/>
      <c r="H9" s="5"/>
      <c r="I9" s="5"/>
      <c r="J9" s="5"/>
      <c r="K9" s="350" t="str">
        <f t="shared" ref="K9:K27" si="0">IF(ISERROR(J9-G9),"",IF(J9=0,"",J9-G9))</f>
        <v/>
      </c>
      <c r="L9" s="28" t="str">
        <f t="shared" ref="L9:L27" si="1">IF(ISERROR(J9-G9),"",IF(J9=0,"",IF(K9="",0,ROUND(K9*100/G9,2))))</f>
        <v/>
      </c>
      <c r="M9" s="7"/>
    </row>
    <row r="10" spans="1:18" ht="15.75" customHeight="1">
      <c r="A10" s="8"/>
      <c r="B10" s="7"/>
      <c r="C10" s="8"/>
      <c r="D10" s="8"/>
      <c r="E10" s="5"/>
      <c r="F10" s="5"/>
      <c r="G10" s="5"/>
      <c r="H10" s="5"/>
      <c r="I10" s="5"/>
      <c r="J10" s="5"/>
      <c r="K10" s="350" t="str">
        <f t="shared" si="0"/>
        <v/>
      </c>
      <c r="L10" s="28" t="str">
        <f t="shared" si="1"/>
        <v/>
      </c>
      <c r="M10" s="7"/>
    </row>
    <row r="11" spans="1:18" ht="15.75" customHeight="1">
      <c r="A11" s="9"/>
      <c r="B11" s="7"/>
      <c r="C11" s="8"/>
      <c r="D11" s="8"/>
      <c r="E11" s="5"/>
      <c r="F11" s="5"/>
      <c r="G11" s="5"/>
      <c r="H11" s="5"/>
      <c r="I11" s="5"/>
      <c r="J11" s="5"/>
      <c r="K11" s="350" t="str">
        <f t="shared" si="0"/>
        <v/>
      </c>
      <c r="L11" s="28" t="str">
        <f t="shared" si="1"/>
        <v/>
      </c>
      <c r="M11" s="7"/>
    </row>
    <row r="12" spans="1:18" ht="15.75" customHeight="1">
      <c r="A12" s="8"/>
      <c r="B12" s="7"/>
      <c r="C12" s="8"/>
      <c r="D12" s="8"/>
      <c r="E12" s="5"/>
      <c r="F12" s="5"/>
      <c r="G12" s="5"/>
      <c r="H12" s="5"/>
      <c r="I12" s="5"/>
      <c r="J12" s="5"/>
      <c r="K12" s="350" t="str">
        <f t="shared" si="0"/>
        <v/>
      </c>
      <c r="L12" s="28" t="str">
        <f t="shared" si="1"/>
        <v/>
      </c>
      <c r="M12" s="7"/>
    </row>
    <row r="13" spans="1:18" ht="15.75" customHeight="1">
      <c r="A13" s="8"/>
      <c r="B13" s="7"/>
      <c r="C13" s="8"/>
      <c r="D13" s="8"/>
      <c r="E13" s="5"/>
      <c r="F13" s="5"/>
      <c r="G13" s="5"/>
      <c r="H13" s="5"/>
      <c r="I13" s="5"/>
      <c r="J13" s="5"/>
      <c r="K13" s="350" t="str">
        <f t="shared" si="0"/>
        <v/>
      </c>
      <c r="L13" s="28" t="str">
        <f t="shared" si="1"/>
        <v/>
      </c>
      <c r="M13" s="7"/>
    </row>
    <row r="14" spans="1:18" ht="15.75" customHeight="1">
      <c r="A14" s="9"/>
      <c r="B14" s="7"/>
      <c r="C14" s="8"/>
      <c r="D14" s="8"/>
      <c r="E14" s="5"/>
      <c r="F14" s="5"/>
      <c r="G14" s="5"/>
      <c r="H14" s="5"/>
      <c r="I14" s="5"/>
      <c r="J14" s="5"/>
      <c r="K14" s="350" t="str">
        <f t="shared" si="0"/>
        <v/>
      </c>
      <c r="L14" s="28" t="str">
        <f t="shared" si="1"/>
        <v/>
      </c>
      <c r="M14" s="7"/>
    </row>
    <row r="15" spans="1:18" ht="15.75" customHeight="1">
      <c r="A15" s="9"/>
      <c r="B15" s="153"/>
      <c r="C15" s="8"/>
      <c r="D15" s="8"/>
      <c r="E15" s="5"/>
      <c r="F15" s="5"/>
      <c r="G15" s="5"/>
      <c r="H15" s="5"/>
      <c r="I15" s="5"/>
      <c r="J15" s="5"/>
      <c r="K15" s="350" t="str">
        <f t="shared" si="0"/>
        <v/>
      </c>
      <c r="L15" s="28" t="str">
        <f t="shared" si="1"/>
        <v/>
      </c>
      <c r="M15" s="7"/>
    </row>
    <row r="16" spans="1:18" ht="15.75" customHeight="1">
      <c r="A16" s="8"/>
      <c r="B16" s="153"/>
      <c r="C16" s="8"/>
      <c r="D16" s="8"/>
      <c r="E16" s="5"/>
      <c r="F16" s="5"/>
      <c r="G16" s="5"/>
      <c r="H16" s="5"/>
      <c r="I16" s="5"/>
      <c r="J16" s="5"/>
      <c r="K16" s="350" t="str">
        <f t="shared" si="0"/>
        <v/>
      </c>
      <c r="L16" s="28" t="str">
        <f t="shared" si="1"/>
        <v/>
      </c>
      <c r="M16" s="7"/>
    </row>
    <row r="17" spans="1:13" ht="15.75" customHeight="1">
      <c r="A17" s="8"/>
      <c r="B17" s="7"/>
      <c r="C17" s="8"/>
      <c r="D17" s="8"/>
      <c r="E17" s="5"/>
      <c r="F17" s="5"/>
      <c r="G17" s="5"/>
      <c r="H17" s="5"/>
      <c r="I17" s="5"/>
      <c r="J17" s="5"/>
      <c r="K17" s="350" t="str">
        <f t="shared" si="0"/>
        <v/>
      </c>
      <c r="L17" s="28" t="str">
        <f t="shared" si="1"/>
        <v/>
      </c>
      <c r="M17" s="7"/>
    </row>
    <row r="18" spans="1:13" ht="15.75" customHeight="1">
      <c r="A18" s="9"/>
      <c r="B18" s="7"/>
      <c r="C18" s="8"/>
      <c r="D18" s="8"/>
      <c r="E18" s="5"/>
      <c r="F18" s="5"/>
      <c r="G18" s="5"/>
      <c r="H18" s="5"/>
      <c r="I18" s="5"/>
      <c r="J18" s="5"/>
      <c r="K18" s="350" t="str">
        <f t="shared" si="0"/>
        <v/>
      </c>
      <c r="L18" s="28" t="str">
        <f t="shared" si="1"/>
        <v/>
      </c>
      <c r="M18" s="7"/>
    </row>
    <row r="19" spans="1:13" ht="15.75" customHeight="1">
      <c r="A19" s="8"/>
      <c r="B19" s="7"/>
      <c r="C19" s="8"/>
      <c r="D19" s="8"/>
      <c r="E19" s="5"/>
      <c r="F19" s="5"/>
      <c r="G19" s="5"/>
      <c r="H19" s="5"/>
      <c r="I19" s="5"/>
      <c r="J19" s="5"/>
      <c r="K19" s="350" t="str">
        <f t="shared" si="0"/>
        <v/>
      </c>
      <c r="L19" s="28" t="str">
        <f t="shared" si="1"/>
        <v/>
      </c>
      <c r="M19" s="7"/>
    </row>
    <row r="20" spans="1:13" ht="15.75" customHeight="1">
      <c r="A20" s="8"/>
      <c r="B20" s="7"/>
      <c r="C20" s="8"/>
      <c r="D20" s="8"/>
      <c r="E20" s="5"/>
      <c r="F20" s="5"/>
      <c r="G20" s="5"/>
      <c r="H20" s="5"/>
      <c r="I20" s="5"/>
      <c r="J20" s="5"/>
      <c r="K20" s="350" t="str">
        <f t="shared" si="0"/>
        <v/>
      </c>
      <c r="L20" s="28" t="str">
        <f t="shared" si="1"/>
        <v/>
      </c>
      <c r="M20" s="7"/>
    </row>
    <row r="21" spans="1:13" ht="15.75" customHeight="1">
      <c r="A21" s="9"/>
      <c r="B21" s="7"/>
      <c r="C21" s="8"/>
      <c r="D21" s="8"/>
      <c r="E21" s="5"/>
      <c r="F21" s="5"/>
      <c r="G21" s="5"/>
      <c r="H21" s="5"/>
      <c r="I21" s="5"/>
      <c r="J21" s="5"/>
      <c r="K21" s="350" t="str">
        <f t="shared" si="0"/>
        <v/>
      </c>
      <c r="L21" s="28" t="str">
        <f t="shared" si="1"/>
        <v/>
      </c>
      <c r="M21" s="7"/>
    </row>
    <row r="22" spans="1:13" ht="15.75" customHeight="1">
      <c r="A22" s="9"/>
      <c r="B22" s="7"/>
      <c r="C22" s="8"/>
      <c r="D22" s="8"/>
      <c r="E22" s="5"/>
      <c r="F22" s="5"/>
      <c r="G22" s="5"/>
      <c r="H22" s="5"/>
      <c r="I22" s="5"/>
      <c r="J22" s="5"/>
      <c r="K22" s="350" t="str">
        <f t="shared" si="0"/>
        <v/>
      </c>
      <c r="L22" s="28" t="str">
        <f t="shared" si="1"/>
        <v/>
      </c>
      <c r="M22" s="7"/>
    </row>
    <row r="23" spans="1:13" ht="15.75" customHeight="1">
      <c r="A23" s="8"/>
      <c r="B23" s="153"/>
      <c r="C23" s="8"/>
      <c r="D23" s="8"/>
      <c r="E23" s="5"/>
      <c r="F23" s="5"/>
      <c r="G23" s="5"/>
      <c r="H23" s="5"/>
      <c r="I23" s="5"/>
      <c r="J23" s="5"/>
      <c r="K23" s="350" t="str">
        <f t="shared" si="0"/>
        <v/>
      </c>
      <c r="L23" s="28" t="str">
        <f t="shared" si="1"/>
        <v/>
      </c>
      <c r="M23" s="7"/>
    </row>
    <row r="24" spans="1:13" ht="15.75" customHeight="1">
      <c r="A24" s="8"/>
      <c r="B24" s="153"/>
      <c r="C24" s="8"/>
      <c r="D24" s="8"/>
      <c r="E24" s="5"/>
      <c r="F24" s="5"/>
      <c r="G24" s="5"/>
      <c r="H24" s="5"/>
      <c r="I24" s="5"/>
      <c r="J24" s="5"/>
      <c r="K24" s="350" t="str">
        <f t="shared" si="0"/>
        <v/>
      </c>
      <c r="L24" s="28" t="str">
        <f t="shared" si="1"/>
        <v/>
      </c>
      <c r="M24" s="7"/>
    </row>
    <row r="25" spans="1:13" ht="15.75" customHeight="1">
      <c r="A25" s="9"/>
      <c r="B25" s="7"/>
      <c r="C25" s="8"/>
      <c r="D25" s="8"/>
      <c r="E25" s="5"/>
      <c r="F25" s="5"/>
      <c r="G25" s="5"/>
      <c r="H25" s="5"/>
      <c r="I25" s="5"/>
      <c r="J25" s="5"/>
      <c r="K25" s="350" t="str">
        <f t="shared" si="0"/>
        <v/>
      </c>
      <c r="L25" s="28" t="str">
        <f t="shared" si="1"/>
        <v/>
      </c>
      <c r="M25" s="7"/>
    </row>
    <row r="26" spans="1:13" ht="15.75" customHeight="1">
      <c r="A26" s="8"/>
      <c r="B26" s="7"/>
      <c r="C26" s="8"/>
      <c r="D26" s="8"/>
      <c r="E26" s="5"/>
      <c r="F26" s="5"/>
      <c r="G26" s="5"/>
      <c r="H26" s="5"/>
      <c r="I26" s="5"/>
      <c r="J26" s="5"/>
      <c r="K26" s="350" t="str">
        <f t="shared" si="0"/>
        <v/>
      </c>
      <c r="L26" s="28" t="str">
        <f t="shared" si="1"/>
        <v/>
      </c>
      <c r="M26" s="7"/>
    </row>
    <row r="27" spans="1:13" ht="15.75" customHeight="1">
      <c r="A27" s="420" t="s">
        <v>534</v>
      </c>
      <c r="B27" s="421"/>
      <c r="C27" s="237"/>
      <c r="D27" s="30"/>
      <c r="E27" s="31"/>
      <c r="F27" s="31"/>
      <c r="G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7" s="31"/>
      <c r="I27" s="31"/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350" t="str">
        <f t="shared" ca="1" si="0"/>
        <v/>
      </c>
      <c r="L27" s="28" t="str">
        <f t="shared" ca="1" si="1"/>
        <v/>
      </c>
      <c r="M27" s="234"/>
    </row>
    <row r="28" spans="1:13" ht="15.75" hidden="1" customHeight="1">
      <c r="A28" s="8"/>
      <c r="B28" s="7"/>
      <c r="C28" s="8"/>
      <c r="D28" s="8"/>
      <c r="E28" s="5"/>
      <c r="F28" s="5"/>
      <c r="G28" s="5"/>
      <c r="H28" s="5"/>
      <c r="I28" s="5"/>
      <c r="J28" s="5"/>
      <c r="K28" s="350" t="str">
        <f>IF(ISERROR(J28-G28),"",IF(J28=0,"",J28-G28))</f>
        <v/>
      </c>
      <c r="L28" s="28" t="str">
        <f>IF(ISERROR(J28-G28),"",IF(J28=0,"",IF(K28="",0,ROUND(K28*100/G28,2))))</f>
        <v/>
      </c>
      <c r="M28" s="7"/>
    </row>
    <row r="29" spans="1:13" ht="15.75" hidden="1" customHeight="1">
      <c r="A29" s="8"/>
      <c r="B29" s="7"/>
      <c r="C29" s="8"/>
      <c r="D29" s="8"/>
      <c r="E29" s="5"/>
      <c r="F29" s="5"/>
      <c r="G29" s="5"/>
      <c r="H29" s="5"/>
      <c r="I29" s="5"/>
      <c r="J29" s="5"/>
      <c r="K29" s="350" t="str">
        <f t="shared" ref="K29:K47" si="2">IF(ISERROR(J29-G29),"",IF(J29=0,"",J29-G29))</f>
        <v/>
      </c>
      <c r="L29" s="28" t="str">
        <f t="shared" ref="L29:L47" si="3">IF(ISERROR(J29-G29),"",IF(J29=0,"",IF(K29="",0,ROUND(K29*100/G29,2))))</f>
        <v/>
      </c>
      <c r="M29" s="7"/>
    </row>
    <row r="30" spans="1:13" ht="15.75" hidden="1" customHeight="1">
      <c r="A30" s="8"/>
      <c r="B30" s="7"/>
      <c r="C30" s="8"/>
      <c r="D30" s="8"/>
      <c r="E30" s="5"/>
      <c r="F30" s="5"/>
      <c r="G30" s="5"/>
      <c r="H30" s="5"/>
      <c r="I30" s="5"/>
      <c r="J30" s="5"/>
      <c r="K30" s="350" t="str">
        <f t="shared" si="2"/>
        <v/>
      </c>
      <c r="L30" s="28" t="str">
        <f t="shared" si="3"/>
        <v/>
      </c>
      <c r="M30" s="7"/>
    </row>
    <row r="31" spans="1:13" ht="15.75" hidden="1" customHeight="1">
      <c r="A31" s="8"/>
      <c r="B31" s="7"/>
      <c r="C31" s="8"/>
      <c r="D31" s="8"/>
      <c r="E31" s="5"/>
      <c r="F31" s="5"/>
      <c r="G31" s="5"/>
      <c r="H31" s="5"/>
      <c r="I31" s="5"/>
      <c r="J31" s="5"/>
      <c r="K31" s="350" t="str">
        <f t="shared" si="2"/>
        <v/>
      </c>
      <c r="L31" s="28" t="str">
        <f t="shared" si="3"/>
        <v/>
      </c>
      <c r="M31" s="7"/>
    </row>
    <row r="32" spans="1:13" ht="15.75" hidden="1" customHeight="1">
      <c r="A32" s="8"/>
      <c r="B32" s="7"/>
      <c r="C32" s="8"/>
      <c r="D32" s="8"/>
      <c r="E32" s="5"/>
      <c r="F32" s="5"/>
      <c r="G32" s="5"/>
      <c r="H32" s="5"/>
      <c r="I32" s="5"/>
      <c r="J32" s="5"/>
      <c r="K32" s="350" t="str">
        <f t="shared" si="2"/>
        <v/>
      </c>
      <c r="L32" s="28" t="str">
        <f t="shared" si="3"/>
        <v/>
      </c>
      <c r="M32" s="7"/>
    </row>
    <row r="33" spans="1:13" ht="15.75" hidden="1" customHeight="1">
      <c r="A33" s="8"/>
      <c r="B33" s="7"/>
      <c r="C33" s="8"/>
      <c r="D33" s="8"/>
      <c r="E33" s="5"/>
      <c r="F33" s="5"/>
      <c r="G33" s="5"/>
      <c r="H33" s="5"/>
      <c r="I33" s="5"/>
      <c r="J33" s="5"/>
      <c r="K33" s="350" t="str">
        <f t="shared" si="2"/>
        <v/>
      </c>
      <c r="L33" s="28" t="str">
        <f t="shared" si="3"/>
        <v/>
      </c>
      <c r="M33" s="7"/>
    </row>
    <row r="34" spans="1:13" ht="15.75" hidden="1" customHeight="1">
      <c r="A34" s="8"/>
      <c r="B34" s="7"/>
      <c r="C34" s="8"/>
      <c r="D34" s="8"/>
      <c r="E34" s="5"/>
      <c r="F34" s="5"/>
      <c r="G34" s="5"/>
      <c r="H34" s="5"/>
      <c r="I34" s="5"/>
      <c r="J34" s="5"/>
      <c r="K34" s="350" t="str">
        <f t="shared" si="2"/>
        <v/>
      </c>
      <c r="L34" s="28" t="str">
        <f t="shared" si="3"/>
        <v/>
      </c>
      <c r="M34" s="7"/>
    </row>
    <row r="35" spans="1:13" ht="15.75" hidden="1" customHeight="1">
      <c r="A35" s="8"/>
      <c r="B35" s="7"/>
      <c r="C35" s="8"/>
      <c r="D35" s="8"/>
      <c r="E35" s="5"/>
      <c r="F35" s="5"/>
      <c r="G35" s="5"/>
      <c r="H35" s="5"/>
      <c r="I35" s="5"/>
      <c r="J35" s="5"/>
      <c r="K35" s="350" t="str">
        <f t="shared" si="2"/>
        <v/>
      </c>
      <c r="L35" s="28" t="str">
        <f t="shared" si="3"/>
        <v/>
      </c>
      <c r="M35" s="7"/>
    </row>
    <row r="36" spans="1:13" ht="15.75" hidden="1" customHeight="1">
      <c r="A36" s="8"/>
      <c r="B36" s="7"/>
      <c r="C36" s="8"/>
      <c r="D36" s="8"/>
      <c r="E36" s="5"/>
      <c r="F36" s="5"/>
      <c r="G36" s="5"/>
      <c r="H36" s="5"/>
      <c r="I36" s="5"/>
      <c r="J36" s="5"/>
      <c r="K36" s="350" t="str">
        <f t="shared" si="2"/>
        <v/>
      </c>
      <c r="L36" s="28" t="str">
        <f t="shared" si="3"/>
        <v/>
      </c>
      <c r="M36" s="7"/>
    </row>
    <row r="37" spans="1:13" ht="15.75" hidden="1" customHeight="1">
      <c r="A37" s="8"/>
      <c r="B37" s="7"/>
      <c r="C37" s="8"/>
      <c r="D37" s="8"/>
      <c r="E37" s="5"/>
      <c r="F37" s="5"/>
      <c r="G37" s="5"/>
      <c r="H37" s="5"/>
      <c r="I37" s="5"/>
      <c r="J37" s="5"/>
      <c r="K37" s="350" t="str">
        <f t="shared" si="2"/>
        <v/>
      </c>
      <c r="L37" s="28" t="str">
        <f t="shared" si="3"/>
        <v/>
      </c>
      <c r="M37" s="7"/>
    </row>
    <row r="38" spans="1:13" ht="15.75" hidden="1" customHeight="1">
      <c r="A38" s="8"/>
      <c r="B38" s="7"/>
      <c r="C38" s="8"/>
      <c r="D38" s="8"/>
      <c r="E38" s="5"/>
      <c r="F38" s="5"/>
      <c r="G38" s="5"/>
      <c r="H38" s="5"/>
      <c r="I38" s="5"/>
      <c r="J38" s="5"/>
      <c r="K38" s="350" t="str">
        <f t="shared" si="2"/>
        <v/>
      </c>
      <c r="L38" s="28" t="str">
        <f t="shared" si="3"/>
        <v/>
      </c>
      <c r="M38" s="7"/>
    </row>
    <row r="39" spans="1:13" ht="15.75" hidden="1" customHeight="1">
      <c r="A39" s="8"/>
      <c r="B39" s="7"/>
      <c r="C39" s="8"/>
      <c r="D39" s="8"/>
      <c r="E39" s="5"/>
      <c r="F39" s="5"/>
      <c r="G39" s="5"/>
      <c r="H39" s="5"/>
      <c r="I39" s="5"/>
      <c r="J39" s="5"/>
      <c r="K39" s="350" t="str">
        <f t="shared" si="2"/>
        <v/>
      </c>
      <c r="L39" s="28" t="str">
        <f t="shared" si="3"/>
        <v/>
      </c>
      <c r="M39" s="7"/>
    </row>
    <row r="40" spans="1:13" ht="15.75" hidden="1" customHeight="1">
      <c r="A40" s="8"/>
      <c r="B40" s="7"/>
      <c r="C40" s="8"/>
      <c r="D40" s="8"/>
      <c r="E40" s="5"/>
      <c r="F40" s="5"/>
      <c r="G40" s="5"/>
      <c r="H40" s="5"/>
      <c r="I40" s="5"/>
      <c r="J40" s="5"/>
      <c r="K40" s="350" t="str">
        <f t="shared" si="2"/>
        <v/>
      </c>
      <c r="L40" s="28" t="str">
        <f t="shared" si="3"/>
        <v/>
      </c>
      <c r="M40" s="7"/>
    </row>
    <row r="41" spans="1:13" ht="15.75" hidden="1" customHeight="1">
      <c r="A41" s="8"/>
      <c r="B41" s="7"/>
      <c r="C41" s="8"/>
      <c r="D41" s="8"/>
      <c r="E41" s="5"/>
      <c r="F41" s="5"/>
      <c r="G41" s="5"/>
      <c r="H41" s="5"/>
      <c r="I41" s="5"/>
      <c r="J41" s="5"/>
      <c r="K41" s="350" t="str">
        <f t="shared" si="2"/>
        <v/>
      </c>
      <c r="L41" s="28" t="str">
        <f t="shared" si="3"/>
        <v/>
      </c>
      <c r="M41" s="7"/>
    </row>
    <row r="42" spans="1:13" ht="15.75" hidden="1" customHeight="1">
      <c r="A42" s="8"/>
      <c r="B42" s="7"/>
      <c r="C42" s="8"/>
      <c r="D42" s="8"/>
      <c r="E42" s="5"/>
      <c r="F42" s="5"/>
      <c r="G42" s="5"/>
      <c r="H42" s="5"/>
      <c r="I42" s="5"/>
      <c r="J42" s="5"/>
      <c r="K42" s="350" t="str">
        <f t="shared" si="2"/>
        <v/>
      </c>
      <c r="L42" s="28" t="str">
        <f t="shared" si="3"/>
        <v/>
      </c>
      <c r="M42" s="7"/>
    </row>
    <row r="43" spans="1:13" ht="15.75" hidden="1" customHeight="1">
      <c r="A43" s="8"/>
      <c r="B43" s="7"/>
      <c r="C43" s="8"/>
      <c r="D43" s="8"/>
      <c r="E43" s="5"/>
      <c r="F43" s="5"/>
      <c r="G43" s="5"/>
      <c r="H43" s="5"/>
      <c r="I43" s="5"/>
      <c r="J43" s="5"/>
      <c r="K43" s="350" t="str">
        <f t="shared" si="2"/>
        <v/>
      </c>
      <c r="L43" s="28" t="str">
        <f t="shared" si="3"/>
        <v/>
      </c>
      <c r="M43" s="7"/>
    </row>
    <row r="44" spans="1:13" ht="15.75" hidden="1" customHeight="1">
      <c r="A44" s="8"/>
      <c r="B44" s="7"/>
      <c r="C44" s="8"/>
      <c r="D44" s="8"/>
      <c r="E44" s="5"/>
      <c r="F44" s="5"/>
      <c r="G44" s="5"/>
      <c r="H44" s="5"/>
      <c r="I44" s="5"/>
      <c r="J44" s="5"/>
      <c r="K44" s="350" t="str">
        <f t="shared" si="2"/>
        <v/>
      </c>
      <c r="L44" s="28" t="str">
        <f t="shared" si="3"/>
        <v/>
      </c>
      <c r="M44" s="7"/>
    </row>
    <row r="45" spans="1:13" ht="15.75" hidden="1" customHeight="1">
      <c r="A45" s="8"/>
      <c r="B45" s="7"/>
      <c r="C45" s="8"/>
      <c r="D45" s="8"/>
      <c r="E45" s="5"/>
      <c r="F45" s="5"/>
      <c r="G45" s="5"/>
      <c r="H45" s="5"/>
      <c r="I45" s="5"/>
      <c r="J45" s="5"/>
      <c r="K45" s="350" t="str">
        <f t="shared" si="2"/>
        <v/>
      </c>
      <c r="L45" s="28" t="str">
        <f t="shared" si="3"/>
        <v/>
      </c>
      <c r="M45" s="7"/>
    </row>
    <row r="46" spans="1:13" ht="15.75" hidden="1" customHeight="1">
      <c r="A46" s="8"/>
      <c r="B46" s="7"/>
      <c r="C46" s="8"/>
      <c r="D46" s="8"/>
      <c r="E46" s="5"/>
      <c r="F46" s="5"/>
      <c r="G46" s="5"/>
      <c r="H46" s="5"/>
      <c r="I46" s="5"/>
      <c r="J46" s="5"/>
      <c r="K46" s="350" t="str">
        <f t="shared" si="2"/>
        <v/>
      </c>
      <c r="L46" s="28" t="str">
        <f t="shared" si="3"/>
        <v/>
      </c>
      <c r="M46" s="7"/>
    </row>
    <row r="47" spans="1:13" ht="15.75" hidden="1" customHeight="1">
      <c r="A47" s="8"/>
      <c r="B47" s="7"/>
      <c r="C47" s="8"/>
      <c r="D47" s="8"/>
      <c r="E47" s="5"/>
      <c r="F47" s="5"/>
      <c r="G47" s="5"/>
      <c r="H47" s="5"/>
      <c r="I47" s="5"/>
      <c r="J47" s="5"/>
      <c r="K47" s="350" t="str">
        <f t="shared" si="2"/>
        <v/>
      </c>
      <c r="L47" s="28" t="str">
        <f t="shared" si="3"/>
        <v/>
      </c>
      <c r="M47" s="7"/>
    </row>
  </sheetData>
  <mergeCells count="14">
    <mergeCell ref="R6:R7"/>
    <mergeCell ref="A1:M1"/>
    <mergeCell ref="D6:D7"/>
    <mergeCell ref="H6:J6"/>
    <mergeCell ref="A2:M2"/>
    <mergeCell ref="A6:A7"/>
    <mergeCell ref="B6:B7"/>
    <mergeCell ref="L6:L7"/>
    <mergeCell ref="E6:G6"/>
    <mergeCell ref="A27:B27"/>
    <mergeCell ref="M6:M7"/>
    <mergeCell ref="C6:C7"/>
    <mergeCell ref="K6:K7"/>
    <mergeCell ref="N6:Q6"/>
  </mergeCells>
  <phoneticPr fontId="6" type="noConversion"/>
  <printOptions horizontalCentered="1" verticalCentered="1"/>
  <pageMargins left="1.0629921259842521" right="0.6692913385826772" top="0.27559055118110237" bottom="0.62992125984251968" header="1.6929133858267718" footer="1.1023622047244095"/>
  <pageSetup paperSize="9" fitToHeight="0" orientation="landscape" blackAndWhite="1" horizontalDpi="1200" verticalDpi="1200" r:id="rId1"/>
  <headerFooter scaleWithDoc="0">
    <oddHeader>&amp;R&amp;"宋体,常规"&amp;10表3-11-7
共&amp;N页 第&amp;P页
金额单位：人民币元</oddHeader>
    <oddFooter>&amp;L&amp;10申报单位填表人：_x000D_填表日期：</oddFooter>
  </headerFooter>
  <rowBreaks count="2" manualBreakCount="2">
    <brk id="27" max="16383" man="1"/>
    <brk id="4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1016000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241300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5A84-F407-46F7-9FEC-57EE6B11A79F}">
  <sheetPr codeName="Sheet32">
    <pageSetUpPr fitToPage="1"/>
  </sheetPr>
  <dimension ref="A1:U47"/>
  <sheetViews>
    <sheetView workbookViewId="0">
      <pane ySplit="7" topLeftCell="A8" activePane="bottomLeft" state="frozen"/>
      <selection activeCell="F17" sqref="F17"/>
      <selection pane="bottomLeft" activeCell="J13" sqref="J13"/>
    </sheetView>
  </sheetViews>
  <sheetFormatPr baseColWidth="10" defaultColWidth="9" defaultRowHeight="15.75" customHeight="1"/>
  <cols>
    <col min="1" max="1" width="4.6640625" style="81" customWidth="1"/>
    <col min="2" max="2" width="16.5" style="81" customWidth="1"/>
    <col min="3" max="3" width="8" style="81" bestFit="1" customWidth="1"/>
    <col min="4" max="4" width="6.5" style="81" customWidth="1"/>
    <col min="5" max="5" width="10.6640625" style="81" customWidth="1"/>
    <col min="6" max="6" width="11.1640625" style="81" customWidth="1"/>
    <col min="7" max="7" width="8.6640625" style="81" customWidth="1"/>
    <col min="8" max="8" width="8.5" style="81" customWidth="1"/>
    <col min="9" max="9" width="10" style="81" customWidth="1"/>
    <col min="10" max="10" width="10.5" style="81" customWidth="1"/>
    <col min="11" max="11" width="8" style="135" customWidth="1"/>
    <col min="12" max="12" width="9" style="340" customWidth="1"/>
    <col min="13" max="13" width="7.5" style="81" customWidth="1"/>
    <col min="14" max="14" width="10.1640625" style="81" customWidth="1"/>
    <col min="15" max="15" width="10.5" style="81" customWidth="1"/>
    <col min="16" max="16" width="6.1640625" style="81" customWidth="1"/>
    <col min="17" max="17" width="6.5" style="81" customWidth="1"/>
    <col min="18" max="18" width="7.1640625" style="81" customWidth="1"/>
    <col min="19" max="19" width="8.1640625" style="81" customWidth="1"/>
    <col min="20" max="20" width="15.1640625" style="81" customWidth="1"/>
    <col min="21" max="21" width="7.1640625" style="81" customWidth="1"/>
    <col min="22" max="16384" width="9" style="81"/>
  </cols>
  <sheetData>
    <row r="1" spans="1:21" s="80" customFormat="1" ht="30" customHeight="1">
      <c r="A1" s="374" t="s">
        <v>988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</row>
    <row r="2" spans="1:2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  <c r="L2" s="378"/>
      <c r="M2" s="378"/>
    </row>
    <row r="3" spans="1:21" ht="14.25" customHeight="1">
      <c r="A3" s="40"/>
      <c r="B3" s="40"/>
      <c r="C3" s="40"/>
      <c r="D3" s="40"/>
      <c r="E3" s="40"/>
      <c r="F3" s="40"/>
      <c r="G3" s="171"/>
      <c r="H3" s="171"/>
      <c r="I3" s="171"/>
      <c r="J3" s="171"/>
      <c r="K3" s="172"/>
      <c r="L3" s="131"/>
      <c r="M3" s="178"/>
    </row>
    <row r="4" spans="1:21" ht="14.25" customHeight="1">
      <c r="A4" s="40"/>
      <c r="B4" s="40"/>
      <c r="C4" s="40"/>
      <c r="D4" s="40"/>
      <c r="E4" s="40"/>
      <c r="F4" s="40"/>
      <c r="G4" s="171"/>
      <c r="H4" s="171"/>
      <c r="I4" s="171"/>
      <c r="J4" s="171"/>
      <c r="K4" s="172"/>
      <c r="L4" s="337"/>
      <c r="M4" s="37"/>
    </row>
    <row r="5" spans="1:21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173"/>
      <c r="L5" s="218"/>
      <c r="M5" s="122"/>
    </row>
    <row r="6" spans="1:21" s="101" customFormat="1" ht="15.75" customHeight="1">
      <c r="A6" s="465" t="s">
        <v>7</v>
      </c>
      <c r="B6" s="465" t="s">
        <v>143</v>
      </c>
      <c r="C6" s="486" t="s">
        <v>86</v>
      </c>
      <c r="D6" s="467" t="s">
        <v>273</v>
      </c>
      <c r="E6" s="465" t="s">
        <v>429</v>
      </c>
      <c r="F6" s="465"/>
      <c r="G6" s="465" t="s">
        <v>80</v>
      </c>
      <c r="H6" s="465" t="s">
        <v>0</v>
      </c>
      <c r="I6" s="466"/>
      <c r="J6" s="466"/>
      <c r="K6" s="498" t="s">
        <v>1</v>
      </c>
      <c r="L6" s="500" t="s">
        <v>479</v>
      </c>
      <c r="M6" s="465" t="s">
        <v>39</v>
      </c>
      <c r="N6" s="473" t="s">
        <v>610</v>
      </c>
      <c r="O6" s="473" t="s">
        <v>611</v>
      </c>
      <c r="P6" s="473" t="s">
        <v>612</v>
      </c>
      <c r="Q6" s="473" t="s">
        <v>613</v>
      </c>
      <c r="R6" s="475" t="s">
        <v>627</v>
      </c>
      <c r="S6" s="475"/>
      <c r="T6" s="473" t="s">
        <v>614</v>
      </c>
      <c r="U6" s="473" t="s">
        <v>618</v>
      </c>
    </row>
    <row r="7" spans="1:21" s="101" customFormat="1" ht="15.75" customHeight="1">
      <c r="A7" s="466"/>
      <c r="B7" s="466"/>
      <c r="C7" s="487"/>
      <c r="D7" s="474"/>
      <c r="E7" s="45" t="s">
        <v>43</v>
      </c>
      <c r="F7" s="45" t="s">
        <v>38</v>
      </c>
      <c r="G7" s="466"/>
      <c r="H7" s="45" t="s">
        <v>341</v>
      </c>
      <c r="I7" s="174" t="s">
        <v>481</v>
      </c>
      <c r="J7" s="45" t="s">
        <v>38</v>
      </c>
      <c r="K7" s="499"/>
      <c r="L7" s="501"/>
      <c r="M7" s="466"/>
      <c r="N7" s="473"/>
      <c r="O7" s="473"/>
      <c r="P7" s="473"/>
      <c r="Q7" s="473"/>
      <c r="R7" s="285" t="s">
        <v>615</v>
      </c>
      <c r="S7" s="285" t="s">
        <v>616</v>
      </c>
      <c r="T7" s="473"/>
      <c r="U7" s="473"/>
    </row>
    <row r="8" spans="1:21" ht="15.75" customHeight="1">
      <c r="A8" s="8"/>
      <c r="B8" s="7"/>
      <c r="C8" s="7"/>
      <c r="D8" s="5"/>
      <c r="E8" s="5"/>
      <c r="F8" s="5"/>
      <c r="G8" s="5"/>
      <c r="H8" s="5"/>
      <c r="I8" s="147"/>
      <c r="J8" s="5"/>
      <c r="K8" s="28" t="str">
        <f>IF(ISERROR(J8-F8),"",IF(J8=0,"",J8-F8))</f>
        <v/>
      </c>
      <c r="L8" s="339" t="str">
        <f>IF(ISERROR(J8-F8),"",IF(J8=0,"",IF(K8="",0,ROUND(K8*100/F8,2))))</f>
        <v/>
      </c>
      <c r="M8" s="7"/>
    </row>
    <row r="9" spans="1:21" ht="15.75" customHeight="1">
      <c r="A9" s="8"/>
      <c r="B9" s="7"/>
      <c r="C9" s="7"/>
      <c r="D9" s="5"/>
      <c r="E9" s="5"/>
      <c r="F9" s="5"/>
      <c r="G9" s="5"/>
      <c r="H9" s="5"/>
      <c r="I9" s="147"/>
      <c r="J9" s="5"/>
      <c r="K9" s="28" t="str">
        <f t="shared" ref="K9:K27" si="0">IF(ISERROR(J9-F9),"",IF(J9=0,"",J9-F9))</f>
        <v/>
      </c>
      <c r="L9" s="339" t="str">
        <f t="shared" ref="L9:L27" si="1">IF(ISERROR(J9-F9),"",IF(J9=0,"",IF(K9="",0,ROUND(K9*100/F9,2))))</f>
        <v/>
      </c>
      <c r="M9" s="7"/>
    </row>
    <row r="10" spans="1:21" ht="15.75" customHeight="1">
      <c r="A10" s="8"/>
      <c r="B10" s="7"/>
      <c r="C10" s="7"/>
      <c r="D10" s="5"/>
      <c r="E10" s="5"/>
      <c r="F10" s="5"/>
      <c r="G10" s="5"/>
      <c r="H10" s="5"/>
      <c r="I10" s="147"/>
      <c r="J10" s="5"/>
      <c r="K10" s="28" t="str">
        <f t="shared" si="0"/>
        <v/>
      </c>
      <c r="L10" s="339" t="str">
        <f t="shared" si="1"/>
        <v/>
      </c>
      <c r="M10" s="7"/>
    </row>
    <row r="11" spans="1:21" ht="15.75" customHeight="1">
      <c r="A11" s="8"/>
      <c r="B11" s="7"/>
      <c r="C11" s="7"/>
      <c r="D11" s="5"/>
      <c r="E11" s="5"/>
      <c r="F11" s="5"/>
      <c r="G11" s="5"/>
      <c r="H11" s="5"/>
      <c r="I11" s="147"/>
      <c r="J11" s="5"/>
      <c r="K11" s="28" t="str">
        <f>IF(ISERROR(J11-F11),"",IF(J11=0,"",J11-F11))</f>
        <v/>
      </c>
      <c r="L11" s="339" t="str">
        <f>IF(ISERROR(J11-F11),"",IF(J11=0,"",IF(K11="",0,ROUND(K11*100/F11,2))))</f>
        <v/>
      </c>
      <c r="M11" s="7"/>
    </row>
    <row r="12" spans="1:21" ht="15.75" customHeight="1">
      <c r="A12" s="8"/>
      <c r="B12" s="7"/>
      <c r="C12" s="7"/>
      <c r="D12" s="5"/>
      <c r="E12" s="5"/>
      <c r="F12" s="5"/>
      <c r="G12" s="5"/>
      <c r="H12" s="5"/>
      <c r="I12" s="147"/>
      <c r="J12" s="5"/>
      <c r="K12" s="28" t="str">
        <f t="shared" si="0"/>
        <v/>
      </c>
      <c r="L12" s="339" t="str">
        <f t="shared" si="1"/>
        <v/>
      </c>
      <c r="M12" s="7"/>
    </row>
    <row r="13" spans="1:21" ht="15.75" customHeight="1">
      <c r="A13" s="8"/>
      <c r="B13" s="7"/>
      <c r="C13" s="7"/>
      <c r="D13" s="5"/>
      <c r="E13" s="5"/>
      <c r="F13" s="5"/>
      <c r="G13" s="5"/>
      <c r="H13" s="5"/>
      <c r="I13" s="147"/>
      <c r="J13" s="5"/>
      <c r="K13" s="28" t="str">
        <f t="shared" si="0"/>
        <v/>
      </c>
      <c r="L13" s="339" t="str">
        <f t="shared" si="1"/>
        <v/>
      </c>
      <c r="M13" s="7"/>
    </row>
    <row r="14" spans="1:21" ht="15.75" customHeight="1">
      <c r="A14" s="8"/>
      <c r="B14" s="7"/>
      <c r="C14" s="7"/>
      <c r="D14" s="5"/>
      <c r="E14" s="5"/>
      <c r="F14" s="5"/>
      <c r="G14" s="5"/>
      <c r="H14" s="5"/>
      <c r="I14" s="147"/>
      <c r="J14" s="5"/>
      <c r="K14" s="28" t="str">
        <f t="shared" si="0"/>
        <v/>
      </c>
      <c r="L14" s="339" t="str">
        <f t="shared" si="1"/>
        <v/>
      </c>
      <c r="M14" s="7"/>
    </row>
    <row r="15" spans="1:21" ht="15.75" customHeight="1">
      <c r="A15" s="8"/>
      <c r="B15" s="7"/>
      <c r="C15" s="7"/>
      <c r="D15" s="5"/>
      <c r="E15" s="5"/>
      <c r="F15" s="5"/>
      <c r="G15" s="5"/>
      <c r="H15" s="5"/>
      <c r="I15" s="147"/>
      <c r="J15" s="5"/>
      <c r="K15" s="28" t="str">
        <f t="shared" si="0"/>
        <v/>
      </c>
      <c r="L15" s="339" t="str">
        <f t="shared" si="1"/>
        <v/>
      </c>
      <c r="M15" s="7"/>
    </row>
    <row r="16" spans="1:21" ht="15.75" customHeight="1">
      <c r="A16" s="8"/>
      <c r="B16" s="7"/>
      <c r="C16" s="7"/>
      <c r="D16" s="5"/>
      <c r="E16" s="5"/>
      <c r="F16" s="5"/>
      <c r="G16" s="5"/>
      <c r="H16" s="5"/>
      <c r="I16" s="147"/>
      <c r="J16" s="5"/>
      <c r="K16" s="28" t="str">
        <f t="shared" si="0"/>
        <v/>
      </c>
      <c r="L16" s="339" t="str">
        <f t="shared" si="1"/>
        <v/>
      </c>
      <c r="M16" s="7"/>
    </row>
    <row r="17" spans="1:13" ht="15.75" customHeight="1">
      <c r="A17" s="8"/>
      <c r="B17" s="7"/>
      <c r="C17" s="7"/>
      <c r="D17" s="5"/>
      <c r="E17" s="5"/>
      <c r="F17" s="5"/>
      <c r="G17" s="5"/>
      <c r="H17" s="5"/>
      <c r="I17" s="147"/>
      <c r="J17" s="5"/>
      <c r="K17" s="28" t="str">
        <f t="shared" si="0"/>
        <v/>
      </c>
      <c r="L17" s="339" t="str">
        <f t="shared" si="1"/>
        <v/>
      </c>
      <c r="M17" s="7"/>
    </row>
    <row r="18" spans="1:13" ht="15.75" customHeight="1">
      <c r="A18" s="8"/>
      <c r="B18" s="7"/>
      <c r="C18" s="7"/>
      <c r="D18" s="5"/>
      <c r="E18" s="5"/>
      <c r="F18" s="5"/>
      <c r="G18" s="5"/>
      <c r="H18" s="5"/>
      <c r="I18" s="147"/>
      <c r="J18" s="5"/>
      <c r="K18" s="28" t="str">
        <f t="shared" si="0"/>
        <v/>
      </c>
      <c r="L18" s="339" t="str">
        <f t="shared" si="1"/>
        <v/>
      </c>
      <c r="M18" s="7"/>
    </row>
    <row r="19" spans="1:13" ht="15.75" customHeight="1">
      <c r="A19" s="8"/>
      <c r="B19" s="7"/>
      <c r="C19" s="7"/>
      <c r="D19" s="5"/>
      <c r="E19" s="5"/>
      <c r="F19" s="5"/>
      <c r="G19" s="5"/>
      <c r="H19" s="5"/>
      <c r="I19" s="147"/>
      <c r="J19" s="5"/>
      <c r="K19" s="28" t="str">
        <f t="shared" si="0"/>
        <v/>
      </c>
      <c r="L19" s="339" t="str">
        <f t="shared" si="1"/>
        <v/>
      </c>
      <c r="M19" s="7"/>
    </row>
    <row r="20" spans="1:13" ht="15.75" customHeight="1">
      <c r="A20" s="8"/>
      <c r="B20" s="7"/>
      <c r="C20" s="7"/>
      <c r="D20" s="5"/>
      <c r="E20" s="5"/>
      <c r="F20" s="5"/>
      <c r="G20" s="5"/>
      <c r="H20" s="5"/>
      <c r="I20" s="147"/>
      <c r="J20" s="5"/>
      <c r="K20" s="28" t="str">
        <f t="shared" si="0"/>
        <v/>
      </c>
      <c r="L20" s="339" t="str">
        <f t="shared" si="1"/>
        <v/>
      </c>
      <c r="M20" s="7"/>
    </row>
    <row r="21" spans="1:13" ht="15.75" customHeight="1">
      <c r="A21" s="8"/>
      <c r="B21" s="7"/>
      <c r="C21" s="7"/>
      <c r="D21" s="5"/>
      <c r="E21" s="5"/>
      <c r="F21" s="5"/>
      <c r="G21" s="5"/>
      <c r="H21" s="5"/>
      <c r="I21" s="147"/>
      <c r="J21" s="5"/>
      <c r="K21" s="28" t="str">
        <f t="shared" si="0"/>
        <v/>
      </c>
      <c r="L21" s="339" t="str">
        <f t="shared" si="1"/>
        <v/>
      </c>
      <c r="M21" s="7"/>
    </row>
    <row r="22" spans="1:13" ht="15.75" customHeight="1">
      <c r="A22" s="8"/>
      <c r="B22" s="7"/>
      <c r="C22" s="7"/>
      <c r="D22" s="5"/>
      <c r="E22" s="5"/>
      <c r="F22" s="5"/>
      <c r="G22" s="5"/>
      <c r="H22" s="5"/>
      <c r="I22" s="147"/>
      <c r="J22" s="5"/>
      <c r="K22" s="28" t="str">
        <f t="shared" si="0"/>
        <v/>
      </c>
      <c r="L22" s="339" t="str">
        <f t="shared" si="1"/>
        <v/>
      </c>
      <c r="M22" s="7"/>
    </row>
    <row r="23" spans="1:13" ht="15.75" customHeight="1">
      <c r="A23" s="8"/>
      <c r="B23" s="7"/>
      <c r="C23" s="7"/>
      <c r="D23" s="5"/>
      <c r="E23" s="5"/>
      <c r="F23" s="5"/>
      <c r="G23" s="5"/>
      <c r="H23" s="5"/>
      <c r="I23" s="147"/>
      <c r="J23" s="5"/>
      <c r="K23" s="28" t="str">
        <f t="shared" si="0"/>
        <v/>
      </c>
      <c r="L23" s="339" t="str">
        <f t="shared" si="1"/>
        <v/>
      </c>
      <c r="M23" s="7"/>
    </row>
    <row r="24" spans="1:13" ht="15.75" customHeight="1">
      <c r="A24" s="8"/>
      <c r="B24" s="7"/>
      <c r="C24" s="7"/>
      <c r="D24" s="5"/>
      <c r="E24" s="5"/>
      <c r="F24" s="5"/>
      <c r="G24" s="5"/>
      <c r="H24" s="5"/>
      <c r="I24" s="147"/>
      <c r="J24" s="5"/>
      <c r="K24" s="28" t="str">
        <f t="shared" si="0"/>
        <v/>
      </c>
      <c r="L24" s="339" t="str">
        <f t="shared" si="1"/>
        <v/>
      </c>
      <c r="M24" s="7"/>
    </row>
    <row r="25" spans="1:13" ht="15.75" customHeight="1">
      <c r="A25" s="8"/>
      <c r="B25" s="7"/>
      <c r="C25" s="7"/>
      <c r="D25" s="5"/>
      <c r="E25" s="5"/>
      <c r="F25" s="5"/>
      <c r="G25" s="5"/>
      <c r="H25" s="5"/>
      <c r="I25" s="147"/>
      <c r="J25" s="5"/>
      <c r="K25" s="28" t="str">
        <f t="shared" si="0"/>
        <v/>
      </c>
      <c r="L25" s="339" t="str">
        <f t="shared" si="1"/>
        <v/>
      </c>
      <c r="M25" s="7"/>
    </row>
    <row r="26" spans="1:13" ht="15.75" customHeight="1">
      <c r="A26" s="8"/>
      <c r="B26" s="7"/>
      <c r="C26" s="7"/>
      <c r="D26" s="5"/>
      <c r="E26" s="5"/>
      <c r="F26" s="5"/>
      <c r="G26" s="5"/>
      <c r="H26" s="5"/>
      <c r="I26" s="147"/>
      <c r="J26" s="5"/>
      <c r="K26" s="28" t="str">
        <f t="shared" si="0"/>
        <v/>
      </c>
      <c r="L26" s="339" t="str">
        <f t="shared" si="1"/>
        <v/>
      </c>
      <c r="M26" s="7"/>
    </row>
    <row r="27" spans="1:13" ht="15.75" customHeight="1">
      <c r="A27" s="420" t="s">
        <v>534</v>
      </c>
      <c r="B27" s="421"/>
      <c r="C27" s="86"/>
      <c r="D27" s="31" t="str">
        <f>IF(SUM(D8:D26)=0,"",SUM(D8:D26))</f>
        <v/>
      </c>
      <c r="E27" s="31"/>
      <c r="F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7" s="31"/>
      <c r="H27" s="31" t="str">
        <f>IF(SUM(H8:H26)=0,"",SUM(H8:H26))</f>
        <v/>
      </c>
      <c r="I27" s="242"/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28" t="str">
        <f t="shared" ca="1" si="0"/>
        <v/>
      </c>
      <c r="L27" s="339" t="str">
        <f t="shared" ca="1" si="1"/>
        <v/>
      </c>
      <c r="M27" s="234"/>
    </row>
    <row r="28" spans="1:13" ht="15.75" hidden="1" customHeight="1">
      <c r="A28" s="8"/>
      <c r="B28" s="7"/>
      <c r="C28" s="7"/>
      <c r="D28" s="5"/>
      <c r="E28" s="5"/>
      <c r="F28" s="5"/>
      <c r="G28" s="5"/>
      <c r="H28" s="5"/>
      <c r="I28" s="147"/>
      <c r="J28" s="5"/>
      <c r="K28" s="28" t="str">
        <f>IF(ISERROR(J28-F28),"",IF(J28=0,"",J28-F28))</f>
        <v/>
      </c>
      <c r="L28" s="339" t="str">
        <f>IF(ISERROR(J28-F28),"",IF(J28=0,"",IF(K28="",0,ROUND(K28*100/F28,2))))</f>
        <v/>
      </c>
      <c r="M28" s="7"/>
    </row>
    <row r="29" spans="1:13" ht="15.75" hidden="1" customHeight="1">
      <c r="A29" s="8"/>
      <c r="B29" s="7"/>
      <c r="C29" s="7"/>
      <c r="D29" s="5"/>
      <c r="E29" s="5"/>
      <c r="F29" s="5"/>
      <c r="G29" s="5"/>
      <c r="H29" s="5"/>
      <c r="I29" s="147"/>
      <c r="J29" s="5"/>
      <c r="K29" s="28" t="str">
        <f t="shared" ref="K29:K47" si="2">IF(ISERROR(J29-F29),"",IF(J29=0,"",J29-F29))</f>
        <v/>
      </c>
      <c r="L29" s="339" t="str">
        <f t="shared" ref="L29:L47" si="3">IF(ISERROR(J29-F29),"",IF(J29=0,"",IF(K29="",0,ROUND(K29*100/F29,2))))</f>
        <v/>
      </c>
      <c r="M29" s="7"/>
    </row>
    <row r="30" spans="1:13" ht="15.75" hidden="1" customHeight="1">
      <c r="A30" s="8"/>
      <c r="B30" s="7"/>
      <c r="C30" s="7"/>
      <c r="D30" s="5"/>
      <c r="E30" s="5"/>
      <c r="F30" s="5"/>
      <c r="G30" s="5"/>
      <c r="H30" s="5"/>
      <c r="I30" s="147"/>
      <c r="J30" s="5"/>
      <c r="K30" s="28" t="str">
        <f t="shared" si="2"/>
        <v/>
      </c>
      <c r="L30" s="339" t="str">
        <f t="shared" si="3"/>
        <v/>
      </c>
      <c r="M30" s="7"/>
    </row>
    <row r="31" spans="1:13" ht="15.75" hidden="1" customHeight="1">
      <c r="A31" s="8"/>
      <c r="B31" s="7"/>
      <c r="C31" s="7"/>
      <c r="D31" s="5"/>
      <c r="E31" s="5"/>
      <c r="F31" s="5"/>
      <c r="G31" s="5"/>
      <c r="H31" s="5"/>
      <c r="I31" s="147"/>
      <c r="J31" s="5"/>
      <c r="K31" s="28" t="str">
        <f t="shared" si="2"/>
        <v/>
      </c>
      <c r="L31" s="339" t="str">
        <f t="shared" si="3"/>
        <v/>
      </c>
      <c r="M31" s="7"/>
    </row>
    <row r="32" spans="1:13" ht="15.75" hidden="1" customHeight="1">
      <c r="A32" s="8"/>
      <c r="B32" s="7"/>
      <c r="C32" s="7"/>
      <c r="D32" s="5"/>
      <c r="E32" s="5"/>
      <c r="F32" s="5"/>
      <c r="G32" s="5"/>
      <c r="H32" s="5"/>
      <c r="I32" s="147"/>
      <c r="J32" s="5"/>
      <c r="K32" s="28" t="str">
        <f t="shared" si="2"/>
        <v/>
      </c>
      <c r="L32" s="339" t="str">
        <f t="shared" si="3"/>
        <v/>
      </c>
      <c r="M32" s="7"/>
    </row>
    <row r="33" spans="1:13" ht="15.75" hidden="1" customHeight="1">
      <c r="A33" s="8"/>
      <c r="B33" s="7"/>
      <c r="C33" s="7"/>
      <c r="D33" s="5"/>
      <c r="E33" s="5"/>
      <c r="F33" s="5"/>
      <c r="G33" s="5"/>
      <c r="H33" s="5"/>
      <c r="I33" s="147"/>
      <c r="J33" s="5"/>
      <c r="K33" s="28" t="str">
        <f t="shared" si="2"/>
        <v/>
      </c>
      <c r="L33" s="339" t="str">
        <f t="shared" si="3"/>
        <v/>
      </c>
      <c r="M33" s="7"/>
    </row>
    <row r="34" spans="1:13" ht="15.75" hidden="1" customHeight="1">
      <c r="A34" s="8"/>
      <c r="B34" s="7"/>
      <c r="C34" s="7"/>
      <c r="D34" s="5"/>
      <c r="E34" s="5"/>
      <c r="F34" s="5"/>
      <c r="G34" s="5"/>
      <c r="H34" s="5"/>
      <c r="I34" s="147"/>
      <c r="J34" s="5"/>
      <c r="K34" s="28" t="str">
        <f t="shared" si="2"/>
        <v/>
      </c>
      <c r="L34" s="339" t="str">
        <f t="shared" si="3"/>
        <v/>
      </c>
      <c r="M34" s="7"/>
    </row>
    <row r="35" spans="1:13" ht="15.75" hidden="1" customHeight="1">
      <c r="A35" s="8"/>
      <c r="B35" s="7"/>
      <c r="C35" s="7"/>
      <c r="D35" s="5"/>
      <c r="E35" s="5"/>
      <c r="F35" s="5"/>
      <c r="G35" s="5"/>
      <c r="H35" s="5"/>
      <c r="I35" s="147"/>
      <c r="J35" s="5"/>
      <c r="K35" s="28" t="str">
        <f t="shared" si="2"/>
        <v/>
      </c>
      <c r="L35" s="339" t="str">
        <f t="shared" si="3"/>
        <v/>
      </c>
      <c r="M35" s="7"/>
    </row>
    <row r="36" spans="1:13" ht="15.75" hidden="1" customHeight="1">
      <c r="A36" s="8"/>
      <c r="B36" s="7"/>
      <c r="C36" s="7"/>
      <c r="D36" s="5"/>
      <c r="E36" s="5"/>
      <c r="F36" s="5"/>
      <c r="G36" s="5"/>
      <c r="H36" s="5"/>
      <c r="I36" s="147"/>
      <c r="J36" s="5"/>
      <c r="K36" s="28" t="str">
        <f t="shared" si="2"/>
        <v/>
      </c>
      <c r="L36" s="339" t="str">
        <f t="shared" si="3"/>
        <v/>
      </c>
      <c r="M36" s="7"/>
    </row>
    <row r="37" spans="1:13" ht="15.75" hidden="1" customHeight="1">
      <c r="A37" s="8"/>
      <c r="B37" s="7"/>
      <c r="C37" s="7"/>
      <c r="D37" s="5"/>
      <c r="E37" s="5"/>
      <c r="F37" s="5"/>
      <c r="G37" s="5"/>
      <c r="H37" s="5"/>
      <c r="I37" s="147"/>
      <c r="J37" s="5"/>
      <c r="K37" s="28" t="str">
        <f t="shared" si="2"/>
        <v/>
      </c>
      <c r="L37" s="339" t="str">
        <f t="shared" si="3"/>
        <v/>
      </c>
      <c r="M37" s="7"/>
    </row>
    <row r="38" spans="1:13" ht="15.75" hidden="1" customHeight="1">
      <c r="A38" s="8"/>
      <c r="B38" s="7"/>
      <c r="C38" s="7"/>
      <c r="D38" s="5"/>
      <c r="E38" s="5"/>
      <c r="F38" s="5"/>
      <c r="G38" s="5"/>
      <c r="H38" s="5"/>
      <c r="I38" s="147"/>
      <c r="J38" s="5"/>
      <c r="K38" s="28" t="str">
        <f t="shared" si="2"/>
        <v/>
      </c>
      <c r="L38" s="339" t="str">
        <f t="shared" si="3"/>
        <v/>
      </c>
      <c r="M38" s="7"/>
    </row>
    <row r="39" spans="1:13" ht="15.75" hidden="1" customHeight="1">
      <c r="A39" s="8"/>
      <c r="B39" s="7"/>
      <c r="C39" s="7"/>
      <c r="D39" s="5"/>
      <c r="E39" s="5"/>
      <c r="F39" s="5"/>
      <c r="G39" s="5"/>
      <c r="H39" s="5"/>
      <c r="I39" s="147"/>
      <c r="J39" s="5"/>
      <c r="K39" s="28" t="str">
        <f t="shared" si="2"/>
        <v/>
      </c>
      <c r="L39" s="339" t="str">
        <f t="shared" si="3"/>
        <v/>
      </c>
      <c r="M39" s="7"/>
    </row>
    <row r="40" spans="1:13" ht="15.75" hidden="1" customHeight="1">
      <c r="A40" s="8"/>
      <c r="B40" s="7"/>
      <c r="C40" s="7"/>
      <c r="D40" s="5"/>
      <c r="E40" s="5"/>
      <c r="F40" s="5"/>
      <c r="G40" s="5"/>
      <c r="H40" s="5"/>
      <c r="I40" s="147"/>
      <c r="J40" s="5"/>
      <c r="K40" s="28" t="str">
        <f t="shared" si="2"/>
        <v/>
      </c>
      <c r="L40" s="339" t="str">
        <f t="shared" si="3"/>
        <v/>
      </c>
      <c r="M40" s="7"/>
    </row>
    <row r="41" spans="1:13" ht="15.75" hidden="1" customHeight="1">
      <c r="A41" s="8"/>
      <c r="B41" s="7"/>
      <c r="C41" s="7"/>
      <c r="D41" s="5"/>
      <c r="E41" s="5"/>
      <c r="F41" s="5"/>
      <c r="G41" s="5"/>
      <c r="H41" s="5"/>
      <c r="I41" s="147"/>
      <c r="J41" s="5"/>
      <c r="K41" s="28" t="str">
        <f t="shared" si="2"/>
        <v/>
      </c>
      <c r="L41" s="339" t="str">
        <f t="shared" si="3"/>
        <v/>
      </c>
      <c r="M41" s="7"/>
    </row>
    <row r="42" spans="1:13" ht="15.75" hidden="1" customHeight="1">
      <c r="A42" s="8"/>
      <c r="B42" s="7"/>
      <c r="C42" s="7"/>
      <c r="D42" s="5"/>
      <c r="E42" s="5"/>
      <c r="F42" s="5"/>
      <c r="G42" s="5"/>
      <c r="H42" s="5"/>
      <c r="I42" s="147"/>
      <c r="J42" s="5"/>
      <c r="K42" s="28" t="str">
        <f t="shared" si="2"/>
        <v/>
      </c>
      <c r="L42" s="339" t="str">
        <f t="shared" si="3"/>
        <v/>
      </c>
      <c r="M42" s="7"/>
    </row>
    <row r="43" spans="1:13" ht="15.75" hidden="1" customHeight="1">
      <c r="A43" s="8"/>
      <c r="B43" s="7"/>
      <c r="C43" s="7"/>
      <c r="D43" s="5"/>
      <c r="E43" s="5"/>
      <c r="F43" s="5"/>
      <c r="G43" s="5"/>
      <c r="H43" s="5"/>
      <c r="I43" s="147"/>
      <c r="J43" s="5"/>
      <c r="K43" s="28" t="str">
        <f t="shared" si="2"/>
        <v/>
      </c>
      <c r="L43" s="339" t="str">
        <f t="shared" si="3"/>
        <v/>
      </c>
      <c r="M43" s="7"/>
    </row>
    <row r="44" spans="1:13" ht="15.75" hidden="1" customHeight="1">
      <c r="A44" s="8"/>
      <c r="B44" s="7"/>
      <c r="C44" s="7"/>
      <c r="D44" s="5"/>
      <c r="E44" s="5"/>
      <c r="F44" s="5"/>
      <c r="G44" s="5"/>
      <c r="H44" s="5"/>
      <c r="I44" s="147"/>
      <c r="J44" s="5"/>
      <c r="K44" s="28" t="str">
        <f t="shared" si="2"/>
        <v/>
      </c>
      <c r="L44" s="339" t="str">
        <f t="shared" si="3"/>
        <v/>
      </c>
      <c r="M44" s="7"/>
    </row>
    <row r="45" spans="1:13" ht="15.75" hidden="1" customHeight="1">
      <c r="A45" s="8"/>
      <c r="B45" s="7"/>
      <c r="C45" s="7"/>
      <c r="D45" s="5"/>
      <c r="E45" s="5"/>
      <c r="F45" s="5"/>
      <c r="G45" s="5"/>
      <c r="H45" s="5"/>
      <c r="I45" s="147"/>
      <c r="J45" s="5"/>
      <c r="K45" s="28" t="str">
        <f t="shared" si="2"/>
        <v/>
      </c>
      <c r="L45" s="339" t="str">
        <f t="shared" si="3"/>
        <v/>
      </c>
      <c r="M45" s="7"/>
    </row>
    <row r="46" spans="1:13" ht="15.75" hidden="1" customHeight="1">
      <c r="A46" s="8"/>
      <c r="B46" s="7"/>
      <c r="C46" s="7"/>
      <c r="D46" s="5"/>
      <c r="E46" s="5"/>
      <c r="F46" s="5"/>
      <c r="G46" s="5"/>
      <c r="H46" s="5"/>
      <c r="I46" s="147"/>
      <c r="J46" s="5"/>
      <c r="K46" s="28" t="str">
        <f t="shared" si="2"/>
        <v/>
      </c>
      <c r="L46" s="339" t="str">
        <f t="shared" si="3"/>
        <v/>
      </c>
      <c r="M46" s="7"/>
    </row>
    <row r="47" spans="1:13" ht="15.75" hidden="1" customHeight="1">
      <c r="A47" s="8"/>
      <c r="B47" s="7"/>
      <c r="C47" s="7"/>
      <c r="D47" s="5"/>
      <c r="E47" s="5"/>
      <c r="F47" s="5"/>
      <c r="G47" s="5"/>
      <c r="H47" s="5"/>
      <c r="I47" s="147"/>
      <c r="J47" s="5"/>
      <c r="K47" s="28" t="str">
        <f t="shared" si="2"/>
        <v/>
      </c>
      <c r="L47" s="339" t="str">
        <f t="shared" si="3"/>
        <v/>
      </c>
      <c r="M47" s="7"/>
    </row>
  </sheetData>
  <mergeCells count="20">
    <mergeCell ref="A27:B27"/>
    <mergeCell ref="A1:M1"/>
    <mergeCell ref="A6:A7"/>
    <mergeCell ref="B6:B7"/>
    <mergeCell ref="G6:G7"/>
    <mergeCell ref="C6:C7"/>
    <mergeCell ref="D6:D7"/>
    <mergeCell ref="A2:M2"/>
    <mergeCell ref="L6:L7"/>
    <mergeCell ref="E6:F6"/>
    <mergeCell ref="H6:J6"/>
    <mergeCell ref="K6:K7"/>
    <mergeCell ref="N6:N7"/>
    <mergeCell ref="O6:O7"/>
    <mergeCell ref="P6:P7"/>
    <mergeCell ref="Q6:Q7"/>
    <mergeCell ref="R6:S6"/>
    <mergeCell ref="T6:T7"/>
    <mergeCell ref="U6:U7"/>
    <mergeCell ref="M6:M7"/>
  </mergeCells>
  <phoneticPr fontId="6" type="noConversion"/>
  <printOptions horizontalCentered="1" verticalCentered="1"/>
  <pageMargins left="1.0629921259842521" right="0.70866141732283472" top="0.23622047244094491" bottom="0.59055118110236227" header="1.7322834645669292" footer="1.1023622047244095"/>
  <pageSetup paperSize="9" scale="99" fitToHeight="0" orientation="landscape" blackAndWhite="1" horizontalDpi="1200" verticalDpi="1200" r:id="rId1"/>
  <headerFooter scaleWithDoc="0">
    <oddHeader>&amp;R&amp;"宋体,常规"&amp;10表3-11-8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12700</xdr:colOff>
                    <xdr:row>2</xdr:row>
                    <xdr:rowOff>0</xdr:rowOff>
                  </from>
                  <to>
                    <xdr:col>1</xdr:col>
                    <xdr:colOff>1028700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3</xdr:col>
                    <xdr:colOff>444500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C7F80-00DF-4EE7-8E1C-4BDB90635F0B}">
  <sheetPr codeName="Sheet100">
    <pageSetUpPr fitToPage="1"/>
  </sheetPr>
  <dimension ref="A1:R46"/>
  <sheetViews>
    <sheetView workbookViewId="0">
      <pane ySplit="6" topLeftCell="A7" activePane="bottomLeft" state="frozen"/>
      <selection activeCell="F17" sqref="F17"/>
      <selection pane="bottomLeft" activeCell="F6" sqref="F6"/>
    </sheetView>
  </sheetViews>
  <sheetFormatPr baseColWidth="10" defaultColWidth="9" defaultRowHeight="15.75" customHeight="1"/>
  <cols>
    <col min="1" max="1" width="5.1640625" style="81" customWidth="1"/>
    <col min="2" max="2" width="16" style="81" customWidth="1"/>
    <col min="3" max="3" width="9.5" style="81" customWidth="1"/>
    <col min="4" max="4" width="10.33203125" style="81" customWidth="1"/>
    <col min="5" max="5" width="9.1640625" style="81" customWidth="1"/>
    <col min="6" max="6" width="9.83203125" style="81" customWidth="1"/>
    <col min="7" max="8" width="12.5" style="138" customWidth="1"/>
    <col min="9" max="9" width="11.5" style="139" customWidth="1"/>
    <col min="10" max="10" width="11.6640625" style="340" customWidth="1"/>
    <col min="11" max="11" width="9" style="81" customWidth="1"/>
    <col min="12" max="13" width="6.1640625" style="81" customWidth="1"/>
    <col min="14" max="14" width="4.83203125" style="81" customWidth="1"/>
    <col min="15" max="15" width="4.5" style="81" customWidth="1"/>
    <col min="16" max="16" width="5" style="81" customWidth="1"/>
    <col min="17" max="17" width="8.33203125" style="81" customWidth="1"/>
    <col min="18" max="18" width="7.33203125" style="81" customWidth="1"/>
    <col min="19" max="16384" width="9" style="81"/>
  </cols>
  <sheetData>
    <row r="1" spans="1:18" s="80" customFormat="1" ht="30" customHeight="1">
      <c r="A1" s="374" t="s">
        <v>989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8" ht="14.25" customHeight="1">
      <c r="A3" s="40"/>
      <c r="B3" s="40"/>
      <c r="C3" s="40"/>
      <c r="D3" s="40"/>
      <c r="E3" s="40"/>
      <c r="F3" s="40"/>
      <c r="G3" s="40"/>
      <c r="H3" s="171"/>
      <c r="I3" s="172"/>
      <c r="J3" s="131"/>
      <c r="K3" s="178"/>
    </row>
    <row r="4" spans="1:18" ht="14.25" customHeight="1">
      <c r="A4" s="40"/>
      <c r="B4" s="40"/>
      <c r="C4" s="40"/>
      <c r="D4" s="40"/>
      <c r="E4" s="40"/>
      <c r="F4" s="40"/>
      <c r="G4" s="40"/>
      <c r="H4" s="171"/>
      <c r="I4" s="172"/>
      <c r="J4" s="131"/>
      <c r="K4" s="178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179"/>
      <c r="H5" s="179"/>
      <c r="I5" s="180"/>
      <c r="J5" s="218"/>
      <c r="K5" s="122"/>
      <c r="L5" s="445" t="s">
        <v>942</v>
      </c>
      <c r="M5" s="445" t="s">
        <v>687</v>
      </c>
      <c r="N5" s="445" t="s">
        <v>689</v>
      </c>
      <c r="O5" s="445" t="s">
        <v>690</v>
      </c>
      <c r="P5" s="445" t="s">
        <v>597</v>
      </c>
      <c r="Q5" s="445" t="s">
        <v>598</v>
      </c>
      <c r="R5" s="445" t="s">
        <v>599</v>
      </c>
    </row>
    <row r="6" spans="1:18" s="101" customFormat="1" ht="14.25" customHeight="1">
      <c r="A6" s="45" t="s">
        <v>7</v>
      </c>
      <c r="B6" s="45" t="s">
        <v>51</v>
      </c>
      <c r="C6" s="188" t="s">
        <v>35</v>
      </c>
      <c r="D6" s="45" t="s">
        <v>36</v>
      </c>
      <c r="E6" s="45" t="s">
        <v>941</v>
      </c>
      <c r="F6" s="188" t="s">
        <v>946</v>
      </c>
      <c r="G6" s="45" t="s">
        <v>117</v>
      </c>
      <c r="H6" s="181" t="s">
        <v>0</v>
      </c>
      <c r="I6" s="182" t="s">
        <v>1</v>
      </c>
      <c r="J6" s="341" t="s">
        <v>479</v>
      </c>
      <c r="K6" s="45" t="s">
        <v>39</v>
      </c>
      <c r="L6" s="446"/>
      <c r="M6" s="446"/>
      <c r="N6" s="446" t="s">
        <v>689</v>
      </c>
      <c r="O6" s="446" t="s">
        <v>690</v>
      </c>
      <c r="P6" s="446" t="s">
        <v>597</v>
      </c>
      <c r="Q6" s="446" t="s">
        <v>598</v>
      </c>
      <c r="R6" s="446" t="s">
        <v>599</v>
      </c>
    </row>
    <row r="7" spans="1:18" ht="15.75" customHeight="1">
      <c r="A7" s="8"/>
      <c r="B7" s="7"/>
      <c r="C7" s="146"/>
      <c r="D7" s="146"/>
      <c r="E7" s="146"/>
      <c r="F7" s="157"/>
      <c r="G7" s="5"/>
      <c r="H7" s="5"/>
      <c r="I7" s="31" t="str">
        <f>IF(ISERROR(H7-G7),"",IF(H7=0,"",H7-G7))</f>
        <v/>
      </c>
      <c r="J7" s="339" t="str">
        <f>IF(ISERROR(H7-G7),"",IF(H7=0,"",IF(I7="",0,ROUND(I7*100/G7,2))))</f>
        <v/>
      </c>
      <c r="K7" s="7"/>
    </row>
    <row r="8" spans="1:18" ht="15.75" customHeight="1">
      <c r="A8" s="8"/>
      <c r="B8" s="7"/>
      <c r="C8" s="146"/>
      <c r="D8" s="146"/>
      <c r="E8" s="146"/>
      <c r="F8" s="158"/>
      <c r="G8" s="5"/>
      <c r="H8" s="5"/>
      <c r="I8" s="31" t="str">
        <f t="shared" ref="I8:I24" si="0">IF(ISERROR(H8-G8),"",IF(H8=0,"",H8-G8))</f>
        <v/>
      </c>
      <c r="J8" s="339" t="str">
        <f t="shared" ref="J8:J24" si="1">IF(ISERROR(H8-G8),"",IF(H8=0,"",IF(I8="",0,ROUND(I8*100/G8,2))))</f>
        <v/>
      </c>
      <c r="K8" s="7"/>
    </row>
    <row r="9" spans="1:18" ht="15.75" customHeight="1">
      <c r="A9" s="8"/>
      <c r="B9" s="7"/>
      <c r="C9" s="146"/>
      <c r="D9" s="146"/>
      <c r="E9" s="146"/>
      <c r="F9" s="158"/>
      <c r="G9" s="5"/>
      <c r="H9" s="5"/>
      <c r="I9" s="31" t="str">
        <f t="shared" si="0"/>
        <v/>
      </c>
      <c r="J9" s="339" t="str">
        <f t="shared" si="1"/>
        <v/>
      </c>
      <c r="K9" s="7"/>
    </row>
    <row r="10" spans="1:18" ht="15.75" customHeight="1">
      <c r="A10" s="8"/>
      <c r="B10" s="7"/>
      <c r="C10" s="146"/>
      <c r="D10" s="146"/>
      <c r="E10" s="146"/>
      <c r="F10" s="158"/>
      <c r="G10" s="5"/>
      <c r="H10" s="5"/>
      <c r="I10" s="31" t="str">
        <f t="shared" si="0"/>
        <v/>
      </c>
      <c r="J10" s="339" t="str">
        <f t="shared" si="1"/>
        <v/>
      </c>
      <c r="K10" s="7"/>
    </row>
    <row r="11" spans="1:18" ht="15.75" customHeight="1">
      <c r="A11" s="8"/>
      <c r="B11" s="7"/>
      <c r="C11" s="146"/>
      <c r="D11" s="146"/>
      <c r="E11" s="146"/>
      <c r="F11" s="158"/>
      <c r="G11" s="5"/>
      <c r="H11" s="5"/>
      <c r="I11" s="31" t="str">
        <f t="shared" si="0"/>
        <v/>
      </c>
      <c r="J11" s="339" t="str">
        <f t="shared" si="1"/>
        <v/>
      </c>
      <c r="K11" s="7"/>
    </row>
    <row r="12" spans="1:18" ht="15.75" customHeight="1">
      <c r="A12" s="8"/>
      <c r="B12" s="7"/>
      <c r="C12" s="146"/>
      <c r="D12" s="146"/>
      <c r="E12" s="146"/>
      <c r="F12" s="158"/>
      <c r="G12" s="5"/>
      <c r="H12" s="5"/>
      <c r="I12" s="31" t="str">
        <f t="shared" si="0"/>
        <v/>
      </c>
      <c r="J12" s="339" t="str">
        <f t="shared" si="1"/>
        <v/>
      </c>
      <c r="K12" s="7"/>
    </row>
    <row r="13" spans="1:18" ht="15.75" customHeight="1">
      <c r="A13" s="8"/>
      <c r="B13" s="7"/>
      <c r="C13" s="146"/>
      <c r="D13" s="146"/>
      <c r="E13" s="146"/>
      <c r="F13" s="158"/>
      <c r="G13" s="5"/>
      <c r="H13" s="5"/>
      <c r="I13" s="31" t="str">
        <f t="shared" si="0"/>
        <v/>
      </c>
      <c r="J13" s="339" t="str">
        <f t="shared" si="1"/>
        <v/>
      </c>
      <c r="K13" s="7"/>
    </row>
    <row r="14" spans="1:18" ht="15.75" customHeight="1">
      <c r="A14" s="8"/>
      <c r="B14" s="7"/>
      <c r="C14" s="146"/>
      <c r="D14" s="146"/>
      <c r="E14" s="146"/>
      <c r="F14" s="158"/>
      <c r="G14" s="5"/>
      <c r="H14" s="5"/>
      <c r="I14" s="31" t="str">
        <f t="shared" si="0"/>
        <v/>
      </c>
      <c r="J14" s="339" t="str">
        <f t="shared" si="1"/>
        <v/>
      </c>
      <c r="K14" s="7"/>
    </row>
    <row r="15" spans="1:18" ht="15.75" customHeight="1">
      <c r="A15" s="8"/>
      <c r="B15" s="7"/>
      <c r="C15" s="146"/>
      <c r="D15" s="146"/>
      <c r="E15" s="146"/>
      <c r="F15" s="158"/>
      <c r="G15" s="5"/>
      <c r="H15" s="5"/>
      <c r="I15" s="31" t="str">
        <f t="shared" si="0"/>
        <v/>
      </c>
      <c r="J15" s="339" t="str">
        <f t="shared" si="1"/>
        <v/>
      </c>
      <c r="K15" s="7"/>
    </row>
    <row r="16" spans="1:18" ht="15.75" customHeight="1">
      <c r="A16" s="8"/>
      <c r="B16" s="7"/>
      <c r="C16" s="146"/>
      <c r="D16" s="146"/>
      <c r="E16" s="146"/>
      <c r="F16" s="158"/>
      <c r="G16" s="5"/>
      <c r="H16" s="5"/>
      <c r="I16" s="31" t="str">
        <f t="shared" si="0"/>
        <v/>
      </c>
      <c r="J16" s="339" t="str">
        <f t="shared" si="1"/>
        <v/>
      </c>
      <c r="K16" s="7"/>
    </row>
    <row r="17" spans="1:11" ht="15.75" customHeight="1">
      <c r="A17" s="8"/>
      <c r="B17" s="7"/>
      <c r="C17" s="146"/>
      <c r="D17" s="146"/>
      <c r="E17" s="146"/>
      <c r="F17" s="158"/>
      <c r="G17" s="5"/>
      <c r="H17" s="5"/>
      <c r="I17" s="31" t="str">
        <f t="shared" si="0"/>
        <v/>
      </c>
      <c r="J17" s="339" t="str">
        <f t="shared" si="1"/>
        <v/>
      </c>
      <c r="K17" s="7"/>
    </row>
    <row r="18" spans="1:11" ht="15.75" customHeight="1">
      <c r="A18" s="8"/>
      <c r="B18" s="7"/>
      <c r="C18" s="146"/>
      <c r="D18" s="146"/>
      <c r="E18" s="146"/>
      <c r="F18" s="158"/>
      <c r="G18" s="5"/>
      <c r="H18" s="5"/>
      <c r="I18" s="31" t="str">
        <f t="shared" si="0"/>
        <v/>
      </c>
      <c r="J18" s="339" t="str">
        <f t="shared" si="1"/>
        <v/>
      </c>
      <c r="K18" s="7"/>
    </row>
    <row r="19" spans="1:11" ht="15.75" customHeight="1">
      <c r="A19" s="8"/>
      <c r="B19" s="7"/>
      <c r="C19" s="146"/>
      <c r="D19" s="146"/>
      <c r="E19" s="146"/>
      <c r="F19" s="158"/>
      <c r="G19" s="5"/>
      <c r="H19" s="5"/>
      <c r="I19" s="31" t="str">
        <f t="shared" si="0"/>
        <v/>
      </c>
      <c r="J19" s="339" t="str">
        <f t="shared" si="1"/>
        <v/>
      </c>
      <c r="K19" s="7"/>
    </row>
    <row r="20" spans="1:11" ht="15.75" customHeight="1">
      <c r="A20" s="8"/>
      <c r="B20" s="7"/>
      <c r="C20" s="146"/>
      <c r="D20" s="146"/>
      <c r="E20" s="146"/>
      <c r="F20" s="158"/>
      <c r="G20" s="5"/>
      <c r="H20" s="5"/>
      <c r="I20" s="31" t="str">
        <f t="shared" si="0"/>
        <v/>
      </c>
      <c r="J20" s="339" t="str">
        <f t="shared" si="1"/>
        <v/>
      </c>
      <c r="K20" s="7"/>
    </row>
    <row r="21" spans="1:11" ht="15.75" customHeight="1">
      <c r="A21" s="8"/>
      <c r="B21" s="7"/>
      <c r="C21" s="146"/>
      <c r="D21" s="146"/>
      <c r="E21" s="146"/>
      <c r="F21" s="158"/>
      <c r="G21" s="5"/>
      <c r="H21" s="5"/>
      <c r="I21" s="31" t="str">
        <f t="shared" si="0"/>
        <v/>
      </c>
      <c r="J21" s="339" t="str">
        <f t="shared" si="1"/>
        <v/>
      </c>
      <c r="K21" s="7"/>
    </row>
    <row r="22" spans="1:11" ht="15.75" customHeight="1">
      <c r="A22" s="8"/>
      <c r="B22" s="7"/>
      <c r="C22" s="146"/>
      <c r="D22" s="146"/>
      <c r="E22" s="146"/>
      <c r="F22" s="158"/>
      <c r="G22" s="5"/>
      <c r="H22" s="5"/>
      <c r="I22" s="31" t="str">
        <f t="shared" si="0"/>
        <v/>
      </c>
      <c r="J22" s="339" t="str">
        <f t="shared" si="1"/>
        <v/>
      </c>
      <c r="K22" s="7"/>
    </row>
    <row r="23" spans="1:11" ht="15.75" customHeight="1">
      <c r="A23" s="8"/>
      <c r="B23" s="7"/>
      <c r="C23" s="146"/>
      <c r="D23" s="146"/>
      <c r="E23" s="146"/>
      <c r="F23" s="158"/>
      <c r="G23" s="5"/>
      <c r="H23" s="5"/>
      <c r="I23" s="31" t="str">
        <f t="shared" si="0"/>
        <v/>
      </c>
      <c r="J23" s="339" t="str">
        <f t="shared" si="1"/>
        <v/>
      </c>
      <c r="K23" s="7"/>
    </row>
    <row r="24" spans="1:11" ht="15.75" customHeight="1">
      <c r="A24" s="420" t="s">
        <v>534</v>
      </c>
      <c r="B24" s="421"/>
      <c r="C24" s="237"/>
      <c r="D24" s="232"/>
      <c r="E24" s="232"/>
      <c r="F24" s="238"/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t="shared" ca="1" si="0"/>
        <v/>
      </c>
      <c r="J24" s="339" t="str">
        <f t="shared" ca="1" si="1"/>
        <v/>
      </c>
      <c r="K24" s="234"/>
    </row>
    <row r="25" spans="1:11" ht="15.75" customHeight="1">
      <c r="A25" s="379" t="s">
        <v>908</v>
      </c>
      <c r="B25" s="444"/>
      <c r="C25" s="237"/>
      <c r="D25" s="232"/>
      <c r="E25" s="232"/>
      <c r="F25" s="238"/>
      <c r="G25" s="31"/>
      <c r="H25" s="31"/>
      <c r="I25" s="31"/>
      <c r="J25" s="339"/>
      <c r="K25" s="234"/>
    </row>
    <row r="26" spans="1:11" ht="15.75" customHeight="1">
      <c r="A26" s="420" t="s">
        <v>534</v>
      </c>
      <c r="B26" s="421"/>
      <c r="C26" s="30"/>
      <c r="D26" s="30"/>
      <c r="E26" s="30"/>
      <c r="F26" s="236"/>
      <c r="G26" s="31" t="str">
        <f ca="1">IF(G25="",G24,G24-G25)</f>
        <v/>
      </c>
      <c r="H26" s="31" t="str">
        <f ca="1">IF(H25="",H24,H24-H25)</f>
        <v/>
      </c>
      <c r="I26" s="31" t="str">
        <f ca="1">IF(ISERROR(H26-G26),"",IF(H26=0,"",H26-G26))</f>
        <v/>
      </c>
      <c r="J26" s="339" t="str">
        <f ca="1">IF(ISERROR(H26-G26),"",IF(H26=0,"",IF(I26="",0,ROUND(I26*100/G26,2))))</f>
        <v/>
      </c>
      <c r="K26" s="234"/>
    </row>
    <row r="27" spans="1:11" ht="15.75" hidden="1" customHeight="1">
      <c r="A27" s="8"/>
      <c r="B27" s="7"/>
      <c r="C27" s="146"/>
      <c r="D27" s="146"/>
      <c r="E27" s="146"/>
      <c r="F27" s="158"/>
      <c r="G27" s="5"/>
      <c r="H27" s="5"/>
      <c r="I27" s="28" t="str">
        <f t="shared" ref="I27:I46" si="2">IF(ISERROR(H27-G27),"",IF(H27=0,"",H27-G27))</f>
        <v/>
      </c>
      <c r="J27" s="339" t="str">
        <f t="shared" ref="J27:J46" si="3">IF(ISERROR(H27-G27),"",IF(H27=0,"",IF(I27="",0,ROUND(I27*100/G27,2))))</f>
        <v/>
      </c>
      <c r="K27" s="7"/>
    </row>
    <row r="28" spans="1:11" ht="15.75" hidden="1" customHeight="1">
      <c r="A28" s="8"/>
      <c r="B28" s="7"/>
      <c r="C28" s="146"/>
      <c r="D28" s="146"/>
      <c r="E28" s="146"/>
      <c r="F28" s="158"/>
      <c r="G28" s="5"/>
      <c r="H28" s="5"/>
      <c r="I28" s="28" t="str">
        <f t="shared" si="2"/>
        <v/>
      </c>
      <c r="J28" s="339" t="str">
        <f t="shared" si="3"/>
        <v/>
      </c>
      <c r="K28" s="7"/>
    </row>
    <row r="29" spans="1:11" ht="15.75" hidden="1" customHeight="1">
      <c r="A29" s="8"/>
      <c r="B29" s="7"/>
      <c r="C29" s="146"/>
      <c r="D29" s="146"/>
      <c r="E29" s="146"/>
      <c r="F29" s="158"/>
      <c r="G29" s="5"/>
      <c r="H29" s="5"/>
      <c r="I29" s="28" t="str">
        <f t="shared" si="2"/>
        <v/>
      </c>
      <c r="J29" s="339" t="str">
        <f t="shared" si="3"/>
        <v/>
      </c>
      <c r="K29" s="7"/>
    </row>
    <row r="30" spans="1:11" ht="15.75" hidden="1" customHeight="1">
      <c r="A30" s="8"/>
      <c r="B30" s="7"/>
      <c r="C30" s="146"/>
      <c r="D30" s="146"/>
      <c r="E30" s="146"/>
      <c r="F30" s="158"/>
      <c r="G30" s="5"/>
      <c r="H30" s="5"/>
      <c r="I30" s="28" t="str">
        <f t="shared" si="2"/>
        <v/>
      </c>
      <c r="J30" s="339" t="str">
        <f t="shared" si="3"/>
        <v/>
      </c>
      <c r="K30" s="7"/>
    </row>
    <row r="31" spans="1:11" ht="15.75" hidden="1" customHeight="1">
      <c r="A31" s="8"/>
      <c r="B31" s="7"/>
      <c r="C31" s="146"/>
      <c r="D31" s="146"/>
      <c r="E31" s="146"/>
      <c r="F31" s="158"/>
      <c r="G31" s="5"/>
      <c r="H31" s="5"/>
      <c r="I31" s="28" t="str">
        <f t="shared" si="2"/>
        <v/>
      </c>
      <c r="J31" s="339" t="str">
        <f t="shared" si="3"/>
        <v/>
      </c>
      <c r="K31" s="7"/>
    </row>
    <row r="32" spans="1:11" ht="15.75" hidden="1" customHeight="1">
      <c r="A32" s="8"/>
      <c r="B32" s="7"/>
      <c r="C32" s="146"/>
      <c r="D32" s="146"/>
      <c r="E32" s="146"/>
      <c r="F32" s="158"/>
      <c r="G32" s="5"/>
      <c r="H32" s="5"/>
      <c r="I32" s="2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146"/>
      <c r="D33" s="146"/>
      <c r="E33" s="146"/>
      <c r="F33" s="158"/>
      <c r="G33" s="5"/>
      <c r="H33" s="5"/>
      <c r="I33" s="2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146"/>
      <c r="D34" s="146"/>
      <c r="E34" s="146"/>
      <c r="F34" s="158"/>
      <c r="G34" s="5"/>
      <c r="H34" s="5"/>
      <c r="I34" s="2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146"/>
      <c r="D35" s="146"/>
      <c r="E35" s="146"/>
      <c r="F35" s="158"/>
      <c r="G35" s="5"/>
      <c r="H35" s="5"/>
      <c r="I35" s="2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146"/>
      <c r="D36" s="146"/>
      <c r="E36" s="146"/>
      <c r="F36" s="158"/>
      <c r="G36" s="5"/>
      <c r="H36" s="5"/>
      <c r="I36" s="2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146"/>
      <c r="D37" s="146"/>
      <c r="E37" s="146"/>
      <c r="F37" s="158"/>
      <c r="G37" s="5"/>
      <c r="H37" s="5"/>
      <c r="I37" s="2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146"/>
      <c r="D38" s="146"/>
      <c r="E38" s="146"/>
      <c r="F38" s="158"/>
      <c r="G38" s="5"/>
      <c r="H38" s="5"/>
      <c r="I38" s="2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146"/>
      <c r="D39" s="146"/>
      <c r="E39" s="146"/>
      <c r="F39" s="158"/>
      <c r="G39" s="5"/>
      <c r="H39" s="5"/>
      <c r="I39" s="2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146"/>
      <c r="D40" s="146"/>
      <c r="E40" s="146"/>
      <c r="F40" s="158"/>
      <c r="G40" s="5"/>
      <c r="H40" s="5"/>
      <c r="I40" s="2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146"/>
      <c r="D41" s="146"/>
      <c r="E41" s="146"/>
      <c r="F41" s="158"/>
      <c r="G41" s="5"/>
      <c r="H41" s="5"/>
      <c r="I41" s="2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146"/>
      <c r="D42" s="146"/>
      <c r="E42" s="146"/>
      <c r="F42" s="158"/>
      <c r="G42" s="5"/>
      <c r="H42" s="5"/>
      <c r="I42" s="2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146"/>
      <c r="D43" s="146"/>
      <c r="E43" s="146"/>
      <c r="F43" s="158"/>
      <c r="G43" s="5"/>
      <c r="H43" s="5"/>
      <c r="I43" s="2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146"/>
      <c r="D44" s="146"/>
      <c r="E44" s="146"/>
      <c r="F44" s="158"/>
      <c r="G44" s="5"/>
      <c r="H44" s="5"/>
      <c r="I44" s="2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146"/>
      <c r="D45" s="146"/>
      <c r="E45" s="146"/>
      <c r="F45" s="158"/>
      <c r="G45" s="5"/>
      <c r="H45" s="5"/>
      <c r="I45" s="2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146"/>
      <c r="D46" s="146"/>
      <c r="E46" s="146"/>
      <c r="F46" s="158"/>
      <c r="G46" s="5"/>
      <c r="H46" s="5"/>
      <c r="I46" s="28" t="str">
        <f t="shared" si="2"/>
        <v/>
      </c>
      <c r="J46" s="339" t="str">
        <f t="shared" si="3"/>
        <v/>
      </c>
      <c r="K46" s="7"/>
    </row>
  </sheetData>
  <mergeCells count="12">
    <mergeCell ref="A26:B26"/>
    <mergeCell ref="M5:M6"/>
    <mergeCell ref="P5:P6"/>
    <mergeCell ref="Q5:Q6"/>
    <mergeCell ref="R5:R6"/>
    <mergeCell ref="A24:B24"/>
    <mergeCell ref="A25:B25"/>
    <mergeCell ref="A1:K1"/>
    <mergeCell ref="A2:K2"/>
    <mergeCell ref="L5:L6"/>
    <mergeCell ref="N5:N6"/>
    <mergeCell ref="O5:O6"/>
  </mergeCells>
  <phoneticPr fontId="52" type="noConversion"/>
  <printOptions horizontalCentered="1" verticalCentered="1"/>
  <pageMargins left="1.3385826771653544" right="0.82677165354330717" top="0.4" bottom="0.82677165354330717" header="1.7716535433070868" footer="1.1811023622047245"/>
  <pageSetup paperSize="9" scale="97" fitToHeight="0" orientation="landscape" blackAndWhite="1" horizontalDpi="1200" verticalDpi="1200" r:id="rId1"/>
  <headerFooter scaleWithDoc="0">
    <oddHeader>&amp;R&amp;"宋体,常规"&amp;10表3-3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3</xdr:col>
                    <xdr:colOff>279400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A036-391D-45A5-8838-3D071943BBA8}">
  <sheetPr codeName="Sheet35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activeCell="E13" sqref="E13"/>
    </sheetView>
  </sheetViews>
  <sheetFormatPr baseColWidth="10" defaultColWidth="9" defaultRowHeight="15.75" customHeight="1"/>
  <cols>
    <col min="1" max="1" width="5.6640625" style="81" customWidth="1"/>
    <col min="2" max="2" width="19.6640625" style="81" customWidth="1"/>
    <col min="3" max="6" width="13.5" style="81" customWidth="1"/>
    <col min="7" max="7" width="13.5" style="135" customWidth="1"/>
    <col min="8" max="8" width="13.5" style="340" customWidth="1"/>
    <col min="9" max="9" width="13.5" style="81" customWidth="1"/>
    <col min="10" max="10" width="8.5" style="81" customWidth="1"/>
    <col min="11" max="11" width="15.5" style="81" customWidth="1"/>
    <col min="12" max="12" width="8.1640625" style="81" customWidth="1"/>
    <col min="13" max="16384" width="9" style="81"/>
  </cols>
  <sheetData>
    <row r="1" spans="1:12" s="80" customFormat="1" ht="30" customHeight="1">
      <c r="A1" s="374" t="s">
        <v>990</v>
      </c>
      <c r="B1" s="375"/>
      <c r="C1" s="375"/>
      <c r="D1" s="375"/>
      <c r="E1" s="375"/>
      <c r="F1" s="375"/>
      <c r="G1" s="375"/>
      <c r="H1" s="375"/>
      <c r="I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</row>
    <row r="3" spans="1:12" ht="14.25" customHeight="1">
      <c r="A3" s="40"/>
      <c r="B3" s="40"/>
      <c r="C3" s="40"/>
      <c r="D3" s="40"/>
      <c r="E3" s="40"/>
      <c r="F3" s="171"/>
      <c r="G3" s="172"/>
      <c r="H3" s="131"/>
      <c r="I3" s="178"/>
    </row>
    <row r="4" spans="1:12" ht="14.25" customHeight="1">
      <c r="A4" s="40"/>
      <c r="B4" s="40"/>
      <c r="C4" s="40"/>
      <c r="D4" s="40"/>
      <c r="E4" s="40"/>
      <c r="F4" s="171"/>
      <c r="G4" s="172"/>
      <c r="H4" s="218"/>
      <c r="I4" s="187"/>
    </row>
    <row r="5" spans="1:12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173"/>
      <c r="H5" s="218"/>
      <c r="I5" s="122"/>
    </row>
    <row r="6" spans="1:12" s="101" customFormat="1" ht="15.75" customHeight="1">
      <c r="A6" s="45" t="s">
        <v>7</v>
      </c>
      <c r="B6" s="45" t="s">
        <v>108</v>
      </c>
      <c r="C6" s="45" t="s">
        <v>158</v>
      </c>
      <c r="D6" s="45" t="s">
        <v>160</v>
      </c>
      <c r="E6" s="188" t="s">
        <v>117</v>
      </c>
      <c r="F6" s="45" t="s">
        <v>0</v>
      </c>
      <c r="G6" s="175" t="s">
        <v>1</v>
      </c>
      <c r="H6" s="341" t="s">
        <v>479</v>
      </c>
      <c r="I6" s="45" t="s">
        <v>39</v>
      </c>
      <c r="J6" s="294" t="s">
        <v>628</v>
      </c>
      <c r="K6" s="284" t="s">
        <v>598</v>
      </c>
      <c r="L6" s="284" t="s">
        <v>599</v>
      </c>
    </row>
    <row r="7" spans="1:12" ht="15.75" customHeight="1">
      <c r="A7" s="8"/>
      <c r="B7" s="7"/>
      <c r="C7" s="8"/>
      <c r="D7" s="8"/>
      <c r="E7" s="5"/>
      <c r="F7" s="5"/>
      <c r="G7" s="28" t="str">
        <f>IF(ISERROR(F7-E7),"",IF(F7=0,"",F7-E7))</f>
        <v/>
      </c>
      <c r="H7" s="339" t="str">
        <f>IF(ISERROR(F7-E7),"",IF(F7=0,"",IF(G7="",0,ROUND(G7*100/E7,2))))</f>
        <v/>
      </c>
      <c r="I7" s="7"/>
    </row>
    <row r="8" spans="1:12" ht="15.75" customHeight="1">
      <c r="A8" s="8"/>
      <c r="B8" s="7"/>
      <c r="C8" s="146"/>
      <c r="D8" s="146"/>
      <c r="E8" s="5"/>
      <c r="F8" s="5"/>
      <c r="G8" s="28" t="str">
        <f t="shared" ref="G8:G26" si="0">IF(ISERROR(F8-E8),"",IF(F8=0,"",F8-E8))</f>
        <v/>
      </c>
      <c r="H8" s="339" t="str">
        <f t="shared" ref="H8:H26" si="1">IF(ISERROR(F8-E8),"",IF(F8=0,"",IF(G8="",0,ROUND(G8*100/E8,2))))</f>
        <v/>
      </c>
      <c r="I8" s="7"/>
    </row>
    <row r="9" spans="1:12" ht="15.75" customHeight="1">
      <c r="A9" s="8"/>
      <c r="B9" s="7"/>
      <c r="C9" s="146"/>
      <c r="D9" s="146"/>
      <c r="E9" s="5"/>
      <c r="F9" s="5"/>
      <c r="G9" s="28" t="str">
        <f t="shared" si="0"/>
        <v/>
      </c>
      <c r="H9" s="339" t="str">
        <f t="shared" si="1"/>
        <v/>
      </c>
      <c r="I9" s="7"/>
    </row>
    <row r="10" spans="1:12" ht="15.75" customHeight="1">
      <c r="A10" s="8"/>
      <c r="B10" s="7"/>
      <c r="C10" s="146"/>
      <c r="D10" s="146"/>
      <c r="E10" s="5"/>
      <c r="F10" s="5"/>
      <c r="G10" s="28" t="str">
        <f t="shared" si="0"/>
        <v/>
      </c>
      <c r="H10" s="339" t="str">
        <f t="shared" si="1"/>
        <v/>
      </c>
      <c r="I10" s="7"/>
    </row>
    <row r="11" spans="1:12" ht="15.75" customHeight="1">
      <c r="A11" s="8"/>
      <c r="B11" s="7"/>
      <c r="C11" s="146"/>
      <c r="D11" s="146"/>
      <c r="E11" s="5"/>
      <c r="F11" s="5"/>
      <c r="G11" s="28" t="str">
        <f t="shared" si="0"/>
        <v/>
      </c>
      <c r="H11" s="339" t="str">
        <f t="shared" si="1"/>
        <v/>
      </c>
      <c r="I11" s="7"/>
    </row>
    <row r="12" spans="1:12" ht="15.75" customHeight="1">
      <c r="A12" s="8"/>
      <c r="B12" s="7"/>
      <c r="C12" s="146"/>
      <c r="D12" s="146"/>
      <c r="E12" s="5"/>
      <c r="F12" s="5"/>
      <c r="G12" s="28" t="str">
        <f t="shared" si="0"/>
        <v/>
      </c>
      <c r="H12" s="339" t="str">
        <f t="shared" si="1"/>
        <v/>
      </c>
      <c r="I12" s="7"/>
    </row>
    <row r="13" spans="1:12" ht="15.75" customHeight="1">
      <c r="A13" s="8"/>
      <c r="B13" s="7"/>
      <c r="C13" s="146"/>
      <c r="D13" s="146"/>
      <c r="E13" s="5"/>
      <c r="F13" s="5"/>
      <c r="G13" s="28" t="str">
        <f t="shared" si="0"/>
        <v/>
      </c>
      <c r="H13" s="339" t="str">
        <f t="shared" si="1"/>
        <v/>
      </c>
      <c r="I13" s="7"/>
    </row>
    <row r="14" spans="1:12" ht="15.75" customHeight="1">
      <c r="A14" s="8"/>
      <c r="B14" s="7"/>
      <c r="C14" s="146"/>
      <c r="D14" s="146"/>
      <c r="E14" s="5"/>
      <c r="F14" s="5"/>
      <c r="G14" s="28" t="str">
        <f t="shared" si="0"/>
        <v/>
      </c>
      <c r="H14" s="339" t="str">
        <f t="shared" si="1"/>
        <v/>
      </c>
      <c r="I14" s="7"/>
    </row>
    <row r="15" spans="1:12" ht="15.75" customHeight="1">
      <c r="A15" s="8"/>
      <c r="B15" s="7"/>
      <c r="C15" s="146"/>
      <c r="D15" s="146"/>
      <c r="E15" s="5"/>
      <c r="F15" s="5"/>
      <c r="G15" s="28" t="str">
        <f t="shared" si="0"/>
        <v/>
      </c>
      <c r="H15" s="339" t="str">
        <f t="shared" si="1"/>
        <v/>
      </c>
      <c r="I15" s="7"/>
    </row>
    <row r="16" spans="1:12" ht="15.75" customHeight="1">
      <c r="A16" s="8"/>
      <c r="B16" s="7"/>
      <c r="C16" s="146"/>
      <c r="D16" s="146"/>
      <c r="E16" s="5"/>
      <c r="F16" s="5"/>
      <c r="G16" s="28" t="str">
        <f t="shared" si="0"/>
        <v/>
      </c>
      <c r="H16" s="339" t="str">
        <f t="shared" si="1"/>
        <v/>
      </c>
      <c r="I16" s="7"/>
    </row>
    <row r="17" spans="1:9" ht="15.75" customHeight="1">
      <c r="A17" s="8"/>
      <c r="B17" s="7"/>
      <c r="C17" s="146"/>
      <c r="D17" s="146"/>
      <c r="E17" s="5"/>
      <c r="F17" s="5"/>
      <c r="G17" s="28" t="str">
        <f t="shared" si="0"/>
        <v/>
      </c>
      <c r="H17" s="339" t="str">
        <f t="shared" si="1"/>
        <v/>
      </c>
      <c r="I17" s="7"/>
    </row>
    <row r="18" spans="1:9" ht="15.75" customHeight="1">
      <c r="A18" s="8"/>
      <c r="B18" s="7"/>
      <c r="C18" s="146"/>
      <c r="D18" s="146"/>
      <c r="E18" s="5"/>
      <c r="F18" s="5"/>
      <c r="G18" s="28" t="str">
        <f t="shared" si="0"/>
        <v/>
      </c>
      <c r="H18" s="339" t="str">
        <f t="shared" si="1"/>
        <v/>
      </c>
      <c r="I18" s="7"/>
    </row>
    <row r="19" spans="1:9" ht="15.75" customHeight="1">
      <c r="A19" s="8"/>
      <c r="B19" s="7"/>
      <c r="C19" s="146"/>
      <c r="D19" s="146"/>
      <c r="E19" s="5"/>
      <c r="F19" s="5"/>
      <c r="G19" s="28" t="str">
        <f t="shared" si="0"/>
        <v/>
      </c>
      <c r="H19" s="339" t="str">
        <f t="shared" si="1"/>
        <v/>
      </c>
      <c r="I19" s="7"/>
    </row>
    <row r="20" spans="1:9" ht="15.75" customHeight="1">
      <c r="A20" s="8"/>
      <c r="B20" s="7"/>
      <c r="C20" s="146"/>
      <c r="D20" s="146"/>
      <c r="E20" s="5"/>
      <c r="F20" s="5"/>
      <c r="G20" s="28" t="str">
        <f t="shared" si="0"/>
        <v/>
      </c>
      <c r="H20" s="339" t="str">
        <f t="shared" si="1"/>
        <v/>
      </c>
      <c r="I20" s="7"/>
    </row>
    <row r="21" spans="1:9" ht="15.75" customHeight="1">
      <c r="A21" s="8"/>
      <c r="B21" s="7"/>
      <c r="C21" s="146"/>
      <c r="D21" s="146"/>
      <c r="E21" s="5"/>
      <c r="F21" s="5"/>
      <c r="G21" s="28" t="str">
        <f t="shared" si="0"/>
        <v/>
      </c>
      <c r="H21" s="339" t="str">
        <f t="shared" si="1"/>
        <v/>
      </c>
      <c r="I21" s="7"/>
    </row>
    <row r="22" spans="1:9" ht="15.75" customHeight="1">
      <c r="A22" s="8"/>
      <c r="B22" s="7"/>
      <c r="C22" s="146"/>
      <c r="D22" s="146"/>
      <c r="E22" s="5"/>
      <c r="F22" s="5"/>
      <c r="G22" s="28" t="str">
        <f t="shared" si="0"/>
        <v/>
      </c>
      <c r="H22" s="339" t="str">
        <f t="shared" si="1"/>
        <v/>
      </c>
      <c r="I22" s="7"/>
    </row>
    <row r="23" spans="1:9" ht="15.75" customHeight="1">
      <c r="A23" s="8"/>
      <c r="B23" s="7"/>
      <c r="C23" s="146"/>
      <c r="D23" s="146"/>
      <c r="E23" s="5"/>
      <c r="F23" s="5"/>
      <c r="G23" s="28" t="str">
        <f t="shared" si="0"/>
        <v/>
      </c>
      <c r="H23" s="339" t="str">
        <f t="shared" si="1"/>
        <v/>
      </c>
      <c r="I23" s="7"/>
    </row>
    <row r="24" spans="1:9" ht="15.75" customHeight="1">
      <c r="A24" s="8"/>
      <c r="B24" s="7"/>
      <c r="C24" s="146"/>
      <c r="D24" s="146"/>
      <c r="E24" s="5"/>
      <c r="F24" s="5"/>
      <c r="G24" s="28" t="str">
        <f t="shared" si="0"/>
        <v/>
      </c>
      <c r="H24" s="339" t="str">
        <f t="shared" si="1"/>
        <v/>
      </c>
      <c r="I24" s="7"/>
    </row>
    <row r="25" spans="1:9" ht="15.75" customHeight="1">
      <c r="A25" s="8"/>
      <c r="B25" s="7"/>
      <c r="C25" s="146"/>
      <c r="D25" s="146"/>
      <c r="E25" s="5"/>
      <c r="F25" s="5"/>
      <c r="G25" s="28" t="str">
        <f t="shared" si="0"/>
        <v/>
      </c>
      <c r="H25" s="339" t="str">
        <f t="shared" si="1"/>
        <v/>
      </c>
      <c r="I25" s="7"/>
    </row>
    <row r="26" spans="1:9" ht="15.75" customHeight="1">
      <c r="A26" s="420" t="s">
        <v>534</v>
      </c>
      <c r="B26" s="421"/>
      <c r="C26" s="232"/>
      <c r="D26" s="232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8" t="str">
        <f t="shared" ca="1" si="0"/>
        <v/>
      </c>
      <c r="H26" s="339" t="str">
        <f t="shared" ca="1" si="1"/>
        <v/>
      </c>
      <c r="I26" s="234"/>
    </row>
    <row r="27" spans="1:9" ht="15.75" hidden="1" customHeight="1">
      <c r="A27" s="8"/>
      <c r="B27" s="7"/>
      <c r="C27" s="146"/>
      <c r="D27" s="146"/>
      <c r="E27" s="5"/>
      <c r="F27" s="5"/>
      <c r="G27" s="28" t="str">
        <f>IF(ISERROR(F27-E27),"",IF(F27=0,"",F27-E27))</f>
        <v/>
      </c>
      <c r="H27" s="339" t="str">
        <f>IF(ISERROR(F27-E27),"",IF(F27=0,"",IF(G27="",0,ROUND(G27*100/E27,2))))</f>
        <v/>
      </c>
      <c r="I27" s="7"/>
    </row>
    <row r="28" spans="1:9" ht="15.75" hidden="1" customHeight="1">
      <c r="A28" s="8"/>
      <c r="B28" s="7"/>
      <c r="C28" s="146"/>
      <c r="D28" s="146"/>
      <c r="E28" s="5"/>
      <c r="F28" s="5"/>
      <c r="G28" s="28" t="str">
        <f t="shared" ref="G28:G46" si="2">IF(ISERROR(F28-E28),"",IF(F28=0,"",F28-E28))</f>
        <v/>
      </c>
      <c r="H28" s="339" t="str">
        <f t="shared" ref="H28:H46" si="3">IF(ISERROR(F28-E28),"",IF(F28=0,"",IF(G28="",0,ROUND(G28*100/E28,2))))</f>
        <v/>
      </c>
      <c r="I28" s="7"/>
    </row>
    <row r="29" spans="1:9" ht="15.75" hidden="1" customHeight="1">
      <c r="A29" s="8"/>
      <c r="B29" s="7"/>
      <c r="C29" s="146"/>
      <c r="D29" s="146"/>
      <c r="E29" s="5"/>
      <c r="F29" s="5"/>
      <c r="G29" s="28" t="str">
        <f t="shared" si="2"/>
        <v/>
      </c>
      <c r="H29" s="339" t="str">
        <f t="shared" si="3"/>
        <v/>
      </c>
      <c r="I29" s="7"/>
    </row>
    <row r="30" spans="1:9" ht="15.75" hidden="1" customHeight="1">
      <c r="A30" s="8"/>
      <c r="B30" s="7"/>
      <c r="C30" s="146"/>
      <c r="D30" s="146"/>
      <c r="E30" s="5"/>
      <c r="F30" s="5"/>
      <c r="G30" s="28" t="str">
        <f t="shared" si="2"/>
        <v/>
      </c>
      <c r="H30" s="339" t="str">
        <f t="shared" si="3"/>
        <v/>
      </c>
      <c r="I30" s="7"/>
    </row>
    <row r="31" spans="1:9" ht="15.75" hidden="1" customHeight="1">
      <c r="A31" s="8"/>
      <c r="B31" s="7"/>
      <c r="C31" s="146"/>
      <c r="D31" s="146"/>
      <c r="E31" s="5"/>
      <c r="F31" s="5"/>
      <c r="G31" s="28" t="str">
        <f t="shared" si="2"/>
        <v/>
      </c>
      <c r="H31" s="339" t="str">
        <f t="shared" si="3"/>
        <v/>
      </c>
      <c r="I31" s="7"/>
    </row>
    <row r="32" spans="1:9" ht="15.75" hidden="1" customHeight="1">
      <c r="A32" s="8"/>
      <c r="B32" s="7"/>
      <c r="C32" s="146"/>
      <c r="D32" s="146"/>
      <c r="E32" s="5"/>
      <c r="F32" s="5"/>
      <c r="G32" s="28" t="str">
        <f t="shared" si="2"/>
        <v/>
      </c>
      <c r="H32" s="339" t="str">
        <f t="shared" si="3"/>
        <v/>
      </c>
      <c r="I32" s="7"/>
    </row>
    <row r="33" spans="1:9" ht="15.75" hidden="1" customHeight="1">
      <c r="A33" s="8"/>
      <c r="B33" s="7"/>
      <c r="C33" s="146"/>
      <c r="D33" s="146"/>
      <c r="E33" s="5"/>
      <c r="F33" s="5"/>
      <c r="G33" s="28" t="str">
        <f t="shared" si="2"/>
        <v/>
      </c>
      <c r="H33" s="339" t="str">
        <f t="shared" si="3"/>
        <v/>
      </c>
      <c r="I33" s="7"/>
    </row>
    <row r="34" spans="1:9" ht="15.75" hidden="1" customHeight="1">
      <c r="A34" s="8"/>
      <c r="B34" s="7"/>
      <c r="C34" s="146"/>
      <c r="D34" s="146"/>
      <c r="E34" s="5"/>
      <c r="F34" s="5"/>
      <c r="G34" s="28" t="str">
        <f t="shared" si="2"/>
        <v/>
      </c>
      <c r="H34" s="339" t="str">
        <f t="shared" si="3"/>
        <v/>
      </c>
      <c r="I34" s="7"/>
    </row>
    <row r="35" spans="1:9" ht="15.75" hidden="1" customHeight="1">
      <c r="A35" s="8"/>
      <c r="B35" s="7"/>
      <c r="C35" s="146"/>
      <c r="D35" s="146"/>
      <c r="E35" s="5"/>
      <c r="F35" s="5"/>
      <c r="G35" s="28" t="str">
        <f t="shared" si="2"/>
        <v/>
      </c>
      <c r="H35" s="339" t="str">
        <f t="shared" si="3"/>
        <v/>
      </c>
      <c r="I35" s="7"/>
    </row>
    <row r="36" spans="1:9" ht="15.75" hidden="1" customHeight="1">
      <c r="A36" s="8"/>
      <c r="B36" s="7"/>
      <c r="C36" s="146"/>
      <c r="D36" s="146"/>
      <c r="E36" s="5"/>
      <c r="F36" s="5"/>
      <c r="G36" s="28" t="str">
        <f t="shared" si="2"/>
        <v/>
      </c>
      <c r="H36" s="339" t="str">
        <f t="shared" si="3"/>
        <v/>
      </c>
      <c r="I36" s="7"/>
    </row>
    <row r="37" spans="1:9" ht="15.75" hidden="1" customHeight="1">
      <c r="A37" s="8"/>
      <c r="B37" s="7"/>
      <c r="C37" s="146"/>
      <c r="D37" s="146"/>
      <c r="E37" s="5"/>
      <c r="F37" s="5"/>
      <c r="G37" s="28" t="str">
        <f t="shared" si="2"/>
        <v/>
      </c>
      <c r="H37" s="339" t="str">
        <f t="shared" si="3"/>
        <v/>
      </c>
      <c r="I37" s="7"/>
    </row>
    <row r="38" spans="1:9" ht="15.75" hidden="1" customHeight="1">
      <c r="A38" s="8"/>
      <c r="B38" s="7"/>
      <c r="C38" s="146"/>
      <c r="D38" s="146"/>
      <c r="E38" s="5"/>
      <c r="F38" s="5"/>
      <c r="G38" s="28" t="str">
        <f t="shared" si="2"/>
        <v/>
      </c>
      <c r="H38" s="339" t="str">
        <f t="shared" si="3"/>
        <v/>
      </c>
      <c r="I38" s="7"/>
    </row>
    <row r="39" spans="1:9" ht="15.75" hidden="1" customHeight="1">
      <c r="A39" s="8"/>
      <c r="B39" s="7"/>
      <c r="C39" s="146"/>
      <c r="D39" s="146"/>
      <c r="E39" s="5"/>
      <c r="F39" s="5"/>
      <c r="G39" s="28" t="str">
        <f t="shared" si="2"/>
        <v/>
      </c>
      <c r="H39" s="339" t="str">
        <f t="shared" si="3"/>
        <v/>
      </c>
      <c r="I39" s="7"/>
    </row>
    <row r="40" spans="1:9" ht="15.75" hidden="1" customHeight="1">
      <c r="A40" s="8"/>
      <c r="B40" s="7"/>
      <c r="C40" s="146"/>
      <c r="D40" s="146"/>
      <c r="E40" s="5"/>
      <c r="F40" s="5"/>
      <c r="G40" s="28" t="str">
        <f t="shared" si="2"/>
        <v/>
      </c>
      <c r="H40" s="339" t="str">
        <f t="shared" si="3"/>
        <v/>
      </c>
      <c r="I40" s="7"/>
    </row>
    <row r="41" spans="1:9" ht="15.75" hidden="1" customHeight="1">
      <c r="A41" s="8"/>
      <c r="B41" s="7"/>
      <c r="C41" s="146"/>
      <c r="D41" s="146"/>
      <c r="E41" s="5"/>
      <c r="F41" s="5"/>
      <c r="G41" s="28" t="str">
        <f t="shared" si="2"/>
        <v/>
      </c>
      <c r="H41" s="339" t="str">
        <f t="shared" si="3"/>
        <v/>
      </c>
      <c r="I41" s="7"/>
    </row>
    <row r="42" spans="1:9" ht="15.75" hidden="1" customHeight="1">
      <c r="A42" s="8"/>
      <c r="B42" s="7"/>
      <c r="C42" s="146"/>
      <c r="D42" s="146"/>
      <c r="E42" s="5"/>
      <c r="F42" s="5"/>
      <c r="G42" s="28" t="str">
        <f t="shared" si="2"/>
        <v/>
      </c>
      <c r="H42" s="339" t="str">
        <f t="shared" si="3"/>
        <v/>
      </c>
      <c r="I42" s="7"/>
    </row>
    <row r="43" spans="1:9" ht="15.75" hidden="1" customHeight="1">
      <c r="A43" s="8"/>
      <c r="B43" s="7"/>
      <c r="C43" s="146"/>
      <c r="D43" s="146"/>
      <c r="E43" s="5"/>
      <c r="F43" s="5"/>
      <c r="G43" s="28" t="str">
        <f t="shared" si="2"/>
        <v/>
      </c>
      <c r="H43" s="339" t="str">
        <f t="shared" si="3"/>
        <v/>
      </c>
      <c r="I43" s="7"/>
    </row>
    <row r="44" spans="1:9" ht="15.75" hidden="1" customHeight="1">
      <c r="A44" s="8"/>
      <c r="B44" s="7"/>
      <c r="C44" s="146"/>
      <c r="D44" s="146"/>
      <c r="E44" s="5"/>
      <c r="F44" s="5"/>
      <c r="G44" s="28" t="str">
        <f t="shared" si="2"/>
        <v/>
      </c>
      <c r="H44" s="339" t="str">
        <f t="shared" si="3"/>
        <v/>
      </c>
      <c r="I44" s="7"/>
    </row>
    <row r="45" spans="1:9" ht="15.75" hidden="1" customHeight="1">
      <c r="A45" s="8"/>
      <c r="B45" s="7"/>
      <c r="C45" s="146"/>
      <c r="D45" s="146"/>
      <c r="E45" s="5"/>
      <c r="F45" s="5"/>
      <c r="G45" s="28" t="str">
        <f t="shared" si="2"/>
        <v/>
      </c>
      <c r="H45" s="339" t="str">
        <f t="shared" si="3"/>
        <v/>
      </c>
      <c r="I45" s="7"/>
    </row>
    <row r="46" spans="1:9" ht="15.75" hidden="1" customHeight="1">
      <c r="A46" s="8"/>
      <c r="B46" s="7"/>
      <c r="C46" s="146"/>
      <c r="D46" s="146"/>
      <c r="E46" s="5"/>
      <c r="F46" s="5"/>
      <c r="G46" s="28" t="str">
        <f t="shared" si="2"/>
        <v/>
      </c>
      <c r="H46" s="339" t="str">
        <f t="shared" si="3"/>
        <v/>
      </c>
      <c r="I46" s="7"/>
    </row>
  </sheetData>
  <mergeCells count="3">
    <mergeCell ref="A1:I1"/>
    <mergeCell ref="A2:I2"/>
    <mergeCell ref="A26:B26"/>
  </mergeCells>
  <phoneticPr fontId="6" type="noConversion"/>
  <printOptions horizontalCentered="1" verticalCentered="1"/>
  <pageMargins left="1.1811023622047245" right="0.70866141732283472" top="0.23622047244094491" bottom="0.6692913385826772" header="1.8110236220472442" footer="1.2204724409448819"/>
  <pageSetup paperSize="9" scale="98" fitToHeight="0" orientation="landscape" blackAndWhite="1" horizontalDpi="1200" verticalDpi="1200" r:id="rId1"/>
  <headerFooter scaleWithDoc="0">
    <oddHeader>&amp;R&amp;"宋体,常规"&amp;10表3-14
共&amp;N页 第&amp;P页
金额单位：人民币元</oddHeader>
    <oddFooter>&amp;L&amp;10被评估单位复核人：_x000D_日期：&amp;C&amp;10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0</xdr:rowOff>
                  </from>
                  <to>
                    <xdr:col>2</xdr:col>
                    <xdr:colOff>723900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8A0D-D6B1-4F89-A746-D9D844FC0CF1}">
  <sheetPr codeName="Sheet90">
    <pageSetUpPr fitToPage="1"/>
  </sheetPr>
  <dimension ref="A1:R46"/>
  <sheetViews>
    <sheetView workbookViewId="0">
      <pane ySplit="6" topLeftCell="A7" activePane="bottomLeft" state="frozen"/>
      <selection activeCell="F17" sqref="F17"/>
      <selection pane="bottomLeft" activeCell="F10" sqref="F10"/>
    </sheetView>
  </sheetViews>
  <sheetFormatPr baseColWidth="10" defaultColWidth="9" defaultRowHeight="15.75" customHeight="1"/>
  <cols>
    <col min="1" max="1" width="5.1640625" style="81" customWidth="1"/>
    <col min="2" max="2" width="20" style="81" customWidth="1"/>
    <col min="3" max="3" width="10.5" style="81" customWidth="1"/>
    <col min="4" max="4" width="10.1640625" style="81" customWidth="1"/>
    <col min="5" max="5" width="8.6640625" style="81" customWidth="1"/>
    <col min="6" max="7" width="13.6640625" style="81" customWidth="1"/>
    <col min="8" max="8" width="13.6640625" style="135" customWidth="1"/>
    <col min="9" max="9" width="10.6640625" style="340" customWidth="1"/>
    <col min="10" max="10" width="10.5" style="81" customWidth="1"/>
    <col min="11" max="11" width="6.33203125" style="81" customWidth="1"/>
    <col min="12" max="12" width="7.6640625" style="81" customWidth="1"/>
    <col min="13" max="13" width="10.1640625" style="81" customWidth="1"/>
    <col min="14" max="14" width="6.6640625" style="81" customWidth="1"/>
    <col min="15" max="15" width="4.5" style="81" customWidth="1"/>
    <col min="16" max="16" width="6" style="81" customWidth="1"/>
    <col min="17" max="17" width="7.1640625" style="81" customWidth="1"/>
    <col min="18" max="18" width="8" style="81" customWidth="1"/>
    <col min="19" max="16384" width="9" style="81"/>
  </cols>
  <sheetData>
    <row r="1" spans="1:18" s="80" customFormat="1" ht="30" customHeight="1">
      <c r="A1" s="374" t="s">
        <v>991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</row>
    <row r="3" spans="1:18" ht="14.25" customHeight="1">
      <c r="A3" s="40"/>
      <c r="B3" s="40"/>
      <c r="C3" s="40"/>
      <c r="D3" s="40"/>
      <c r="E3" s="40"/>
      <c r="F3" s="171"/>
      <c r="G3" s="171"/>
      <c r="H3" s="172"/>
      <c r="I3" s="131"/>
      <c r="J3" s="178"/>
    </row>
    <row r="4" spans="1:18" ht="14.25" customHeight="1">
      <c r="A4" s="40"/>
      <c r="B4" s="40"/>
      <c r="C4" s="40"/>
      <c r="D4" s="40"/>
      <c r="E4" s="40"/>
      <c r="F4" s="171"/>
      <c r="G4" s="171"/>
      <c r="H4" s="172"/>
      <c r="I4" s="131"/>
      <c r="J4" s="178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183"/>
      <c r="G5" s="42"/>
      <c r="H5" s="173"/>
      <c r="I5" s="218"/>
      <c r="J5" s="122"/>
      <c r="K5" s="449" t="s">
        <v>691</v>
      </c>
      <c r="L5" s="449"/>
      <c r="M5" s="307" t="s">
        <v>692</v>
      </c>
      <c r="N5" s="308" t="s">
        <v>693</v>
      </c>
      <c r="O5" s="447" t="s">
        <v>597</v>
      </c>
      <c r="P5" s="447" t="s">
        <v>651</v>
      </c>
      <c r="Q5" s="425" t="s">
        <v>598</v>
      </c>
      <c r="R5" s="425" t="s">
        <v>599</v>
      </c>
    </row>
    <row r="6" spans="1:18" s="101" customFormat="1" ht="14.25" customHeight="1">
      <c r="A6" s="45" t="s">
        <v>7</v>
      </c>
      <c r="B6" s="45" t="s">
        <v>34</v>
      </c>
      <c r="C6" s="45" t="s">
        <v>35</v>
      </c>
      <c r="D6" s="45" t="s">
        <v>36</v>
      </c>
      <c r="E6" s="45" t="s">
        <v>136</v>
      </c>
      <c r="F6" s="124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309" t="s">
        <v>694</v>
      </c>
      <c r="L6" s="309" t="s">
        <v>695</v>
      </c>
      <c r="M6" s="310" t="s">
        <v>696</v>
      </c>
      <c r="N6" s="290" t="s">
        <v>697</v>
      </c>
      <c r="O6" s="448"/>
      <c r="P6" s="448"/>
      <c r="Q6" s="426"/>
      <c r="R6" s="426"/>
    </row>
    <row r="7" spans="1:18" ht="15.75" customHeight="1">
      <c r="A7" s="8"/>
      <c r="B7" s="7"/>
      <c r="C7" s="8"/>
      <c r="D7" s="146"/>
      <c r="E7" s="8"/>
      <c r="F7" s="5"/>
      <c r="G7" s="5"/>
      <c r="H7" s="28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8" ht="15.75" customHeight="1">
      <c r="A8" s="8"/>
      <c r="B8" s="7"/>
      <c r="C8" s="8"/>
      <c r="D8" s="146"/>
      <c r="E8" s="8"/>
      <c r="F8" s="5"/>
      <c r="G8" s="5"/>
      <c r="H8" s="28" t="str">
        <f t="shared" ref="H8:H46" si="0">IF(ISERROR(G8-F8),"",IF(G8=0,"",G8-F8))</f>
        <v/>
      </c>
      <c r="I8" s="339" t="str">
        <f t="shared" ref="I8:I46" si="1">IF(ISERROR(G8-F8),"",IF(G8=0,"",IF(H8="",0,ROUND(H8*100/F8,2))))</f>
        <v/>
      </c>
      <c r="J8" s="7"/>
    </row>
    <row r="9" spans="1:18" ht="15.75" customHeight="1">
      <c r="A9" s="8"/>
      <c r="B9" s="7"/>
      <c r="C9" s="8"/>
      <c r="D9" s="146"/>
      <c r="E9" s="8"/>
      <c r="F9" s="5"/>
      <c r="G9" s="5"/>
      <c r="H9" s="28" t="str">
        <f t="shared" si="0"/>
        <v/>
      </c>
      <c r="I9" s="339" t="str">
        <f t="shared" si="1"/>
        <v/>
      </c>
      <c r="J9" s="7"/>
    </row>
    <row r="10" spans="1:18" ht="15.75" customHeight="1">
      <c r="A10" s="8"/>
      <c r="B10" s="7"/>
      <c r="C10" s="8"/>
      <c r="D10" s="146"/>
      <c r="E10" s="8"/>
      <c r="F10" s="5"/>
      <c r="G10" s="5"/>
      <c r="H10" s="28" t="str">
        <f t="shared" si="0"/>
        <v/>
      </c>
      <c r="I10" s="339" t="str">
        <f t="shared" si="1"/>
        <v/>
      </c>
      <c r="J10" s="7"/>
    </row>
    <row r="11" spans="1:18" ht="15.75" customHeight="1">
      <c r="A11" s="8"/>
      <c r="B11" s="7"/>
      <c r="C11" s="8"/>
      <c r="D11" s="146"/>
      <c r="E11" s="8"/>
      <c r="F11" s="5"/>
      <c r="G11" s="5"/>
      <c r="H11" s="28" t="str">
        <f t="shared" si="0"/>
        <v/>
      </c>
      <c r="I11" s="339" t="str">
        <f t="shared" si="1"/>
        <v/>
      </c>
      <c r="J11" s="7"/>
    </row>
    <row r="12" spans="1:18" ht="15.75" customHeight="1">
      <c r="A12" s="8"/>
      <c r="B12" s="7"/>
      <c r="C12" s="8"/>
      <c r="D12" s="146"/>
      <c r="E12" s="8"/>
      <c r="F12" s="5"/>
      <c r="G12" s="5"/>
      <c r="H12" s="28" t="str">
        <f t="shared" si="0"/>
        <v/>
      </c>
      <c r="I12" s="339" t="str">
        <f t="shared" si="1"/>
        <v/>
      </c>
      <c r="J12" s="7"/>
    </row>
    <row r="13" spans="1:18" ht="15.75" customHeight="1">
      <c r="A13" s="8"/>
      <c r="B13" s="7"/>
      <c r="C13" s="8"/>
      <c r="D13" s="146"/>
      <c r="E13" s="8"/>
      <c r="F13" s="5"/>
      <c r="G13" s="5"/>
      <c r="H13" s="28" t="str">
        <f t="shared" si="0"/>
        <v/>
      </c>
      <c r="I13" s="339" t="str">
        <f t="shared" si="1"/>
        <v/>
      </c>
      <c r="J13" s="7"/>
    </row>
    <row r="14" spans="1:18" ht="15.75" customHeight="1">
      <c r="A14" s="8"/>
      <c r="B14" s="7"/>
      <c r="C14" s="8"/>
      <c r="D14" s="146"/>
      <c r="E14" s="8"/>
      <c r="F14" s="5"/>
      <c r="G14" s="5"/>
      <c r="H14" s="28" t="str">
        <f t="shared" si="0"/>
        <v/>
      </c>
      <c r="I14" s="339" t="str">
        <f t="shared" si="1"/>
        <v/>
      </c>
      <c r="J14" s="7"/>
    </row>
    <row r="15" spans="1:18" ht="15.75" customHeight="1">
      <c r="A15" s="8"/>
      <c r="B15" s="7"/>
      <c r="C15" s="8"/>
      <c r="D15" s="146"/>
      <c r="E15" s="8"/>
      <c r="F15" s="5"/>
      <c r="G15" s="5"/>
      <c r="H15" s="28" t="str">
        <f t="shared" si="0"/>
        <v/>
      </c>
      <c r="I15" s="339" t="str">
        <f t="shared" si="1"/>
        <v/>
      </c>
      <c r="J15" s="7"/>
    </row>
    <row r="16" spans="1:18" ht="15.75" customHeight="1">
      <c r="A16" s="8"/>
      <c r="B16" s="7"/>
      <c r="C16" s="8"/>
      <c r="D16" s="146"/>
      <c r="E16" s="8"/>
      <c r="F16" s="5"/>
      <c r="G16" s="5"/>
      <c r="H16" s="28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8"/>
      <c r="D17" s="146"/>
      <c r="E17" s="8"/>
      <c r="F17" s="5"/>
      <c r="G17" s="5"/>
      <c r="H17" s="28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8"/>
      <c r="D18" s="146"/>
      <c r="E18" s="8"/>
      <c r="F18" s="5"/>
      <c r="G18" s="5"/>
      <c r="H18" s="28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8"/>
      <c r="D19" s="146"/>
      <c r="E19" s="8"/>
      <c r="F19" s="5"/>
      <c r="G19" s="5"/>
      <c r="H19" s="28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8"/>
      <c r="D20" s="146"/>
      <c r="E20" s="8"/>
      <c r="F20" s="5"/>
      <c r="G20" s="5"/>
      <c r="H20" s="28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8"/>
      <c r="D21" s="146"/>
      <c r="E21" s="8"/>
      <c r="F21" s="5"/>
      <c r="G21" s="5"/>
      <c r="H21" s="28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8"/>
      <c r="D22" s="146"/>
      <c r="E22" s="8"/>
      <c r="F22" s="5"/>
      <c r="G22" s="5"/>
      <c r="H22" s="28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8"/>
      <c r="D23" s="146"/>
      <c r="E23" s="8"/>
      <c r="F23" s="5"/>
      <c r="G23" s="5"/>
      <c r="H23" s="28" t="str">
        <f t="shared" si="0"/>
        <v/>
      </c>
      <c r="I23" s="339" t="str">
        <f t="shared" si="1"/>
        <v/>
      </c>
      <c r="J23" s="7"/>
    </row>
    <row r="24" spans="1:10" ht="15.75" customHeight="1">
      <c r="A24" s="420" t="s">
        <v>534</v>
      </c>
      <c r="B24" s="421"/>
      <c r="C24" s="237"/>
      <c r="D24" s="232"/>
      <c r="E24" s="237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28" t="str">
        <f t="shared" ca="1" si="0"/>
        <v/>
      </c>
      <c r="I24" s="339" t="str">
        <f t="shared" ca="1" si="1"/>
        <v/>
      </c>
      <c r="J24" s="234"/>
    </row>
    <row r="25" spans="1:10" ht="15.75" customHeight="1">
      <c r="A25" s="420" t="s">
        <v>856</v>
      </c>
      <c r="B25" s="421"/>
      <c r="C25" s="237"/>
      <c r="D25" s="232"/>
      <c r="E25" s="237"/>
      <c r="F25" s="31"/>
      <c r="G25" s="31"/>
      <c r="H25" s="28"/>
      <c r="I25" s="339"/>
      <c r="J25" s="234"/>
    </row>
    <row r="26" spans="1:10" ht="15.75" customHeight="1">
      <c r="A26" s="420" t="s">
        <v>534</v>
      </c>
      <c r="B26" s="421"/>
      <c r="C26" s="30"/>
      <c r="D26" s="232"/>
      <c r="E26" s="30"/>
      <c r="F26" s="31" t="str">
        <f ca="1">IF(F25="",F24,F24-F25)</f>
        <v/>
      </c>
      <c r="G26" s="31" t="str">
        <f ca="1">IF(G25="",G24,G24-G25)</f>
        <v/>
      </c>
      <c r="H26" s="28" t="str">
        <f t="shared" ca="1" si="0"/>
        <v/>
      </c>
      <c r="I26" s="339" t="str">
        <f t="shared" ca="1" si="1"/>
        <v/>
      </c>
      <c r="J26" s="234"/>
    </row>
    <row r="27" spans="1:10" ht="15.75" hidden="1" customHeight="1">
      <c r="A27" s="8"/>
      <c r="B27" s="7"/>
      <c r="C27" s="8"/>
      <c r="D27" s="146"/>
      <c r="E27" s="8"/>
      <c r="F27" s="5"/>
      <c r="G27" s="5"/>
      <c r="H27" s="28" t="str">
        <f t="shared" si="0"/>
        <v/>
      </c>
      <c r="I27" s="339" t="str">
        <f t="shared" si="1"/>
        <v/>
      </c>
      <c r="J27" s="7"/>
    </row>
    <row r="28" spans="1:10" ht="15.75" hidden="1" customHeight="1">
      <c r="A28" s="8"/>
      <c r="B28" s="7"/>
      <c r="C28" s="8"/>
      <c r="D28" s="146"/>
      <c r="E28" s="8"/>
      <c r="F28" s="5"/>
      <c r="G28" s="5"/>
      <c r="H28" s="28" t="str">
        <f t="shared" si="0"/>
        <v/>
      </c>
      <c r="I28" s="339" t="str">
        <f t="shared" si="1"/>
        <v/>
      </c>
      <c r="J28" s="7"/>
    </row>
    <row r="29" spans="1:10" ht="15.75" hidden="1" customHeight="1">
      <c r="A29" s="8"/>
      <c r="B29" s="7"/>
      <c r="C29" s="8"/>
      <c r="D29" s="146"/>
      <c r="E29" s="8"/>
      <c r="F29" s="5"/>
      <c r="G29" s="5"/>
      <c r="H29" s="28" t="str">
        <f t="shared" si="0"/>
        <v/>
      </c>
      <c r="I29" s="339" t="str">
        <f t="shared" si="1"/>
        <v/>
      </c>
      <c r="J29" s="7"/>
    </row>
    <row r="30" spans="1:10" ht="15.75" hidden="1" customHeight="1">
      <c r="A30" s="8"/>
      <c r="B30" s="7"/>
      <c r="C30" s="8"/>
      <c r="D30" s="146"/>
      <c r="E30" s="8"/>
      <c r="F30" s="5"/>
      <c r="G30" s="5"/>
      <c r="H30" s="28" t="str">
        <f t="shared" si="0"/>
        <v/>
      </c>
      <c r="I30" s="339" t="str">
        <f t="shared" si="1"/>
        <v/>
      </c>
      <c r="J30" s="7"/>
    </row>
    <row r="31" spans="1:10" ht="15.75" hidden="1" customHeight="1">
      <c r="A31" s="8"/>
      <c r="B31" s="7"/>
      <c r="C31" s="8"/>
      <c r="D31" s="146"/>
      <c r="E31" s="8"/>
      <c r="F31" s="5"/>
      <c r="G31" s="5"/>
      <c r="H31" s="28" t="str">
        <f t="shared" si="0"/>
        <v/>
      </c>
      <c r="I31" s="339" t="str">
        <f t="shared" si="1"/>
        <v/>
      </c>
      <c r="J31" s="7"/>
    </row>
    <row r="32" spans="1:10" ht="15.75" hidden="1" customHeight="1">
      <c r="A32" s="8"/>
      <c r="B32" s="7"/>
      <c r="C32" s="8"/>
      <c r="D32" s="146"/>
      <c r="E32" s="8"/>
      <c r="F32" s="5"/>
      <c r="G32" s="5"/>
      <c r="H32" s="28" t="str">
        <f t="shared" si="0"/>
        <v/>
      </c>
      <c r="I32" s="339" t="str">
        <f t="shared" si="1"/>
        <v/>
      </c>
      <c r="J32" s="7"/>
    </row>
    <row r="33" spans="1:10" ht="15.75" hidden="1" customHeight="1">
      <c r="A33" s="8"/>
      <c r="B33" s="7"/>
      <c r="C33" s="8"/>
      <c r="D33" s="146"/>
      <c r="E33" s="8"/>
      <c r="F33" s="5"/>
      <c r="G33" s="5"/>
      <c r="H33" s="28" t="str">
        <f t="shared" si="0"/>
        <v/>
      </c>
      <c r="I33" s="339" t="str">
        <f t="shared" si="1"/>
        <v/>
      </c>
      <c r="J33" s="7"/>
    </row>
    <row r="34" spans="1:10" ht="15.75" hidden="1" customHeight="1">
      <c r="A34" s="8"/>
      <c r="B34" s="7"/>
      <c r="C34" s="8"/>
      <c r="D34" s="146"/>
      <c r="E34" s="8"/>
      <c r="F34" s="5"/>
      <c r="G34" s="5"/>
      <c r="H34" s="28" t="str">
        <f t="shared" si="0"/>
        <v/>
      </c>
      <c r="I34" s="339" t="str">
        <f t="shared" si="1"/>
        <v/>
      </c>
      <c r="J34" s="7"/>
    </row>
    <row r="35" spans="1:10" ht="15.75" hidden="1" customHeight="1">
      <c r="A35" s="8"/>
      <c r="B35" s="7"/>
      <c r="C35" s="8"/>
      <c r="D35" s="146"/>
      <c r="E35" s="8"/>
      <c r="F35" s="5"/>
      <c r="G35" s="5"/>
      <c r="H35" s="28" t="str">
        <f t="shared" si="0"/>
        <v/>
      </c>
      <c r="I35" s="339" t="str">
        <f t="shared" si="1"/>
        <v/>
      </c>
      <c r="J35" s="7"/>
    </row>
    <row r="36" spans="1:10" ht="15.75" hidden="1" customHeight="1">
      <c r="A36" s="8"/>
      <c r="B36" s="7"/>
      <c r="C36" s="8"/>
      <c r="D36" s="146"/>
      <c r="E36" s="8"/>
      <c r="F36" s="5"/>
      <c r="G36" s="5"/>
      <c r="H36" s="28" t="str">
        <f t="shared" si="0"/>
        <v/>
      </c>
      <c r="I36" s="339" t="str">
        <f t="shared" si="1"/>
        <v/>
      </c>
      <c r="J36" s="7"/>
    </row>
    <row r="37" spans="1:10" ht="15.75" hidden="1" customHeight="1">
      <c r="A37" s="8"/>
      <c r="B37" s="7"/>
      <c r="C37" s="8"/>
      <c r="D37" s="146"/>
      <c r="E37" s="8"/>
      <c r="F37" s="5"/>
      <c r="G37" s="5"/>
      <c r="H37" s="28" t="str">
        <f t="shared" si="0"/>
        <v/>
      </c>
      <c r="I37" s="339" t="str">
        <f t="shared" si="1"/>
        <v/>
      </c>
      <c r="J37" s="7"/>
    </row>
    <row r="38" spans="1:10" ht="15.75" hidden="1" customHeight="1">
      <c r="A38" s="8"/>
      <c r="B38" s="7"/>
      <c r="C38" s="8"/>
      <c r="D38" s="146"/>
      <c r="E38" s="8"/>
      <c r="F38" s="5"/>
      <c r="G38" s="5"/>
      <c r="H38" s="28" t="str">
        <f t="shared" si="0"/>
        <v/>
      </c>
      <c r="I38" s="339" t="str">
        <f t="shared" si="1"/>
        <v/>
      </c>
      <c r="J38" s="7"/>
    </row>
    <row r="39" spans="1:10" ht="15.75" hidden="1" customHeight="1">
      <c r="A39" s="8"/>
      <c r="B39" s="7"/>
      <c r="C39" s="8"/>
      <c r="D39" s="146"/>
      <c r="E39" s="8"/>
      <c r="F39" s="5"/>
      <c r="G39" s="5"/>
      <c r="H39" s="28" t="str">
        <f t="shared" si="0"/>
        <v/>
      </c>
      <c r="I39" s="339" t="str">
        <f t="shared" si="1"/>
        <v/>
      </c>
      <c r="J39" s="7"/>
    </row>
    <row r="40" spans="1:10" ht="15.75" hidden="1" customHeight="1">
      <c r="A40" s="8"/>
      <c r="B40" s="7"/>
      <c r="C40" s="8"/>
      <c r="D40" s="146"/>
      <c r="E40" s="8"/>
      <c r="F40" s="5"/>
      <c r="G40" s="5"/>
      <c r="H40" s="28" t="str">
        <f t="shared" si="0"/>
        <v/>
      </c>
      <c r="I40" s="339" t="str">
        <f t="shared" si="1"/>
        <v/>
      </c>
      <c r="J40" s="7"/>
    </row>
    <row r="41" spans="1:10" ht="15.75" hidden="1" customHeight="1">
      <c r="A41" s="8"/>
      <c r="B41" s="7"/>
      <c r="C41" s="8"/>
      <c r="D41" s="146"/>
      <c r="E41" s="8"/>
      <c r="F41" s="5"/>
      <c r="G41" s="5"/>
      <c r="H41" s="28" t="str">
        <f t="shared" si="0"/>
        <v/>
      </c>
      <c r="I41" s="339" t="str">
        <f t="shared" si="1"/>
        <v/>
      </c>
      <c r="J41" s="7"/>
    </row>
    <row r="42" spans="1:10" ht="15.75" hidden="1" customHeight="1">
      <c r="A42" s="8"/>
      <c r="B42" s="7"/>
      <c r="C42" s="8"/>
      <c r="D42" s="146"/>
      <c r="E42" s="8"/>
      <c r="F42" s="5"/>
      <c r="G42" s="5"/>
      <c r="H42" s="28" t="str">
        <f t="shared" si="0"/>
        <v/>
      </c>
      <c r="I42" s="339" t="str">
        <f t="shared" si="1"/>
        <v/>
      </c>
      <c r="J42" s="7"/>
    </row>
    <row r="43" spans="1:10" ht="15.75" hidden="1" customHeight="1">
      <c r="A43" s="8"/>
      <c r="B43" s="7"/>
      <c r="C43" s="8"/>
      <c r="D43" s="146"/>
      <c r="E43" s="8"/>
      <c r="F43" s="5"/>
      <c r="G43" s="5"/>
      <c r="H43" s="28" t="str">
        <f t="shared" si="0"/>
        <v/>
      </c>
      <c r="I43" s="339" t="str">
        <f t="shared" si="1"/>
        <v/>
      </c>
      <c r="J43" s="7"/>
    </row>
    <row r="44" spans="1:10" ht="15.75" hidden="1" customHeight="1">
      <c r="A44" s="8"/>
      <c r="B44" s="7"/>
      <c r="C44" s="8"/>
      <c r="D44" s="146"/>
      <c r="E44" s="8"/>
      <c r="F44" s="5"/>
      <c r="G44" s="5"/>
      <c r="H44" s="28" t="str">
        <f t="shared" si="0"/>
        <v/>
      </c>
      <c r="I44" s="339" t="str">
        <f t="shared" si="1"/>
        <v/>
      </c>
      <c r="J44" s="7"/>
    </row>
    <row r="45" spans="1:10" ht="15.75" hidden="1" customHeight="1">
      <c r="A45" s="8"/>
      <c r="B45" s="7"/>
      <c r="C45" s="8"/>
      <c r="D45" s="146"/>
      <c r="E45" s="8"/>
      <c r="F45" s="5"/>
      <c r="G45" s="5"/>
      <c r="H45" s="28" t="str">
        <f t="shared" si="0"/>
        <v/>
      </c>
      <c r="I45" s="339" t="str">
        <f t="shared" si="1"/>
        <v/>
      </c>
      <c r="J45" s="7"/>
    </row>
    <row r="46" spans="1:10" ht="15.75" hidden="1" customHeight="1">
      <c r="A46" s="8"/>
      <c r="B46" s="7"/>
      <c r="C46" s="8"/>
      <c r="D46" s="146"/>
      <c r="E46" s="8"/>
      <c r="F46" s="5"/>
      <c r="G46" s="5"/>
      <c r="H46" s="28" t="str">
        <f t="shared" si="0"/>
        <v/>
      </c>
      <c r="I46" s="339" t="str">
        <f t="shared" si="1"/>
        <v/>
      </c>
      <c r="J46" s="7"/>
    </row>
  </sheetData>
  <mergeCells count="10">
    <mergeCell ref="R5:R6"/>
    <mergeCell ref="A24:B24"/>
    <mergeCell ref="A25:B25"/>
    <mergeCell ref="A26:B26"/>
    <mergeCell ref="A1:J1"/>
    <mergeCell ref="A2:J2"/>
    <mergeCell ref="K5:L5"/>
    <mergeCell ref="O5:O6"/>
    <mergeCell ref="P5:P6"/>
    <mergeCell ref="Q5:Q6"/>
  </mergeCells>
  <phoneticPr fontId="52" type="noConversion"/>
  <printOptions horizontalCentered="1" verticalCentered="1"/>
  <pageMargins left="1.1417322834645669" right="0.74803149606299213" top="0.43307086614173229" bottom="0.86614173228346458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&amp;R&amp;"宋体,常规"&amp;10表3-12
共&amp;N页 第&amp;P页
金额单位：人民币元</oddHeader>
    <oddFooter>&amp;L&amp;10产权持有单位填表人：_x000D_填表日期：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977900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D9955-A9CC-4AB5-911B-AA29A57EFA30}">
  <sheetPr codeName="Sheet96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activeCell="H6" sqref="H6"/>
    </sheetView>
  </sheetViews>
  <sheetFormatPr baseColWidth="10" defaultColWidth="9" defaultRowHeight="15.75" customHeight="1"/>
  <cols>
    <col min="1" max="1" width="5.5" style="81" customWidth="1"/>
    <col min="2" max="2" width="18.1640625" style="81" customWidth="1"/>
    <col min="3" max="3" width="8.1640625" style="81" customWidth="1"/>
    <col min="4" max="4" width="12.6640625" style="81" customWidth="1"/>
    <col min="5" max="5" width="11.5" style="81" customWidth="1"/>
    <col min="6" max="6" width="13.5" style="81" customWidth="1"/>
    <col min="7" max="7" width="13" style="81" customWidth="1"/>
    <col min="8" max="8" width="9" style="135" customWidth="1"/>
    <col min="9" max="9" width="9.6640625" style="340" customWidth="1"/>
    <col min="10" max="10" width="13.1640625" style="81" customWidth="1"/>
    <col min="11" max="11" width="13.33203125" style="81" customWidth="1"/>
    <col min="12" max="12" width="7.6640625" style="81" customWidth="1"/>
    <col min="13" max="16384" width="9" style="81"/>
  </cols>
  <sheetData>
    <row r="1" spans="1:12" s="80" customFormat="1" ht="30" customHeight="1">
      <c r="A1" s="374" t="s">
        <v>992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</row>
    <row r="3" spans="1:12" ht="14.25" customHeight="1">
      <c r="A3" s="40"/>
      <c r="B3" s="40"/>
      <c r="C3" s="40"/>
      <c r="D3" s="40"/>
      <c r="E3" s="40"/>
      <c r="F3" s="40"/>
      <c r="G3" s="40"/>
      <c r="H3" s="131"/>
      <c r="I3" s="131"/>
      <c r="J3" s="85"/>
    </row>
    <row r="4" spans="1:12" ht="14.25" customHeight="1">
      <c r="A4" s="40"/>
      <c r="B4" s="40"/>
      <c r="C4" s="40"/>
      <c r="D4" s="40"/>
      <c r="E4" s="40"/>
      <c r="F4" s="40"/>
      <c r="G4" s="40"/>
      <c r="H4" s="131"/>
      <c r="I4" s="337"/>
      <c r="J4" s="37"/>
    </row>
    <row r="5" spans="1:12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73"/>
      <c r="I5" s="218"/>
      <c r="J5" s="122"/>
    </row>
    <row r="6" spans="1:12" s="101" customFormat="1" ht="14.25" customHeight="1">
      <c r="A6" s="45" t="s">
        <v>7</v>
      </c>
      <c r="B6" s="45" t="s">
        <v>108</v>
      </c>
      <c r="C6" s="45" t="s">
        <v>36</v>
      </c>
      <c r="D6" s="45" t="s">
        <v>943</v>
      </c>
      <c r="E6" s="45" t="s">
        <v>944</v>
      </c>
      <c r="F6" s="188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295" t="s">
        <v>598</v>
      </c>
      <c r="L6" s="295" t="s">
        <v>599</v>
      </c>
    </row>
    <row r="7" spans="1:12" ht="15.75" customHeight="1">
      <c r="A7" s="8"/>
      <c r="B7" s="7"/>
      <c r="C7" s="8"/>
      <c r="D7" s="8"/>
      <c r="E7" s="5"/>
      <c r="F7" s="5"/>
      <c r="G7" s="5"/>
      <c r="H7" s="28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2" ht="15.75" customHeight="1">
      <c r="A8" s="8"/>
      <c r="B8" s="7"/>
      <c r="C8" s="8"/>
      <c r="D8" s="8"/>
      <c r="E8" s="144"/>
      <c r="F8" s="5"/>
      <c r="G8" s="5"/>
      <c r="H8" s="28" t="str">
        <f t="shared" ref="H8:H26" si="0">IF(ISERROR(G8-F8),"",IF(G8=0,"",G8-F8))</f>
        <v/>
      </c>
      <c r="I8" s="339" t="str">
        <f t="shared" ref="I8:I26" si="1">IF(ISERROR(G8-F8),"",IF(G8=0,"",IF(H8="",0,ROUND(H8*100/F8,2))))</f>
        <v/>
      </c>
      <c r="J8" s="7"/>
    </row>
    <row r="9" spans="1:12" ht="15.75" customHeight="1">
      <c r="A9" s="8"/>
      <c r="B9" s="7"/>
      <c r="C9" s="8"/>
      <c r="D9" s="8"/>
      <c r="E9" s="5"/>
      <c r="F9" s="5"/>
      <c r="G9" s="5"/>
      <c r="H9" s="28" t="str">
        <f t="shared" si="0"/>
        <v/>
      </c>
      <c r="I9" s="339" t="str">
        <f t="shared" si="1"/>
        <v/>
      </c>
      <c r="J9" s="7"/>
    </row>
    <row r="10" spans="1:12" ht="15.75" customHeight="1">
      <c r="A10" s="8"/>
      <c r="B10" s="7"/>
      <c r="C10" s="8"/>
      <c r="D10" s="8"/>
      <c r="E10" s="5"/>
      <c r="F10" s="5"/>
      <c r="G10" s="5"/>
      <c r="H10" s="28" t="str">
        <f t="shared" si="0"/>
        <v/>
      </c>
      <c r="I10" s="339" t="str">
        <f>IF(ISERROR(G10-F10),"",IF(G10=0,"",IF(H10="",0,ROUND(H10*100/F10,2))))</f>
        <v/>
      </c>
      <c r="J10" s="7"/>
    </row>
    <row r="11" spans="1:12" ht="15.75" customHeight="1">
      <c r="A11" s="8"/>
      <c r="B11" s="7"/>
      <c r="C11" s="8"/>
      <c r="D11" s="8"/>
      <c r="E11" s="5"/>
      <c r="F11" s="5"/>
      <c r="G11" s="5"/>
      <c r="H11" s="28" t="str">
        <f t="shared" si="0"/>
        <v/>
      </c>
      <c r="I11" s="339" t="str">
        <f t="shared" si="1"/>
        <v/>
      </c>
      <c r="J11" s="7"/>
    </row>
    <row r="12" spans="1:12" ht="15.75" customHeight="1">
      <c r="A12" s="8"/>
      <c r="B12" s="7"/>
      <c r="C12" s="8"/>
      <c r="D12" s="8"/>
      <c r="E12" s="5"/>
      <c r="F12" s="5"/>
      <c r="G12" s="5"/>
      <c r="H12" s="28" t="str">
        <f t="shared" si="0"/>
        <v/>
      </c>
      <c r="I12" s="339" t="str">
        <f t="shared" si="1"/>
        <v/>
      </c>
      <c r="J12" s="7"/>
    </row>
    <row r="13" spans="1:12" ht="15.75" customHeight="1">
      <c r="A13" s="8"/>
      <c r="B13" s="7"/>
      <c r="C13" s="8"/>
      <c r="D13" s="8"/>
      <c r="E13" s="5"/>
      <c r="F13" s="5"/>
      <c r="G13" s="5"/>
      <c r="H13" s="28" t="str">
        <f t="shared" si="0"/>
        <v/>
      </c>
      <c r="I13" s="339" t="str">
        <f t="shared" si="1"/>
        <v/>
      </c>
      <c r="J13" s="7"/>
    </row>
    <row r="14" spans="1:12" ht="15.75" customHeight="1">
      <c r="A14" s="8"/>
      <c r="B14" s="7"/>
      <c r="C14" s="8"/>
      <c r="D14" s="8"/>
      <c r="E14" s="5"/>
      <c r="F14" s="5"/>
      <c r="G14" s="5"/>
      <c r="H14" s="28" t="str">
        <f t="shared" si="0"/>
        <v/>
      </c>
      <c r="I14" s="339" t="str">
        <f t="shared" si="1"/>
        <v/>
      </c>
      <c r="J14" s="7"/>
    </row>
    <row r="15" spans="1:12" ht="15.75" customHeight="1">
      <c r="A15" s="8"/>
      <c r="B15" s="7"/>
      <c r="C15" s="8"/>
      <c r="D15" s="8"/>
      <c r="E15" s="5"/>
      <c r="F15" s="5"/>
      <c r="G15" s="5"/>
      <c r="H15" s="28" t="str">
        <f t="shared" si="0"/>
        <v/>
      </c>
      <c r="I15" s="339" t="str">
        <f t="shared" si="1"/>
        <v/>
      </c>
      <c r="J15" s="7"/>
    </row>
    <row r="16" spans="1:12" ht="15.75" customHeight="1">
      <c r="A16" s="8"/>
      <c r="B16" s="7"/>
      <c r="C16" s="8"/>
      <c r="D16" s="8"/>
      <c r="E16" s="5"/>
      <c r="F16" s="5"/>
      <c r="G16" s="5"/>
      <c r="H16" s="28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8"/>
      <c r="D17" s="8"/>
      <c r="E17" s="5"/>
      <c r="F17" s="5"/>
      <c r="G17" s="5"/>
      <c r="H17" s="28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8"/>
      <c r="D18" s="8"/>
      <c r="E18" s="5"/>
      <c r="F18" s="5"/>
      <c r="G18" s="5"/>
      <c r="H18" s="28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8"/>
      <c r="D19" s="8"/>
      <c r="E19" s="5"/>
      <c r="F19" s="5"/>
      <c r="G19" s="5"/>
      <c r="H19" s="28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8"/>
      <c r="D20" s="8"/>
      <c r="E20" s="5"/>
      <c r="F20" s="5"/>
      <c r="G20" s="5"/>
      <c r="H20" s="28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8"/>
      <c r="D21" s="8"/>
      <c r="E21" s="5"/>
      <c r="F21" s="5"/>
      <c r="G21" s="5"/>
      <c r="H21" s="28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8"/>
      <c r="D22" s="8"/>
      <c r="E22" s="5"/>
      <c r="F22" s="5"/>
      <c r="G22" s="5"/>
      <c r="H22" s="28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8"/>
      <c r="D23" s="8"/>
      <c r="E23" s="5"/>
      <c r="F23" s="5"/>
      <c r="G23" s="5"/>
      <c r="H23" s="28" t="str">
        <f t="shared" si="0"/>
        <v/>
      </c>
      <c r="I23" s="339" t="str">
        <f t="shared" si="1"/>
        <v/>
      </c>
      <c r="J23" s="7"/>
    </row>
    <row r="24" spans="1:10" ht="15.75" customHeight="1">
      <c r="A24" s="8"/>
      <c r="B24" s="7"/>
      <c r="C24" s="8"/>
      <c r="D24" s="8"/>
      <c r="E24" s="5"/>
      <c r="F24" s="5"/>
      <c r="G24" s="5"/>
      <c r="H24" s="28" t="str">
        <f t="shared" si="0"/>
        <v/>
      </c>
      <c r="I24" s="339" t="str">
        <f t="shared" si="1"/>
        <v/>
      </c>
      <c r="J24" s="7"/>
    </row>
    <row r="25" spans="1:10" ht="15.75" customHeight="1">
      <c r="A25" s="8"/>
      <c r="B25" s="7"/>
      <c r="C25" s="8"/>
      <c r="D25" s="8"/>
      <c r="E25" s="5"/>
      <c r="F25" s="5"/>
      <c r="G25" s="5"/>
      <c r="H25" s="28" t="str">
        <f t="shared" si="0"/>
        <v/>
      </c>
      <c r="I25" s="339" t="str">
        <f t="shared" si="1"/>
        <v/>
      </c>
      <c r="J25" s="7"/>
    </row>
    <row r="26" spans="1:10" ht="15.75" customHeight="1">
      <c r="A26" s="420" t="s">
        <v>534</v>
      </c>
      <c r="B26" s="421"/>
      <c r="C26" s="241"/>
      <c r="D26" s="241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28" t="str">
        <f t="shared" ca="1" si="0"/>
        <v/>
      </c>
      <c r="I26" s="339" t="str">
        <f t="shared" ca="1" si="1"/>
        <v/>
      </c>
      <c r="J26" s="234"/>
    </row>
    <row r="27" spans="1:10" ht="15.75" hidden="1" customHeight="1">
      <c r="A27" s="8"/>
      <c r="B27" s="7"/>
      <c r="C27" s="8"/>
      <c r="D27" s="8"/>
      <c r="E27" s="5"/>
      <c r="F27" s="5"/>
      <c r="G27" s="5"/>
      <c r="H27" s="28" t="str">
        <f>IF(ISERROR(G27-F27),"",IF(G27=0,"",G27-F27))</f>
        <v/>
      </c>
      <c r="I27" s="339" t="str">
        <f>IF(ISERROR(G27-F27),"",IF(G27=0,"",IF(H27="",0,ROUND(H27*100/F27,2))))</f>
        <v/>
      </c>
      <c r="J27" s="7"/>
    </row>
    <row r="28" spans="1:10" ht="15.75" hidden="1" customHeight="1">
      <c r="A28" s="8"/>
      <c r="B28" s="7"/>
      <c r="C28" s="8"/>
      <c r="D28" s="8"/>
      <c r="E28" s="5"/>
      <c r="F28" s="5"/>
      <c r="G28" s="5"/>
      <c r="H28" s="28" t="str">
        <f t="shared" ref="H28:H46" si="2">IF(ISERROR(G28-F28),"",IF(G28=0,"",G28-F28))</f>
        <v/>
      </c>
      <c r="I28" s="339" t="str">
        <f t="shared" ref="I28:I46" si="3">IF(ISERROR(G28-F28),"",IF(G28=0,"",IF(H28="",0,ROUND(H28*100/F28,2))))</f>
        <v/>
      </c>
      <c r="J28" s="7"/>
    </row>
    <row r="29" spans="1:10" ht="15.75" hidden="1" customHeight="1">
      <c r="A29" s="8"/>
      <c r="B29" s="7"/>
      <c r="C29" s="8"/>
      <c r="D29" s="8"/>
      <c r="E29" s="5"/>
      <c r="F29" s="5"/>
      <c r="G29" s="5"/>
      <c r="H29" s="28" t="str">
        <f t="shared" si="2"/>
        <v/>
      </c>
      <c r="I29" s="339" t="str">
        <f t="shared" si="3"/>
        <v/>
      </c>
      <c r="J29" s="7"/>
    </row>
    <row r="30" spans="1:10" ht="15.75" hidden="1" customHeight="1">
      <c r="A30" s="8"/>
      <c r="B30" s="7"/>
      <c r="C30" s="8"/>
      <c r="D30" s="8"/>
      <c r="E30" s="5"/>
      <c r="F30" s="5"/>
      <c r="G30" s="5"/>
      <c r="H30" s="28" t="str">
        <f t="shared" si="2"/>
        <v/>
      </c>
      <c r="I30" s="339" t="str">
        <f t="shared" si="3"/>
        <v/>
      </c>
      <c r="J30" s="7"/>
    </row>
    <row r="31" spans="1:10" ht="15.75" hidden="1" customHeight="1">
      <c r="A31" s="8"/>
      <c r="B31" s="7"/>
      <c r="C31" s="8"/>
      <c r="D31" s="8"/>
      <c r="E31" s="5"/>
      <c r="F31" s="5"/>
      <c r="G31" s="5"/>
      <c r="H31" s="28" t="str">
        <f t="shared" si="2"/>
        <v/>
      </c>
      <c r="I31" s="339" t="str">
        <f t="shared" si="3"/>
        <v/>
      </c>
      <c r="J31" s="7"/>
    </row>
    <row r="32" spans="1:10" ht="15.75" hidden="1" customHeight="1">
      <c r="A32" s="8"/>
      <c r="B32" s="7"/>
      <c r="C32" s="8"/>
      <c r="D32" s="8"/>
      <c r="E32" s="5"/>
      <c r="F32" s="5"/>
      <c r="G32" s="5"/>
      <c r="H32" s="28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8"/>
      <c r="D33" s="8"/>
      <c r="E33" s="5"/>
      <c r="F33" s="5"/>
      <c r="G33" s="5"/>
      <c r="H33" s="28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8"/>
      <c r="D34" s="8"/>
      <c r="E34" s="5"/>
      <c r="F34" s="5"/>
      <c r="G34" s="5"/>
      <c r="H34" s="28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8"/>
      <c r="D35" s="8"/>
      <c r="E35" s="5"/>
      <c r="F35" s="5"/>
      <c r="G35" s="5"/>
      <c r="H35" s="28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8"/>
      <c r="D36" s="8"/>
      <c r="E36" s="5"/>
      <c r="F36" s="5"/>
      <c r="G36" s="5"/>
      <c r="H36" s="28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8"/>
      <c r="D37" s="8"/>
      <c r="E37" s="5"/>
      <c r="F37" s="5"/>
      <c r="G37" s="5"/>
      <c r="H37" s="28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8"/>
      <c r="D38" s="8"/>
      <c r="E38" s="5"/>
      <c r="F38" s="5"/>
      <c r="G38" s="5"/>
      <c r="H38" s="28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8"/>
      <c r="D39" s="8"/>
      <c r="E39" s="5"/>
      <c r="F39" s="5"/>
      <c r="G39" s="5"/>
      <c r="H39" s="28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8"/>
      <c r="D40" s="8"/>
      <c r="E40" s="5"/>
      <c r="F40" s="5"/>
      <c r="G40" s="5"/>
      <c r="H40" s="28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8"/>
      <c r="D41" s="8"/>
      <c r="E41" s="5"/>
      <c r="F41" s="5"/>
      <c r="G41" s="5"/>
      <c r="H41" s="28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8"/>
      <c r="D42" s="8"/>
      <c r="E42" s="5"/>
      <c r="F42" s="5"/>
      <c r="G42" s="5"/>
      <c r="H42" s="28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8"/>
      <c r="D43" s="8"/>
      <c r="E43" s="5"/>
      <c r="F43" s="5"/>
      <c r="G43" s="5"/>
      <c r="H43" s="28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8"/>
      <c r="D44" s="8"/>
      <c r="E44" s="5"/>
      <c r="F44" s="5"/>
      <c r="G44" s="5"/>
      <c r="H44" s="28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8"/>
      <c r="D45" s="8"/>
      <c r="E45" s="5"/>
      <c r="F45" s="5"/>
      <c r="G45" s="5"/>
      <c r="H45" s="28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8"/>
      <c r="D46" s="8"/>
      <c r="E46" s="5"/>
      <c r="F46" s="5"/>
      <c r="G46" s="5"/>
      <c r="H46" s="28" t="str">
        <f t="shared" si="2"/>
        <v/>
      </c>
      <c r="I46" s="339" t="str">
        <f t="shared" si="3"/>
        <v/>
      </c>
      <c r="J46" s="7"/>
    </row>
  </sheetData>
  <mergeCells count="3">
    <mergeCell ref="A1:J1"/>
    <mergeCell ref="A2:J2"/>
    <mergeCell ref="A26:B26"/>
  </mergeCells>
  <phoneticPr fontId="52" type="noConversion"/>
  <printOptions horizontalCentered="1" verticalCentered="1"/>
  <pageMargins left="1.2598425196850394" right="0.86614173228346458" top="0.15748031496062992" bottom="0.55118110236220474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&amp;R&amp;"宋体,常规"&amp;10表3-13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3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6C222-32DB-44C7-8305-65AA561347EB}">
  <sheetPr codeName="Sheet36">
    <pageSetUpPr fitToPage="1"/>
  </sheetPr>
  <dimension ref="A1:L46"/>
  <sheetViews>
    <sheetView workbookViewId="0">
      <pane ySplit="6" topLeftCell="A10" activePane="bottomLeft" state="frozen"/>
      <selection activeCell="F17" sqref="F17"/>
      <selection pane="bottomLeft" activeCell="I3" sqref="I1:I65536"/>
    </sheetView>
  </sheetViews>
  <sheetFormatPr baseColWidth="10" defaultColWidth="9" defaultRowHeight="15.75" customHeight="1"/>
  <cols>
    <col min="1" max="1" width="5.5" style="81" customWidth="1"/>
    <col min="2" max="2" width="18.1640625" style="81" customWidth="1"/>
    <col min="3" max="3" width="8.1640625" style="81" customWidth="1"/>
    <col min="4" max="4" width="12.6640625" style="81" customWidth="1"/>
    <col min="5" max="5" width="11.5" style="81" customWidth="1"/>
    <col min="6" max="6" width="13.5" style="81" customWidth="1"/>
    <col min="7" max="7" width="13" style="81" customWidth="1"/>
    <col min="8" max="8" width="9" style="135" customWidth="1"/>
    <col min="9" max="9" width="9.6640625" style="340" customWidth="1"/>
    <col min="10" max="10" width="13.1640625" style="81" customWidth="1"/>
    <col min="11" max="11" width="13.33203125" style="81" customWidth="1"/>
    <col min="12" max="12" width="7.6640625" style="81" customWidth="1"/>
    <col min="13" max="16384" width="9" style="81"/>
  </cols>
  <sheetData>
    <row r="1" spans="1:12" s="80" customFormat="1" ht="30" customHeight="1">
      <c r="A1" s="374" t="s">
        <v>993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</row>
    <row r="3" spans="1:12" ht="14.25" customHeight="1">
      <c r="A3" s="40"/>
      <c r="B3" s="40"/>
      <c r="C3" s="40"/>
      <c r="D3" s="40"/>
      <c r="E3" s="40"/>
      <c r="F3" s="40"/>
      <c r="G3" s="40"/>
      <c r="H3" s="131"/>
      <c r="I3" s="131"/>
      <c r="J3" s="85"/>
    </row>
    <row r="4" spans="1:12" ht="14.25" customHeight="1">
      <c r="A4" s="40"/>
      <c r="B4" s="40"/>
      <c r="C4" s="40"/>
      <c r="D4" s="40"/>
      <c r="E4" s="40"/>
      <c r="F4" s="40"/>
      <c r="G4" s="40"/>
      <c r="H4" s="131"/>
      <c r="I4" s="337"/>
      <c r="J4" s="37"/>
    </row>
    <row r="5" spans="1:12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73"/>
      <c r="I5" s="218"/>
      <c r="J5" s="122"/>
    </row>
    <row r="6" spans="1:12" s="101" customFormat="1" ht="15.75" customHeight="1">
      <c r="A6" s="45" t="s">
        <v>7</v>
      </c>
      <c r="B6" s="45" t="s">
        <v>108</v>
      </c>
      <c r="C6" s="45" t="s">
        <v>158</v>
      </c>
      <c r="D6" s="45" t="s">
        <v>160</v>
      </c>
      <c r="E6" s="45" t="s">
        <v>350</v>
      </c>
      <c r="F6" s="188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295" t="s">
        <v>598</v>
      </c>
      <c r="L6" s="295" t="s">
        <v>599</v>
      </c>
    </row>
    <row r="7" spans="1:12" ht="15.75" customHeight="1">
      <c r="A7" s="8"/>
      <c r="B7" s="7"/>
      <c r="C7" s="8"/>
      <c r="D7" s="8"/>
      <c r="E7" s="5"/>
      <c r="F7" s="5"/>
      <c r="G7" s="5"/>
      <c r="H7" s="28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2" ht="15.75" customHeight="1">
      <c r="A8" s="8"/>
      <c r="B8" s="7"/>
      <c r="C8" s="8"/>
      <c r="D8" s="8"/>
      <c r="E8" s="144"/>
      <c r="F8" s="5"/>
      <c r="G8" s="5"/>
      <c r="H8" s="28" t="str">
        <f t="shared" ref="H8:H26" si="0">IF(ISERROR(G8-F8),"",IF(G8=0,"",G8-F8))</f>
        <v/>
      </c>
      <c r="I8" s="339" t="str">
        <f t="shared" ref="I8:I26" si="1">IF(ISERROR(G8-F8),"",IF(G8=0,"",IF(H8="",0,ROUND(H8*100/F8,2))))</f>
        <v/>
      </c>
      <c r="J8" s="7"/>
    </row>
    <row r="9" spans="1:12" ht="15.75" customHeight="1">
      <c r="A9" s="8"/>
      <c r="B9" s="7"/>
      <c r="C9" s="8"/>
      <c r="D9" s="8"/>
      <c r="E9" s="5"/>
      <c r="F9" s="5"/>
      <c r="G9" s="5"/>
      <c r="H9" s="28" t="str">
        <f t="shared" si="0"/>
        <v/>
      </c>
      <c r="I9" s="339" t="str">
        <f t="shared" si="1"/>
        <v/>
      </c>
      <c r="J9" s="7"/>
    </row>
    <row r="10" spans="1:12" ht="15.75" customHeight="1">
      <c r="A10" s="8"/>
      <c r="B10" s="7"/>
      <c r="C10" s="8"/>
      <c r="D10" s="8"/>
      <c r="E10" s="5"/>
      <c r="F10" s="5"/>
      <c r="G10" s="5"/>
      <c r="H10" s="28" t="str">
        <f t="shared" si="0"/>
        <v/>
      </c>
      <c r="I10" s="339" t="str">
        <f t="shared" si="1"/>
        <v/>
      </c>
      <c r="J10" s="7"/>
    </row>
    <row r="11" spans="1:12" ht="15.75" customHeight="1">
      <c r="A11" s="8"/>
      <c r="B11" s="7"/>
      <c r="C11" s="8"/>
      <c r="D11" s="8"/>
      <c r="E11" s="5"/>
      <c r="F11" s="5"/>
      <c r="G11" s="5"/>
      <c r="H11" s="28" t="str">
        <f t="shared" si="0"/>
        <v/>
      </c>
      <c r="I11" s="339" t="str">
        <f t="shared" si="1"/>
        <v/>
      </c>
      <c r="J11" s="7"/>
    </row>
    <row r="12" spans="1:12" ht="15.75" customHeight="1">
      <c r="A12" s="8"/>
      <c r="B12" s="7"/>
      <c r="C12" s="8"/>
      <c r="D12" s="8"/>
      <c r="E12" s="5"/>
      <c r="F12" s="5"/>
      <c r="G12" s="5"/>
      <c r="H12" s="28" t="str">
        <f t="shared" si="0"/>
        <v/>
      </c>
      <c r="I12" s="339" t="str">
        <f t="shared" si="1"/>
        <v/>
      </c>
      <c r="J12" s="7"/>
    </row>
    <row r="13" spans="1:12" ht="15.75" customHeight="1">
      <c r="A13" s="8"/>
      <c r="B13" s="7"/>
      <c r="C13" s="8"/>
      <c r="D13" s="8"/>
      <c r="E13" s="5"/>
      <c r="F13" s="5"/>
      <c r="G13" s="5"/>
      <c r="H13" s="28" t="str">
        <f t="shared" si="0"/>
        <v/>
      </c>
      <c r="I13" s="339" t="str">
        <f t="shared" si="1"/>
        <v/>
      </c>
      <c r="J13" s="7"/>
    </row>
    <row r="14" spans="1:12" ht="15.75" customHeight="1">
      <c r="A14" s="8"/>
      <c r="B14" s="7"/>
      <c r="C14" s="8"/>
      <c r="D14" s="8"/>
      <c r="E14" s="5"/>
      <c r="F14" s="5"/>
      <c r="G14" s="5"/>
      <c r="H14" s="28" t="str">
        <f t="shared" si="0"/>
        <v/>
      </c>
      <c r="I14" s="339" t="str">
        <f t="shared" si="1"/>
        <v/>
      </c>
      <c r="J14" s="7"/>
    </row>
    <row r="15" spans="1:12" ht="15.75" customHeight="1">
      <c r="A15" s="8"/>
      <c r="B15" s="7"/>
      <c r="C15" s="8"/>
      <c r="D15" s="8"/>
      <c r="E15" s="5"/>
      <c r="F15" s="5"/>
      <c r="G15" s="5"/>
      <c r="H15" s="28" t="str">
        <f t="shared" si="0"/>
        <v/>
      </c>
      <c r="I15" s="339" t="str">
        <f t="shared" si="1"/>
        <v/>
      </c>
      <c r="J15" s="7"/>
    </row>
    <row r="16" spans="1:12" ht="15.75" customHeight="1">
      <c r="A16" s="8"/>
      <c r="B16" s="7"/>
      <c r="C16" s="8"/>
      <c r="D16" s="8"/>
      <c r="E16" s="5"/>
      <c r="F16" s="5"/>
      <c r="G16" s="5"/>
      <c r="H16" s="28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8"/>
      <c r="D17" s="8"/>
      <c r="E17" s="5"/>
      <c r="F17" s="5"/>
      <c r="G17" s="5"/>
      <c r="H17" s="28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8"/>
      <c r="D18" s="8"/>
      <c r="E18" s="5"/>
      <c r="F18" s="5"/>
      <c r="G18" s="5"/>
      <c r="H18" s="28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8"/>
      <c r="D19" s="8"/>
      <c r="E19" s="5"/>
      <c r="F19" s="5"/>
      <c r="G19" s="5"/>
      <c r="H19" s="28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8"/>
      <c r="D20" s="8"/>
      <c r="E20" s="5"/>
      <c r="F20" s="5"/>
      <c r="G20" s="5"/>
      <c r="H20" s="28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8"/>
      <c r="D21" s="8"/>
      <c r="E21" s="5"/>
      <c r="F21" s="5"/>
      <c r="G21" s="5"/>
      <c r="H21" s="28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8"/>
      <c r="D22" s="8"/>
      <c r="E22" s="5"/>
      <c r="F22" s="5"/>
      <c r="G22" s="5"/>
      <c r="H22" s="28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8"/>
      <c r="D23" s="8"/>
      <c r="E23" s="5"/>
      <c r="F23" s="5"/>
      <c r="G23" s="5"/>
      <c r="H23" s="28" t="str">
        <f t="shared" si="0"/>
        <v/>
      </c>
      <c r="I23" s="339" t="str">
        <f t="shared" si="1"/>
        <v/>
      </c>
      <c r="J23" s="7"/>
    </row>
    <row r="24" spans="1:10" ht="15.75" customHeight="1">
      <c r="A24" s="8"/>
      <c r="B24" s="7"/>
      <c r="C24" s="8"/>
      <c r="D24" s="8"/>
      <c r="E24" s="5"/>
      <c r="F24" s="5"/>
      <c r="G24" s="5"/>
      <c r="H24" s="28" t="str">
        <f t="shared" si="0"/>
        <v/>
      </c>
      <c r="I24" s="339" t="str">
        <f t="shared" si="1"/>
        <v/>
      </c>
      <c r="J24" s="7"/>
    </row>
    <row r="25" spans="1:10" ht="15.75" customHeight="1">
      <c r="A25" s="8"/>
      <c r="B25" s="7"/>
      <c r="C25" s="8"/>
      <c r="D25" s="8"/>
      <c r="E25" s="5"/>
      <c r="F25" s="5"/>
      <c r="G25" s="5"/>
      <c r="H25" s="28" t="str">
        <f t="shared" si="0"/>
        <v/>
      </c>
      <c r="I25" s="339" t="str">
        <f t="shared" si="1"/>
        <v/>
      </c>
      <c r="J25" s="7"/>
    </row>
    <row r="26" spans="1:10" ht="15.75" customHeight="1">
      <c r="A26" s="420" t="s">
        <v>534</v>
      </c>
      <c r="B26" s="421"/>
      <c r="C26" s="241"/>
      <c r="D26" s="241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28" t="str">
        <f t="shared" ca="1" si="0"/>
        <v/>
      </c>
      <c r="I26" s="339" t="str">
        <f t="shared" ca="1" si="1"/>
        <v/>
      </c>
      <c r="J26" s="234"/>
    </row>
    <row r="27" spans="1:10" ht="15.75" hidden="1" customHeight="1">
      <c r="A27" s="8"/>
      <c r="B27" s="7"/>
      <c r="C27" s="8"/>
      <c r="D27" s="8"/>
      <c r="E27" s="5"/>
      <c r="F27" s="5"/>
      <c r="G27" s="5"/>
      <c r="H27" s="28" t="str">
        <f>IF(ISERROR(G27-F27),"",IF(G27=0,"",G27-F27))</f>
        <v/>
      </c>
      <c r="I27" s="339" t="str">
        <f>IF(ISERROR(G27-F27),"",IF(G27=0,"",IF(H27="",0,ROUND(H27*100/F27,2))))</f>
        <v/>
      </c>
      <c r="J27" s="7"/>
    </row>
    <row r="28" spans="1:10" ht="15.75" hidden="1" customHeight="1">
      <c r="A28" s="8"/>
      <c r="B28" s="7"/>
      <c r="C28" s="8"/>
      <c r="D28" s="8"/>
      <c r="E28" s="5"/>
      <c r="F28" s="5"/>
      <c r="G28" s="5"/>
      <c r="H28" s="28" t="str">
        <f t="shared" ref="H28:H46" si="2">IF(ISERROR(G28-F28),"",IF(G28=0,"",G28-F28))</f>
        <v/>
      </c>
      <c r="I28" s="339" t="str">
        <f t="shared" ref="I28:I46" si="3">IF(ISERROR(G28-F28),"",IF(G28=0,"",IF(H28="",0,ROUND(H28*100/F28,2))))</f>
        <v/>
      </c>
      <c r="J28" s="7"/>
    </row>
    <row r="29" spans="1:10" ht="15.75" hidden="1" customHeight="1">
      <c r="A29" s="8"/>
      <c r="B29" s="7"/>
      <c r="C29" s="8"/>
      <c r="D29" s="8"/>
      <c r="E29" s="5"/>
      <c r="F29" s="5"/>
      <c r="G29" s="5"/>
      <c r="H29" s="28" t="str">
        <f t="shared" si="2"/>
        <v/>
      </c>
      <c r="I29" s="339" t="str">
        <f t="shared" si="3"/>
        <v/>
      </c>
      <c r="J29" s="7"/>
    </row>
    <row r="30" spans="1:10" ht="15.75" hidden="1" customHeight="1">
      <c r="A30" s="8"/>
      <c r="B30" s="7"/>
      <c r="C30" s="8"/>
      <c r="D30" s="8"/>
      <c r="E30" s="5"/>
      <c r="F30" s="5"/>
      <c r="G30" s="5"/>
      <c r="H30" s="28" t="str">
        <f t="shared" si="2"/>
        <v/>
      </c>
      <c r="I30" s="339" t="str">
        <f t="shared" si="3"/>
        <v/>
      </c>
      <c r="J30" s="7"/>
    </row>
    <row r="31" spans="1:10" ht="15.75" hidden="1" customHeight="1">
      <c r="A31" s="8"/>
      <c r="B31" s="7"/>
      <c r="C31" s="8"/>
      <c r="D31" s="8"/>
      <c r="E31" s="5"/>
      <c r="F31" s="5"/>
      <c r="G31" s="5"/>
      <c r="H31" s="28" t="str">
        <f t="shared" si="2"/>
        <v/>
      </c>
      <c r="I31" s="339" t="str">
        <f t="shared" si="3"/>
        <v/>
      </c>
      <c r="J31" s="7"/>
    </row>
    <row r="32" spans="1:10" ht="15.75" hidden="1" customHeight="1">
      <c r="A32" s="8"/>
      <c r="B32" s="7"/>
      <c r="C32" s="8"/>
      <c r="D32" s="8"/>
      <c r="E32" s="5"/>
      <c r="F32" s="5"/>
      <c r="G32" s="5"/>
      <c r="H32" s="28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8"/>
      <c r="D33" s="8"/>
      <c r="E33" s="5"/>
      <c r="F33" s="5"/>
      <c r="G33" s="5"/>
      <c r="H33" s="28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8"/>
      <c r="D34" s="8"/>
      <c r="E34" s="5"/>
      <c r="F34" s="5"/>
      <c r="G34" s="5"/>
      <c r="H34" s="28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8"/>
      <c r="D35" s="8"/>
      <c r="E35" s="5"/>
      <c r="F35" s="5"/>
      <c r="G35" s="5"/>
      <c r="H35" s="28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8"/>
      <c r="D36" s="8"/>
      <c r="E36" s="5"/>
      <c r="F36" s="5"/>
      <c r="G36" s="5"/>
      <c r="H36" s="28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8"/>
      <c r="D37" s="8"/>
      <c r="E37" s="5"/>
      <c r="F37" s="5"/>
      <c r="G37" s="5"/>
      <c r="H37" s="28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8"/>
      <c r="D38" s="8"/>
      <c r="E38" s="5"/>
      <c r="F38" s="5"/>
      <c r="G38" s="5"/>
      <c r="H38" s="28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8"/>
      <c r="D39" s="8"/>
      <c r="E39" s="5"/>
      <c r="F39" s="5"/>
      <c r="G39" s="5"/>
      <c r="H39" s="28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8"/>
      <c r="D40" s="8"/>
      <c r="E40" s="5"/>
      <c r="F40" s="5"/>
      <c r="G40" s="5"/>
      <c r="H40" s="28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8"/>
      <c r="D41" s="8"/>
      <c r="E41" s="5"/>
      <c r="F41" s="5"/>
      <c r="G41" s="5"/>
      <c r="H41" s="28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8"/>
      <c r="D42" s="8"/>
      <c r="E42" s="5"/>
      <c r="F42" s="5"/>
      <c r="G42" s="5"/>
      <c r="H42" s="28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8"/>
      <c r="D43" s="8"/>
      <c r="E43" s="5"/>
      <c r="F43" s="5"/>
      <c r="G43" s="5"/>
      <c r="H43" s="28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8"/>
      <c r="D44" s="8"/>
      <c r="E44" s="5"/>
      <c r="F44" s="5"/>
      <c r="G44" s="5"/>
      <c r="H44" s="28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8"/>
      <c r="D45" s="8"/>
      <c r="E45" s="5"/>
      <c r="F45" s="5"/>
      <c r="G45" s="5"/>
      <c r="H45" s="28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8"/>
      <c r="D46" s="8"/>
      <c r="E46" s="5"/>
      <c r="F46" s="5"/>
      <c r="G46" s="5"/>
      <c r="H46" s="28" t="str">
        <f t="shared" si="2"/>
        <v/>
      </c>
      <c r="I46" s="339" t="str">
        <f t="shared" si="3"/>
        <v/>
      </c>
      <c r="J46" s="7"/>
    </row>
  </sheetData>
  <mergeCells count="3">
    <mergeCell ref="A1:J1"/>
    <mergeCell ref="A2:J2"/>
    <mergeCell ref="A26:B26"/>
  </mergeCells>
  <phoneticPr fontId="6" type="noConversion"/>
  <printOptions horizontalCentered="1" verticalCentered="1"/>
  <pageMargins left="1.2598425196850394" right="0.86614173228346458" top="0.15748031496062992" bottom="0.55118110236220474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&amp;R&amp;"宋体,常规"&amp;10表3-15
共&amp;N页 第&amp;P页
金额单位：人民币元</oddHeader>
    <oddFooter>&amp;L&amp;10被评估单位填表人：_x000D_填表日期：&amp;C&amp;10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3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83D3D-B817-4A31-911E-FD80DE939264}">
  <sheetPr codeName="Sheet6">
    <pageSetUpPr fitToPage="1"/>
  </sheetPr>
  <dimension ref="A1:F31"/>
  <sheetViews>
    <sheetView workbookViewId="0">
      <pane ySplit="5" topLeftCell="A12" activePane="bottomLeft" state="frozen"/>
      <selection pane="bottomLeft" activeCell="D29" sqref="D29"/>
    </sheetView>
  </sheetViews>
  <sheetFormatPr baseColWidth="10" defaultColWidth="9" defaultRowHeight="15.75" customHeight="1"/>
  <cols>
    <col min="1" max="1" width="5.5" style="81" customWidth="1"/>
    <col min="2" max="2" width="28" style="81" customWidth="1"/>
    <col min="3" max="3" width="19.1640625" style="81" customWidth="1"/>
    <col min="4" max="4" width="21.6640625" style="81" customWidth="1"/>
    <col min="5" max="5" width="20.1640625" style="135" customWidth="1"/>
    <col min="6" max="6" width="14.5" style="340" customWidth="1"/>
    <col min="7" max="16384" width="9" style="81"/>
  </cols>
  <sheetData>
    <row r="1" spans="1:6" s="80" customFormat="1" ht="30" customHeight="1">
      <c r="A1" s="374" t="s">
        <v>549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132" t="s">
        <v>305</v>
      </c>
    </row>
    <row r="4" spans="1:6" ht="15.75" customHeight="1">
      <c r="A4" s="41" t="str">
        <f>'1-汇总表'!A4</f>
        <v>被评估单位：A有限公司</v>
      </c>
      <c r="B4" s="42"/>
      <c r="C4" s="42"/>
      <c r="D4" s="42"/>
      <c r="E4" s="419" t="s">
        <v>6</v>
      </c>
      <c r="F4" s="419"/>
    </row>
    <row r="5" spans="1:6" s="82" customFormat="1" ht="15.75" customHeight="1">
      <c r="A5" s="43" t="s">
        <v>57</v>
      </c>
      <c r="B5" s="43" t="s">
        <v>5</v>
      </c>
      <c r="C5" s="43" t="s">
        <v>117</v>
      </c>
      <c r="D5" s="43" t="s">
        <v>0</v>
      </c>
      <c r="E5" s="133" t="s">
        <v>1</v>
      </c>
      <c r="F5" s="352" t="s">
        <v>479</v>
      </c>
    </row>
    <row r="6" spans="1:6" ht="15.75" customHeight="1">
      <c r="A6" s="1" t="s">
        <v>202</v>
      </c>
      <c r="B6" s="108" t="s">
        <v>356</v>
      </c>
      <c r="C6" s="32" t="str">
        <f ca="1">IF('4-1可供出售金融资产汇总'!C26=0,"",'4-1可供出售金融资产汇总'!C26)</f>
        <v/>
      </c>
      <c r="D6" s="32" t="str">
        <f ca="1">IF('4-1可供出售金融资产汇总'!D26=0,"",'4-1可供出售金融资产汇总'!D26)</f>
        <v/>
      </c>
      <c r="E6" s="28" t="str">
        <f ca="1">IF(ISERROR(D6-C6),"",IF(C6=0,"",D6-C6))</f>
        <v/>
      </c>
      <c r="F6" s="339" t="str">
        <f ca="1">IF(ISERROR(D6-C6),"",IF(C6=0,"",IF(E6="",0,ROUND(E6*100/C6,2))))</f>
        <v/>
      </c>
    </row>
    <row r="7" spans="1:6" ht="15.75" customHeight="1">
      <c r="A7" s="1" t="s">
        <v>198</v>
      </c>
      <c r="B7" s="108" t="s">
        <v>357</v>
      </c>
      <c r="C7" s="32" t="str">
        <f ca="1">IF('4-2持有至到期投资'!H26=0,"",'4-2持有至到期投资'!H26)</f>
        <v/>
      </c>
      <c r="D7" s="32" t="str">
        <f ca="1">IF('4-2持有至到期投资'!I26=0,"",'4-2持有至到期投资'!I26)</f>
        <v/>
      </c>
      <c r="E7" s="28" t="str">
        <f t="shared" ref="E7:E25" ca="1" si="0">IF(ISERROR(D7-C7),"",IF(C7=0,"",D7-C7))</f>
        <v/>
      </c>
      <c r="F7" s="339" t="str">
        <f t="shared" ref="F7:F29" ca="1" si="1">IF(ISERROR(D7-C7),"",IF(C7=0,"",IF(E7="",0,ROUND(E7*100/C7,2))))</f>
        <v/>
      </c>
    </row>
    <row r="8" spans="1:6" ht="15.75" customHeight="1">
      <c r="A8" s="1" t="s">
        <v>199</v>
      </c>
      <c r="B8" s="108" t="s">
        <v>358</v>
      </c>
      <c r="C8" s="32" t="str">
        <f ca="1">IF('4-3长期应收'!E26=0,"",'4-3长期应收'!E26)</f>
        <v/>
      </c>
      <c r="D8" s="32" t="str">
        <f ca="1">IF('4-3长期应收'!F26=0,"",'4-3长期应收'!F26)</f>
        <v/>
      </c>
      <c r="E8" s="28" t="str">
        <f t="shared" ca="1" si="0"/>
        <v/>
      </c>
      <c r="F8" s="339" t="str">
        <f t="shared" ca="1" si="1"/>
        <v/>
      </c>
    </row>
    <row r="9" spans="1:6" ht="15.75" customHeight="1">
      <c r="A9" s="1" t="s">
        <v>200</v>
      </c>
      <c r="B9" s="108" t="s">
        <v>359</v>
      </c>
      <c r="C9" s="32" t="str">
        <f ca="1">IF('4-4股权投资'!G26=0,"",'4-4股权投资'!G26)</f>
        <v/>
      </c>
      <c r="D9" s="32" t="str">
        <f ca="1">IF('4-4股权投资'!H26=0,"",'4-4股权投资'!H26)</f>
        <v/>
      </c>
      <c r="E9" s="28" t="str">
        <f t="shared" ca="1" si="0"/>
        <v/>
      </c>
      <c r="F9" s="339" t="str">
        <f t="shared" ca="1" si="1"/>
        <v/>
      </c>
    </row>
    <row r="10" spans="1:6" ht="15.75" customHeight="1">
      <c r="A10" s="1" t="s">
        <v>201</v>
      </c>
      <c r="B10" s="108" t="s">
        <v>857</v>
      </c>
      <c r="C10" s="32" t="str">
        <f ca="1">IF('4-5其他权益工具投资'!H26=0,"",'4-5其他权益工具投资'!H26)</f>
        <v/>
      </c>
      <c r="D10" s="32" t="str">
        <f ca="1">IF('4-5其他权益工具投资'!I26=0,"",'4-5其他权益工具投资'!I26)</f>
        <v/>
      </c>
      <c r="E10" s="28" t="str">
        <f ca="1">IF(ISERROR(D10-C10),"",IF(C10=0,"",D10-C10))</f>
        <v/>
      </c>
      <c r="F10" s="339" t="str">
        <f ca="1">IF(ISERROR(D10-C10),"",IF(C10=0,"",IF(E10="",0,ROUND(E10*100/C10,2))))</f>
        <v/>
      </c>
    </row>
    <row r="11" spans="1:6" ht="15.75" customHeight="1">
      <c r="A11" s="1" t="s">
        <v>293</v>
      </c>
      <c r="B11" s="108" t="s">
        <v>858</v>
      </c>
      <c r="C11" s="32" t="str">
        <f ca="1">IF('4-6其他非流动金融资产'!D26=0,"",'4-6其他非流动金融资产'!D26)</f>
        <v/>
      </c>
      <c r="D11" s="32" t="str">
        <f ca="1">IF('4-6其他非流动金融资产'!E26=0,"",'4-6其他非流动金融资产'!E26)</f>
        <v/>
      </c>
      <c r="E11" s="28" t="str">
        <f ca="1">IF(ISERROR(D11-C11),"",IF(C11=0,"",D11-C11))</f>
        <v/>
      </c>
      <c r="F11" s="339" t="str">
        <f ca="1">IF(ISERROR(D11-C11),"",IF(C11=0,"",IF(E11="",0,ROUND(E11*100/C11,2))))</f>
        <v/>
      </c>
    </row>
    <row r="12" spans="1:6" ht="15.75" customHeight="1">
      <c r="A12" s="1" t="s">
        <v>294</v>
      </c>
      <c r="B12" s="108" t="s">
        <v>360</v>
      </c>
      <c r="C12" s="32" t="str">
        <f ca="1">IF(SUM('4-7-1投资性房地产'!K28,'4-7-2投资性房地产'!K27,'4-7-3投资性地产'!M27,'4-7-4投资性地产'!M27)=0,"",SUM('4-7-1投资性房地产'!K28,'4-7-2投资性房地产'!K27,'4-7-3投资性地产'!M27,'4-7-4投资性地产'!M27))</f>
        <v/>
      </c>
      <c r="D12" s="32" t="str">
        <f ca="1">IF(SUM('4-7-1投资性房地产'!N28,'4-7-2投资性房地产'!L27,'4-7-3投资性地产'!N27,'4-7-4投资性地产'!N27)=0,"",SUM('4-7-1投资性房地产'!N28,'4-7-2投资性房地产'!L27,'4-7-3投资性地产'!N27,'4-7-4投资性地产'!N27))</f>
        <v/>
      </c>
      <c r="E12" s="28" t="str">
        <f ca="1">IF(ISERROR(D12-C12),"",IF(C12=0,"",D12-C12))</f>
        <v/>
      </c>
      <c r="F12" s="339" t="str">
        <f t="shared" ca="1" si="1"/>
        <v/>
      </c>
    </row>
    <row r="13" spans="1:6" ht="15.75" customHeight="1">
      <c r="A13" s="1" t="s">
        <v>295</v>
      </c>
      <c r="B13" s="108" t="s">
        <v>361</v>
      </c>
      <c r="C13" s="32" t="str">
        <f ca="1">IF('4-8固定资产汇总'!D27=0,"",'4-8固定资产汇总'!D27)</f>
        <v/>
      </c>
      <c r="D13" s="32" t="str">
        <f ca="1">IF('4-8固定资产汇总'!F27=0,"",'4-8固定资产汇总'!F27)</f>
        <v/>
      </c>
      <c r="E13" s="28" t="str">
        <f t="shared" ca="1" si="0"/>
        <v/>
      </c>
      <c r="F13" s="339" t="str">
        <f t="shared" ca="1" si="1"/>
        <v/>
      </c>
    </row>
    <row r="14" spans="1:6" ht="15.75" customHeight="1">
      <c r="A14" s="1" t="s">
        <v>296</v>
      </c>
      <c r="B14" s="108" t="s">
        <v>362</v>
      </c>
      <c r="C14" s="32" t="str">
        <f ca="1">IF('4-9在建工程汇总'!C28=0,"",'4-9在建工程汇总'!C28)</f>
        <v/>
      </c>
      <c r="D14" s="32" t="str">
        <f ca="1">IF('4-9在建工程汇总'!D28=0,"",'4-9在建工程汇总'!D28)</f>
        <v/>
      </c>
      <c r="E14" s="28" t="str">
        <f t="shared" ca="1" si="0"/>
        <v/>
      </c>
      <c r="F14" s="339" t="str">
        <f t="shared" ca="1" si="1"/>
        <v/>
      </c>
    </row>
    <row r="15" spans="1:6" ht="15.75" customHeight="1">
      <c r="A15" s="1" t="s">
        <v>297</v>
      </c>
      <c r="B15" s="108" t="s">
        <v>363</v>
      </c>
      <c r="C15" s="32" t="str">
        <f ca="1">IF('4-10工程物资'!G27=0,"",'4-10工程物资'!G27)</f>
        <v/>
      </c>
      <c r="D15" s="32" t="str">
        <f ca="1">IF('4-10工程物资'!J27=0,"",'4-10工程物资'!J27)</f>
        <v/>
      </c>
      <c r="E15" s="28" t="str">
        <f t="shared" ca="1" si="0"/>
        <v/>
      </c>
      <c r="F15" s="339" t="str">
        <f t="shared" ca="1" si="1"/>
        <v/>
      </c>
    </row>
    <row r="16" spans="1:6" ht="15.75" customHeight="1">
      <c r="A16" s="1" t="s">
        <v>298</v>
      </c>
      <c r="B16" s="108" t="s">
        <v>364</v>
      </c>
      <c r="C16" s="32" t="str">
        <f ca="1">IF('4-11固定资产清理'!D26=0,"",'4-11固定资产清理'!D26)</f>
        <v/>
      </c>
      <c r="D16" s="32" t="str">
        <f ca="1">IF('4-11固定资产清理'!E26=0,"",'4-11固定资产清理'!E26)</f>
        <v/>
      </c>
      <c r="E16" s="28" t="str">
        <f t="shared" ca="1" si="0"/>
        <v/>
      </c>
      <c r="F16" s="339" t="str">
        <f t="shared" ca="1" si="1"/>
        <v/>
      </c>
    </row>
    <row r="17" spans="1:6" ht="15.75" customHeight="1">
      <c r="A17" s="1" t="s">
        <v>299</v>
      </c>
      <c r="B17" s="108" t="s">
        <v>365</v>
      </c>
      <c r="C17" s="32" t="str">
        <f ca="1">IF('4-12生产性生物资产'!H27=0,"",'4-12生产性生物资产'!H27)</f>
        <v/>
      </c>
      <c r="D17" s="32" t="str">
        <f ca="1">IF('4-12生产性生物资产'!K27=0,"",'4-12生产性生物资产'!K27)</f>
        <v/>
      </c>
      <c r="E17" s="28" t="str">
        <f t="shared" ca="1" si="0"/>
        <v/>
      </c>
      <c r="F17" s="339" t="str">
        <f t="shared" ca="1" si="1"/>
        <v/>
      </c>
    </row>
    <row r="18" spans="1:6" ht="15.75" customHeight="1">
      <c r="A18" s="1" t="s">
        <v>300</v>
      </c>
      <c r="B18" s="108" t="s">
        <v>366</v>
      </c>
      <c r="C18" s="32" t="str">
        <f ca="1">IF('4-13油气资产'!I27=0,"",'4-13油气资产'!I27)</f>
        <v/>
      </c>
      <c r="D18" s="32" t="str">
        <f ca="1">IF('4-13油气资产'!L27=0,"",'4-13油气资产'!L27)</f>
        <v/>
      </c>
      <c r="E18" s="28" t="str">
        <f t="shared" ca="1" si="0"/>
        <v/>
      </c>
      <c r="F18" s="339" t="str">
        <f t="shared" ca="1" si="1"/>
        <v/>
      </c>
    </row>
    <row r="19" spans="1:6" ht="15.75" customHeight="1">
      <c r="A19" s="1" t="s">
        <v>301</v>
      </c>
      <c r="B19" s="108" t="s">
        <v>913</v>
      </c>
      <c r="C19" s="32" t="str">
        <f ca="1">IF('4-14使用权资产'!G27=0,"",'4-14使用权资产'!G27)</f>
        <v/>
      </c>
      <c r="D19" s="32" t="str">
        <f ca="1">IF('4-14使用权资产'!H27=0,"",'4-14使用权资产'!H27)</f>
        <v/>
      </c>
      <c r="E19" s="28" t="str">
        <f t="shared" ca="1" si="0"/>
        <v/>
      </c>
      <c r="F19" s="339" t="str">
        <f t="shared" ca="1" si="1"/>
        <v/>
      </c>
    </row>
    <row r="20" spans="1:6" ht="15.75" customHeight="1">
      <c r="A20" s="1" t="s">
        <v>302</v>
      </c>
      <c r="B20" s="108" t="s">
        <v>367</v>
      </c>
      <c r="C20" s="32" t="str">
        <f ca="1">IF('4-15无形资产汇总'!C28=0,"",'4-15无形资产汇总'!C28)</f>
        <v/>
      </c>
      <c r="D20" s="32" t="str">
        <f ca="1">IF('4-15无形资产汇总'!D28=0,"",'4-15无形资产汇总'!D28)</f>
        <v/>
      </c>
      <c r="E20" s="28" t="str">
        <f t="shared" ca="1" si="0"/>
        <v/>
      </c>
      <c r="F20" s="339" t="str">
        <f t="shared" ca="1" si="1"/>
        <v/>
      </c>
    </row>
    <row r="21" spans="1:6" ht="15.75" customHeight="1">
      <c r="A21" s="1" t="s">
        <v>303</v>
      </c>
      <c r="B21" s="108" t="s">
        <v>368</v>
      </c>
      <c r="C21" s="32" t="str">
        <f ca="1">IF('4-16开发支出'!D26=0,"",'4-16开发支出'!D26)</f>
        <v/>
      </c>
      <c r="D21" s="32" t="str">
        <f ca="1">IF('4-16开发支出'!E26=0,"",'4-16开发支出'!E26)</f>
        <v/>
      </c>
      <c r="E21" s="28" t="str">
        <f t="shared" ca="1" si="0"/>
        <v/>
      </c>
      <c r="F21" s="339" t="str">
        <f t="shared" ca="1" si="1"/>
        <v/>
      </c>
    </row>
    <row r="22" spans="1:6" ht="15.75" customHeight="1">
      <c r="A22" s="1" t="s">
        <v>304</v>
      </c>
      <c r="B22" s="108" t="s">
        <v>369</v>
      </c>
      <c r="C22" s="32" t="str">
        <f ca="1">IF('4-17商誉'!D26=0,"",'4-17商誉'!D26)</f>
        <v/>
      </c>
      <c r="D22" s="32" t="str">
        <f ca="1">IF('4-17商誉'!E26=0,"",'4-17商誉'!E26)</f>
        <v/>
      </c>
      <c r="E22" s="28" t="str">
        <f t="shared" ca="1" si="0"/>
        <v/>
      </c>
      <c r="F22" s="339" t="str">
        <f t="shared" ca="1" si="1"/>
        <v/>
      </c>
    </row>
    <row r="23" spans="1:6" ht="15.75" customHeight="1">
      <c r="A23" s="1" t="s">
        <v>859</v>
      </c>
      <c r="B23" s="108" t="s">
        <v>370</v>
      </c>
      <c r="C23" s="32" t="str">
        <f ca="1">IF('4-18长期待摊费用'!F26=0,"",'4-18长期待摊费用'!F26)</f>
        <v/>
      </c>
      <c r="D23" s="32" t="str">
        <f ca="1">IF('4-18长期待摊费用'!H26=0,"",'4-18长期待摊费用'!H26)</f>
        <v/>
      </c>
      <c r="E23" s="28" t="str">
        <f t="shared" ca="1" si="0"/>
        <v/>
      </c>
      <c r="F23" s="339" t="str">
        <f t="shared" ca="1" si="1"/>
        <v/>
      </c>
    </row>
    <row r="24" spans="1:6" ht="15.75" customHeight="1">
      <c r="A24" s="1" t="s">
        <v>860</v>
      </c>
      <c r="B24" s="108" t="s">
        <v>371</v>
      </c>
      <c r="C24" s="32" t="str">
        <f ca="1">IF('4-19递延所得税资产'!D26=0,"",'4-19递延所得税资产'!D26)</f>
        <v/>
      </c>
      <c r="D24" s="32" t="str">
        <f ca="1">IF('4-19递延所得税资产'!E26=0,"",'4-19递延所得税资产'!E26)</f>
        <v/>
      </c>
      <c r="E24" s="28" t="str">
        <f t="shared" ca="1" si="0"/>
        <v/>
      </c>
      <c r="F24" s="339" t="str">
        <f t="shared" ca="1" si="1"/>
        <v/>
      </c>
    </row>
    <row r="25" spans="1:6" ht="15.75" customHeight="1">
      <c r="A25" s="1" t="s">
        <v>912</v>
      </c>
      <c r="B25" s="108" t="s">
        <v>372</v>
      </c>
      <c r="C25" s="32" t="str">
        <f ca="1">IF('4-20其他非流动资产'!D26=0,"",'4-20其他非流动资产'!D26)</f>
        <v/>
      </c>
      <c r="D25" s="32" t="str">
        <f ca="1">IF('4-20其他非流动资产'!E26=0,"",'4-20其他非流动资产'!E26)</f>
        <v/>
      </c>
      <c r="E25" s="28" t="str">
        <f t="shared" ca="1" si="0"/>
        <v/>
      </c>
      <c r="F25" s="339" t="str">
        <f t="shared" ca="1" si="1"/>
        <v/>
      </c>
    </row>
    <row r="26" spans="1:6" ht="15.75" customHeight="1">
      <c r="A26" s="46"/>
      <c r="B26" s="2"/>
      <c r="C26" s="32"/>
      <c r="D26" s="29"/>
      <c r="E26" s="243"/>
      <c r="F26" s="354"/>
    </row>
    <row r="27" spans="1:6" ht="15.75" customHeight="1">
      <c r="A27" s="46"/>
      <c r="B27" s="2"/>
      <c r="C27" s="32"/>
      <c r="D27" s="29"/>
      <c r="E27" s="243"/>
      <c r="F27" s="354"/>
    </row>
    <row r="28" spans="1:6" ht="15.75" customHeight="1">
      <c r="A28" s="1"/>
      <c r="B28" s="210"/>
      <c r="C28" s="32"/>
      <c r="D28" s="29"/>
      <c r="E28" s="243"/>
      <c r="F28" s="354"/>
    </row>
    <row r="29" spans="1:6" ht="15.75" customHeight="1">
      <c r="A29" s="413" t="s">
        <v>463</v>
      </c>
      <c r="B29" s="502"/>
      <c r="C29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9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9" s="28" t="str">
        <f ca="1">IF(ISERROR(D29-C29),"",IF(C29=0,"",D29-C29))</f>
        <v/>
      </c>
      <c r="F29" s="339" t="str">
        <f t="shared" ca="1" si="1"/>
        <v/>
      </c>
    </row>
    <row r="30" spans="1:6" ht="15.75" customHeight="1">
      <c r="A30" s="83"/>
      <c r="D30" s="25"/>
      <c r="E30" s="26"/>
      <c r="F30" s="353"/>
    </row>
    <row r="31" spans="1:6" ht="15.75" customHeight="1">
      <c r="A31" s="83"/>
    </row>
  </sheetData>
  <mergeCells count="4">
    <mergeCell ref="A1:F1"/>
    <mergeCell ref="A2:F2"/>
    <mergeCell ref="A29:B29"/>
    <mergeCell ref="E4:F4"/>
  </mergeCells>
  <phoneticPr fontId="52" type="noConversion"/>
  <printOptions horizontalCentered="1" verticalCentered="1"/>
  <pageMargins left="1.1811023622047245" right="0.43307086614173229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A6750-98D9-4561-BE32-55C6FFC5BCE2}">
  <sheetPr codeName="Sheet37">
    <pageSetUpPr fitToPage="1"/>
  </sheetPr>
  <dimension ref="A1:F29"/>
  <sheetViews>
    <sheetView workbookViewId="0">
      <pane ySplit="5" topLeftCell="A6" activePane="bottomLeft" state="frozen"/>
      <selection pane="bottomLeft" activeCell="C7" sqref="C7"/>
    </sheetView>
  </sheetViews>
  <sheetFormatPr baseColWidth="10" defaultColWidth="9" defaultRowHeight="15.75" customHeight="1"/>
  <cols>
    <col min="1" max="1" width="6.1640625" style="81" customWidth="1"/>
    <col min="2" max="2" width="28" style="81" customWidth="1"/>
    <col min="3" max="4" width="19.1640625" style="81" customWidth="1"/>
    <col min="5" max="5" width="20.1640625" style="135" customWidth="1"/>
    <col min="6" max="6" width="12.6640625" style="135" customWidth="1"/>
    <col min="7" max="16384" width="9" style="81"/>
  </cols>
  <sheetData>
    <row r="1" spans="1:6" s="80" customFormat="1" ht="30" customHeight="1">
      <c r="A1" s="374" t="s">
        <v>550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503" t="s">
        <v>306</v>
      </c>
      <c r="F3" s="503"/>
    </row>
    <row r="4" spans="1:6" ht="15.75" customHeight="1">
      <c r="A4" s="41" t="str">
        <f>'1-汇总表'!A4</f>
        <v>被评估单位：A有限公司</v>
      </c>
      <c r="B4" s="42"/>
      <c r="C4" s="42"/>
      <c r="D4" s="42"/>
      <c r="E4" s="419" t="s">
        <v>146</v>
      </c>
      <c r="F4" s="419"/>
    </row>
    <row r="5" spans="1:6" s="82" customFormat="1" ht="15.75" customHeight="1">
      <c r="A5" s="43" t="s">
        <v>148</v>
      </c>
      <c r="B5" s="43" t="s">
        <v>149</v>
      </c>
      <c r="C5" s="43" t="s">
        <v>117</v>
      </c>
      <c r="D5" s="43" t="s">
        <v>147</v>
      </c>
      <c r="E5" s="133" t="s">
        <v>1</v>
      </c>
      <c r="F5" s="134" t="s">
        <v>479</v>
      </c>
    </row>
    <row r="6" spans="1:6" ht="15.75" customHeight="1">
      <c r="A6" s="1" t="s">
        <v>190</v>
      </c>
      <c r="B6" s="2" t="s">
        <v>179</v>
      </c>
      <c r="C6" s="32" t="str">
        <f ca="1">IF('4-1-1可出售-股票'!H26=0,"",'4-1-1可出售-股票'!H26)</f>
        <v/>
      </c>
      <c r="D6" s="32" t="str">
        <f ca="1">IF('4-1-1可出售-股票'!I26=0,"",'4-1-1可出售-股票'!I26)</f>
        <v/>
      </c>
      <c r="E6" s="28" t="str">
        <f ca="1">IF(ISERROR(D6-C6),"",IF(C6=0,"",D6-C6))</f>
        <v/>
      </c>
      <c r="F6" s="28" t="str">
        <f ca="1">IF(ISERROR(D6-C6),"",IF(C6=0,"",IF(E6="",0,ROUND(E6*100/C6,2))))</f>
        <v/>
      </c>
    </row>
    <row r="7" spans="1:6" ht="15.75" customHeight="1">
      <c r="A7" s="1" t="s">
        <v>191</v>
      </c>
      <c r="B7" s="2" t="s">
        <v>180</v>
      </c>
      <c r="C7" s="32" t="str">
        <f ca="1">IF('4-1-2可出售-债券'!H26=0,"",'4-1-2可出售-债券'!H26)</f>
        <v/>
      </c>
      <c r="D7" s="32" t="str">
        <f ca="1">IF('4-1-2可出售-债券'!I26=0,"",'4-1-2可出售-债券'!I26)</f>
        <v/>
      </c>
      <c r="E7" s="28" t="str">
        <f ca="1">IF(ISERROR(D7-C7),"",IF(C7=0,"",D7-C7))</f>
        <v/>
      </c>
      <c r="F7" s="28" t="str">
        <f ca="1">IF(ISERROR(D7-C7),"",IF(C7=0,"",IF(E7="",0,ROUND(E7*100/C7,2))))</f>
        <v/>
      </c>
    </row>
    <row r="8" spans="1:6" ht="15.75" customHeight="1">
      <c r="A8" s="1" t="s">
        <v>192</v>
      </c>
      <c r="B8" s="2" t="s">
        <v>181</v>
      </c>
      <c r="C8" s="32" t="str">
        <f ca="1">IF('4-1-3可出售-其他'!H26=0,"",'4-1-3可出售-其他'!H26)</f>
        <v/>
      </c>
      <c r="D8" s="32" t="str">
        <f ca="1">IF('4-1-3可出售-其他'!I26=0,"",'4-1-3可出售-其他'!I26)</f>
        <v/>
      </c>
      <c r="E8" s="28" t="str">
        <f ca="1">IF(ISERROR(D8-C8),"",IF(C8=0,"",D8-C8))</f>
        <v/>
      </c>
      <c r="F8" s="28" t="str">
        <f ca="1">IF(ISERROR(D8-C8),"",IF(C8=0,"",IF(E8="",0,ROUND(E8*100/C8,2))))</f>
        <v/>
      </c>
    </row>
    <row r="9" spans="1:6" ht="15.75" customHeight="1">
      <c r="A9" s="46"/>
      <c r="B9" s="2"/>
      <c r="C9" s="32"/>
      <c r="D9" s="29"/>
      <c r="E9" s="31"/>
      <c r="F9" s="31"/>
    </row>
    <row r="10" spans="1:6" ht="15.75" customHeight="1">
      <c r="A10" s="46"/>
      <c r="B10" s="2"/>
      <c r="C10" s="32"/>
      <c r="D10" s="29"/>
      <c r="E10" s="31"/>
      <c r="F10" s="31"/>
    </row>
    <row r="11" spans="1:6" ht="15.75" customHeight="1">
      <c r="A11" s="46"/>
      <c r="B11" s="2"/>
      <c r="C11" s="32"/>
      <c r="D11" s="29"/>
      <c r="E11" s="31"/>
      <c r="F11" s="31"/>
    </row>
    <row r="12" spans="1:6" ht="15.75" customHeight="1">
      <c r="A12" s="46"/>
      <c r="B12" s="2"/>
      <c r="C12" s="32"/>
      <c r="D12" s="29"/>
      <c r="E12" s="31"/>
      <c r="F12" s="31"/>
    </row>
    <row r="13" spans="1:6" ht="15.75" customHeight="1">
      <c r="A13" s="46"/>
      <c r="B13" s="2"/>
      <c r="C13" s="32"/>
      <c r="D13" s="29"/>
      <c r="E13" s="31"/>
      <c r="F13" s="31"/>
    </row>
    <row r="14" spans="1:6" ht="15.75" customHeight="1">
      <c r="A14" s="46"/>
      <c r="B14" s="2"/>
      <c r="C14" s="32"/>
      <c r="D14" s="29"/>
      <c r="E14" s="31"/>
      <c r="F14" s="31"/>
    </row>
    <row r="15" spans="1:6" ht="15.75" customHeight="1">
      <c r="A15" s="46"/>
      <c r="B15" s="2"/>
      <c r="C15" s="32"/>
      <c r="D15" s="29"/>
      <c r="E15" s="31"/>
      <c r="F15" s="31"/>
    </row>
    <row r="16" spans="1:6" ht="15.75" customHeight="1">
      <c r="A16" s="46"/>
      <c r="B16" s="2"/>
      <c r="C16" s="32"/>
      <c r="D16" s="29"/>
      <c r="E16" s="31"/>
      <c r="F16" s="31"/>
    </row>
    <row r="17" spans="1:6" ht="15.75" customHeight="1">
      <c r="A17" s="46"/>
      <c r="B17" s="2"/>
      <c r="C17" s="32"/>
      <c r="D17" s="29"/>
      <c r="E17" s="31"/>
      <c r="F17" s="31"/>
    </row>
    <row r="18" spans="1:6" ht="15.75" customHeight="1">
      <c r="A18" s="46"/>
      <c r="B18" s="2"/>
      <c r="C18" s="32"/>
      <c r="D18" s="29"/>
      <c r="E18" s="31"/>
      <c r="F18" s="31"/>
    </row>
    <row r="19" spans="1:6" ht="15.75" customHeight="1">
      <c r="A19" s="46"/>
      <c r="B19" s="2"/>
      <c r="C19" s="32"/>
      <c r="D19" s="29"/>
      <c r="E19" s="31"/>
      <c r="F19" s="31"/>
    </row>
    <row r="20" spans="1:6" ht="15.75" customHeight="1">
      <c r="A20" s="46"/>
      <c r="B20" s="2"/>
      <c r="C20" s="32"/>
      <c r="D20" s="29"/>
      <c r="E20" s="31"/>
      <c r="F20" s="31"/>
    </row>
    <row r="21" spans="1:6" ht="15.75" customHeight="1">
      <c r="A21" s="46"/>
      <c r="B21" s="2"/>
      <c r="C21" s="32"/>
      <c r="D21" s="29"/>
      <c r="E21" s="31"/>
      <c r="F21" s="31"/>
    </row>
    <row r="22" spans="1:6" ht="15.75" customHeight="1">
      <c r="A22" s="46"/>
      <c r="B22" s="2"/>
      <c r="C22" s="32"/>
      <c r="D22" s="29"/>
      <c r="E22" s="31"/>
      <c r="F22" s="31"/>
    </row>
    <row r="23" spans="1:6" ht="15.75" customHeight="1">
      <c r="A23" s="46"/>
      <c r="B23" s="2"/>
      <c r="C23" s="32"/>
      <c r="D23" s="29"/>
      <c r="E23" s="31"/>
      <c r="F23" s="31"/>
    </row>
    <row r="24" spans="1:6" ht="15.75" customHeight="1">
      <c r="A24" s="46"/>
      <c r="B24" s="2"/>
      <c r="C24" s="32"/>
      <c r="D24" s="29"/>
      <c r="E24" s="31"/>
      <c r="F24" s="31"/>
    </row>
    <row r="25" spans="1:6" ht="15.75" customHeight="1">
      <c r="A25" s="46"/>
      <c r="B25" s="2"/>
      <c r="C25" s="32"/>
      <c r="D25" s="29"/>
      <c r="E25" s="31"/>
      <c r="F25" s="31"/>
    </row>
    <row r="26" spans="1:6" ht="15.75" customHeight="1">
      <c r="A26" s="420" t="s">
        <v>534</v>
      </c>
      <c r="B26" s="421"/>
      <c r="C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28" t="str">
        <f ca="1">IF(ISERROR(D26-C26),"",IF(C26=0,"",D26-C26))</f>
        <v/>
      </c>
      <c r="F26" s="28" t="str">
        <f ca="1">IF(ISERROR(D26-C26),"",IF(C26=0,"",IF(E26="",0,ROUND(E26*100/C26,2))))</f>
        <v/>
      </c>
    </row>
    <row r="27" spans="1:6" ht="15.75" customHeight="1">
      <c r="A27" s="83"/>
      <c r="D27" s="25"/>
      <c r="E27" s="26"/>
      <c r="F27" s="26"/>
    </row>
    <row r="28" spans="1:6" ht="15.75" customHeight="1">
      <c r="A28" s="83"/>
    </row>
    <row r="29" spans="1:6" ht="15.75" customHeight="1">
      <c r="A29" s="104"/>
      <c r="B29" s="104"/>
      <c r="C29" s="104"/>
      <c r="D29" s="104"/>
    </row>
  </sheetData>
  <mergeCells count="5">
    <mergeCell ref="A1:F1"/>
    <mergeCell ref="A2:F2"/>
    <mergeCell ref="E3:F3"/>
    <mergeCell ref="A26:B26"/>
    <mergeCell ref="E4:F4"/>
  </mergeCells>
  <phoneticPr fontId="6" type="noConversion"/>
  <printOptions horizontalCentered="1" verticalCentered="1"/>
  <pageMargins left="1.1417322834645669" right="0.55118110236220474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1168400</xdr:colOff>
                    <xdr:row>2</xdr:row>
                    <xdr:rowOff>0</xdr:rowOff>
                  </from>
                  <to>
                    <xdr:col>2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17FA3-D8D1-4AE8-8762-532701BCD68E}">
  <sheetPr codeName="Sheet38">
    <pageSetUpPr fitToPage="1"/>
  </sheetPr>
  <dimension ref="A1:S46"/>
  <sheetViews>
    <sheetView topLeftCell="G1" workbookViewId="0">
      <pane ySplit="6" topLeftCell="A14" activePane="bottomLeft" state="frozen"/>
      <selection activeCell="F17" sqref="F17"/>
      <selection pane="bottomLeft" activeCell="I18" sqref="I18"/>
    </sheetView>
  </sheetViews>
  <sheetFormatPr baseColWidth="10" defaultColWidth="9" defaultRowHeight="15.75" customHeight="1"/>
  <cols>
    <col min="1" max="1" width="4.1640625" style="81" customWidth="1"/>
    <col min="2" max="2" width="15.6640625" style="81" customWidth="1"/>
    <col min="3" max="3" width="9.1640625" style="81" customWidth="1"/>
    <col min="4" max="4" width="8.5" style="81" customWidth="1"/>
    <col min="5" max="5" width="8.1640625" style="81" customWidth="1"/>
    <col min="6" max="6" width="9.1640625" style="81" customWidth="1"/>
    <col min="7" max="7" width="10.5" style="81" customWidth="1"/>
    <col min="8" max="8" width="11" style="81" customWidth="1"/>
    <col min="9" max="9" width="10.5" style="81" customWidth="1"/>
    <col min="10" max="10" width="9.1640625" style="135" customWidth="1"/>
    <col min="11" max="11" width="9" style="340"/>
    <col min="12" max="12" width="9" style="81"/>
    <col min="13" max="13" width="11" style="81" customWidth="1"/>
    <col min="14" max="14" width="6.1640625" style="81" customWidth="1"/>
    <col min="15" max="15" width="9" style="81"/>
    <col min="16" max="16" width="7.6640625" style="81" customWidth="1"/>
    <col min="17" max="17" width="8" style="81" customWidth="1"/>
    <col min="18" max="18" width="9" style="81"/>
    <col min="19" max="19" width="8.1640625" style="81" customWidth="1"/>
    <col min="20" max="16384" width="9" style="81"/>
  </cols>
  <sheetData>
    <row r="1" spans="1:19" s="80" customFormat="1" ht="30" customHeight="1">
      <c r="A1" s="374" t="s">
        <v>994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1"/>
      <c r="J3" s="172"/>
      <c r="K3" s="131"/>
      <c r="L3" s="178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1"/>
      <c r="J4" s="172"/>
      <c r="K4" s="337"/>
      <c r="L4" s="37"/>
    </row>
    <row r="5" spans="1:19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218"/>
      <c r="L5" s="122"/>
      <c r="M5" s="435" t="s">
        <v>701</v>
      </c>
      <c r="N5" s="435" t="s">
        <v>702</v>
      </c>
      <c r="O5" s="435"/>
      <c r="P5" s="435"/>
      <c r="Q5" s="435"/>
      <c r="R5" s="425" t="s">
        <v>598</v>
      </c>
      <c r="S5" s="425" t="s">
        <v>599</v>
      </c>
    </row>
    <row r="6" spans="1:19" s="101" customFormat="1" ht="15.75" customHeight="1">
      <c r="A6" s="45" t="s">
        <v>7</v>
      </c>
      <c r="B6" s="45" t="s">
        <v>28</v>
      </c>
      <c r="C6" s="45" t="s">
        <v>106</v>
      </c>
      <c r="D6" s="45" t="s">
        <v>30</v>
      </c>
      <c r="E6" s="45" t="s">
        <v>31</v>
      </c>
      <c r="F6" s="188" t="s">
        <v>107</v>
      </c>
      <c r="G6" s="45" t="s">
        <v>430</v>
      </c>
      <c r="H6" s="188" t="s">
        <v>117</v>
      </c>
      <c r="I6" s="45" t="s">
        <v>0</v>
      </c>
      <c r="J6" s="175" t="s">
        <v>1</v>
      </c>
      <c r="K6" s="341" t="s">
        <v>479</v>
      </c>
      <c r="L6" s="45" t="s">
        <v>39</v>
      </c>
      <c r="M6" s="435"/>
      <c r="N6" s="287" t="s">
        <v>597</v>
      </c>
      <c r="O6" s="287" t="s">
        <v>703</v>
      </c>
      <c r="P6" s="287" t="s">
        <v>704</v>
      </c>
      <c r="Q6" s="287" t="s">
        <v>395</v>
      </c>
      <c r="R6" s="426"/>
      <c r="S6" s="426"/>
    </row>
    <row r="7" spans="1:19" ht="15.75" customHeight="1">
      <c r="A7" s="8"/>
      <c r="B7" s="7"/>
      <c r="C7" s="8"/>
      <c r="D7" s="146"/>
      <c r="E7" s="147"/>
      <c r="F7" s="147"/>
      <c r="G7" s="5"/>
      <c r="H7" s="5"/>
      <c r="I7" s="5"/>
      <c r="J7" s="28" t="str">
        <f>IF(ISERROR(I7-H7),"",IF(I7=0,"",I7-H7))</f>
        <v/>
      </c>
      <c r="K7" s="339" t="str">
        <f>IF(ISERROR(I7-H7),"",IF(I7=0,"",IF(J7="",0,ROUND(J7*100/H7,2))))</f>
        <v/>
      </c>
      <c r="L7" s="7"/>
    </row>
    <row r="8" spans="1:19" ht="15.75" customHeight="1">
      <c r="A8" s="8"/>
      <c r="B8" s="7"/>
      <c r="C8" s="8"/>
      <c r="D8" s="146"/>
      <c r="E8" s="147"/>
      <c r="F8" s="147"/>
      <c r="G8" s="5"/>
      <c r="H8" s="5"/>
      <c r="I8" s="5"/>
      <c r="J8" s="28" t="str">
        <f t="shared" ref="J8:J24" si="0">IF(ISERROR(I8-H8),"",IF(I8=0,"",I8-H8))</f>
        <v/>
      </c>
      <c r="K8" s="339" t="str">
        <f t="shared" ref="K8:K24" si="1">IF(ISERROR(I8-H8),"",IF(I8=0,"",IF(J8="",0,ROUND(J8*100/H8,2))))</f>
        <v/>
      </c>
      <c r="L8" s="7"/>
    </row>
    <row r="9" spans="1:19" ht="15.75" customHeight="1">
      <c r="A9" s="8"/>
      <c r="B9" s="7"/>
      <c r="C9" s="8"/>
      <c r="D9" s="146"/>
      <c r="E9" s="147"/>
      <c r="F9" s="152"/>
      <c r="G9" s="5"/>
      <c r="H9" s="5"/>
      <c r="I9" s="5"/>
      <c r="J9" s="28" t="str">
        <f t="shared" si="0"/>
        <v/>
      </c>
      <c r="K9" s="339" t="str">
        <f t="shared" si="1"/>
        <v/>
      </c>
      <c r="L9" s="7"/>
    </row>
    <row r="10" spans="1:19" ht="15.75" customHeight="1">
      <c r="A10" s="8"/>
      <c r="B10" s="7"/>
      <c r="C10" s="8"/>
      <c r="D10" s="146"/>
      <c r="E10" s="147"/>
      <c r="F10" s="147"/>
      <c r="G10" s="5"/>
      <c r="H10" s="5"/>
      <c r="I10" s="5"/>
      <c r="J10" s="28" t="str">
        <f t="shared" si="0"/>
        <v/>
      </c>
      <c r="K10" s="339" t="str">
        <f t="shared" si="1"/>
        <v/>
      </c>
      <c r="L10" s="7"/>
    </row>
    <row r="11" spans="1:19" ht="15.75" customHeight="1">
      <c r="A11" s="8"/>
      <c r="B11" s="7"/>
      <c r="C11" s="8"/>
      <c r="D11" s="146"/>
      <c r="E11" s="147"/>
      <c r="F11" s="147"/>
      <c r="G11" s="5"/>
      <c r="H11" s="5"/>
      <c r="I11" s="5"/>
      <c r="J11" s="28" t="str">
        <f t="shared" si="0"/>
        <v/>
      </c>
      <c r="K11" s="339" t="str">
        <f t="shared" si="1"/>
        <v/>
      </c>
      <c r="L11" s="7"/>
    </row>
    <row r="12" spans="1:19" ht="15.75" customHeight="1">
      <c r="A12" s="8"/>
      <c r="B12" s="7"/>
      <c r="C12" s="8"/>
      <c r="D12" s="146"/>
      <c r="E12" s="147"/>
      <c r="F12" s="147"/>
      <c r="G12" s="5"/>
      <c r="H12" s="5"/>
      <c r="I12" s="5"/>
      <c r="J12" s="28" t="str">
        <f t="shared" si="0"/>
        <v/>
      </c>
      <c r="K12" s="339" t="str">
        <f t="shared" si="1"/>
        <v/>
      </c>
      <c r="L12" s="7"/>
    </row>
    <row r="13" spans="1:19" ht="15.75" customHeight="1">
      <c r="A13" s="8"/>
      <c r="B13" s="7"/>
      <c r="C13" s="8"/>
      <c r="D13" s="146"/>
      <c r="E13" s="147"/>
      <c r="F13" s="147"/>
      <c r="G13" s="5"/>
      <c r="H13" s="5"/>
      <c r="I13" s="5"/>
      <c r="J13" s="28" t="str">
        <f t="shared" si="0"/>
        <v/>
      </c>
      <c r="K13" s="339" t="str">
        <f t="shared" si="1"/>
        <v/>
      </c>
      <c r="L13" s="7"/>
    </row>
    <row r="14" spans="1:19" ht="15.75" customHeight="1">
      <c r="A14" s="8"/>
      <c r="B14" s="7"/>
      <c r="C14" s="8"/>
      <c r="D14" s="146"/>
      <c r="E14" s="147"/>
      <c r="F14" s="147"/>
      <c r="G14" s="5"/>
      <c r="H14" s="5"/>
      <c r="I14" s="5"/>
      <c r="J14" s="28" t="str">
        <f t="shared" si="0"/>
        <v/>
      </c>
      <c r="K14" s="339" t="str">
        <f t="shared" si="1"/>
        <v/>
      </c>
      <c r="L14" s="7"/>
    </row>
    <row r="15" spans="1:19" ht="15.75" customHeight="1">
      <c r="A15" s="8"/>
      <c r="B15" s="7"/>
      <c r="C15" s="8"/>
      <c r="D15" s="146"/>
      <c r="E15" s="147"/>
      <c r="F15" s="147"/>
      <c r="G15" s="5"/>
      <c r="H15" s="5"/>
      <c r="I15" s="5"/>
      <c r="J15" s="28" t="str">
        <f t="shared" si="0"/>
        <v/>
      </c>
      <c r="K15" s="339" t="str">
        <f t="shared" si="1"/>
        <v/>
      </c>
      <c r="L15" s="7"/>
    </row>
    <row r="16" spans="1:19" ht="15.75" customHeight="1">
      <c r="A16" s="8"/>
      <c r="B16" s="7"/>
      <c r="C16" s="8"/>
      <c r="D16" s="146"/>
      <c r="E16" s="147"/>
      <c r="F16" s="147"/>
      <c r="G16" s="5"/>
      <c r="H16" s="5"/>
      <c r="I16" s="5"/>
      <c r="J16" s="28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7"/>
      <c r="F17" s="147"/>
      <c r="G17" s="5"/>
      <c r="H17" s="5"/>
      <c r="I17" s="5"/>
      <c r="J17" s="28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7"/>
      <c r="F18" s="147"/>
      <c r="G18" s="5"/>
      <c r="H18" s="5"/>
      <c r="I18" s="5"/>
      <c r="J18" s="28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7"/>
      <c r="F19" s="147"/>
      <c r="G19" s="5"/>
      <c r="H19" s="5"/>
      <c r="I19" s="5"/>
      <c r="J19" s="28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7"/>
      <c r="F20" s="147"/>
      <c r="G20" s="5"/>
      <c r="H20" s="5"/>
      <c r="I20" s="5"/>
      <c r="J20" s="28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7"/>
      <c r="F21" s="147"/>
      <c r="G21" s="5"/>
      <c r="H21" s="5"/>
      <c r="I21" s="5"/>
      <c r="J21" s="28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7"/>
      <c r="F22" s="147"/>
      <c r="G22" s="5"/>
      <c r="H22" s="5"/>
      <c r="I22" s="5"/>
      <c r="J22" s="28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7"/>
      <c r="F23" s="147"/>
      <c r="G23" s="5"/>
      <c r="H23" s="5"/>
      <c r="I23" s="5"/>
      <c r="J23" s="28" t="str">
        <f t="shared" si="0"/>
        <v/>
      </c>
      <c r="K23" s="339" t="str">
        <f t="shared" si="1"/>
        <v/>
      </c>
      <c r="L23" s="7"/>
    </row>
    <row r="24" spans="1:12" ht="15.75" customHeight="1">
      <c r="A24" s="420" t="s">
        <v>534</v>
      </c>
      <c r="B24" s="421"/>
      <c r="C24" s="235"/>
      <c r="D24" s="235"/>
      <c r="E24" s="31"/>
      <c r="F24" s="31" t="s">
        <v>37</v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28" t="str">
        <f t="shared" ca="1" si="0"/>
        <v/>
      </c>
      <c r="K24" s="339" t="str">
        <f t="shared" ca="1" si="1"/>
        <v/>
      </c>
      <c r="L24" s="234"/>
    </row>
    <row r="25" spans="1:12" ht="15.75" customHeight="1">
      <c r="A25" s="504" t="s">
        <v>432</v>
      </c>
      <c r="B25" s="505"/>
      <c r="C25" s="235"/>
      <c r="D25" s="235"/>
      <c r="E25" s="31"/>
      <c r="F25" s="31" t="s">
        <v>37</v>
      </c>
      <c r="G25" s="233"/>
      <c r="H25" s="233"/>
      <c r="I25" s="233"/>
      <c r="J25" s="28"/>
      <c r="K25" s="339"/>
      <c r="L25" s="234"/>
    </row>
    <row r="26" spans="1:12" ht="15.75" customHeight="1">
      <c r="A26" s="420" t="s">
        <v>534</v>
      </c>
      <c r="B26" s="421"/>
      <c r="C26" s="30"/>
      <c r="D26" s="30"/>
      <c r="E26" s="31"/>
      <c r="F26" s="31" t="s">
        <v>37</v>
      </c>
      <c r="G26" s="233" t="str">
        <f ca="1">IF(G25="",G24,G24-G25)</f>
        <v/>
      </c>
      <c r="H26" s="233" t="str">
        <f ca="1">IF(H25="",H24,H24-H25)</f>
        <v/>
      </c>
      <c r="I26" s="233" t="str">
        <f ca="1">IF(I25="",I24,I24-I25)</f>
        <v/>
      </c>
      <c r="J26" s="28" t="str">
        <f ca="1">IF(ISERROR(I26-H26),"",IF(I26=0,"",I26-H26))</f>
        <v/>
      </c>
      <c r="K26" s="339" t="str">
        <f ca="1">IF(ISERROR(I26-H26),"",IF(I26=0,"",IF(J26="",0,ROUND(J26*100/H26,2))))</f>
        <v/>
      </c>
      <c r="L26" s="234"/>
    </row>
    <row r="27" spans="1:12" ht="15.75" hidden="1" customHeight="1">
      <c r="A27" s="8"/>
      <c r="B27" s="7"/>
      <c r="C27" s="8"/>
      <c r="D27" s="146"/>
      <c r="E27" s="147"/>
      <c r="F27" s="147"/>
      <c r="G27" s="5"/>
      <c r="H27" s="5"/>
      <c r="I27" s="5"/>
      <c r="J27" s="28" t="str">
        <f>IF(ISERROR(I27-H27),"",IF(I27=0,"",I27-H27))</f>
        <v/>
      </c>
      <c r="K27" s="339" t="str">
        <f>IF(ISERROR(I27-H27),"",IF(I27=0,"",IF(J27="",0,ROUND(J27*100/H27,2))))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147"/>
      <c r="F28" s="147"/>
      <c r="G28" s="5"/>
      <c r="H28" s="5"/>
      <c r="I28" s="5"/>
      <c r="J28" s="28" t="str">
        <f t="shared" ref="J28:J46" si="2">IF(ISERROR(I28-H28),"",IF(I28=0,"",I28-H28))</f>
        <v/>
      </c>
      <c r="K28" s="339" t="str">
        <f t="shared" ref="K28:K46" si="3">IF(ISERROR(I28-H28),"",IF(I28=0,"",IF(J28="",0,ROUND(J28*100/H28,2))))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147"/>
      <c r="F29" s="147"/>
      <c r="G29" s="5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7"/>
      <c r="F30" s="147"/>
      <c r="G30" s="5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7"/>
      <c r="F31" s="147"/>
      <c r="G31" s="5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7"/>
      <c r="F32" s="147"/>
      <c r="G32" s="5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7"/>
      <c r="F33" s="147"/>
      <c r="G33" s="5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7"/>
      <c r="F34" s="147"/>
      <c r="G34" s="5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7"/>
      <c r="F35" s="147"/>
      <c r="G35" s="5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7"/>
      <c r="F36" s="147"/>
      <c r="G36" s="5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7"/>
      <c r="F37" s="147"/>
      <c r="G37" s="5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7"/>
      <c r="F38" s="147"/>
      <c r="G38" s="5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7"/>
      <c r="F39" s="147"/>
      <c r="G39" s="5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7"/>
      <c r="F40" s="147"/>
      <c r="G40" s="5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7"/>
      <c r="F41" s="147"/>
      <c r="G41" s="5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7"/>
      <c r="F42" s="147"/>
      <c r="G42" s="5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7"/>
      <c r="F43" s="147"/>
      <c r="G43" s="5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7"/>
      <c r="F44" s="147"/>
      <c r="G44" s="5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7"/>
      <c r="F45" s="147"/>
      <c r="G45" s="5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7"/>
      <c r="F46" s="147"/>
      <c r="G46" s="5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sheetProtection formatCells="0"/>
  <mergeCells count="9">
    <mergeCell ref="A1:L1"/>
    <mergeCell ref="A2:L2"/>
    <mergeCell ref="A24:B24"/>
    <mergeCell ref="M5:M6"/>
    <mergeCell ref="N5:Q5"/>
    <mergeCell ref="R5:R6"/>
    <mergeCell ref="S5:S6"/>
    <mergeCell ref="A25:B25"/>
    <mergeCell ref="A26:B26"/>
  </mergeCells>
  <phoneticPr fontId="6" type="noConversion"/>
  <printOptions horizontalCentered="1" verticalCentered="1"/>
  <pageMargins left="1.2204724409448819" right="0.86614173228346458" top="0.47" bottom="0.86614173228346458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&amp;R&amp;"宋体,常规"&amp;10表4-1-1
共&amp;N页 第&amp;P页
金额单位：人民币元</oddHeader>
    <oddFooter>&amp;L&amp;10被评估单位填表人：_x000D_填表日期：&amp;C&amp;10　　　　　　　　　　　　　　　　　　　　　　　　　　　　                 评估人员：_x000D_</oddFooter>
  </headerFooter>
  <rowBreaks count="2" manualBreakCount="2">
    <brk id="26" max="16383" man="1"/>
    <brk id="4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50800</xdr:colOff>
                    <xdr:row>2</xdr:row>
                    <xdr:rowOff>0</xdr:rowOff>
                  </from>
                  <to>
                    <xdr:col>1</xdr:col>
                    <xdr:colOff>1066800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139700</xdr:colOff>
                    <xdr:row>2</xdr:row>
                    <xdr:rowOff>0</xdr:rowOff>
                  </from>
                  <to>
                    <xdr:col>3</xdr:col>
                    <xdr:colOff>457200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AA8CB-2B72-4C61-9B3F-3E6FC2380351}">
  <sheetPr codeName="Sheet39">
    <pageSetUpPr fitToPage="1"/>
  </sheetPr>
  <dimension ref="A1:R46"/>
  <sheetViews>
    <sheetView workbookViewId="0">
      <pane ySplit="6" topLeftCell="A7" activePane="bottomLeft" state="frozen"/>
      <selection activeCell="F17" sqref="F17"/>
      <selection pane="bottomLeft" activeCell="K3" sqref="K1:K65536"/>
    </sheetView>
  </sheetViews>
  <sheetFormatPr baseColWidth="10" defaultColWidth="9" defaultRowHeight="15.75" customHeight="1"/>
  <cols>
    <col min="1" max="1" width="4.5" style="81" customWidth="1"/>
    <col min="2" max="2" width="17.1640625" style="81" customWidth="1"/>
    <col min="3" max="3" width="8.1640625" style="81" customWidth="1"/>
    <col min="4" max="4" width="8" style="81" customWidth="1"/>
    <col min="5" max="5" width="9" style="81"/>
    <col min="6" max="6" width="12.5" style="81" customWidth="1"/>
    <col min="7" max="9" width="11.1640625" style="81" customWidth="1"/>
    <col min="10" max="10" width="8.6640625" style="135" customWidth="1"/>
    <col min="11" max="11" width="10.6640625" style="340" customWidth="1"/>
    <col min="12" max="12" width="8.5" style="81" customWidth="1"/>
    <col min="13" max="13" width="9" style="81"/>
    <col min="14" max="14" width="15.33203125" style="81" customWidth="1"/>
    <col min="15" max="15" width="8.6640625" style="81" customWidth="1"/>
    <col min="16" max="16384" width="9" style="81"/>
  </cols>
  <sheetData>
    <row r="1" spans="1:18" s="80" customFormat="1" ht="30" customHeight="1">
      <c r="A1" s="374" t="s">
        <v>995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8"/>
      <c r="J2" s="378"/>
      <c r="K2" s="378"/>
      <c r="L2" s="378"/>
    </row>
    <row r="3" spans="1:18" ht="14.25" customHeight="1">
      <c r="A3" s="40"/>
      <c r="B3" s="40"/>
      <c r="C3" s="40"/>
      <c r="D3" s="40"/>
      <c r="E3" s="40"/>
      <c r="F3" s="40"/>
      <c r="G3" s="40"/>
      <c r="H3" s="40"/>
      <c r="I3" s="171"/>
      <c r="J3" s="172"/>
      <c r="K3" s="131"/>
      <c r="L3" s="178"/>
    </row>
    <row r="4" spans="1:18" ht="14.25" customHeight="1">
      <c r="A4" s="40"/>
      <c r="B4" s="40"/>
      <c r="C4" s="40"/>
      <c r="D4" s="40"/>
      <c r="E4" s="40"/>
      <c r="F4" s="40"/>
      <c r="G4" s="40"/>
      <c r="H4" s="40"/>
      <c r="I4" s="171"/>
      <c r="J4" s="172"/>
      <c r="K4" s="337"/>
      <c r="L4" s="37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218"/>
      <c r="L5" s="122"/>
      <c r="M5" s="435" t="s">
        <v>686</v>
      </c>
      <c r="N5" s="435"/>
      <c r="O5" s="435"/>
      <c r="P5" s="506" t="s">
        <v>629</v>
      </c>
      <c r="Q5" s="425" t="s">
        <v>598</v>
      </c>
      <c r="R5" s="425" t="s">
        <v>599</v>
      </c>
    </row>
    <row r="6" spans="1:18" s="101" customFormat="1" ht="15.75" customHeight="1">
      <c r="A6" s="45" t="s">
        <v>7</v>
      </c>
      <c r="B6" s="45" t="s">
        <v>28</v>
      </c>
      <c r="C6" s="45" t="s">
        <v>105</v>
      </c>
      <c r="D6" s="45" t="s">
        <v>33</v>
      </c>
      <c r="E6" s="45" t="s">
        <v>54</v>
      </c>
      <c r="F6" s="174" t="s">
        <v>483</v>
      </c>
      <c r="G6" s="45" t="s">
        <v>431</v>
      </c>
      <c r="H6" s="188" t="s">
        <v>117</v>
      </c>
      <c r="I6" s="45" t="s">
        <v>0</v>
      </c>
      <c r="J6" s="175" t="s">
        <v>1</v>
      </c>
      <c r="K6" s="341" t="s">
        <v>479</v>
      </c>
      <c r="L6" s="45" t="s">
        <v>39</v>
      </c>
      <c r="M6" s="287" t="s">
        <v>602</v>
      </c>
      <c r="N6" s="287" t="s">
        <v>705</v>
      </c>
      <c r="O6" s="287" t="s">
        <v>706</v>
      </c>
      <c r="P6" s="507"/>
      <c r="Q6" s="426"/>
      <c r="R6" s="426"/>
    </row>
    <row r="7" spans="1:18" ht="15.75" customHeight="1">
      <c r="A7" s="8"/>
      <c r="B7" s="7"/>
      <c r="C7" s="8"/>
      <c r="D7" s="146"/>
      <c r="E7" s="146"/>
      <c r="F7" s="8"/>
      <c r="G7" s="147"/>
      <c r="H7" s="5"/>
      <c r="I7" s="5"/>
      <c r="J7" s="28" t="str">
        <f>IF(ISERROR(I7-H7),"",IF(I7=0,"",I7-H7))</f>
        <v/>
      </c>
      <c r="K7" s="339" t="str">
        <f>IF(ISERROR(I7-H7),"",IF(I7=0,"",IF(E6="",0,ROUND(J7*100/H7,2))))</f>
        <v/>
      </c>
      <c r="L7" s="7"/>
    </row>
    <row r="8" spans="1:18" ht="15.75" customHeight="1">
      <c r="A8" s="8"/>
      <c r="B8" s="7"/>
      <c r="C8" s="8"/>
      <c r="D8" s="146"/>
      <c r="E8" s="146"/>
      <c r="F8" s="8"/>
      <c r="G8" s="147"/>
      <c r="H8" s="5"/>
      <c r="I8" s="5"/>
      <c r="J8" s="28" t="str">
        <f t="shared" ref="J8:J26" si="0">IF(ISERROR(I8-H8),"",IF(I8=0,"",I8-H8))</f>
        <v/>
      </c>
      <c r="K8" s="339" t="str">
        <f t="shared" ref="K8:K26" si="1">IF(ISERROR(I8-H8),"",IF(I8=0,"",IF(E7="",0,ROUND(J8*100/H8,2))))</f>
        <v/>
      </c>
      <c r="L8" s="7"/>
    </row>
    <row r="9" spans="1:18" ht="15.75" customHeight="1">
      <c r="A9" s="8"/>
      <c r="B9" s="7"/>
      <c r="C9" s="8"/>
      <c r="D9" s="146"/>
      <c r="E9" s="146"/>
      <c r="F9" s="8"/>
      <c r="G9" s="147"/>
      <c r="H9" s="5"/>
      <c r="I9" s="5"/>
      <c r="J9" s="28" t="str">
        <f t="shared" si="0"/>
        <v/>
      </c>
      <c r="K9" s="339" t="str">
        <f t="shared" si="1"/>
        <v/>
      </c>
      <c r="L9" s="7"/>
    </row>
    <row r="10" spans="1:18" ht="15.75" customHeight="1">
      <c r="A10" s="8"/>
      <c r="B10" s="7"/>
      <c r="C10" s="8"/>
      <c r="D10" s="146"/>
      <c r="E10" s="146"/>
      <c r="F10" s="8"/>
      <c r="G10" s="147"/>
      <c r="H10" s="5"/>
      <c r="I10" s="5"/>
      <c r="J10" s="28" t="str">
        <f t="shared" si="0"/>
        <v/>
      </c>
      <c r="K10" s="339" t="str">
        <f t="shared" si="1"/>
        <v/>
      </c>
      <c r="L10" s="7"/>
    </row>
    <row r="11" spans="1:18" ht="15.75" customHeight="1">
      <c r="A11" s="8"/>
      <c r="B11" s="7"/>
      <c r="C11" s="8"/>
      <c r="D11" s="146"/>
      <c r="E11" s="146"/>
      <c r="F11" s="8"/>
      <c r="G11" s="147"/>
      <c r="H11" s="5"/>
      <c r="I11" s="5"/>
      <c r="J11" s="28" t="str">
        <f t="shared" si="0"/>
        <v/>
      </c>
      <c r="K11" s="339" t="str">
        <f t="shared" si="1"/>
        <v/>
      </c>
      <c r="L11" s="7"/>
    </row>
    <row r="12" spans="1:18" ht="15.75" customHeight="1">
      <c r="A12" s="8"/>
      <c r="B12" s="7"/>
      <c r="C12" s="8"/>
      <c r="D12" s="146"/>
      <c r="E12" s="146"/>
      <c r="F12" s="8"/>
      <c r="G12" s="147"/>
      <c r="H12" s="5"/>
      <c r="I12" s="5"/>
      <c r="J12" s="28" t="str">
        <f t="shared" si="0"/>
        <v/>
      </c>
      <c r="K12" s="339" t="str">
        <f t="shared" si="1"/>
        <v/>
      </c>
      <c r="L12" s="7"/>
    </row>
    <row r="13" spans="1:18" ht="15.75" customHeight="1">
      <c r="A13" s="8"/>
      <c r="B13" s="7"/>
      <c r="C13" s="8"/>
      <c r="D13" s="146"/>
      <c r="E13" s="146"/>
      <c r="F13" s="8"/>
      <c r="G13" s="147"/>
      <c r="H13" s="5"/>
      <c r="I13" s="5"/>
      <c r="J13" s="28" t="str">
        <f t="shared" si="0"/>
        <v/>
      </c>
      <c r="K13" s="339" t="str">
        <f t="shared" si="1"/>
        <v/>
      </c>
      <c r="L13" s="7"/>
    </row>
    <row r="14" spans="1:18" ht="15.75" customHeight="1">
      <c r="A14" s="8"/>
      <c r="B14" s="7"/>
      <c r="C14" s="8"/>
      <c r="D14" s="146"/>
      <c r="E14" s="146"/>
      <c r="F14" s="8"/>
      <c r="G14" s="147"/>
      <c r="H14" s="5"/>
      <c r="I14" s="5"/>
      <c r="J14" s="28" t="str">
        <f t="shared" si="0"/>
        <v/>
      </c>
      <c r="K14" s="339" t="str">
        <f t="shared" si="1"/>
        <v/>
      </c>
      <c r="L14" s="7"/>
    </row>
    <row r="15" spans="1:18" ht="15.75" customHeight="1">
      <c r="A15" s="8"/>
      <c r="B15" s="7"/>
      <c r="C15" s="8"/>
      <c r="D15" s="146"/>
      <c r="E15" s="146"/>
      <c r="F15" s="8"/>
      <c r="G15" s="147"/>
      <c r="H15" s="5"/>
      <c r="I15" s="5"/>
      <c r="J15" s="28" t="str">
        <f t="shared" si="0"/>
        <v/>
      </c>
      <c r="K15" s="339" t="str">
        <f t="shared" si="1"/>
        <v/>
      </c>
      <c r="L15" s="7"/>
    </row>
    <row r="16" spans="1:18" ht="15.75" customHeight="1">
      <c r="A16" s="8"/>
      <c r="B16" s="7"/>
      <c r="C16" s="8"/>
      <c r="D16" s="146"/>
      <c r="E16" s="146"/>
      <c r="F16" s="8"/>
      <c r="G16" s="147"/>
      <c r="H16" s="5"/>
      <c r="I16" s="5"/>
      <c r="J16" s="28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6"/>
      <c r="F17" s="8"/>
      <c r="G17" s="147"/>
      <c r="H17" s="5"/>
      <c r="I17" s="5"/>
      <c r="J17" s="28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6"/>
      <c r="F18" s="8"/>
      <c r="G18" s="147"/>
      <c r="H18" s="5"/>
      <c r="I18" s="5"/>
      <c r="J18" s="28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6"/>
      <c r="F19" s="8"/>
      <c r="G19" s="147"/>
      <c r="H19" s="5"/>
      <c r="I19" s="5"/>
      <c r="J19" s="28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6"/>
      <c r="F20" s="8"/>
      <c r="G20" s="147"/>
      <c r="H20" s="5"/>
      <c r="I20" s="5"/>
      <c r="J20" s="28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6"/>
      <c r="F21" s="8"/>
      <c r="G21" s="147"/>
      <c r="H21" s="5"/>
      <c r="I21" s="5"/>
      <c r="J21" s="28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6"/>
      <c r="F22" s="8"/>
      <c r="G22" s="147"/>
      <c r="H22" s="5"/>
      <c r="I22" s="5"/>
      <c r="J22" s="28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6"/>
      <c r="F23" s="8"/>
      <c r="G23" s="147"/>
      <c r="H23" s="5"/>
      <c r="I23" s="5"/>
      <c r="J23" s="28" t="str">
        <f t="shared" si="0"/>
        <v/>
      </c>
      <c r="K23" s="339" t="str">
        <f t="shared" si="1"/>
        <v/>
      </c>
      <c r="L23" s="7"/>
    </row>
    <row r="24" spans="1:12" ht="15.75" customHeight="1">
      <c r="A24" s="420" t="s">
        <v>534</v>
      </c>
      <c r="B24" s="421"/>
      <c r="C24" s="244"/>
      <c r="D24" s="235"/>
      <c r="E24" s="235"/>
      <c r="F24" s="245" t="s">
        <v>37</v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28" t="str">
        <f t="shared" ca="1" si="0"/>
        <v/>
      </c>
      <c r="K24" s="339" t="str">
        <f t="shared" ca="1" si="1"/>
        <v/>
      </c>
      <c r="L24" s="234"/>
    </row>
    <row r="25" spans="1:12" ht="15.75" customHeight="1">
      <c r="A25" s="439" t="s">
        <v>432</v>
      </c>
      <c r="B25" s="440"/>
      <c r="C25" s="244"/>
      <c r="D25" s="235"/>
      <c r="E25" s="235"/>
      <c r="F25" s="245" t="s">
        <v>37</v>
      </c>
      <c r="G25" s="233"/>
      <c r="H25" s="233"/>
      <c r="I25" s="233"/>
      <c r="J25" s="28"/>
      <c r="K25" s="339"/>
      <c r="L25" s="234"/>
    </row>
    <row r="26" spans="1:12" ht="15.75" customHeight="1">
      <c r="A26" s="420" t="s">
        <v>534</v>
      </c>
      <c r="B26" s="421"/>
      <c r="C26" s="244"/>
      <c r="D26" s="235"/>
      <c r="E26" s="235"/>
      <c r="F26" s="245" t="s">
        <v>37</v>
      </c>
      <c r="G26" s="233" t="str">
        <f ca="1">IF(G25="",G24,G24-G25)</f>
        <v/>
      </c>
      <c r="H26" s="233" t="str">
        <f ca="1">IF(H25="",H24,H24-H25)</f>
        <v/>
      </c>
      <c r="I26" s="233" t="str">
        <f ca="1">IF(I25="",I24,I24-I25)</f>
        <v/>
      </c>
      <c r="J26" s="28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6"/>
      <c r="F27" s="8"/>
      <c r="G27" s="147"/>
      <c r="H27" s="5"/>
      <c r="I27" s="5"/>
      <c r="J27" s="28" t="str">
        <f>IF(ISERROR(I27-H27),"",IF(I27=0,"",I27-H27))</f>
        <v/>
      </c>
      <c r="K27" s="339" t="str">
        <f>IF(ISERROR(I27-H27),"",IF(I27=0,"",IF(E26="",0,ROUND(J27*100/H27,2))))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146"/>
      <c r="F28" s="8"/>
      <c r="G28" s="147"/>
      <c r="H28" s="5"/>
      <c r="I28" s="5"/>
      <c r="J28" s="28" t="str">
        <f t="shared" ref="J28:J46" si="2">IF(ISERROR(I28-H28),"",IF(I28=0,"",I28-H28))</f>
        <v/>
      </c>
      <c r="K28" s="339" t="str">
        <f t="shared" ref="K28:K46" si="3">IF(ISERROR(I28-H28),"",IF(I28=0,"",IF(E27="",0,ROUND(J28*100/H28,2))))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146"/>
      <c r="F29" s="8"/>
      <c r="G29" s="147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6"/>
      <c r="F30" s="8"/>
      <c r="G30" s="147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6"/>
      <c r="F31" s="8"/>
      <c r="G31" s="147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6"/>
      <c r="F32" s="8"/>
      <c r="G32" s="147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6"/>
      <c r="F33" s="8"/>
      <c r="G33" s="147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6"/>
      <c r="F34" s="8"/>
      <c r="G34" s="147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6"/>
      <c r="F35" s="8"/>
      <c r="G35" s="147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6"/>
      <c r="F36" s="8"/>
      <c r="G36" s="147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6"/>
      <c r="F37" s="8"/>
      <c r="G37" s="147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6"/>
      <c r="F38" s="8"/>
      <c r="G38" s="147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6"/>
      <c r="F39" s="8"/>
      <c r="G39" s="147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6"/>
      <c r="F40" s="8"/>
      <c r="G40" s="147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6"/>
      <c r="F41" s="8"/>
      <c r="G41" s="147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6"/>
      <c r="F42" s="8"/>
      <c r="G42" s="147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6"/>
      <c r="F43" s="8"/>
      <c r="G43" s="147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6"/>
      <c r="F44" s="8"/>
      <c r="G44" s="147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6"/>
      <c r="F45" s="8"/>
      <c r="G45" s="147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6"/>
      <c r="F46" s="8"/>
      <c r="G46" s="147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9">
    <mergeCell ref="A26:B26"/>
    <mergeCell ref="A25:B25"/>
    <mergeCell ref="A24:B24"/>
    <mergeCell ref="M5:O5"/>
    <mergeCell ref="P5:P6"/>
    <mergeCell ref="Q5:Q6"/>
    <mergeCell ref="R5:R6"/>
    <mergeCell ref="A1:L1"/>
    <mergeCell ref="A2:L2"/>
  </mergeCells>
  <phoneticPr fontId="6" type="noConversion"/>
  <printOptions horizontalCentered="1" verticalCentered="1"/>
  <pageMargins left="1.0236220472440944" right="0.59055118110236227" top="0.4" bottom="0.8267716535433071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&amp;R&amp;"宋体,常规"&amp;10表4-1-2
共&amp;N页 第&amp;P页
金额单位：人民币元</oddHeader>
    <oddFooter>&amp;L&amp;10被评估单位填表人：_x000D_填表日期：&amp;C&amp;10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1054100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1308100</xdr:colOff>
                    <xdr:row>2</xdr:row>
                    <xdr:rowOff>0</xdr:rowOff>
                  </from>
                  <to>
                    <xdr:col>3</xdr:col>
                    <xdr:colOff>381000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BA279-797F-4397-8A5F-751B00864507}">
  <sheetPr codeName="Sheet21">
    <pageSetUpPr fitToPage="1"/>
  </sheetPr>
  <dimension ref="A1:Q46"/>
  <sheetViews>
    <sheetView zoomScaleNormal="100" workbookViewId="0">
      <selection sqref="A1:L37"/>
    </sheetView>
  </sheetViews>
  <sheetFormatPr baseColWidth="10" defaultColWidth="9" defaultRowHeight="15.75" customHeight="1"/>
  <cols>
    <col min="1" max="1" width="5.6640625" style="81" customWidth="1"/>
    <col min="2" max="2" width="15.1640625" style="81" customWidth="1"/>
    <col min="3" max="3" width="11.6640625" style="81" customWidth="1"/>
    <col min="4" max="4" width="8" style="81" customWidth="1"/>
    <col min="5" max="5" width="7.5" style="81" customWidth="1"/>
    <col min="6" max="6" width="9.1640625" style="81" customWidth="1"/>
    <col min="7" max="7" width="9" style="81"/>
    <col min="8" max="9" width="12.6640625" style="81" customWidth="1"/>
    <col min="10" max="10" width="8.6640625" style="135" customWidth="1"/>
    <col min="11" max="11" width="9.6640625" style="340" customWidth="1"/>
    <col min="12" max="12" width="8.1640625" style="81" customWidth="1"/>
    <col min="13" max="13" width="8" style="81" customWidth="1"/>
    <col min="14" max="14" width="5.1640625" style="81" customWidth="1"/>
    <col min="15" max="15" width="6.33203125" style="81" customWidth="1"/>
    <col min="16" max="16" width="11.33203125" style="81" customWidth="1"/>
    <col min="17" max="17" width="8.33203125" style="81" customWidth="1"/>
    <col min="18" max="16384" width="9" style="81"/>
  </cols>
  <sheetData>
    <row r="1" spans="1:17" s="80" customFormat="1" ht="30" customHeight="1">
      <c r="A1" s="374" t="s">
        <v>996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</row>
    <row r="3" spans="1:17" ht="14.25" customHeight="1">
      <c r="A3" s="40"/>
      <c r="B3" s="40"/>
      <c r="C3" s="40"/>
      <c r="D3" s="40"/>
      <c r="E3" s="40"/>
      <c r="F3" s="40"/>
      <c r="G3" s="40"/>
      <c r="H3" s="171"/>
      <c r="I3" s="171"/>
      <c r="J3" s="172"/>
      <c r="K3" s="131"/>
      <c r="L3" s="178"/>
    </row>
    <row r="4" spans="1:17" ht="14.25" customHeight="1">
      <c r="A4" s="40"/>
      <c r="B4" s="40"/>
      <c r="C4" s="40"/>
      <c r="D4" s="40"/>
      <c r="E4" s="40"/>
      <c r="F4" s="40"/>
      <c r="G4" s="40"/>
      <c r="H4" s="171"/>
      <c r="I4" s="171"/>
      <c r="J4" s="172"/>
      <c r="K4" s="337"/>
      <c r="L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73"/>
      <c r="K5" s="218"/>
      <c r="L5" s="122"/>
      <c r="M5" s="441" t="s">
        <v>707</v>
      </c>
      <c r="N5" s="441" t="s">
        <v>597</v>
      </c>
      <c r="O5" s="441" t="s">
        <v>708</v>
      </c>
      <c r="P5" s="425" t="s">
        <v>598</v>
      </c>
      <c r="Q5" s="425" t="s">
        <v>599</v>
      </c>
    </row>
    <row r="6" spans="1:17" s="101" customFormat="1" ht="15.75" customHeight="1">
      <c r="A6" s="45" t="s">
        <v>182</v>
      </c>
      <c r="B6" s="45" t="s">
        <v>183</v>
      </c>
      <c r="C6" s="45" t="s">
        <v>188</v>
      </c>
      <c r="D6" s="45" t="s">
        <v>186</v>
      </c>
      <c r="E6" s="188" t="s">
        <v>189</v>
      </c>
      <c r="F6" s="188" t="s">
        <v>187</v>
      </c>
      <c r="G6" s="188" t="s">
        <v>350</v>
      </c>
      <c r="H6" s="188" t="s">
        <v>117</v>
      </c>
      <c r="I6" s="45" t="s">
        <v>184</v>
      </c>
      <c r="J6" s="175" t="s">
        <v>1</v>
      </c>
      <c r="K6" s="341" t="s">
        <v>479</v>
      </c>
      <c r="L6" s="45" t="s">
        <v>185</v>
      </c>
      <c r="M6" s="443"/>
      <c r="N6" s="443"/>
      <c r="O6" s="443"/>
      <c r="P6" s="426"/>
      <c r="Q6" s="426"/>
    </row>
    <row r="7" spans="1:17" ht="15.75" customHeight="1">
      <c r="A7" s="8"/>
      <c r="B7" s="7"/>
      <c r="C7" s="8"/>
      <c r="D7" s="146"/>
      <c r="E7" s="8"/>
      <c r="F7" s="5"/>
      <c r="G7" s="5"/>
      <c r="H7" s="5"/>
      <c r="I7" s="5"/>
      <c r="J7" s="28" t="str">
        <f>IF(ISERROR(I7-H7),"",IF(I7=0,"",I7-H7))</f>
        <v/>
      </c>
      <c r="K7" s="339" t="str">
        <f>IF(ISERROR(I7-H7),"",IF(I7=0,"",IF(J7="",0,ROUND(J7*100/H7,2))))</f>
        <v/>
      </c>
      <c r="L7" s="7"/>
    </row>
    <row r="8" spans="1:17" ht="15.75" customHeight="1">
      <c r="A8" s="8"/>
      <c r="B8" s="7"/>
      <c r="C8" s="8"/>
      <c r="D8" s="146"/>
      <c r="E8" s="8"/>
      <c r="F8" s="5"/>
      <c r="G8" s="5"/>
      <c r="H8" s="5"/>
      <c r="I8" s="5"/>
      <c r="J8" s="28" t="str">
        <f t="shared" ref="J8:J26" si="0">IF(ISERROR(I8-H8),"",IF(I8=0,"",I8-H8))</f>
        <v/>
      </c>
      <c r="K8" s="339" t="str">
        <f t="shared" ref="K8:K26" si="1">IF(ISERROR(I8-H8),"",IF(I8=0,"",IF(J8="",0,ROUND(J8*100/H8,2))))</f>
        <v/>
      </c>
      <c r="L8" s="7"/>
    </row>
    <row r="9" spans="1:17" ht="15.75" customHeight="1">
      <c r="A9" s="8"/>
      <c r="B9" s="7"/>
      <c r="C9" s="8"/>
      <c r="D9" s="146"/>
      <c r="E9" s="8"/>
      <c r="F9" s="5"/>
      <c r="G9" s="5"/>
      <c r="H9" s="5"/>
      <c r="I9" s="5"/>
      <c r="J9" s="28" t="str">
        <f t="shared" si="0"/>
        <v/>
      </c>
      <c r="K9" s="339" t="str">
        <f t="shared" si="1"/>
        <v/>
      </c>
      <c r="L9" s="7"/>
    </row>
    <row r="10" spans="1:17" ht="15.75" customHeight="1">
      <c r="A10" s="8"/>
      <c r="B10" s="7"/>
      <c r="C10" s="8"/>
      <c r="D10" s="146"/>
      <c r="E10" s="8"/>
      <c r="F10" s="5"/>
      <c r="G10" s="5"/>
      <c r="H10" s="5"/>
      <c r="I10" s="5"/>
      <c r="J10" s="28" t="str">
        <f t="shared" si="0"/>
        <v/>
      </c>
      <c r="K10" s="339" t="str">
        <f t="shared" si="1"/>
        <v/>
      </c>
      <c r="L10" s="7"/>
    </row>
    <row r="11" spans="1:17" ht="15.75" customHeight="1">
      <c r="A11" s="8"/>
      <c r="B11" s="7"/>
      <c r="C11" s="8"/>
      <c r="D11" s="146"/>
      <c r="E11" s="8"/>
      <c r="F11" s="5"/>
      <c r="G11" s="5"/>
      <c r="H11" s="5"/>
      <c r="I11" s="5"/>
      <c r="J11" s="28" t="str">
        <f t="shared" si="0"/>
        <v/>
      </c>
      <c r="K11" s="339" t="str">
        <f t="shared" si="1"/>
        <v/>
      </c>
      <c r="L11" s="7"/>
    </row>
    <row r="12" spans="1:17" ht="15.75" customHeight="1">
      <c r="A12" s="8"/>
      <c r="B12" s="7"/>
      <c r="C12" s="8"/>
      <c r="D12" s="146"/>
      <c r="E12" s="8"/>
      <c r="F12" s="5"/>
      <c r="G12" s="5"/>
      <c r="H12" s="5"/>
      <c r="I12" s="5"/>
      <c r="J12" s="28" t="str">
        <f t="shared" si="0"/>
        <v/>
      </c>
      <c r="K12" s="339" t="str">
        <f t="shared" si="1"/>
        <v/>
      </c>
      <c r="L12" s="7"/>
    </row>
    <row r="13" spans="1:17" ht="15.75" customHeight="1">
      <c r="A13" s="8"/>
      <c r="B13" s="7"/>
      <c r="C13" s="8"/>
      <c r="D13" s="146"/>
      <c r="E13" s="8"/>
      <c r="F13" s="5"/>
      <c r="G13" s="5"/>
      <c r="H13" s="5"/>
      <c r="I13" s="5"/>
      <c r="J13" s="28" t="str">
        <f t="shared" si="0"/>
        <v/>
      </c>
      <c r="K13" s="339" t="str">
        <f t="shared" si="1"/>
        <v/>
      </c>
      <c r="L13" s="7"/>
    </row>
    <row r="14" spans="1:17" ht="15.75" customHeight="1">
      <c r="A14" s="8"/>
      <c r="B14" s="7"/>
      <c r="C14" s="8"/>
      <c r="D14" s="146"/>
      <c r="E14" s="8"/>
      <c r="F14" s="5"/>
      <c r="G14" s="5"/>
      <c r="H14" s="5"/>
      <c r="I14" s="5"/>
      <c r="J14" s="28" t="str">
        <f t="shared" si="0"/>
        <v/>
      </c>
      <c r="K14" s="339" t="str">
        <f t="shared" si="1"/>
        <v/>
      </c>
      <c r="L14" s="7"/>
    </row>
    <row r="15" spans="1:17" ht="15.75" customHeight="1">
      <c r="A15" s="8"/>
      <c r="B15" s="7"/>
      <c r="C15" s="8"/>
      <c r="D15" s="146"/>
      <c r="E15" s="8"/>
      <c r="F15" s="5"/>
      <c r="G15" s="5"/>
      <c r="H15" s="5"/>
      <c r="I15" s="5"/>
      <c r="J15" s="28" t="str">
        <f t="shared" si="0"/>
        <v/>
      </c>
      <c r="K15" s="339" t="str">
        <f t="shared" si="1"/>
        <v/>
      </c>
      <c r="L15" s="7"/>
    </row>
    <row r="16" spans="1:17" ht="15.75" customHeight="1">
      <c r="A16" s="8"/>
      <c r="B16" s="7"/>
      <c r="C16" s="8"/>
      <c r="D16" s="146"/>
      <c r="E16" s="8"/>
      <c r="F16" s="5"/>
      <c r="G16" s="5"/>
      <c r="H16" s="5"/>
      <c r="I16" s="5"/>
      <c r="J16" s="28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8"/>
      <c r="F17" s="5"/>
      <c r="G17" s="5"/>
      <c r="H17" s="5"/>
      <c r="I17" s="5"/>
      <c r="J17" s="28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8"/>
      <c r="F18" s="5"/>
      <c r="G18" s="5"/>
      <c r="H18" s="5"/>
      <c r="I18" s="5"/>
      <c r="J18" s="28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8"/>
      <c r="F19" s="5"/>
      <c r="G19" s="5"/>
      <c r="H19" s="5"/>
      <c r="I19" s="5"/>
      <c r="J19" s="28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8"/>
      <c r="F20" s="5"/>
      <c r="G20" s="5"/>
      <c r="H20" s="5"/>
      <c r="I20" s="5"/>
      <c r="J20" s="28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8"/>
      <c r="F21" s="5"/>
      <c r="G21" s="5"/>
      <c r="H21" s="5"/>
      <c r="I21" s="5"/>
      <c r="J21" s="28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8"/>
      <c r="F22" s="5"/>
      <c r="G22" s="5"/>
      <c r="H22" s="5"/>
      <c r="I22" s="5"/>
      <c r="J22" s="28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8"/>
      <c r="F23" s="5"/>
      <c r="G23" s="5"/>
      <c r="H23" s="5"/>
      <c r="I23" s="5"/>
      <c r="J23" s="28" t="str">
        <f t="shared" si="0"/>
        <v/>
      </c>
      <c r="K23" s="339" t="str">
        <f t="shared" si="1"/>
        <v/>
      </c>
      <c r="L23" s="7"/>
    </row>
    <row r="24" spans="1:12" ht="15.75" customHeight="1">
      <c r="A24" s="420" t="s">
        <v>534</v>
      </c>
      <c r="B24" s="421"/>
      <c r="C24" s="244"/>
      <c r="D24" s="235"/>
      <c r="E24" s="235"/>
      <c r="F24" s="246" t="s">
        <v>37</v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28" t="str">
        <f t="shared" ca="1" si="0"/>
        <v/>
      </c>
      <c r="K24" s="339" t="str">
        <f t="shared" ca="1" si="1"/>
        <v/>
      </c>
      <c r="L24" s="234"/>
    </row>
    <row r="25" spans="1:12" ht="15.75" customHeight="1">
      <c r="A25" s="439" t="s">
        <v>432</v>
      </c>
      <c r="B25" s="440"/>
      <c r="C25" s="244"/>
      <c r="D25" s="235"/>
      <c r="E25" s="235"/>
      <c r="F25" s="246" t="s">
        <v>37</v>
      </c>
      <c r="G25" s="233"/>
      <c r="H25" s="233"/>
      <c r="I25" s="233"/>
      <c r="J25" s="28"/>
      <c r="K25" s="339"/>
      <c r="L25" s="234"/>
    </row>
    <row r="26" spans="1:12" ht="15.75" customHeight="1">
      <c r="A26" s="420" t="s">
        <v>534</v>
      </c>
      <c r="B26" s="421"/>
      <c r="C26" s="244"/>
      <c r="D26" s="235"/>
      <c r="E26" s="235"/>
      <c r="F26" s="246" t="s">
        <v>37</v>
      </c>
      <c r="G26" s="233" t="str">
        <f ca="1">IF(G25="",G24,G24-G25)</f>
        <v/>
      </c>
      <c r="H26" s="233" t="str">
        <f ca="1">IF(H25="",H24,H24-H25)</f>
        <v/>
      </c>
      <c r="I26" s="233" t="str">
        <f ca="1">IF(I25="",I24,I24-I25)</f>
        <v/>
      </c>
      <c r="J26" s="28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8"/>
      <c r="F27" s="5"/>
      <c r="G27" s="5"/>
      <c r="H27" s="5"/>
      <c r="I27" s="5"/>
      <c r="J27" s="28" t="str">
        <f>IF(ISERROR(I27-H27),"",IF(I27=0,"",I27-H27))</f>
        <v/>
      </c>
      <c r="K27" s="339" t="str">
        <f>IF(ISERROR(I27-H27),"",IF(I27=0,"",IF(J27="",0,ROUND(J27*100/H27,2))))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8"/>
      <c r="F28" s="5"/>
      <c r="G28" s="5"/>
      <c r="H28" s="5"/>
      <c r="I28" s="5"/>
      <c r="J28" s="28" t="str">
        <f t="shared" ref="J28:J46" si="2">IF(ISERROR(I28-H28),"",IF(I28=0,"",I28-H28))</f>
        <v/>
      </c>
      <c r="K28" s="339" t="str">
        <f t="shared" ref="K28:K46" si="3">IF(ISERROR(I28-H28),"",IF(I28=0,"",IF(J28="",0,ROUND(J28*100/H28,2))))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8"/>
      <c r="F29" s="5"/>
      <c r="G29" s="5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8"/>
      <c r="F30" s="5"/>
      <c r="G30" s="5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8"/>
      <c r="F31" s="5"/>
      <c r="G31" s="5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8"/>
      <c r="F32" s="5"/>
      <c r="G32" s="5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8"/>
      <c r="F33" s="5"/>
      <c r="G33" s="5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8"/>
      <c r="F34" s="5"/>
      <c r="G34" s="5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8"/>
      <c r="F35" s="5"/>
      <c r="G35" s="5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8"/>
      <c r="F36" s="5"/>
      <c r="G36" s="5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8"/>
      <c r="F37" s="5"/>
      <c r="G37" s="5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8"/>
      <c r="F38" s="5"/>
      <c r="G38" s="5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8"/>
      <c r="F39" s="5"/>
      <c r="G39" s="5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8"/>
      <c r="F40" s="5"/>
      <c r="G40" s="5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8"/>
      <c r="F41" s="5"/>
      <c r="G41" s="5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8"/>
      <c r="F42" s="5"/>
      <c r="G42" s="5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8"/>
      <c r="F43" s="5"/>
      <c r="G43" s="5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8"/>
      <c r="F44" s="5"/>
      <c r="G44" s="5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8"/>
      <c r="F45" s="5"/>
      <c r="G45" s="5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8"/>
      <c r="F46" s="5"/>
      <c r="G46" s="5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10">
    <mergeCell ref="P5:P6"/>
    <mergeCell ref="Q5:Q6"/>
    <mergeCell ref="A1:L1"/>
    <mergeCell ref="A2:L2"/>
    <mergeCell ref="A26:B26"/>
    <mergeCell ref="A24:B24"/>
    <mergeCell ref="A25:B25"/>
    <mergeCell ref="M5:M6"/>
    <mergeCell ref="N5:N6"/>
    <mergeCell ref="O5:O6"/>
  </mergeCells>
  <phoneticPr fontId="6" type="noConversion"/>
  <printOptions horizontalCentered="1" verticalCentered="1"/>
  <pageMargins left="1.1023622047244095" right="0.82677165354330717" top="0.64" bottom="1.0629921259842521" header="1.7716535433070868" footer="1.1811023622047245"/>
  <pageSetup paperSize="9" scale="99" fitToHeight="0" orientation="landscape" blackAndWhite="1" horizontalDpi="1200" verticalDpi="1200" r:id="rId1"/>
  <headerFooter scaleWithDoc="0">
    <oddHeader>&amp;R&amp;"宋体,常规"&amp;10表4-1-3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63500</xdr:colOff>
                    <xdr:row>2</xdr:row>
                    <xdr:rowOff>0</xdr:rowOff>
                  </from>
                  <to>
                    <xdr:col>3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58CED-8EDD-48CF-B58C-777D9D07513F}">
  <sheetPr codeName="Sheet27">
    <pageSetUpPr fitToPage="1"/>
  </sheetPr>
  <dimension ref="A1:N46"/>
  <sheetViews>
    <sheetView workbookViewId="0">
      <pane ySplit="6" topLeftCell="A7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4.5" style="81" customWidth="1"/>
    <col min="2" max="2" width="18" style="81" customWidth="1"/>
    <col min="3" max="3" width="8.5" style="81" customWidth="1"/>
    <col min="4" max="4" width="8" style="81" customWidth="1"/>
    <col min="5" max="5" width="9" style="81"/>
    <col min="6" max="6" width="11.6640625" style="81" customWidth="1"/>
    <col min="7" max="7" width="9.5" style="81" customWidth="1"/>
    <col min="8" max="9" width="11.5" style="81" customWidth="1"/>
    <col min="10" max="10" width="9.5" style="135" customWidth="1"/>
    <col min="11" max="11" width="10.5" style="340" customWidth="1"/>
    <col min="12" max="12" width="8" style="81" customWidth="1"/>
    <col min="13" max="13" width="16.5" style="81" customWidth="1"/>
    <col min="14" max="16384" width="9" style="81"/>
  </cols>
  <sheetData>
    <row r="1" spans="1:14" s="80" customFormat="1" ht="30" customHeight="1">
      <c r="A1" s="374" t="s">
        <v>997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8"/>
      <c r="J2" s="378"/>
      <c r="K2" s="378"/>
      <c r="L2" s="378"/>
      <c r="M2" s="137"/>
    </row>
    <row r="3" spans="1:14" ht="14.25" customHeight="1">
      <c r="A3" s="40"/>
      <c r="B3" s="40"/>
      <c r="C3" s="40"/>
      <c r="D3" s="40"/>
      <c r="E3" s="40"/>
      <c r="F3" s="40"/>
      <c r="G3" s="40"/>
      <c r="H3" s="40"/>
      <c r="I3" s="171"/>
      <c r="J3" s="172"/>
      <c r="K3" s="218"/>
      <c r="L3" s="177"/>
      <c r="M3" s="137"/>
    </row>
    <row r="4" spans="1:14" ht="14.25" customHeight="1">
      <c r="A4" s="40"/>
      <c r="B4" s="40"/>
      <c r="C4" s="40"/>
      <c r="D4" s="40"/>
      <c r="E4" s="40"/>
      <c r="F4" s="40"/>
      <c r="G4" s="40"/>
      <c r="H4" s="40"/>
      <c r="I4" s="171"/>
      <c r="J4" s="172"/>
      <c r="K4" s="337"/>
      <c r="L4" s="37"/>
      <c r="M4" s="137"/>
    </row>
    <row r="5" spans="1:14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67"/>
      <c r="K5" s="342"/>
      <c r="L5" s="168"/>
    </row>
    <row r="6" spans="1:14" s="101" customFormat="1" ht="15.75" customHeight="1">
      <c r="A6" s="45" t="s">
        <v>193</v>
      </c>
      <c r="B6" s="45" t="s">
        <v>194</v>
      </c>
      <c r="C6" s="45" t="s">
        <v>203</v>
      </c>
      <c r="D6" s="45" t="s">
        <v>30</v>
      </c>
      <c r="E6" s="45" t="s">
        <v>195</v>
      </c>
      <c r="F6" s="174" t="s">
        <v>483</v>
      </c>
      <c r="G6" s="45" t="s">
        <v>351</v>
      </c>
      <c r="H6" s="188" t="s">
        <v>117</v>
      </c>
      <c r="I6" s="45" t="s">
        <v>196</v>
      </c>
      <c r="J6" s="175" t="s">
        <v>1</v>
      </c>
      <c r="K6" s="341" t="s">
        <v>479</v>
      </c>
      <c r="L6" s="45" t="s">
        <v>197</v>
      </c>
      <c r="M6" s="278" t="s">
        <v>598</v>
      </c>
      <c r="N6" s="273" t="s">
        <v>599</v>
      </c>
    </row>
    <row r="7" spans="1:14" ht="15.75" customHeight="1">
      <c r="A7" s="8"/>
      <c r="B7" s="7"/>
      <c r="C7" s="8"/>
      <c r="D7" s="146"/>
      <c r="E7" s="146"/>
      <c r="F7" s="8"/>
      <c r="G7" s="147"/>
      <c r="H7" s="5"/>
      <c r="I7" s="5"/>
      <c r="J7" s="28" t="str">
        <f>IF(ISERROR(I7-H7),"",IF(I7=0,"",I7-H7))</f>
        <v/>
      </c>
      <c r="K7" s="339" t="str">
        <f>IF(ISERROR(I7-H7),"",IF(I7=0,"",IF(E6="",0,ROUND(J7*100/H7,2))))</f>
        <v/>
      </c>
      <c r="L7" s="7"/>
    </row>
    <row r="8" spans="1:14" ht="15.75" customHeight="1">
      <c r="A8" s="8"/>
      <c r="B8" s="7"/>
      <c r="C8" s="8"/>
      <c r="D8" s="146"/>
      <c r="E8" s="146"/>
      <c r="F8" s="8"/>
      <c r="G8" s="147"/>
      <c r="H8" s="5"/>
      <c r="I8" s="5"/>
      <c r="J8" s="28" t="str">
        <f t="shared" ref="J8:J26" si="0">IF(ISERROR(I8-H8),"",IF(I8=0,"",I8-H8))</f>
        <v/>
      </c>
      <c r="K8" s="339" t="str">
        <f t="shared" ref="K8:K26" si="1">IF(ISERROR(I8-H8),"",IF(I8=0,"",IF(E7="",0,ROUND(J8*100/H8,2))))</f>
        <v/>
      </c>
      <c r="L8" s="7"/>
    </row>
    <row r="9" spans="1:14" ht="15.75" customHeight="1">
      <c r="A9" s="8"/>
      <c r="B9" s="7"/>
      <c r="C9" s="8"/>
      <c r="D9" s="146"/>
      <c r="E9" s="146"/>
      <c r="F9" s="8"/>
      <c r="G9" s="147"/>
      <c r="H9" s="5"/>
      <c r="I9" s="5"/>
      <c r="J9" s="28" t="str">
        <f t="shared" si="0"/>
        <v/>
      </c>
      <c r="K9" s="339" t="str">
        <f t="shared" si="1"/>
        <v/>
      </c>
      <c r="L9" s="7"/>
    </row>
    <row r="10" spans="1:14" ht="15.75" customHeight="1">
      <c r="A10" s="8"/>
      <c r="B10" s="7"/>
      <c r="C10" s="8"/>
      <c r="D10" s="146"/>
      <c r="E10" s="146"/>
      <c r="F10" s="8"/>
      <c r="G10" s="147"/>
      <c r="H10" s="5"/>
      <c r="I10" s="5"/>
      <c r="J10" s="28" t="str">
        <f t="shared" si="0"/>
        <v/>
      </c>
      <c r="K10" s="339" t="str">
        <f t="shared" si="1"/>
        <v/>
      </c>
      <c r="L10" s="7"/>
    </row>
    <row r="11" spans="1:14" ht="15.75" customHeight="1">
      <c r="A11" s="8"/>
      <c r="B11" s="7"/>
      <c r="C11" s="8"/>
      <c r="D11" s="146"/>
      <c r="E11" s="146"/>
      <c r="F11" s="8"/>
      <c r="G11" s="147"/>
      <c r="H11" s="5"/>
      <c r="I11" s="5"/>
      <c r="J11" s="28" t="str">
        <f t="shared" si="0"/>
        <v/>
      </c>
      <c r="K11" s="339" t="str">
        <f t="shared" si="1"/>
        <v/>
      </c>
      <c r="L11" s="7"/>
    </row>
    <row r="12" spans="1:14" ht="15.75" customHeight="1">
      <c r="A12" s="8"/>
      <c r="B12" s="7"/>
      <c r="C12" s="8"/>
      <c r="D12" s="146"/>
      <c r="E12" s="146"/>
      <c r="F12" s="8"/>
      <c r="G12" s="147"/>
      <c r="H12" s="5"/>
      <c r="I12" s="5"/>
      <c r="J12" s="28" t="str">
        <f t="shared" si="0"/>
        <v/>
      </c>
      <c r="K12" s="339" t="str">
        <f t="shared" si="1"/>
        <v/>
      </c>
      <c r="L12" s="7"/>
    </row>
    <row r="13" spans="1:14" ht="15.75" customHeight="1">
      <c r="A13" s="8"/>
      <c r="B13" s="7"/>
      <c r="C13" s="8"/>
      <c r="D13" s="146"/>
      <c r="E13" s="146"/>
      <c r="F13" s="8"/>
      <c r="G13" s="147"/>
      <c r="H13" s="5"/>
      <c r="I13" s="5"/>
      <c r="J13" s="28" t="str">
        <f t="shared" si="0"/>
        <v/>
      </c>
      <c r="K13" s="339" t="str">
        <f t="shared" si="1"/>
        <v/>
      </c>
      <c r="L13" s="7"/>
    </row>
    <row r="14" spans="1:14" ht="15.75" customHeight="1">
      <c r="A14" s="8"/>
      <c r="B14" s="7"/>
      <c r="C14" s="8"/>
      <c r="D14" s="146"/>
      <c r="E14" s="146"/>
      <c r="F14" s="8"/>
      <c r="G14" s="147"/>
      <c r="H14" s="5"/>
      <c r="I14" s="5"/>
      <c r="J14" s="28" t="str">
        <f t="shared" si="0"/>
        <v/>
      </c>
      <c r="K14" s="339" t="str">
        <f t="shared" si="1"/>
        <v/>
      </c>
      <c r="L14" s="7"/>
    </row>
    <row r="15" spans="1:14" ht="15.75" customHeight="1">
      <c r="A15" s="8"/>
      <c r="B15" s="7"/>
      <c r="C15" s="8"/>
      <c r="D15" s="146"/>
      <c r="E15" s="146"/>
      <c r="F15" s="8"/>
      <c r="G15" s="147"/>
      <c r="H15" s="5"/>
      <c r="I15" s="5"/>
      <c r="J15" s="28" t="str">
        <f t="shared" si="0"/>
        <v/>
      </c>
      <c r="K15" s="339" t="str">
        <f t="shared" si="1"/>
        <v/>
      </c>
      <c r="L15" s="7"/>
    </row>
    <row r="16" spans="1:14" ht="15.75" customHeight="1">
      <c r="A16" s="8"/>
      <c r="B16" s="7"/>
      <c r="C16" s="8"/>
      <c r="D16" s="146"/>
      <c r="E16" s="146"/>
      <c r="F16" s="8"/>
      <c r="G16" s="147"/>
      <c r="H16" s="5"/>
      <c r="I16" s="5"/>
      <c r="J16" s="28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6"/>
      <c r="F17" s="8"/>
      <c r="G17" s="147"/>
      <c r="H17" s="5"/>
      <c r="I17" s="5"/>
      <c r="J17" s="28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6"/>
      <c r="F18" s="8"/>
      <c r="G18" s="147"/>
      <c r="H18" s="5"/>
      <c r="I18" s="5"/>
      <c r="J18" s="28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6"/>
      <c r="F19" s="8"/>
      <c r="G19" s="147"/>
      <c r="H19" s="5"/>
      <c r="I19" s="5"/>
      <c r="J19" s="28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6"/>
      <c r="F20" s="8"/>
      <c r="G20" s="147"/>
      <c r="H20" s="5"/>
      <c r="I20" s="5"/>
      <c r="J20" s="28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6"/>
      <c r="F21" s="8"/>
      <c r="G21" s="147"/>
      <c r="H21" s="5"/>
      <c r="I21" s="5"/>
      <c r="J21" s="28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6"/>
      <c r="F22" s="8"/>
      <c r="G22" s="147"/>
      <c r="H22" s="5"/>
      <c r="I22" s="5"/>
      <c r="J22" s="28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6"/>
      <c r="F23" s="8"/>
      <c r="G23" s="147"/>
      <c r="H23" s="5"/>
      <c r="I23" s="5"/>
      <c r="J23" s="28" t="str">
        <f t="shared" si="0"/>
        <v/>
      </c>
      <c r="K23" s="339" t="str">
        <f t="shared" si="1"/>
        <v/>
      </c>
      <c r="L23" s="7"/>
    </row>
    <row r="24" spans="1:12" ht="15.75" customHeight="1">
      <c r="A24" s="420" t="s">
        <v>534</v>
      </c>
      <c r="B24" s="421"/>
      <c r="C24" s="237"/>
      <c r="D24" s="232"/>
      <c r="E24" s="232"/>
      <c r="F24" s="237"/>
      <c r="G24" s="31" t="str">
        <f>IF(SUM(G7:G23)=0,"",SUM(G7:G23))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28" t="str">
        <f t="shared" ca="1" si="0"/>
        <v/>
      </c>
      <c r="K24" s="339" t="str">
        <f t="shared" ca="1" si="1"/>
        <v/>
      </c>
      <c r="L24" s="234"/>
    </row>
    <row r="25" spans="1:12" ht="15.75" customHeight="1">
      <c r="A25" s="379" t="s">
        <v>204</v>
      </c>
      <c r="B25" s="508"/>
      <c r="C25" s="237"/>
      <c r="D25" s="232"/>
      <c r="E25" s="232"/>
      <c r="F25" s="237"/>
      <c r="G25" s="242"/>
      <c r="H25" s="31"/>
      <c r="I25" s="31"/>
      <c r="J25" s="28"/>
      <c r="K25" s="339"/>
      <c r="L25" s="234"/>
    </row>
    <row r="26" spans="1:12" ht="15.75" customHeight="1">
      <c r="A26" s="420" t="s">
        <v>534</v>
      </c>
      <c r="B26" s="421"/>
      <c r="C26" s="237"/>
      <c r="D26" s="232"/>
      <c r="E26" s="232"/>
      <c r="F26" s="237"/>
      <c r="G26" s="31" t="str">
        <f>IF(G25="",G24,G24-G25)</f>
        <v/>
      </c>
      <c r="H26" s="31" t="str">
        <f ca="1">IF(H25="",H24,H24-H25)</f>
        <v/>
      </c>
      <c r="I26" s="31" t="str">
        <f ca="1">IF(I25="",I24,I24-I25)</f>
        <v/>
      </c>
      <c r="J26" s="28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6"/>
      <c r="F27" s="8"/>
      <c r="G27" s="147"/>
      <c r="H27" s="5"/>
      <c r="I27" s="5"/>
      <c r="J27" s="28" t="str">
        <f>IF(ISERROR(I27-H27),"",IF(I27=0,"",I27-H27))</f>
        <v/>
      </c>
      <c r="K27" s="339" t="str">
        <f>IF(ISERROR(I27-H27),"",IF(I27=0,"",IF(E26="",0,ROUND(J27*100/H27,2))))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146"/>
      <c r="F28" s="8"/>
      <c r="G28" s="147"/>
      <c r="H28" s="5"/>
      <c r="I28" s="5"/>
      <c r="J28" s="28" t="str">
        <f t="shared" ref="J28:J46" si="2">IF(ISERROR(I28-H28),"",IF(I28=0,"",I28-H28))</f>
        <v/>
      </c>
      <c r="K28" s="339" t="str">
        <f t="shared" ref="K28:K46" si="3">IF(ISERROR(I28-H28),"",IF(I28=0,"",IF(E27="",0,ROUND(J28*100/H28,2))))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146"/>
      <c r="F29" s="8"/>
      <c r="G29" s="147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6"/>
      <c r="F30" s="8"/>
      <c r="G30" s="147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6"/>
      <c r="F31" s="8"/>
      <c r="G31" s="147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6"/>
      <c r="F32" s="8"/>
      <c r="G32" s="147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6"/>
      <c r="F33" s="8"/>
      <c r="G33" s="147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6"/>
      <c r="F34" s="8"/>
      <c r="G34" s="147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6"/>
      <c r="F35" s="8"/>
      <c r="G35" s="147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6"/>
      <c r="F36" s="8"/>
      <c r="G36" s="147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6"/>
      <c r="F37" s="8"/>
      <c r="G37" s="147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6"/>
      <c r="F38" s="8"/>
      <c r="G38" s="147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6"/>
      <c r="F39" s="8"/>
      <c r="G39" s="147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6"/>
      <c r="F40" s="8"/>
      <c r="G40" s="147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6"/>
      <c r="F41" s="8"/>
      <c r="G41" s="147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6"/>
      <c r="F42" s="8"/>
      <c r="G42" s="147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6"/>
      <c r="F43" s="8"/>
      <c r="G43" s="147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6"/>
      <c r="F44" s="8"/>
      <c r="G44" s="147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6"/>
      <c r="F45" s="8"/>
      <c r="G45" s="147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6"/>
      <c r="F46" s="8"/>
      <c r="G46" s="147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5">
    <mergeCell ref="A1:L1"/>
    <mergeCell ref="A2:L2"/>
    <mergeCell ref="A26:B26"/>
    <mergeCell ref="A24:B24"/>
    <mergeCell ref="A25:B25"/>
  </mergeCells>
  <phoneticPr fontId="6" type="noConversion"/>
  <printOptions horizontalCentered="1" verticalCentered="1"/>
  <pageMargins left="1.0629921259842521" right="0.6692913385826772" top="0.44" bottom="0.86614173228346458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&amp;R&amp;"宋体,常规"&amp;10表4-2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1054100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1308100</xdr:colOff>
                    <xdr:row>2</xdr:row>
                    <xdr:rowOff>0</xdr:rowOff>
                  </from>
                  <to>
                    <xdr:col>3</xdr:col>
                    <xdr:colOff>304800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7D53-062C-4EF8-A748-EB343159E566}">
  <sheetPr codeName="Sheet30">
    <pageSetUpPr fitToPage="1"/>
  </sheetPr>
  <dimension ref="A1:M46"/>
  <sheetViews>
    <sheetView workbookViewId="0">
      <pane ySplit="6" topLeftCell="A7" activePane="bottomLeft" state="frozen"/>
      <selection activeCell="F17" sqref="F17"/>
      <selection pane="bottomLeft" activeCell="H3" sqref="H1:H65536"/>
    </sheetView>
  </sheetViews>
  <sheetFormatPr baseColWidth="10" defaultColWidth="9" defaultRowHeight="15.75" customHeight="1"/>
  <cols>
    <col min="1" max="1" width="5.1640625" style="81" customWidth="1"/>
    <col min="2" max="2" width="25" style="81" customWidth="1"/>
    <col min="3" max="3" width="18.1640625" style="81" customWidth="1"/>
    <col min="4" max="4" width="8.6640625" style="81" customWidth="1"/>
    <col min="5" max="6" width="14" style="81" customWidth="1"/>
    <col min="7" max="7" width="10.6640625" style="135" customWidth="1"/>
    <col min="8" max="8" width="9.6640625" style="340" bestFit="1" customWidth="1"/>
    <col min="9" max="9" width="11.6640625" style="81" customWidth="1"/>
    <col min="10" max="10" width="8" style="81" customWidth="1"/>
    <col min="11" max="11" width="10.1640625" style="81" customWidth="1"/>
    <col min="12" max="12" width="9" style="81"/>
    <col min="13" max="13" width="7.5" style="81" customWidth="1"/>
    <col min="14" max="16384" width="9" style="81"/>
  </cols>
  <sheetData>
    <row r="1" spans="1:13" s="80" customFormat="1" ht="30" customHeight="1">
      <c r="A1" s="374" t="s">
        <v>998</v>
      </c>
      <c r="B1" s="375"/>
      <c r="C1" s="375"/>
      <c r="D1" s="375"/>
      <c r="E1" s="375"/>
      <c r="F1" s="375"/>
      <c r="G1" s="375"/>
      <c r="H1" s="375"/>
      <c r="I1" s="375"/>
    </row>
    <row r="2" spans="1:13" ht="13.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8"/>
      <c r="F2" s="378"/>
      <c r="G2" s="378"/>
      <c r="H2" s="378"/>
      <c r="I2" s="378"/>
    </row>
    <row r="3" spans="1:13" ht="13.5" customHeight="1">
      <c r="A3" s="40"/>
      <c r="B3" s="40"/>
      <c r="C3" s="40"/>
      <c r="D3" s="40"/>
      <c r="E3" s="171"/>
      <c r="F3" s="171"/>
      <c r="G3" s="172"/>
      <c r="H3" s="218"/>
      <c r="I3" s="177"/>
    </row>
    <row r="4" spans="1:13" ht="13.5" customHeight="1">
      <c r="A4" s="40"/>
      <c r="B4" s="40"/>
      <c r="C4" s="40"/>
      <c r="D4" s="40"/>
      <c r="E4" s="171"/>
      <c r="F4" s="171"/>
      <c r="G4" s="172"/>
      <c r="H4" s="337"/>
      <c r="I4" s="37"/>
    </row>
    <row r="5" spans="1:13" ht="15.75" customHeight="1">
      <c r="A5" s="41" t="str">
        <f>'1-汇总表'!A4</f>
        <v>被评估单位：A有限公司</v>
      </c>
      <c r="B5" s="42"/>
      <c r="C5" s="42"/>
      <c r="D5" s="42"/>
      <c r="E5" s="183"/>
      <c r="F5" s="42"/>
      <c r="G5" s="173"/>
      <c r="H5" s="342"/>
      <c r="I5" s="168"/>
      <c r="J5" s="511" t="s">
        <v>596</v>
      </c>
      <c r="K5" s="509" t="s">
        <v>633</v>
      </c>
      <c r="L5" s="425" t="s">
        <v>598</v>
      </c>
      <c r="M5" s="425" t="s">
        <v>599</v>
      </c>
    </row>
    <row r="6" spans="1:13" s="101" customFormat="1" ht="15.75" customHeight="1">
      <c r="A6" s="45" t="s">
        <v>7</v>
      </c>
      <c r="B6" s="45" t="s">
        <v>34</v>
      </c>
      <c r="C6" s="45" t="s">
        <v>35</v>
      </c>
      <c r="D6" s="45" t="s">
        <v>36</v>
      </c>
      <c r="E6" s="45" t="s">
        <v>117</v>
      </c>
      <c r="F6" s="45" t="s">
        <v>0</v>
      </c>
      <c r="G6" s="175" t="s">
        <v>1</v>
      </c>
      <c r="H6" s="341" t="s">
        <v>479</v>
      </c>
      <c r="I6" s="45" t="s">
        <v>39</v>
      </c>
      <c r="J6" s="512"/>
      <c r="K6" s="510"/>
      <c r="L6" s="426"/>
      <c r="M6" s="426"/>
    </row>
    <row r="7" spans="1:13" ht="15.75" customHeight="1">
      <c r="A7" s="8"/>
      <c r="B7" s="7"/>
      <c r="C7" s="8"/>
      <c r="D7" s="146"/>
      <c r="E7" s="6"/>
      <c r="F7" s="5"/>
      <c r="G7" s="28" t="str">
        <f>IF(ISERROR(F7-E7),"",IF(F7=0,"",F7-E7))</f>
        <v/>
      </c>
      <c r="H7" s="339" t="str">
        <f>IF(ISERROR(F7-E7),"",IF(F7=0,"",IF(G7="",0,ROUND(G7*100/E7,2))))</f>
        <v/>
      </c>
      <c r="I7" s="7"/>
    </row>
    <row r="8" spans="1:13" ht="15.75" customHeight="1">
      <c r="A8" s="8"/>
      <c r="B8" s="7"/>
      <c r="C8" s="8"/>
      <c r="D8" s="146"/>
      <c r="E8" s="6"/>
      <c r="F8" s="5"/>
      <c r="G8" s="28" t="str">
        <f t="shared" ref="G8:G26" si="0">IF(ISERROR(F8-E8),"",IF(F8=0,"",F8-E8))</f>
        <v/>
      </c>
      <c r="H8" s="339" t="str">
        <f t="shared" ref="H8:H26" si="1">IF(ISERROR(F8-E8),"",IF(F8=0,"",IF(G8="",0,ROUND(G8*100/E8,2))))</f>
        <v/>
      </c>
      <c r="I8" s="7"/>
    </row>
    <row r="9" spans="1:13" ht="15.75" customHeight="1">
      <c r="A9" s="8"/>
      <c r="B9" s="7"/>
      <c r="C9" s="8"/>
      <c r="D9" s="146"/>
      <c r="E9" s="6"/>
      <c r="F9" s="5"/>
      <c r="G9" s="28" t="str">
        <f t="shared" si="0"/>
        <v/>
      </c>
      <c r="H9" s="339" t="str">
        <f t="shared" si="1"/>
        <v/>
      </c>
      <c r="I9" s="7"/>
    </row>
    <row r="10" spans="1:13" ht="15.75" customHeight="1">
      <c r="A10" s="8"/>
      <c r="B10" s="7"/>
      <c r="C10" s="8"/>
      <c r="D10" s="146"/>
      <c r="E10" s="6"/>
      <c r="F10" s="5"/>
      <c r="G10" s="28" t="str">
        <f t="shared" si="0"/>
        <v/>
      </c>
      <c r="H10" s="339" t="str">
        <f t="shared" si="1"/>
        <v/>
      </c>
      <c r="I10" s="7"/>
    </row>
    <row r="11" spans="1:13" ht="15.75" customHeight="1">
      <c r="A11" s="8"/>
      <c r="B11" s="7"/>
      <c r="C11" s="8"/>
      <c r="D11" s="146"/>
      <c r="E11" s="6"/>
      <c r="F11" s="5"/>
      <c r="G11" s="28" t="str">
        <f t="shared" si="0"/>
        <v/>
      </c>
      <c r="H11" s="339" t="str">
        <f t="shared" si="1"/>
        <v/>
      </c>
      <c r="I11" s="7"/>
    </row>
    <row r="12" spans="1:13" ht="15.75" customHeight="1">
      <c r="A12" s="8"/>
      <c r="B12" s="7"/>
      <c r="C12" s="8"/>
      <c r="D12" s="146"/>
      <c r="E12" s="6"/>
      <c r="F12" s="5"/>
      <c r="G12" s="28" t="str">
        <f t="shared" si="0"/>
        <v/>
      </c>
      <c r="H12" s="339" t="str">
        <f t="shared" si="1"/>
        <v/>
      </c>
      <c r="I12" s="7"/>
    </row>
    <row r="13" spans="1:13" ht="15.75" customHeight="1">
      <c r="A13" s="8"/>
      <c r="B13" s="7"/>
      <c r="C13" s="8"/>
      <c r="D13" s="146"/>
      <c r="E13" s="6"/>
      <c r="F13" s="5"/>
      <c r="G13" s="28" t="str">
        <f t="shared" si="0"/>
        <v/>
      </c>
      <c r="H13" s="339" t="str">
        <f t="shared" si="1"/>
        <v/>
      </c>
      <c r="I13" s="7"/>
    </row>
    <row r="14" spans="1:13" ht="15.75" customHeight="1">
      <c r="A14" s="8"/>
      <c r="B14" s="7"/>
      <c r="C14" s="8"/>
      <c r="D14" s="146"/>
      <c r="E14" s="6"/>
      <c r="F14" s="5"/>
      <c r="G14" s="28" t="str">
        <f t="shared" si="0"/>
        <v/>
      </c>
      <c r="H14" s="339" t="str">
        <f t="shared" si="1"/>
        <v/>
      </c>
      <c r="I14" s="7"/>
    </row>
    <row r="15" spans="1:13" ht="15.75" customHeight="1">
      <c r="A15" s="8"/>
      <c r="B15" s="7"/>
      <c r="C15" s="8"/>
      <c r="D15" s="146"/>
      <c r="E15" s="6"/>
      <c r="F15" s="5"/>
      <c r="G15" s="28" t="str">
        <f t="shared" si="0"/>
        <v/>
      </c>
      <c r="H15" s="339" t="str">
        <f t="shared" si="1"/>
        <v/>
      </c>
      <c r="I15" s="7"/>
    </row>
    <row r="16" spans="1:13" ht="15.75" customHeight="1">
      <c r="A16" s="8"/>
      <c r="B16" s="7"/>
      <c r="C16" s="8"/>
      <c r="D16" s="146"/>
      <c r="E16" s="6"/>
      <c r="F16" s="5"/>
      <c r="G16" s="28" t="str">
        <f t="shared" si="0"/>
        <v/>
      </c>
      <c r="H16" s="339" t="str">
        <f t="shared" si="1"/>
        <v/>
      </c>
      <c r="I16" s="7"/>
    </row>
    <row r="17" spans="1:9" ht="15.75" customHeight="1">
      <c r="A17" s="8"/>
      <c r="B17" s="7"/>
      <c r="C17" s="8"/>
      <c r="D17" s="146"/>
      <c r="E17" s="6"/>
      <c r="F17" s="5"/>
      <c r="G17" s="28" t="str">
        <f t="shared" si="0"/>
        <v/>
      </c>
      <c r="H17" s="339" t="str">
        <f t="shared" si="1"/>
        <v/>
      </c>
      <c r="I17" s="7"/>
    </row>
    <row r="18" spans="1:9" ht="15.75" customHeight="1">
      <c r="A18" s="8"/>
      <c r="B18" s="7"/>
      <c r="C18" s="8"/>
      <c r="D18" s="146"/>
      <c r="E18" s="6"/>
      <c r="F18" s="5"/>
      <c r="G18" s="28" t="str">
        <f t="shared" si="0"/>
        <v/>
      </c>
      <c r="H18" s="339" t="str">
        <f t="shared" si="1"/>
        <v/>
      </c>
      <c r="I18" s="7"/>
    </row>
    <row r="19" spans="1:9" ht="15.75" customHeight="1">
      <c r="A19" s="8"/>
      <c r="B19" s="7"/>
      <c r="C19" s="8"/>
      <c r="D19" s="146"/>
      <c r="E19" s="6"/>
      <c r="F19" s="5"/>
      <c r="G19" s="28" t="str">
        <f t="shared" si="0"/>
        <v/>
      </c>
      <c r="H19" s="339" t="str">
        <f t="shared" si="1"/>
        <v/>
      </c>
      <c r="I19" s="7"/>
    </row>
    <row r="20" spans="1:9" ht="15.75" customHeight="1">
      <c r="A20" s="8"/>
      <c r="B20" s="7"/>
      <c r="C20" s="8"/>
      <c r="D20" s="146"/>
      <c r="E20" s="6"/>
      <c r="F20" s="5"/>
      <c r="G20" s="28" t="str">
        <f t="shared" si="0"/>
        <v/>
      </c>
      <c r="H20" s="339" t="str">
        <f t="shared" si="1"/>
        <v/>
      </c>
      <c r="I20" s="7"/>
    </row>
    <row r="21" spans="1:9" ht="15.75" customHeight="1">
      <c r="A21" s="8"/>
      <c r="B21" s="7"/>
      <c r="C21" s="8"/>
      <c r="D21" s="146"/>
      <c r="E21" s="6"/>
      <c r="F21" s="5"/>
      <c r="G21" s="28" t="str">
        <f t="shared" si="0"/>
        <v/>
      </c>
      <c r="H21" s="339" t="str">
        <f t="shared" si="1"/>
        <v/>
      </c>
      <c r="I21" s="7"/>
    </row>
    <row r="22" spans="1:9" ht="15.75" customHeight="1">
      <c r="A22" s="8"/>
      <c r="B22" s="7"/>
      <c r="C22" s="8"/>
      <c r="D22" s="146"/>
      <c r="E22" s="6"/>
      <c r="F22" s="5"/>
      <c r="G22" s="28" t="str">
        <f t="shared" si="0"/>
        <v/>
      </c>
      <c r="H22" s="339" t="str">
        <f t="shared" si="1"/>
        <v/>
      </c>
      <c r="I22" s="7"/>
    </row>
    <row r="23" spans="1:9" ht="15.75" customHeight="1">
      <c r="A23" s="8"/>
      <c r="B23" s="7"/>
      <c r="C23" s="8"/>
      <c r="D23" s="146"/>
      <c r="E23" s="6"/>
      <c r="F23" s="5"/>
      <c r="G23" s="28" t="str">
        <f t="shared" si="0"/>
        <v/>
      </c>
      <c r="H23" s="339" t="str">
        <f t="shared" si="1"/>
        <v/>
      </c>
      <c r="I23" s="7"/>
    </row>
    <row r="24" spans="1:9" ht="15.75" customHeight="1">
      <c r="A24" s="420" t="s">
        <v>534</v>
      </c>
      <c r="B24" s="421"/>
      <c r="C24" s="237"/>
      <c r="D24" s="232"/>
      <c r="E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28" t="str">
        <f t="shared" ca="1" si="0"/>
        <v/>
      </c>
      <c r="H24" s="339" t="str">
        <f t="shared" ca="1" si="1"/>
        <v/>
      </c>
      <c r="I24" s="234"/>
    </row>
    <row r="25" spans="1:9" ht="15.75" customHeight="1">
      <c r="A25" s="379" t="s">
        <v>445</v>
      </c>
      <c r="B25" s="444"/>
      <c r="C25" s="237"/>
      <c r="D25" s="232"/>
      <c r="E25" s="243"/>
      <c r="F25" s="31"/>
      <c r="G25" s="28"/>
      <c r="H25" s="339"/>
      <c r="I25" s="234"/>
    </row>
    <row r="26" spans="1:9" ht="15.75" customHeight="1">
      <c r="A26" s="420" t="s">
        <v>534</v>
      </c>
      <c r="B26" s="421"/>
      <c r="C26" s="30"/>
      <c r="D26" s="232"/>
      <c r="E26" s="243" t="str">
        <f ca="1">IF(E25="",E24,E24-E25)</f>
        <v/>
      </c>
      <c r="F26" s="243" t="str">
        <f ca="1">IF(F25="",F24,F24-F25)</f>
        <v/>
      </c>
      <c r="G26" s="28" t="str">
        <f t="shared" ca="1" si="0"/>
        <v/>
      </c>
      <c r="H26" s="339" t="str">
        <f t="shared" ca="1" si="1"/>
        <v/>
      </c>
      <c r="I26" s="234"/>
    </row>
    <row r="27" spans="1:9" ht="15.75" hidden="1" customHeight="1">
      <c r="A27" s="8"/>
      <c r="B27" s="7"/>
      <c r="C27" s="8"/>
      <c r="D27" s="146"/>
      <c r="E27" s="6"/>
      <c r="F27" s="5"/>
      <c r="G27" s="28" t="str">
        <f>IF(ISERROR(F27-E27),"",IF(F27=0,"",F27-E27))</f>
        <v/>
      </c>
      <c r="H27" s="339" t="str">
        <f>IF(ISERROR(F27-E27),"",IF(F27=0,"",IF(G27="",0,ROUND(G27*100/E27,2))))</f>
        <v/>
      </c>
      <c r="I27" s="7"/>
    </row>
    <row r="28" spans="1:9" ht="15.75" hidden="1" customHeight="1">
      <c r="A28" s="8"/>
      <c r="B28" s="7"/>
      <c r="C28" s="8"/>
      <c r="D28" s="146"/>
      <c r="E28" s="6"/>
      <c r="F28" s="5"/>
      <c r="G28" s="28" t="str">
        <f t="shared" ref="G28:G46" si="2">IF(ISERROR(F28-E28),"",IF(F28=0,"",F28-E28))</f>
        <v/>
      </c>
      <c r="H28" s="339" t="str">
        <f t="shared" ref="H28:H46" si="3">IF(ISERROR(F28-E28),"",IF(F28=0,"",IF(G28="",0,ROUND(G28*100/E28,2))))</f>
        <v/>
      </c>
      <c r="I28" s="7"/>
    </row>
    <row r="29" spans="1:9" ht="15.75" hidden="1" customHeight="1">
      <c r="A29" s="8"/>
      <c r="B29" s="7"/>
      <c r="C29" s="8"/>
      <c r="D29" s="146"/>
      <c r="E29" s="6"/>
      <c r="F29" s="5"/>
      <c r="G29" s="28" t="str">
        <f t="shared" si="2"/>
        <v/>
      </c>
      <c r="H29" s="339" t="str">
        <f t="shared" si="3"/>
        <v/>
      </c>
      <c r="I29" s="7"/>
    </row>
    <row r="30" spans="1:9" ht="15.75" hidden="1" customHeight="1">
      <c r="A30" s="8"/>
      <c r="B30" s="7"/>
      <c r="C30" s="8"/>
      <c r="D30" s="146"/>
      <c r="E30" s="6"/>
      <c r="F30" s="5"/>
      <c r="G30" s="28" t="str">
        <f t="shared" si="2"/>
        <v/>
      </c>
      <c r="H30" s="339" t="str">
        <f t="shared" si="3"/>
        <v/>
      </c>
      <c r="I30" s="7"/>
    </row>
    <row r="31" spans="1:9" ht="15.75" hidden="1" customHeight="1">
      <c r="A31" s="8"/>
      <c r="B31" s="7"/>
      <c r="C31" s="8"/>
      <c r="D31" s="146"/>
      <c r="E31" s="6"/>
      <c r="F31" s="5"/>
      <c r="G31" s="28" t="str">
        <f t="shared" si="2"/>
        <v/>
      </c>
      <c r="H31" s="339" t="str">
        <f t="shared" si="3"/>
        <v/>
      </c>
      <c r="I31" s="7"/>
    </row>
    <row r="32" spans="1:9" ht="15.75" hidden="1" customHeight="1">
      <c r="A32" s="8"/>
      <c r="B32" s="7"/>
      <c r="C32" s="8"/>
      <c r="D32" s="146"/>
      <c r="E32" s="6"/>
      <c r="F32" s="5"/>
      <c r="G32" s="28" t="str">
        <f t="shared" si="2"/>
        <v/>
      </c>
      <c r="H32" s="339" t="str">
        <f t="shared" si="3"/>
        <v/>
      </c>
      <c r="I32" s="7"/>
    </row>
    <row r="33" spans="1:9" ht="15.75" hidden="1" customHeight="1">
      <c r="A33" s="8"/>
      <c r="B33" s="7"/>
      <c r="C33" s="8"/>
      <c r="D33" s="146"/>
      <c r="E33" s="6"/>
      <c r="F33" s="5"/>
      <c r="G33" s="28" t="str">
        <f t="shared" si="2"/>
        <v/>
      </c>
      <c r="H33" s="339" t="str">
        <f t="shared" si="3"/>
        <v/>
      </c>
      <c r="I33" s="7"/>
    </row>
    <row r="34" spans="1:9" ht="15.75" hidden="1" customHeight="1">
      <c r="A34" s="8"/>
      <c r="B34" s="7"/>
      <c r="C34" s="8"/>
      <c r="D34" s="146"/>
      <c r="E34" s="6"/>
      <c r="F34" s="5"/>
      <c r="G34" s="28" t="str">
        <f t="shared" si="2"/>
        <v/>
      </c>
      <c r="H34" s="339" t="str">
        <f t="shared" si="3"/>
        <v/>
      </c>
      <c r="I34" s="7"/>
    </row>
    <row r="35" spans="1:9" ht="15.75" hidden="1" customHeight="1">
      <c r="A35" s="8"/>
      <c r="B35" s="7"/>
      <c r="C35" s="8"/>
      <c r="D35" s="146"/>
      <c r="E35" s="6"/>
      <c r="F35" s="5"/>
      <c r="G35" s="28" t="str">
        <f t="shared" si="2"/>
        <v/>
      </c>
      <c r="H35" s="339" t="str">
        <f t="shared" si="3"/>
        <v/>
      </c>
      <c r="I35" s="7"/>
    </row>
    <row r="36" spans="1:9" ht="15.75" hidden="1" customHeight="1">
      <c r="A36" s="8"/>
      <c r="B36" s="7"/>
      <c r="C36" s="8"/>
      <c r="D36" s="146"/>
      <c r="E36" s="6"/>
      <c r="F36" s="5"/>
      <c r="G36" s="28" t="str">
        <f t="shared" si="2"/>
        <v/>
      </c>
      <c r="H36" s="339" t="str">
        <f t="shared" si="3"/>
        <v/>
      </c>
      <c r="I36" s="7"/>
    </row>
    <row r="37" spans="1:9" ht="15.75" hidden="1" customHeight="1">
      <c r="A37" s="8"/>
      <c r="B37" s="7"/>
      <c r="C37" s="8"/>
      <c r="D37" s="146"/>
      <c r="E37" s="6"/>
      <c r="F37" s="5"/>
      <c r="G37" s="28" t="str">
        <f t="shared" si="2"/>
        <v/>
      </c>
      <c r="H37" s="339" t="str">
        <f t="shared" si="3"/>
        <v/>
      </c>
      <c r="I37" s="7"/>
    </row>
    <row r="38" spans="1:9" ht="15.75" hidden="1" customHeight="1">
      <c r="A38" s="8"/>
      <c r="B38" s="7"/>
      <c r="C38" s="8"/>
      <c r="D38" s="146"/>
      <c r="E38" s="6"/>
      <c r="F38" s="5"/>
      <c r="G38" s="28" t="str">
        <f t="shared" si="2"/>
        <v/>
      </c>
      <c r="H38" s="339" t="str">
        <f t="shared" si="3"/>
        <v/>
      </c>
      <c r="I38" s="7"/>
    </row>
    <row r="39" spans="1:9" ht="15.75" hidden="1" customHeight="1">
      <c r="A39" s="8"/>
      <c r="B39" s="7"/>
      <c r="C39" s="8"/>
      <c r="D39" s="146"/>
      <c r="E39" s="6"/>
      <c r="F39" s="5"/>
      <c r="G39" s="28" t="str">
        <f t="shared" si="2"/>
        <v/>
      </c>
      <c r="H39" s="339" t="str">
        <f t="shared" si="3"/>
        <v/>
      </c>
      <c r="I39" s="7"/>
    </row>
    <row r="40" spans="1:9" ht="15.75" hidden="1" customHeight="1">
      <c r="A40" s="8"/>
      <c r="B40" s="7"/>
      <c r="C40" s="8"/>
      <c r="D40" s="146"/>
      <c r="E40" s="6"/>
      <c r="F40" s="5"/>
      <c r="G40" s="28" t="str">
        <f t="shared" si="2"/>
        <v/>
      </c>
      <c r="H40" s="339" t="str">
        <f t="shared" si="3"/>
        <v/>
      </c>
      <c r="I40" s="7"/>
    </row>
    <row r="41" spans="1:9" ht="15.75" hidden="1" customHeight="1">
      <c r="A41" s="8"/>
      <c r="B41" s="7"/>
      <c r="C41" s="8"/>
      <c r="D41" s="146"/>
      <c r="E41" s="6"/>
      <c r="F41" s="5"/>
      <c r="G41" s="28" t="str">
        <f t="shared" si="2"/>
        <v/>
      </c>
      <c r="H41" s="339" t="str">
        <f t="shared" si="3"/>
        <v/>
      </c>
      <c r="I41" s="7"/>
    </row>
    <row r="42" spans="1:9" ht="15.75" hidden="1" customHeight="1">
      <c r="A42" s="8"/>
      <c r="B42" s="7"/>
      <c r="C42" s="8"/>
      <c r="D42" s="146"/>
      <c r="E42" s="6"/>
      <c r="F42" s="5"/>
      <c r="G42" s="28" t="str">
        <f t="shared" si="2"/>
        <v/>
      </c>
      <c r="H42" s="339" t="str">
        <f t="shared" si="3"/>
        <v/>
      </c>
      <c r="I42" s="7"/>
    </row>
    <row r="43" spans="1:9" ht="15.75" hidden="1" customHeight="1">
      <c r="A43" s="8"/>
      <c r="B43" s="7"/>
      <c r="C43" s="8"/>
      <c r="D43" s="146"/>
      <c r="E43" s="6"/>
      <c r="F43" s="5"/>
      <c r="G43" s="28" t="str">
        <f t="shared" si="2"/>
        <v/>
      </c>
      <c r="H43" s="339" t="str">
        <f t="shared" si="3"/>
        <v/>
      </c>
      <c r="I43" s="7"/>
    </row>
    <row r="44" spans="1:9" ht="15.75" hidden="1" customHeight="1">
      <c r="A44" s="8"/>
      <c r="B44" s="7"/>
      <c r="C44" s="8"/>
      <c r="D44" s="146"/>
      <c r="E44" s="6"/>
      <c r="F44" s="5"/>
      <c r="G44" s="28" t="str">
        <f t="shared" si="2"/>
        <v/>
      </c>
      <c r="H44" s="339" t="str">
        <f t="shared" si="3"/>
        <v/>
      </c>
      <c r="I44" s="7"/>
    </row>
    <row r="45" spans="1:9" ht="15.75" hidden="1" customHeight="1">
      <c r="A45" s="8"/>
      <c r="B45" s="7"/>
      <c r="C45" s="8"/>
      <c r="D45" s="146"/>
      <c r="E45" s="6"/>
      <c r="F45" s="5"/>
      <c r="G45" s="28" t="str">
        <f t="shared" si="2"/>
        <v/>
      </c>
      <c r="H45" s="339" t="str">
        <f t="shared" si="3"/>
        <v/>
      </c>
      <c r="I45" s="7"/>
    </row>
    <row r="46" spans="1:9" ht="15.75" hidden="1" customHeight="1">
      <c r="A46" s="8"/>
      <c r="B46" s="7"/>
      <c r="C46" s="8"/>
      <c r="D46" s="146"/>
      <c r="E46" s="6"/>
      <c r="F46" s="5"/>
      <c r="G46" s="28" t="str">
        <f t="shared" si="2"/>
        <v/>
      </c>
      <c r="H46" s="339" t="str">
        <f t="shared" si="3"/>
        <v/>
      </c>
      <c r="I46" s="7"/>
    </row>
  </sheetData>
  <mergeCells count="9">
    <mergeCell ref="K5:K6"/>
    <mergeCell ref="L5:L6"/>
    <mergeCell ref="M5:M6"/>
    <mergeCell ref="A26:B26"/>
    <mergeCell ref="A1:I1"/>
    <mergeCell ref="A2:I2"/>
    <mergeCell ref="A24:B24"/>
    <mergeCell ref="A25:B25"/>
    <mergeCell ref="J5:J6"/>
  </mergeCells>
  <phoneticPr fontId="6" type="noConversion"/>
  <printOptions horizontalCentered="1" verticalCentered="1"/>
  <pageMargins left="0.98425196850393704" right="0.82677165354330717" top="0.43" bottom="0.8267716535433071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&amp;R&amp;"宋体,常规"&amp;10表4-3
共&amp;N页 第&amp;P页
金额单位：人民币元</oddHeader>
    <oddFooter>&amp;L&amp;10复核人：_x000D_复核日期：&amp;C&amp;10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355600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A482-FBA4-405E-A7AD-D027C4654186}">
  <sheetPr codeName="Sheet40">
    <pageSetUpPr fitToPage="1"/>
  </sheetPr>
  <dimension ref="A1:T46"/>
  <sheetViews>
    <sheetView workbookViewId="0">
      <pane ySplit="6" topLeftCell="A17" activePane="bottomLeft" state="frozen"/>
      <selection activeCell="F17" sqref="F17"/>
      <selection pane="bottomLeft" sqref="A1:K26"/>
    </sheetView>
  </sheetViews>
  <sheetFormatPr baseColWidth="10" defaultColWidth="9" defaultRowHeight="15.75" customHeight="1"/>
  <cols>
    <col min="1" max="1" width="4.6640625" style="81" customWidth="1"/>
    <col min="2" max="2" width="17.1640625" style="81" customWidth="1"/>
    <col min="3" max="3" width="9.6640625" style="81" customWidth="1"/>
    <col min="4" max="4" width="10" style="81" customWidth="1"/>
    <col min="5" max="5" width="13.6640625" style="81" customWidth="1"/>
    <col min="6" max="6" width="9.5" style="81" customWidth="1"/>
    <col min="7" max="7" width="13.1640625" style="81" bestFit="1" customWidth="1"/>
    <col min="8" max="8" width="13.1640625" style="81" customWidth="1"/>
    <col min="9" max="9" width="9.5" style="135" customWidth="1"/>
    <col min="10" max="10" width="9.5" style="340" customWidth="1"/>
    <col min="11" max="11" width="10.1640625" style="81" customWidth="1"/>
    <col min="12" max="12" width="8.1640625" style="81" customWidth="1"/>
    <col min="13" max="13" width="9.5" style="81" customWidth="1"/>
    <col min="14" max="14" width="7.1640625" style="81" customWidth="1"/>
    <col min="15" max="15" width="7.5" style="81" customWidth="1"/>
    <col min="16" max="16" width="5.33203125" style="81" customWidth="1"/>
    <col min="17" max="17" width="5.1640625" style="81" customWidth="1"/>
    <col min="18" max="18" width="7.1640625" style="81" customWidth="1"/>
    <col min="19" max="19" width="9" style="81"/>
    <col min="20" max="20" width="7.5" style="81" customWidth="1"/>
    <col min="21" max="16384" width="9" style="81"/>
  </cols>
  <sheetData>
    <row r="1" spans="1:20" s="80" customFormat="1" ht="30" customHeight="1">
      <c r="A1" s="374" t="s">
        <v>999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2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137"/>
      <c r="M2" s="137"/>
    </row>
    <row r="3" spans="1:20" ht="14.25" customHeight="1">
      <c r="A3" s="40"/>
      <c r="B3" s="40"/>
      <c r="C3" s="40"/>
      <c r="D3" s="40"/>
      <c r="E3" s="40"/>
      <c r="F3" s="40"/>
      <c r="G3" s="40"/>
      <c r="H3" s="171"/>
      <c r="I3" s="172"/>
      <c r="J3" s="218"/>
      <c r="K3" s="177"/>
      <c r="L3" s="137"/>
      <c r="M3" s="137"/>
    </row>
    <row r="4" spans="1:20" ht="14.25" customHeight="1">
      <c r="A4" s="40"/>
      <c r="B4" s="40"/>
      <c r="C4" s="40"/>
      <c r="D4" s="40"/>
      <c r="E4" s="40"/>
      <c r="F4" s="40"/>
      <c r="G4" s="40"/>
      <c r="H4" s="171"/>
      <c r="I4" s="172"/>
      <c r="J4" s="337"/>
      <c r="K4" s="37"/>
    </row>
    <row r="5" spans="1:20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342"/>
      <c r="K5" s="168"/>
      <c r="L5" s="514" t="s">
        <v>709</v>
      </c>
      <c r="M5" s="513" t="s">
        <v>710</v>
      </c>
      <c r="N5" s="513"/>
      <c r="O5" s="513"/>
      <c r="P5" s="513"/>
      <c r="Q5" s="513"/>
      <c r="R5" s="513"/>
      <c r="S5" s="425" t="s">
        <v>598</v>
      </c>
      <c r="T5" s="425" t="s">
        <v>599</v>
      </c>
    </row>
    <row r="6" spans="1:20" s="101" customFormat="1" ht="15.75" customHeight="1">
      <c r="A6" s="45" t="s">
        <v>7</v>
      </c>
      <c r="B6" s="45" t="s">
        <v>28</v>
      </c>
      <c r="C6" s="45" t="s">
        <v>30</v>
      </c>
      <c r="D6" s="45" t="s">
        <v>104</v>
      </c>
      <c r="E6" s="45" t="s">
        <v>410</v>
      </c>
      <c r="F6" s="45" t="s">
        <v>352</v>
      </c>
      <c r="G6" s="188" t="s">
        <v>117</v>
      </c>
      <c r="H6" s="45" t="s">
        <v>0</v>
      </c>
      <c r="I6" s="175" t="s">
        <v>1</v>
      </c>
      <c r="J6" s="341" t="s">
        <v>479</v>
      </c>
      <c r="K6" s="45" t="s">
        <v>39</v>
      </c>
      <c r="L6" s="514"/>
      <c r="M6" s="318" t="s">
        <v>713</v>
      </c>
      <c r="N6" s="318" t="s">
        <v>711</v>
      </c>
      <c r="O6" s="318" t="s">
        <v>712</v>
      </c>
      <c r="P6" s="318" t="s">
        <v>716</v>
      </c>
      <c r="Q6" s="317" t="s">
        <v>714</v>
      </c>
      <c r="R6" s="317" t="s">
        <v>715</v>
      </c>
      <c r="S6" s="426"/>
      <c r="T6" s="426"/>
    </row>
    <row r="7" spans="1:20" ht="15.75" customHeight="1">
      <c r="A7" s="8"/>
      <c r="B7" s="7"/>
      <c r="C7" s="146"/>
      <c r="D7" s="8"/>
      <c r="E7" s="8"/>
      <c r="F7" s="147"/>
      <c r="G7" s="5"/>
      <c r="H7" s="5"/>
      <c r="I7" s="28" t="str">
        <f>IF(ISERROR(H7-G7),"",IF(H7=0,"",H7-G7))</f>
        <v/>
      </c>
      <c r="J7" s="339" t="str">
        <f>IF(ISERROR(H7-G7),"",IF(H7=0,"",IF(I7="",0,ROUND(I7*100/G7,2))))</f>
        <v/>
      </c>
      <c r="K7" s="7"/>
    </row>
    <row r="8" spans="1:20" ht="15.75" customHeight="1">
      <c r="A8" s="8"/>
      <c r="B8" s="7"/>
      <c r="C8" s="146"/>
      <c r="D8" s="8"/>
      <c r="E8" s="8"/>
      <c r="F8" s="147"/>
      <c r="G8" s="5"/>
      <c r="H8" s="5"/>
      <c r="I8" s="28" t="str">
        <f t="shared" ref="I8:I26" si="0">IF(ISERROR(H8-G8),"",IF(H8=0,"",H8-G8))</f>
        <v/>
      </c>
      <c r="J8" s="339" t="str">
        <f t="shared" ref="J8:J26" si="1">IF(ISERROR(H8-G8),"",IF(H8=0,"",IF(I8="",0,ROUND(I8*100/G8,2))))</f>
        <v/>
      </c>
      <c r="K8" s="7"/>
    </row>
    <row r="9" spans="1:20" ht="15.75" customHeight="1">
      <c r="A9" s="8"/>
      <c r="B9" s="7"/>
      <c r="C9" s="146"/>
      <c r="D9" s="8"/>
      <c r="E9" s="8"/>
      <c r="F9" s="147"/>
      <c r="G9" s="5"/>
      <c r="H9" s="5"/>
      <c r="I9" s="28" t="str">
        <f t="shared" si="0"/>
        <v/>
      </c>
      <c r="J9" s="339" t="str">
        <f t="shared" si="1"/>
        <v/>
      </c>
      <c r="K9" s="7"/>
    </row>
    <row r="10" spans="1:20" ht="15.75" customHeight="1">
      <c r="A10" s="8"/>
      <c r="B10" s="7"/>
      <c r="C10" s="146"/>
      <c r="D10" s="8"/>
      <c r="E10" s="8"/>
      <c r="F10" s="147"/>
      <c r="G10" s="5"/>
      <c r="H10" s="5"/>
      <c r="I10" s="28" t="str">
        <f t="shared" si="0"/>
        <v/>
      </c>
      <c r="J10" s="339" t="str">
        <f t="shared" si="1"/>
        <v/>
      </c>
      <c r="K10" s="7"/>
    </row>
    <row r="11" spans="1:20" ht="15.75" customHeight="1">
      <c r="A11" s="8"/>
      <c r="B11" s="7"/>
      <c r="C11" s="146"/>
      <c r="D11" s="8"/>
      <c r="E11" s="8"/>
      <c r="F11" s="147"/>
      <c r="G11" s="5"/>
      <c r="H11" s="5"/>
      <c r="I11" s="28" t="str">
        <f t="shared" si="0"/>
        <v/>
      </c>
      <c r="J11" s="339" t="str">
        <f t="shared" si="1"/>
        <v/>
      </c>
      <c r="K11" s="7"/>
    </row>
    <row r="12" spans="1:20" ht="15.75" customHeight="1">
      <c r="A12" s="8"/>
      <c r="B12" s="7"/>
      <c r="C12" s="146"/>
      <c r="D12" s="8"/>
      <c r="E12" s="8"/>
      <c r="F12" s="147"/>
      <c r="G12" s="5"/>
      <c r="H12" s="5"/>
      <c r="I12" s="28" t="str">
        <f t="shared" si="0"/>
        <v/>
      </c>
      <c r="J12" s="339" t="str">
        <f t="shared" si="1"/>
        <v/>
      </c>
      <c r="K12" s="7"/>
    </row>
    <row r="13" spans="1:20" ht="15.75" customHeight="1">
      <c r="A13" s="8"/>
      <c r="B13" s="7"/>
      <c r="C13" s="146"/>
      <c r="D13" s="8"/>
      <c r="E13" s="8"/>
      <c r="F13" s="147"/>
      <c r="G13" s="5"/>
      <c r="H13" s="5"/>
      <c r="I13" s="28" t="str">
        <f t="shared" si="0"/>
        <v/>
      </c>
      <c r="J13" s="339" t="str">
        <f t="shared" si="1"/>
        <v/>
      </c>
      <c r="K13" s="7"/>
    </row>
    <row r="14" spans="1:20" ht="15.75" customHeight="1">
      <c r="A14" s="8"/>
      <c r="B14" s="7"/>
      <c r="C14" s="146"/>
      <c r="D14" s="8"/>
      <c r="E14" s="8"/>
      <c r="F14" s="147"/>
      <c r="G14" s="5"/>
      <c r="H14" s="5"/>
      <c r="I14" s="28" t="str">
        <f t="shared" si="0"/>
        <v/>
      </c>
      <c r="J14" s="339" t="str">
        <f t="shared" si="1"/>
        <v/>
      </c>
      <c r="K14" s="7"/>
    </row>
    <row r="15" spans="1:20" ht="15.75" customHeight="1">
      <c r="A15" s="8"/>
      <c r="B15" s="7"/>
      <c r="C15" s="146"/>
      <c r="D15" s="8"/>
      <c r="E15" s="8"/>
      <c r="F15" s="147"/>
      <c r="G15" s="5"/>
      <c r="H15" s="5"/>
      <c r="I15" s="28" t="str">
        <f t="shared" si="0"/>
        <v/>
      </c>
      <c r="J15" s="339" t="str">
        <f t="shared" si="1"/>
        <v/>
      </c>
      <c r="K15" s="7"/>
    </row>
    <row r="16" spans="1:20" ht="15.75" customHeight="1">
      <c r="A16" s="8"/>
      <c r="B16" s="7"/>
      <c r="C16" s="146"/>
      <c r="D16" s="8"/>
      <c r="E16" s="8"/>
      <c r="F16" s="147"/>
      <c r="G16" s="5"/>
      <c r="H16" s="5"/>
      <c r="I16" s="28" t="str">
        <f t="shared" si="0"/>
        <v/>
      </c>
      <c r="J16" s="339" t="str">
        <f t="shared" si="1"/>
        <v/>
      </c>
      <c r="K16" s="7"/>
    </row>
    <row r="17" spans="1:11" ht="15.75" customHeight="1">
      <c r="A17" s="8"/>
      <c r="B17" s="7"/>
      <c r="C17" s="146"/>
      <c r="D17" s="8"/>
      <c r="E17" s="8"/>
      <c r="F17" s="147"/>
      <c r="G17" s="5"/>
      <c r="H17" s="5"/>
      <c r="I17" s="28" t="str">
        <f t="shared" si="0"/>
        <v/>
      </c>
      <c r="J17" s="339" t="str">
        <f t="shared" si="1"/>
        <v/>
      </c>
      <c r="K17" s="7"/>
    </row>
    <row r="18" spans="1:11" ht="15.75" customHeight="1">
      <c r="A18" s="8"/>
      <c r="B18" s="7"/>
      <c r="C18" s="146"/>
      <c r="D18" s="8"/>
      <c r="E18" s="8"/>
      <c r="F18" s="147"/>
      <c r="G18" s="5"/>
      <c r="H18" s="5"/>
      <c r="I18" s="28" t="str">
        <f t="shared" si="0"/>
        <v/>
      </c>
      <c r="J18" s="339" t="str">
        <f t="shared" si="1"/>
        <v/>
      </c>
      <c r="K18" s="7"/>
    </row>
    <row r="19" spans="1:11" ht="15.75" customHeight="1">
      <c r="A19" s="8"/>
      <c r="B19" s="7"/>
      <c r="C19" s="146"/>
      <c r="D19" s="8"/>
      <c r="E19" s="8"/>
      <c r="F19" s="147"/>
      <c r="G19" s="5"/>
      <c r="H19" s="5"/>
      <c r="I19" s="28" t="str">
        <f t="shared" si="0"/>
        <v/>
      </c>
      <c r="J19" s="339" t="str">
        <f t="shared" si="1"/>
        <v/>
      </c>
      <c r="K19" s="7"/>
    </row>
    <row r="20" spans="1:11" ht="15.75" customHeight="1">
      <c r="A20" s="8"/>
      <c r="B20" s="7"/>
      <c r="C20" s="146"/>
      <c r="D20" s="8"/>
      <c r="E20" s="8"/>
      <c r="F20" s="147"/>
      <c r="G20" s="5"/>
      <c r="H20" s="5"/>
      <c r="I20" s="28" t="str">
        <f t="shared" si="0"/>
        <v/>
      </c>
      <c r="J20" s="339" t="str">
        <f t="shared" si="1"/>
        <v/>
      </c>
      <c r="K20" s="7"/>
    </row>
    <row r="21" spans="1:11" ht="15.75" customHeight="1">
      <c r="A21" s="8"/>
      <c r="B21" s="7"/>
      <c r="C21" s="146"/>
      <c r="D21" s="8"/>
      <c r="E21" s="8"/>
      <c r="F21" s="147"/>
      <c r="G21" s="5"/>
      <c r="H21" s="5"/>
      <c r="I21" s="28" t="str">
        <f t="shared" si="0"/>
        <v/>
      </c>
      <c r="J21" s="339" t="str">
        <f t="shared" si="1"/>
        <v/>
      </c>
      <c r="K21" s="7"/>
    </row>
    <row r="22" spans="1:11" ht="15.75" customHeight="1">
      <c r="A22" s="8"/>
      <c r="B22" s="7"/>
      <c r="C22" s="146"/>
      <c r="D22" s="8"/>
      <c r="E22" s="8"/>
      <c r="F22" s="147"/>
      <c r="G22" s="5"/>
      <c r="H22" s="5"/>
      <c r="I22" s="28" t="str">
        <f t="shared" si="0"/>
        <v/>
      </c>
      <c r="J22" s="339" t="str">
        <f t="shared" si="1"/>
        <v/>
      </c>
      <c r="K22" s="7"/>
    </row>
    <row r="23" spans="1:11" ht="15.75" customHeight="1">
      <c r="A23" s="8"/>
      <c r="B23" s="7"/>
      <c r="C23" s="146"/>
      <c r="D23" s="8"/>
      <c r="E23" s="8"/>
      <c r="F23" s="147"/>
      <c r="G23" s="5"/>
      <c r="H23" s="5"/>
      <c r="I23" s="28" t="str">
        <f t="shared" si="0"/>
        <v/>
      </c>
      <c r="J23" s="339" t="str">
        <f t="shared" si="1"/>
        <v/>
      </c>
      <c r="K23" s="7"/>
    </row>
    <row r="24" spans="1:11" ht="15.75" customHeight="1">
      <c r="A24" s="420" t="s">
        <v>534</v>
      </c>
      <c r="B24" s="421"/>
      <c r="C24" s="237"/>
      <c r="D24" s="232"/>
      <c r="E24" s="232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28" t="str">
        <f t="shared" ca="1" si="0"/>
        <v/>
      </c>
      <c r="J24" s="339" t="str">
        <f t="shared" ca="1" si="1"/>
        <v/>
      </c>
      <c r="K24" s="234"/>
    </row>
    <row r="25" spans="1:11" ht="15.75" customHeight="1">
      <c r="A25" s="379" t="s">
        <v>205</v>
      </c>
      <c r="B25" s="508"/>
      <c r="C25" s="237"/>
      <c r="D25" s="232"/>
      <c r="E25" s="232"/>
      <c r="F25" s="242"/>
      <c r="G25" s="31"/>
      <c r="H25" s="31"/>
      <c r="I25" s="28"/>
      <c r="J25" s="339"/>
      <c r="K25" s="234"/>
    </row>
    <row r="26" spans="1:11" ht="15.75" customHeight="1">
      <c r="A26" s="420" t="s">
        <v>534</v>
      </c>
      <c r="B26" s="421"/>
      <c r="C26" s="237"/>
      <c r="D26" s="232"/>
      <c r="E26" s="232"/>
      <c r="F26" s="31" t="str">
        <f ca="1">IF(F25="",F24,F24-F25)</f>
        <v/>
      </c>
      <c r="G26" s="31" t="str">
        <f ca="1">IF(G25="",G24,G24-G25)</f>
        <v/>
      </c>
      <c r="H26" s="31" t="str">
        <f ca="1">IF(H25="",H24,H24-H25)</f>
        <v/>
      </c>
      <c r="I26" s="28" t="str">
        <f t="shared" ca="1" si="0"/>
        <v/>
      </c>
      <c r="J26" s="339" t="str">
        <f t="shared" ca="1" si="1"/>
        <v/>
      </c>
      <c r="K26" s="234"/>
    </row>
    <row r="27" spans="1:11" ht="15.75" hidden="1" customHeight="1">
      <c r="A27" s="8"/>
      <c r="B27" s="7"/>
      <c r="C27" s="146"/>
      <c r="D27" s="8"/>
      <c r="E27" s="8"/>
      <c r="F27" s="147"/>
      <c r="G27" s="5"/>
      <c r="H27" s="5"/>
      <c r="I27" s="28" t="str">
        <f>IF(ISERROR(H27-G27),"",IF(H27=0,"",H27-G27))</f>
        <v/>
      </c>
      <c r="J27" s="339" t="str">
        <f>IF(ISERROR(H27-G27),"",IF(H27=0,"",IF(I27="",0,ROUND(I27*100/G27,2))))</f>
        <v/>
      </c>
      <c r="K27" s="7"/>
    </row>
    <row r="28" spans="1:11" ht="15.75" hidden="1" customHeight="1">
      <c r="A28" s="8"/>
      <c r="B28" s="7"/>
      <c r="C28" s="146"/>
      <c r="D28" s="8"/>
      <c r="E28" s="8"/>
      <c r="F28" s="147"/>
      <c r="G28" s="5"/>
      <c r="H28" s="5"/>
      <c r="I28" s="28" t="str">
        <f t="shared" ref="I28:I46" si="2">IF(ISERROR(H28-G28),"",IF(H28=0,"",H28-G28))</f>
        <v/>
      </c>
      <c r="J28" s="339" t="str">
        <f t="shared" ref="J28:J46" si="3">IF(ISERROR(H28-G28),"",IF(H28=0,"",IF(I28="",0,ROUND(I28*100/G28,2))))</f>
        <v/>
      </c>
      <c r="K28" s="7"/>
    </row>
    <row r="29" spans="1:11" ht="15.75" hidden="1" customHeight="1">
      <c r="A29" s="8"/>
      <c r="B29" s="7"/>
      <c r="C29" s="146"/>
      <c r="D29" s="8"/>
      <c r="E29" s="8"/>
      <c r="F29" s="147"/>
      <c r="G29" s="5"/>
      <c r="H29" s="5"/>
      <c r="I29" s="28" t="str">
        <f t="shared" si="2"/>
        <v/>
      </c>
      <c r="J29" s="339" t="str">
        <f t="shared" si="3"/>
        <v/>
      </c>
      <c r="K29" s="7"/>
    </row>
    <row r="30" spans="1:11" ht="15.75" hidden="1" customHeight="1">
      <c r="A30" s="8"/>
      <c r="B30" s="7"/>
      <c r="C30" s="146"/>
      <c r="D30" s="8"/>
      <c r="E30" s="8"/>
      <c r="F30" s="147"/>
      <c r="G30" s="5"/>
      <c r="H30" s="5"/>
      <c r="I30" s="28" t="str">
        <f t="shared" si="2"/>
        <v/>
      </c>
      <c r="J30" s="339" t="str">
        <f t="shared" si="3"/>
        <v/>
      </c>
      <c r="K30" s="7"/>
    </row>
    <row r="31" spans="1:11" ht="15.75" hidden="1" customHeight="1">
      <c r="A31" s="8"/>
      <c r="B31" s="7"/>
      <c r="C31" s="146"/>
      <c r="D31" s="8"/>
      <c r="E31" s="8"/>
      <c r="F31" s="147"/>
      <c r="G31" s="5"/>
      <c r="H31" s="5"/>
      <c r="I31" s="28" t="str">
        <f t="shared" si="2"/>
        <v/>
      </c>
      <c r="J31" s="339" t="str">
        <f t="shared" si="3"/>
        <v/>
      </c>
      <c r="K31" s="7"/>
    </row>
    <row r="32" spans="1:11" ht="15.75" hidden="1" customHeight="1">
      <c r="A32" s="8"/>
      <c r="B32" s="7"/>
      <c r="C32" s="146"/>
      <c r="D32" s="8"/>
      <c r="E32" s="8"/>
      <c r="F32" s="147"/>
      <c r="G32" s="5"/>
      <c r="H32" s="5"/>
      <c r="I32" s="2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146"/>
      <c r="D33" s="8"/>
      <c r="E33" s="8"/>
      <c r="F33" s="147"/>
      <c r="G33" s="5"/>
      <c r="H33" s="5"/>
      <c r="I33" s="2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146"/>
      <c r="D34" s="8"/>
      <c r="E34" s="8"/>
      <c r="F34" s="147"/>
      <c r="G34" s="5"/>
      <c r="H34" s="5"/>
      <c r="I34" s="2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146"/>
      <c r="D35" s="8"/>
      <c r="E35" s="8"/>
      <c r="F35" s="147"/>
      <c r="G35" s="5"/>
      <c r="H35" s="5"/>
      <c r="I35" s="2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146"/>
      <c r="D36" s="8"/>
      <c r="E36" s="8"/>
      <c r="F36" s="147"/>
      <c r="G36" s="5"/>
      <c r="H36" s="5"/>
      <c r="I36" s="2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146"/>
      <c r="D37" s="8"/>
      <c r="E37" s="8"/>
      <c r="F37" s="147"/>
      <c r="G37" s="5"/>
      <c r="H37" s="5"/>
      <c r="I37" s="2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146"/>
      <c r="D38" s="8"/>
      <c r="E38" s="8"/>
      <c r="F38" s="147"/>
      <c r="G38" s="5"/>
      <c r="H38" s="5"/>
      <c r="I38" s="2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146"/>
      <c r="D39" s="8"/>
      <c r="E39" s="8"/>
      <c r="F39" s="147"/>
      <c r="G39" s="5"/>
      <c r="H39" s="5"/>
      <c r="I39" s="2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146"/>
      <c r="D40" s="8"/>
      <c r="E40" s="8"/>
      <c r="F40" s="147"/>
      <c r="G40" s="5"/>
      <c r="H40" s="5"/>
      <c r="I40" s="2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146"/>
      <c r="D41" s="8"/>
      <c r="E41" s="8"/>
      <c r="F41" s="147"/>
      <c r="G41" s="5"/>
      <c r="H41" s="5"/>
      <c r="I41" s="2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146"/>
      <c r="D42" s="8"/>
      <c r="E42" s="8"/>
      <c r="F42" s="147"/>
      <c r="G42" s="5"/>
      <c r="H42" s="5"/>
      <c r="I42" s="2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146"/>
      <c r="D43" s="8"/>
      <c r="E43" s="8"/>
      <c r="F43" s="147"/>
      <c r="G43" s="5"/>
      <c r="H43" s="5"/>
      <c r="I43" s="2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146"/>
      <c r="D44" s="8"/>
      <c r="E44" s="8"/>
      <c r="F44" s="147"/>
      <c r="G44" s="5"/>
      <c r="H44" s="5"/>
      <c r="I44" s="2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146"/>
      <c r="D45" s="8"/>
      <c r="E45" s="8"/>
      <c r="F45" s="147"/>
      <c r="G45" s="5"/>
      <c r="H45" s="5"/>
      <c r="I45" s="2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146"/>
      <c r="D46" s="8"/>
      <c r="E46" s="8"/>
      <c r="F46" s="147"/>
      <c r="G46" s="5"/>
      <c r="H46" s="5"/>
      <c r="I46" s="28" t="str">
        <f t="shared" si="2"/>
        <v/>
      </c>
      <c r="J46" s="339" t="str">
        <f t="shared" si="3"/>
        <v/>
      </c>
      <c r="K46" s="7"/>
    </row>
  </sheetData>
  <mergeCells count="9">
    <mergeCell ref="A26:B26"/>
    <mergeCell ref="A24:B24"/>
    <mergeCell ref="A25:B25"/>
    <mergeCell ref="L5:L6"/>
    <mergeCell ref="M5:R5"/>
    <mergeCell ref="S5:S6"/>
    <mergeCell ref="T5:T6"/>
    <mergeCell ref="A1:K1"/>
    <mergeCell ref="A2:K2"/>
  </mergeCells>
  <phoneticPr fontId="6" type="noConversion"/>
  <printOptions horizontalCentered="1" verticalCentered="1"/>
  <pageMargins left="0.98425196850393704" right="0.59055118110236227" top="0.5" bottom="0.9055118110236221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&amp;R&amp;"宋体,常规"&amp;10表4-4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1016000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1282700</xdr:colOff>
                    <xdr:row>2</xdr:row>
                    <xdr:rowOff>0</xdr:rowOff>
                  </from>
                  <to>
                    <xdr:col>3</xdr:col>
                    <xdr:colOff>254000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325DE-8FFA-4260-96BB-EB89644B8BA3}">
  <sheetPr codeName="Sheet94">
    <pageSetUpPr fitToPage="1"/>
  </sheetPr>
  <dimension ref="A1:N46"/>
  <sheetViews>
    <sheetView workbookViewId="0">
      <pane ySplit="6" topLeftCell="A7" activePane="bottomLeft" state="frozen"/>
      <selection activeCell="F17" sqref="F17"/>
      <selection pane="bottomLeft" activeCell="O17" sqref="O17"/>
    </sheetView>
  </sheetViews>
  <sheetFormatPr baseColWidth="10" defaultColWidth="9" defaultRowHeight="15.75" customHeight="1"/>
  <cols>
    <col min="1" max="1" width="4.5" style="81" customWidth="1"/>
    <col min="2" max="2" width="18" style="81" customWidth="1"/>
    <col min="3" max="3" width="8.5" style="81" customWidth="1"/>
    <col min="4" max="4" width="8" style="81" customWidth="1"/>
    <col min="5" max="5" width="9" style="81"/>
    <col min="6" max="6" width="11.6640625" style="81" customWidth="1"/>
    <col min="7" max="7" width="9.5" style="81" customWidth="1"/>
    <col min="8" max="9" width="11.5" style="81" customWidth="1"/>
    <col min="10" max="10" width="9.5" style="135" customWidth="1"/>
    <col min="11" max="11" width="10.5" style="340" customWidth="1"/>
    <col min="12" max="12" width="8" style="81" customWidth="1"/>
    <col min="13" max="13" width="16.5" style="81" customWidth="1"/>
    <col min="14" max="16384" width="9" style="81"/>
  </cols>
  <sheetData>
    <row r="1" spans="1:14" s="80" customFormat="1" ht="30" customHeight="1">
      <c r="A1" s="374" t="s">
        <v>1000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</row>
    <row r="2" spans="1:1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8"/>
      <c r="J2" s="378"/>
      <c r="K2" s="378"/>
      <c r="L2" s="378"/>
      <c r="M2" s="137"/>
    </row>
    <row r="3" spans="1:14" ht="14.25" customHeight="1">
      <c r="A3" s="40"/>
      <c r="B3" s="40"/>
      <c r="C3" s="40"/>
      <c r="D3" s="40"/>
      <c r="E3" s="40"/>
      <c r="F3" s="40"/>
      <c r="G3" s="40"/>
      <c r="H3" s="40"/>
      <c r="I3" s="171"/>
      <c r="J3" s="172"/>
      <c r="K3" s="218"/>
      <c r="L3" s="177"/>
      <c r="M3" s="137"/>
    </row>
    <row r="4" spans="1:14" ht="14.25" customHeight="1">
      <c r="A4" s="40"/>
      <c r="B4" s="40"/>
      <c r="C4" s="40"/>
      <c r="D4" s="40"/>
      <c r="E4" s="40"/>
      <c r="F4" s="40"/>
      <c r="G4" s="40"/>
      <c r="H4" s="40"/>
      <c r="I4" s="171"/>
      <c r="J4" s="172"/>
      <c r="K4" s="337"/>
      <c r="L4" s="37"/>
      <c r="M4" s="137"/>
    </row>
    <row r="5" spans="1:14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167"/>
      <c r="K5" s="342"/>
      <c r="L5" s="168"/>
    </row>
    <row r="6" spans="1:14" s="101" customFormat="1" ht="15.75" customHeight="1">
      <c r="A6" s="45" t="s">
        <v>7</v>
      </c>
      <c r="B6" s="45" t="s">
        <v>28</v>
      </c>
      <c r="C6" s="45" t="s">
        <v>203</v>
      </c>
      <c r="D6" s="45" t="s">
        <v>30</v>
      </c>
      <c r="E6" s="45" t="s">
        <v>54</v>
      </c>
      <c r="F6" s="174" t="s">
        <v>483</v>
      </c>
      <c r="G6" s="45" t="s">
        <v>351</v>
      </c>
      <c r="H6" s="188" t="s">
        <v>117</v>
      </c>
      <c r="I6" s="45" t="s">
        <v>0</v>
      </c>
      <c r="J6" s="175" t="s">
        <v>1</v>
      </c>
      <c r="K6" s="341" t="s">
        <v>479</v>
      </c>
      <c r="L6" s="45" t="s">
        <v>39</v>
      </c>
      <c r="M6" s="278" t="s">
        <v>598</v>
      </c>
      <c r="N6" s="273" t="s">
        <v>599</v>
      </c>
    </row>
    <row r="7" spans="1:14" ht="15.75" customHeight="1">
      <c r="A7" s="8"/>
      <c r="B7" s="7"/>
      <c r="C7" s="8"/>
      <c r="D7" s="146"/>
      <c r="E7" s="146"/>
      <c r="F7" s="8"/>
      <c r="G7" s="147"/>
      <c r="H7" s="5"/>
      <c r="I7" s="5"/>
      <c r="J7" s="28" t="str">
        <f>IF(ISERROR(I7-H7),"",IF(I7=0,"",I7-H7))</f>
        <v/>
      </c>
      <c r="K7" s="339" t="str">
        <f>IF(ISERROR(I7-H7),"",IF(I7=0,"",IF(E6="",0,ROUND(J7*100/H7,2))))</f>
        <v/>
      </c>
      <c r="L7" s="7"/>
    </row>
    <row r="8" spans="1:14" ht="15.75" customHeight="1">
      <c r="A8" s="8"/>
      <c r="B8" s="7"/>
      <c r="C8" s="8"/>
      <c r="D8" s="146"/>
      <c r="E8" s="146"/>
      <c r="F8" s="8"/>
      <c r="G8" s="147"/>
      <c r="H8" s="5"/>
      <c r="I8" s="5"/>
      <c r="J8" s="28" t="str">
        <f t="shared" ref="J8:J26" si="0">IF(ISERROR(I8-H8),"",IF(I8=0,"",I8-H8))</f>
        <v/>
      </c>
      <c r="K8" s="339" t="str">
        <f t="shared" ref="K8:K26" si="1">IF(ISERROR(I8-H8),"",IF(I8=0,"",IF(E7="",0,ROUND(J8*100/H8,2))))</f>
        <v/>
      </c>
      <c r="L8" s="7"/>
    </row>
    <row r="9" spans="1:14" ht="15.75" customHeight="1">
      <c r="A9" s="8"/>
      <c r="B9" s="7"/>
      <c r="C9" s="8"/>
      <c r="D9" s="146"/>
      <c r="E9" s="146"/>
      <c r="F9" s="8"/>
      <c r="G9" s="147"/>
      <c r="H9" s="5"/>
      <c r="I9" s="5"/>
      <c r="J9" s="28" t="str">
        <f t="shared" si="0"/>
        <v/>
      </c>
      <c r="K9" s="339" t="str">
        <f t="shared" si="1"/>
        <v/>
      </c>
      <c r="L9" s="7"/>
    </row>
    <row r="10" spans="1:14" ht="15.75" customHeight="1">
      <c r="A10" s="8"/>
      <c r="B10" s="7"/>
      <c r="C10" s="8"/>
      <c r="D10" s="146"/>
      <c r="E10" s="146"/>
      <c r="F10" s="8"/>
      <c r="G10" s="147"/>
      <c r="H10" s="5"/>
      <c r="I10" s="5"/>
      <c r="J10" s="28" t="str">
        <f t="shared" si="0"/>
        <v/>
      </c>
      <c r="K10" s="339" t="str">
        <f t="shared" si="1"/>
        <v/>
      </c>
      <c r="L10" s="7"/>
    </row>
    <row r="11" spans="1:14" ht="15.75" customHeight="1">
      <c r="A11" s="8"/>
      <c r="B11" s="7"/>
      <c r="C11" s="8"/>
      <c r="D11" s="146"/>
      <c r="E11" s="146"/>
      <c r="F11" s="8"/>
      <c r="G11" s="147"/>
      <c r="H11" s="5"/>
      <c r="I11" s="5"/>
      <c r="J11" s="28" t="str">
        <f t="shared" si="0"/>
        <v/>
      </c>
      <c r="K11" s="339" t="str">
        <f t="shared" si="1"/>
        <v/>
      </c>
      <c r="L11" s="7"/>
    </row>
    <row r="12" spans="1:14" ht="15.75" customHeight="1">
      <c r="A12" s="8"/>
      <c r="B12" s="7"/>
      <c r="C12" s="8"/>
      <c r="D12" s="146"/>
      <c r="E12" s="146"/>
      <c r="F12" s="8"/>
      <c r="G12" s="147"/>
      <c r="H12" s="5"/>
      <c r="I12" s="5"/>
      <c r="J12" s="28" t="str">
        <f t="shared" si="0"/>
        <v/>
      </c>
      <c r="K12" s="339" t="str">
        <f t="shared" si="1"/>
        <v/>
      </c>
      <c r="L12" s="7"/>
    </row>
    <row r="13" spans="1:14" ht="15.75" customHeight="1">
      <c r="A13" s="8"/>
      <c r="B13" s="7"/>
      <c r="C13" s="8"/>
      <c r="D13" s="146"/>
      <c r="E13" s="146"/>
      <c r="F13" s="8"/>
      <c r="G13" s="147"/>
      <c r="H13" s="5"/>
      <c r="I13" s="5"/>
      <c r="J13" s="28" t="str">
        <f t="shared" si="0"/>
        <v/>
      </c>
      <c r="K13" s="339" t="str">
        <f t="shared" si="1"/>
        <v/>
      </c>
      <c r="L13" s="7"/>
    </row>
    <row r="14" spans="1:14" ht="15.75" customHeight="1">
      <c r="A14" s="8"/>
      <c r="B14" s="7"/>
      <c r="C14" s="8"/>
      <c r="D14" s="146"/>
      <c r="E14" s="146"/>
      <c r="F14" s="8"/>
      <c r="G14" s="147"/>
      <c r="H14" s="5"/>
      <c r="I14" s="5"/>
      <c r="J14" s="28" t="str">
        <f t="shared" si="0"/>
        <v/>
      </c>
      <c r="K14" s="339" t="str">
        <f t="shared" si="1"/>
        <v/>
      </c>
      <c r="L14" s="7"/>
    </row>
    <row r="15" spans="1:14" ht="15.75" customHeight="1">
      <c r="A15" s="8"/>
      <c r="B15" s="7"/>
      <c r="C15" s="8"/>
      <c r="D15" s="146"/>
      <c r="E15" s="146"/>
      <c r="F15" s="8"/>
      <c r="G15" s="147"/>
      <c r="H15" s="5"/>
      <c r="I15" s="5"/>
      <c r="J15" s="28" t="str">
        <f t="shared" si="0"/>
        <v/>
      </c>
      <c r="K15" s="339" t="str">
        <f t="shared" si="1"/>
        <v/>
      </c>
      <c r="L15" s="7"/>
    </row>
    <row r="16" spans="1:14" ht="15.75" customHeight="1">
      <c r="A16" s="8"/>
      <c r="B16" s="7"/>
      <c r="C16" s="8"/>
      <c r="D16" s="146"/>
      <c r="E16" s="146"/>
      <c r="F16" s="8"/>
      <c r="G16" s="147"/>
      <c r="H16" s="5"/>
      <c r="I16" s="5"/>
      <c r="J16" s="28" t="str">
        <f t="shared" si="0"/>
        <v/>
      </c>
      <c r="K16" s="339" t="str">
        <f t="shared" si="1"/>
        <v/>
      </c>
      <c r="L16" s="7"/>
    </row>
    <row r="17" spans="1:12" ht="15.75" customHeight="1">
      <c r="A17" s="8"/>
      <c r="B17" s="7"/>
      <c r="C17" s="8"/>
      <c r="D17" s="146"/>
      <c r="E17" s="146"/>
      <c r="F17" s="8"/>
      <c r="G17" s="147"/>
      <c r="H17" s="5"/>
      <c r="I17" s="5"/>
      <c r="J17" s="28" t="str">
        <f t="shared" si="0"/>
        <v/>
      </c>
      <c r="K17" s="339" t="str">
        <f t="shared" si="1"/>
        <v/>
      </c>
      <c r="L17" s="7"/>
    </row>
    <row r="18" spans="1:12" ht="15.75" customHeight="1">
      <c r="A18" s="8"/>
      <c r="B18" s="7"/>
      <c r="C18" s="8"/>
      <c r="D18" s="146"/>
      <c r="E18" s="146"/>
      <c r="F18" s="8"/>
      <c r="G18" s="147"/>
      <c r="H18" s="5"/>
      <c r="I18" s="5"/>
      <c r="J18" s="28" t="str">
        <f t="shared" si="0"/>
        <v/>
      </c>
      <c r="K18" s="339" t="str">
        <f t="shared" si="1"/>
        <v/>
      </c>
      <c r="L18" s="7"/>
    </row>
    <row r="19" spans="1:12" ht="15.75" customHeight="1">
      <c r="A19" s="8"/>
      <c r="B19" s="7"/>
      <c r="C19" s="8"/>
      <c r="D19" s="146"/>
      <c r="E19" s="146"/>
      <c r="F19" s="8"/>
      <c r="G19" s="147"/>
      <c r="H19" s="5"/>
      <c r="I19" s="5"/>
      <c r="J19" s="28" t="str">
        <f t="shared" si="0"/>
        <v/>
      </c>
      <c r="K19" s="339" t="str">
        <f t="shared" si="1"/>
        <v/>
      </c>
      <c r="L19" s="7"/>
    </row>
    <row r="20" spans="1:12" ht="15.75" customHeight="1">
      <c r="A20" s="8"/>
      <c r="B20" s="7"/>
      <c r="C20" s="8"/>
      <c r="D20" s="146"/>
      <c r="E20" s="146"/>
      <c r="F20" s="8"/>
      <c r="G20" s="147"/>
      <c r="H20" s="5"/>
      <c r="I20" s="5"/>
      <c r="J20" s="28" t="str">
        <f t="shared" si="0"/>
        <v/>
      </c>
      <c r="K20" s="339" t="str">
        <f t="shared" si="1"/>
        <v/>
      </c>
      <c r="L20" s="7"/>
    </row>
    <row r="21" spans="1:12" ht="15.75" customHeight="1">
      <c r="A21" s="8"/>
      <c r="B21" s="7"/>
      <c r="C21" s="8"/>
      <c r="D21" s="146"/>
      <c r="E21" s="146"/>
      <c r="F21" s="8"/>
      <c r="G21" s="147"/>
      <c r="H21" s="5"/>
      <c r="I21" s="5"/>
      <c r="J21" s="28" t="str">
        <f t="shared" si="0"/>
        <v/>
      </c>
      <c r="K21" s="339" t="str">
        <f t="shared" si="1"/>
        <v/>
      </c>
      <c r="L21" s="7"/>
    </row>
    <row r="22" spans="1:12" ht="15.75" customHeight="1">
      <c r="A22" s="8"/>
      <c r="B22" s="7"/>
      <c r="C22" s="8"/>
      <c r="D22" s="146"/>
      <c r="E22" s="146"/>
      <c r="F22" s="8"/>
      <c r="G22" s="147"/>
      <c r="H22" s="5"/>
      <c r="I22" s="5"/>
      <c r="J22" s="28" t="str">
        <f t="shared" si="0"/>
        <v/>
      </c>
      <c r="K22" s="339" t="str">
        <f t="shared" si="1"/>
        <v/>
      </c>
      <c r="L22" s="7"/>
    </row>
    <row r="23" spans="1:12" ht="15.75" customHeight="1">
      <c r="A23" s="8"/>
      <c r="B23" s="7"/>
      <c r="C23" s="8"/>
      <c r="D23" s="146"/>
      <c r="E23" s="146"/>
      <c r="F23" s="8"/>
      <c r="G23" s="147"/>
      <c r="H23" s="5"/>
      <c r="I23" s="5"/>
      <c r="J23" s="28" t="str">
        <f t="shared" si="0"/>
        <v/>
      </c>
      <c r="K23" s="339" t="str">
        <f t="shared" si="1"/>
        <v/>
      </c>
      <c r="L23" s="7"/>
    </row>
    <row r="24" spans="1:12" ht="15.75" customHeight="1">
      <c r="A24" s="420" t="s">
        <v>534</v>
      </c>
      <c r="B24" s="421"/>
      <c r="C24" s="237"/>
      <c r="D24" s="232"/>
      <c r="E24" s="232"/>
      <c r="F24" s="237"/>
      <c r="G24" s="31" t="str">
        <f>IF(SUM(G7:G23)=0,"",SUM(G7:G23))</f>
        <v/>
      </c>
      <c r="H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28" t="str">
        <f t="shared" ca="1" si="0"/>
        <v/>
      </c>
      <c r="K24" s="339" t="str">
        <f t="shared" ca="1" si="1"/>
        <v/>
      </c>
      <c r="L24" s="234"/>
    </row>
    <row r="25" spans="1:12" ht="15.75" customHeight="1">
      <c r="A25" s="515" t="s">
        <v>797</v>
      </c>
      <c r="B25" s="508"/>
      <c r="C25" s="237"/>
      <c r="D25" s="232"/>
      <c r="E25" s="232"/>
      <c r="F25" s="237"/>
      <c r="G25" s="242"/>
      <c r="H25" s="31"/>
      <c r="I25" s="31"/>
      <c r="J25" s="28"/>
      <c r="K25" s="339"/>
      <c r="L25" s="234"/>
    </row>
    <row r="26" spans="1:12" ht="15.75" customHeight="1">
      <c r="A26" s="420" t="s">
        <v>534</v>
      </c>
      <c r="B26" s="421"/>
      <c r="C26" s="237"/>
      <c r="D26" s="232"/>
      <c r="E26" s="232"/>
      <c r="F26" s="237"/>
      <c r="G26" s="31" t="str">
        <f>IF(G25="",G24,G24-G25)</f>
        <v/>
      </c>
      <c r="H26" s="31" t="str">
        <f ca="1">IF(H25="",H24,H24-H25)</f>
        <v/>
      </c>
      <c r="I26" s="31" t="str">
        <f ca="1">IF(I25="",I24,I24-I25)</f>
        <v/>
      </c>
      <c r="J26" s="28" t="str">
        <f t="shared" ca="1" si="0"/>
        <v/>
      </c>
      <c r="K26" s="339" t="str">
        <f t="shared" ca="1" si="1"/>
        <v/>
      </c>
      <c r="L26" s="234"/>
    </row>
    <row r="27" spans="1:12" ht="15.75" hidden="1" customHeight="1">
      <c r="A27" s="8"/>
      <c r="B27" s="7"/>
      <c r="C27" s="8"/>
      <c r="D27" s="146"/>
      <c r="E27" s="146"/>
      <c r="F27" s="8"/>
      <c r="G27" s="147"/>
      <c r="H27" s="5"/>
      <c r="I27" s="5"/>
      <c r="J27" s="28" t="str">
        <f>IF(ISERROR(I27-H27),"",IF(I27=0,"",I27-H27))</f>
        <v/>
      </c>
      <c r="K27" s="339" t="str">
        <f>IF(ISERROR(I27-H27),"",IF(I27=0,"",IF(E26="",0,ROUND(J27*100/H27,2))))</f>
        <v/>
      </c>
      <c r="L27" s="7"/>
    </row>
    <row r="28" spans="1:12" ht="15.75" hidden="1" customHeight="1">
      <c r="A28" s="8"/>
      <c r="B28" s="7"/>
      <c r="C28" s="8"/>
      <c r="D28" s="146"/>
      <c r="E28" s="146"/>
      <c r="F28" s="8"/>
      <c r="G28" s="147"/>
      <c r="H28" s="5"/>
      <c r="I28" s="5"/>
      <c r="J28" s="28" t="str">
        <f t="shared" ref="J28:J46" si="2">IF(ISERROR(I28-H28),"",IF(I28=0,"",I28-H28))</f>
        <v/>
      </c>
      <c r="K28" s="339" t="str">
        <f t="shared" ref="K28:K46" si="3">IF(ISERROR(I28-H28),"",IF(I28=0,"",IF(E27="",0,ROUND(J28*100/H28,2))))</f>
        <v/>
      </c>
      <c r="L28" s="7"/>
    </row>
    <row r="29" spans="1:12" ht="15.75" hidden="1" customHeight="1">
      <c r="A29" s="8"/>
      <c r="B29" s="7"/>
      <c r="C29" s="8"/>
      <c r="D29" s="146"/>
      <c r="E29" s="146"/>
      <c r="F29" s="8"/>
      <c r="G29" s="147"/>
      <c r="H29" s="5"/>
      <c r="I29" s="5"/>
      <c r="J29" s="28" t="str">
        <f t="shared" si="2"/>
        <v/>
      </c>
      <c r="K29" s="339" t="str">
        <f t="shared" si="3"/>
        <v/>
      </c>
      <c r="L29" s="7"/>
    </row>
    <row r="30" spans="1:12" ht="15.75" hidden="1" customHeight="1">
      <c r="A30" s="8"/>
      <c r="B30" s="7"/>
      <c r="C30" s="8"/>
      <c r="D30" s="146"/>
      <c r="E30" s="146"/>
      <c r="F30" s="8"/>
      <c r="G30" s="147"/>
      <c r="H30" s="5"/>
      <c r="I30" s="5"/>
      <c r="J30" s="28" t="str">
        <f t="shared" si="2"/>
        <v/>
      </c>
      <c r="K30" s="339" t="str">
        <f t="shared" si="3"/>
        <v/>
      </c>
      <c r="L30" s="7"/>
    </row>
    <row r="31" spans="1:12" ht="15.75" hidden="1" customHeight="1">
      <c r="A31" s="8"/>
      <c r="B31" s="7"/>
      <c r="C31" s="8"/>
      <c r="D31" s="146"/>
      <c r="E31" s="146"/>
      <c r="F31" s="8"/>
      <c r="G31" s="147"/>
      <c r="H31" s="5"/>
      <c r="I31" s="5"/>
      <c r="J31" s="28" t="str">
        <f t="shared" si="2"/>
        <v/>
      </c>
      <c r="K31" s="339" t="str">
        <f t="shared" si="3"/>
        <v/>
      </c>
      <c r="L31" s="7"/>
    </row>
    <row r="32" spans="1:12" ht="15.75" hidden="1" customHeight="1">
      <c r="A32" s="8"/>
      <c r="B32" s="7"/>
      <c r="C32" s="8"/>
      <c r="D32" s="146"/>
      <c r="E32" s="146"/>
      <c r="F32" s="8"/>
      <c r="G32" s="147"/>
      <c r="H32" s="5"/>
      <c r="I32" s="5"/>
      <c r="J32" s="28" t="str">
        <f t="shared" si="2"/>
        <v/>
      </c>
      <c r="K32" s="339" t="str">
        <f t="shared" si="3"/>
        <v/>
      </c>
      <c r="L32" s="7"/>
    </row>
    <row r="33" spans="1:12" ht="15.75" hidden="1" customHeight="1">
      <c r="A33" s="8"/>
      <c r="B33" s="7"/>
      <c r="C33" s="8"/>
      <c r="D33" s="146"/>
      <c r="E33" s="146"/>
      <c r="F33" s="8"/>
      <c r="G33" s="147"/>
      <c r="H33" s="5"/>
      <c r="I33" s="5"/>
      <c r="J33" s="28" t="str">
        <f t="shared" si="2"/>
        <v/>
      </c>
      <c r="K33" s="339" t="str">
        <f t="shared" si="3"/>
        <v/>
      </c>
      <c r="L33" s="7"/>
    </row>
    <row r="34" spans="1:12" ht="15.75" hidden="1" customHeight="1">
      <c r="A34" s="8"/>
      <c r="B34" s="7"/>
      <c r="C34" s="8"/>
      <c r="D34" s="146"/>
      <c r="E34" s="146"/>
      <c r="F34" s="8"/>
      <c r="G34" s="147"/>
      <c r="H34" s="5"/>
      <c r="I34" s="5"/>
      <c r="J34" s="28" t="str">
        <f t="shared" si="2"/>
        <v/>
      </c>
      <c r="K34" s="339" t="str">
        <f t="shared" si="3"/>
        <v/>
      </c>
      <c r="L34" s="7"/>
    </row>
    <row r="35" spans="1:12" ht="15.75" hidden="1" customHeight="1">
      <c r="A35" s="8"/>
      <c r="B35" s="7"/>
      <c r="C35" s="8"/>
      <c r="D35" s="146"/>
      <c r="E35" s="146"/>
      <c r="F35" s="8"/>
      <c r="G35" s="147"/>
      <c r="H35" s="5"/>
      <c r="I35" s="5"/>
      <c r="J35" s="28" t="str">
        <f t="shared" si="2"/>
        <v/>
      </c>
      <c r="K35" s="339" t="str">
        <f t="shared" si="3"/>
        <v/>
      </c>
      <c r="L35" s="7"/>
    </row>
    <row r="36" spans="1:12" ht="15.75" hidden="1" customHeight="1">
      <c r="A36" s="8"/>
      <c r="B36" s="7"/>
      <c r="C36" s="8"/>
      <c r="D36" s="146"/>
      <c r="E36" s="146"/>
      <c r="F36" s="8"/>
      <c r="G36" s="147"/>
      <c r="H36" s="5"/>
      <c r="I36" s="5"/>
      <c r="J36" s="28" t="str">
        <f t="shared" si="2"/>
        <v/>
      </c>
      <c r="K36" s="339" t="str">
        <f t="shared" si="3"/>
        <v/>
      </c>
      <c r="L36" s="7"/>
    </row>
    <row r="37" spans="1:12" ht="15.75" hidden="1" customHeight="1">
      <c r="A37" s="8"/>
      <c r="B37" s="7"/>
      <c r="C37" s="8"/>
      <c r="D37" s="146"/>
      <c r="E37" s="146"/>
      <c r="F37" s="8"/>
      <c r="G37" s="147"/>
      <c r="H37" s="5"/>
      <c r="I37" s="5"/>
      <c r="J37" s="28" t="str">
        <f t="shared" si="2"/>
        <v/>
      </c>
      <c r="K37" s="339" t="str">
        <f t="shared" si="3"/>
        <v/>
      </c>
      <c r="L37" s="7"/>
    </row>
    <row r="38" spans="1:12" ht="15.75" hidden="1" customHeight="1">
      <c r="A38" s="8"/>
      <c r="B38" s="7"/>
      <c r="C38" s="8"/>
      <c r="D38" s="146"/>
      <c r="E38" s="146"/>
      <c r="F38" s="8"/>
      <c r="G38" s="147"/>
      <c r="H38" s="5"/>
      <c r="I38" s="5"/>
      <c r="J38" s="28" t="str">
        <f t="shared" si="2"/>
        <v/>
      </c>
      <c r="K38" s="339" t="str">
        <f t="shared" si="3"/>
        <v/>
      </c>
      <c r="L38" s="7"/>
    </row>
    <row r="39" spans="1:12" ht="15.75" hidden="1" customHeight="1">
      <c r="A39" s="8"/>
      <c r="B39" s="7"/>
      <c r="C39" s="8"/>
      <c r="D39" s="146"/>
      <c r="E39" s="146"/>
      <c r="F39" s="8"/>
      <c r="G39" s="147"/>
      <c r="H39" s="5"/>
      <c r="I39" s="5"/>
      <c r="J39" s="28" t="str">
        <f t="shared" si="2"/>
        <v/>
      </c>
      <c r="K39" s="339" t="str">
        <f t="shared" si="3"/>
        <v/>
      </c>
      <c r="L39" s="7"/>
    </row>
    <row r="40" spans="1:12" ht="15.75" hidden="1" customHeight="1">
      <c r="A40" s="8"/>
      <c r="B40" s="7"/>
      <c r="C40" s="8"/>
      <c r="D40" s="146"/>
      <c r="E40" s="146"/>
      <c r="F40" s="8"/>
      <c r="G40" s="147"/>
      <c r="H40" s="5"/>
      <c r="I40" s="5"/>
      <c r="J40" s="28" t="str">
        <f t="shared" si="2"/>
        <v/>
      </c>
      <c r="K40" s="339" t="str">
        <f t="shared" si="3"/>
        <v/>
      </c>
      <c r="L40" s="7"/>
    </row>
    <row r="41" spans="1:12" ht="15.75" hidden="1" customHeight="1">
      <c r="A41" s="8"/>
      <c r="B41" s="7"/>
      <c r="C41" s="8"/>
      <c r="D41" s="146"/>
      <c r="E41" s="146"/>
      <c r="F41" s="8"/>
      <c r="G41" s="147"/>
      <c r="H41" s="5"/>
      <c r="I41" s="5"/>
      <c r="J41" s="28" t="str">
        <f t="shared" si="2"/>
        <v/>
      </c>
      <c r="K41" s="339" t="str">
        <f t="shared" si="3"/>
        <v/>
      </c>
      <c r="L41" s="7"/>
    </row>
    <row r="42" spans="1:12" ht="15.75" hidden="1" customHeight="1">
      <c r="A42" s="8"/>
      <c r="B42" s="7"/>
      <c r="C42" s="8"/>
      <c r="D42" s="146"/>
      <c r="E42" s="146"/>
      <c r="F42" s="8"/>
      <c r="G42" s="147"/>
      <c r="H42" s="5"/>
      <c r="I42" s="5"/>
      <c r="J42" s="28" t="str">
        <f t="shared" si="2"/>
        <v/>
      </c>
      <c r="K42" s="339" t="str">
        <f t="shared" si="3"/>
        <v/>
      </c>
      <c r="L42" s="7"/>
    </row>
    <row r="43" spans="1:12" ht="15.75" hidden="1" customHeight="1">
      <c r="A43" s="8"/>
      <c r="B43" s="7"/>
      <c r="C43" s="8"/>
      <c r="D43" s="146"/>
      <c r="E43" s="146"/>
      <c r="F43" s="8"/>
      <c r="G43" s="147"/>
      <c r="H43" s="5"/>
      <c r="I43" s="5"/>
      <c r="J43" s="28" t="str">
        <f t="shared" si="2"/>
        <v/>
      </c>
      <c r="K43" s="339" t="str">
        <f t="shared" si="3"/>
        <v/>
      </c>
      <c r="L43" s="7"/>
    </row>
    <row r="44" spans="1:12" ht="15.75" hidden="1" customHeight="1">
      <c r="A44" s="8"/>
      <c r="B44" s="7"/>
      <c r="C44" s="8"/>
      <c r="D44" s="146"/>
      <c r="E44" s="146"/>
      <c r="F44" s="8"/>
      <c r="G44" s="147"/>
      <c r="H44" s="5"/>
      <c r="I44" s="5"/>
      <c r="J44" s="28" t="str">
        <f t="shared" si="2"/>
        <v/>
      </c>
      <c r="K44" s="339" t="str">
        <f t="shared" si="3"/>
        <v/>
      </c>
      <c r="L44" s="7"/>
    </row>
    <row r="45" spans="1:12" ht="15.75" hidden="1" customHeight="1">
      <c r="A45" s="8"/>
      <c r="B45" s="7"/>
      <c r="C45" s="8"/>
      <c r="D45" s="146"/>
      <c r="E45" s="146"/>
      <c r="F45" s="8"/>
      <c r="G45" s="147"/>
      <c r="H45" s="5"/>
      <c r="I45" s="5"/>
      <c r="J45" s="28" t="str">
        <f t="shared" si="2"/>
        <v/>
      </c>
      <c r="K45" s="339" t="str">
        <f t="shared" si="3"/>
        <v/>
      </c>
      <c r="L45" s="7"/>
    </row>
    <row r="46" spans="1:12" ht="15.75" hidden="1" customHeight="1">
      <c r="A46" s="8"/>
      <c r="B46" s="7"/>
      <c r="C46" s="8"/>
      <c r="D46" s="146"/>
      <c r="E46" s="146"/>
      <c r="F46" s="8"/>
      <c r="G46" s="147"/>
      <c r="H46" s="5"/>
      <c r="I46" s="5"/>
      <c r="J46" s="28" t="str">
        <f t="shared" si="2"/>
        <v/>
      </c>
      <c r="K46" s="339" t="str">
        <f t="shared" si="3"/>
        <v/>
      </c>
      <c r="L46" s="7"/>
    </row>
  </sheetData>
  <mergeCells count="5">
    <mergeCell ref="A1:L1"/>
    <mergeCell ref="A2:L2"/>
    <mergeCell ref="A24:B24"/>
    <mergeCell ref="A25:B25"/>
    <mergeCell ref="A26:B26"/>
  </mergeCells>
  <phoneticPr fontId="52" type="noConversion"/>
  <printOptions horizontalCentered="1" verticalCentered="1"/>
  <pageMargins left="1.0629921259842521" right="0.6692913385826772" top="0.43307086614173229" bottom="0.86614173228346458" header="1.7716535433070868" footer="1.1811023622047245"/>
  <pageSetup paperSize="9" scale="99" fitToHeight="0" orientation="landscape" blackAndWhite="1" horizontalDpi="1200" verticalDpi="1200" r:id="rId1"/>
  <headerFooter scaleWithDoc="0">
    <oddHeader>&amp;R&amp;"宋体,常规"&amp;10表4-5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1054100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1308100</xdr:colOff>
                    <xdr:row>2</xdr:row>
                    <xdr:rowOff>0</xdr:rowOff>
                  </from>
                  <to>
                    <xdr:col>3</xdr:col>
                    <xdr:colOff>304800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792E8-C540-427F-8AB6-896456F2A3CC}">
  <sheetPr codeName="Sheet95">
    <pageSetUpPr fitToPage="1"/>
  </sheetPr>
  <dimension ref="A1:M46"/>
  <sheetViews>
    <sheetView workbookViewId="0">
      <pane ySplit="6" topLeftCell="A7" activePane="bottomLeft" state="frozen"/>
      <selection activeCell="F17" sqref="F17"/>
      <selection pane="bottomLeft" sqref="A1:H26"/>
    </sheetView>
  </sheetViews>
  <sheetFormatPr baseColWidth="10" defaultColWidth="9" defaultRowHeight="15.75" customHeight="1"/>
  <cols>
    <col min="1" max="1" width="7.6640625" style="81" customWidth="1"/>
    <col min="2" max="2" width="26.6640625" style="81" customWidth="1"/>
    <col min="3" max="3" width="11" style="81" customWidth="1"/>
    <col min="4" max="5" width="13.1640625" style="81" customWidth="1"/>
    <col min="6" max="6" width="13" style="135" customWidth="1"/>
    <col min="7" max="7" width="12.5" style="340" customWidth="1"/>
    <col min="8" max="8" width="17.5" style="81" customWidth="1"/>
    <col min="9" max="9" width="7.1640625" style="81" customWidth="1"/>
    <col min="10" max="10" width="5.6640625" style="81" customWidth="1"/>
    <col min="11" max="11" width="7" style="81" customWidth="1"/>
    <col min="12" max="12" width="15.5" style="81" customWidth="1"/>
    <col min="13" max="13" width="7.5" style="81" customWidth="1"/>
    <col min="14" max="16384" width="9" style="81"/>
  </cols>
  <sheetData>
    <row r="1" spans="1:13" s="80" customFormat="1" ht="30" customHeight="1">
      <c r="A1" s="374" t="s">
        <v>1001</v>
      </c>
      <c r="B1" s="375"/>
      <c r="C1" s="375"/>
      <c r="D1" s="375"/>
      <c r="E1" s="375"/>
      <c r="F1" s="375"/>
      <c r="G1" s="375"/>
      <c r="H1" s="375"/>
    </row>
    <row r="2" spans="1:13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</row>
    <row r="3" spans="1:13" ht="14.25" customHeight="1">
      <c r="A3" s="40"/>
      <c r="B3" s="40"/>
      <c r="C3" s="40"/>
      <c r="D3" s="40"/>
      <c r="E3" s="40"/>
      <c r="F3" s="131"/>
      <c r="G3" s="131"/>
      <c r="H3" s="178"/>
    </row>
    <row r="4" spans="1:13" ht="14.25" customHeight="1">
      <c r="A4" s="40"/>
      <c r="B4" s="40"/>
      <c r="C4" s="40"/>
      <c r="D4" s="40"/>
      <c r="E4" s="40"/>
      <c r="F4" s="131"/>
      <c r="G4" s="131"/>
      <c r="H4" s="178"/>
    </row>
    <row r="5" spans="1:13" ht="15.75" customHeight="1">
      <c r="A5" s="223" t="str">
        <f>'1-汇总表'!A4</f>
        <v>被评估单位：A有限公司</v>
      </c>
      <c r="B5" s="223"/>
      <c r="C5" s="223"/>
      <c r="D5" s="223"/>
      <c r="E5" s="42"/>
      <c r="F5" s="173"/>
      <c r="G5" s="218"/>
      <c r="H5" s="122"/>
    </row>
    <row r="6" spans="1:13" s="101" customFormat="1" ht="15.75" customHeight="1">
      <c r="A6" s="45" t="s">
        <v>7</v>
      </c>
      <c r="B6" s="45" t="s">
        <v>60</v>
      </c>
      <c r="C6" s="45" t="s">
        <v>61</v>
      </c>
      <c r="D6" s="217" t="s">
        <v>117</v>
      </c>
      <c r="E6" s="45" t="s">
        <v>0</v>
      </c>
      <c r="F6" s="175" t="s">
        <v>1</v>
      </c>
      <c r="G6" s="341" t="s">
        <v>479</v>
      </c>
      <c r="H6" s="45" t="s">
        <v>39</v>
      </c>
      <c r="I6" s="274" t="s">
        <v>638</v>
      </c>
      <c r="J6" s="274" t="s">
        <v>597</v>
      </c>
      <c r="K6" s="274" t="s">
        <v>632</v>
      </c>
      <c r="L6" s="274" t="s">
        <v>598</v>
      </c>
      <c r="M6" s="274" t="s">
        <v>599</v>
      </c>
    </row>
    <row r="7" spans="1:13" ht="15.75" customHeight="1">
      <c r="A7" s="8"/>
      <c r="B7" s="7"/>
      <c r="C7" s="146"/>
      <c r="D7" s="5"/>
      <c r="E7" s="5"/>
      <c r="F7" s="28" t="str">
        <f>IF(ISERROR(E7-D7),"",IF(E7=0,"",E7-D7))</f>
        <v/>
      </c>
      <c r="G7" s="339" t="str">
        <f>IF(ISERROR(E7-D7),"",IF(E7=0,"",IF(F7="",0,ROUND(F7*100/D7,2))))</f>
        <v/>
      </c>
      <c r="H7" s="7"/>
    </row>
    <row r="8" spans="1:13" ht="15.75" customHeight="1">
      <c r="A8" s="8"/>
      <c r="B8" s="7"/>
      <c r="C8" s="146"/>
      <c r="D8" s="5"/>
      <c r="E8" s="5"/>
      <c r="F8" s="28" t="str">
        <f t="shared" ref="F8:F26" si="0">IF(ISERROR(E8-D8),"",IF(E8=0,"",E8-D8))</f>
        <v/>
      </c>
      <c r="G8" s="339" t="str">
        <f t="shared" ref="G8:G26" si="1">IF(ISERROR(E8-D8),"",IF(E8=0,"",IF(F8="",0,ROUND(F8*100/D8,2))))</f>
        <v/>
      </c>
      <c r="H8" s="7"/>
    </row>
    <row r="9" spans="1:13" ht="15.75" customHeight="1">
      <c r="A9" s="8"/>
      <c r="B9" s="7"/>
      <c r="C9" s="146"/>
      <c r="D9" s="5"/>
      <c r="E9" s="5"/>
      <c r="F9" s="28" t="str">
        <f t="shared" si="0"/>
        <v/>
      </c>
      <c r="G9" s="339" t="str">
        <f t="shared" si="1"/>
        <v/>
      </c>
      <c r="H9" s="7"/>
    </row>
    <row r="10" spans="1:13" ht="15.75" customHeight="1">
      <c r="A10" s="8"/>
      <c r="B10" s="7"/>
      <c r="C10" s="146"/>
      <c r="D10" s="5"/>
      <c r="E10" s="5"/>
      <c r="F10" s="28" t="str">
        <f t="shared" si="0"/>
        <v/>
      </c>
      <c r="G10" s="339" t="str">
        <f t="shared" si="1"/>
        <v/>
      </c>
      <c r="H10" s="7"/>
    </row>
    <row r="11" spans="1:13" ht="15.75" customHeight="1">
      <c r="A11" s="8"/>
      <c r="B11" s="7"/>
      <c r="C11" s="146"/>
      <c r="D11" s="5"/>
      <c r="E11" s="5"/>
      <c r="F11" s="28" t="str">
        <f t="shared" si="0"/>
        <v/>
      </c>
      <c r="G11" s="339" t="str">
        <f t="shared" si="1"/>
        <v/>
      </c>
      <c r="H11" s="7"/>
    </row>
    <row r="12" spans="1:13" ht="15.75" customHeight="1">
      <c r="A12" s="8"/>
      <c r="B12" s="7"/>
      <c r="C12" s="146"/>
      <c r="D12" s="5"/>
      <c r="E12" s="5"/>
      <c r="F12" s="28" t="str">
        <f t="shared" si="0"/>
        <v/>
      </c>
      <c r="G12" s="339" t="str">
        <f t="shared" si="1"/>
        <v/>
      </c>
      <c r="H12" s="7"/>
    </row>
    <row r="13" spans="1:13" ht="15.75" customHeight="1">
      <c r="A13" s="8"/>
      <c r="B13" s="7"/>
      <c r="C13" s="146"/>
      <c r="D13" s="5"/>
      <c r="E13" s="5"/>
      <c r="F13" s="28" t="str">
        <f t="shared" si="0"/>
        <v/>
      </c>
      <c r="G13" s="339" t="str">
        <f t="shared" si="1"/>
        <v/>
      </c>
      <c r="H13" s="7"/>
    </row>
    <row r="14" spans="1:13" ht="15.75" customHeight="1">
      <c r="A14" s="8"/>
      <c r="B14" s="7"/>
      <c r="C14" s="146"/>
      <c r="D14" s="5"/>
      <c r="E14" s="5"/>
      <c r="F14" s="28" t="str">
        <f t="shared" si="0"/>
        <v/>
      </c>
      <c r="G14" s="339" t="str">
        <f t="shared" si="1"/>
        <v/>
      </c>
      <c r="H14" s="7"/>
    </row>
    <row r="15" spans="1:13" ht="15.75" customHeight="1">
      <c r="A15" s="8"/>
      <c r="B15" s="7"/>
      <c r="C15" s="146"/>
      <c r="D15" s="5"/>
      <c r="E15" s="5"/>
      <c r="F15" s="28" t="str">
        <f t="shared" si="0"/>
        <v/>
      </c>
      <c r="G15" s="339" t="str">
        <f t="shared" si="1"/>
        <v/>
      </c>
      <c r="H15" s="7"/>
    </row>
    <row r="16" spans="1:13" ht="15.75" customHeight="1">
      <c r="A16" s="8"/>
      <c r="B16" s="7"/>
      <c r="C16" s="146"/>
      <c r="D16" s="5"/>
      <c r="E16" s="5"/>
      <c r="F16" s="28" t="str">
        <f t="shared" si="0"/>
        <v/>
      </c>
      <c r="G16" s="339" t="str">
        <f t="shared" si="1"/>
        <v/>
      </c>
      <c r="H16" s="7"/>
    </row>
    <row r="17" spans="1:8" ht="15.75" customHeight="1">
      <c r="A17" s="8"/>
      <c r="B17" s="7"/>
      <c r="C17" s="146"/>
      <c r="D17" s="5"/>
      <c r="E17" s="5"/>
      <c r="F17" s="28" t="str">
        <f t="shared" si="0"/>
        <v/>
      </c>
      <c r="G17" s="339" t="str">
        <f t="shared" si="1"/>
        <v/>
      </c>
      <c r="H17" s="7"/>
    </row>
    <row r="18" spans="1:8" ht="15.75" customHeight="1">
      <c r="A18" s="8"/>
      <c r="B18" s="7"/>
      <c r="C18" s="146"/>
      <c r="D18" s="5"/>
      <c r="E18" s="5"/>
      <c r="F18" s="28" t="str">
        <f t="shared" si="0"/>
        <v/>
      </c>
      <c r="G18" s="339" t="str">
        <f t="shared" si="1"/>
        <v/>
      </c>
      <c r="H18" s="7"/>
    </row>
    <row r="19" spans="1:8" ht="15.75" customHeight="1">
      <c r="A19" s="8"/>
      <c r="B19" s="7"/>
      <c r="C19" s="146"/>
      <c r="D19" s="5"/>
      <c r="E19" s="5"/>
      <c r="F19" s="28" t="str">
        <f t="shared" si="0"/>
        <v/>
      </c>
      <c r="G19" s="339" t="str">
        <f t="shared" si="1"/>
        <v/>
      </c>
      <c r="H19" s="7"/>
    </row>
    <row r="20" spans="1:8" ht="15.75" customHeight="1">
      <c r="A20" s="8"/>
      <c r="B20" s="7"/>
      <c r="C20" s="146"/>
      <c r="D20" s="5"/>
      <c r="E20" s="5"/>
      <c r="F20" s="28" t="str">
        <f t="shared" si="0"/>
        <v/>
      </c>
      <c r="G20" s="339" t="str">
        <f t="shared" si="1"/>
        <v/>
      </c>
      <c r="H20" s="7"/>
    </row>
    <row r="21" spans="1:8" ht="15.75" customHeight="1">
      <c r="A21" s="8"/>
      <c r="B21" s="7"/>
      <c r="C21" s="146"/>
      <c r="D21" s="5"/>
      <c r="E21" s="5"/>
      <c r="F21" s="28" t="str">
        <f t="shared" si="0"/>
        <v/>
      </c>
      <c r="G21" s="339" t="str">
        <f t="shared" si="1"/>
        <v/>
      </c>
      <c r="H21" s="7"/>
    </row>
    <row r="22" spans="1:8" ht="15.75" customHeight="1">
      <c r="A22" s="8"/>
      <c r="B22" s="7"/>
      <c r="C22" s="146"/>
      <c r="D22" s="5"/>
      <c r="E22" s="5"/>
      <c r="F22" s="28" t="str">
        <f t="shared" si="0"/>
        <v/>
      </c>
      <c r="G22" s="339" t="str">
        <f t="shared" si="1"/>
        <v/>
      </c>
      <c r="H22" s="7"/>
    </row>
    <row r="23" spans="1:8" ht="15.75" customHeight="1">
      <c r="A23" s="8"/>
      <c r="B23" s="7"/>
      <c r="C23" s="146"/>
      <c r="D23" s="5"/>
      <c r="E23" s="5"/>
      <c r="F23" s="28" t="str">
        <f t="shared" si="0"/>
        <v/>
      </c>
      <c r="G23" s="339" t="str">
        <f t="shared" si="1"/>
        <v/>
      </c>
      <c r="H23" s="7"/>
    </row>
    <row r="24" spans="1:8" ht="15.75" customHeight="1">
      <c r="A24" s="8"/>
      <c r="B24" s="7"/>
      <c r="C24" s="146"/>
      <c r="D24" s="5"/>
      <c r="E24" s="5"/>
      <c r="F24" s="28" t="str">
        <f t="shared" si="0"/>
        <v/>
      </c>
      <c r="G24" s="339" t="str">
        <f t="shared" si="1"/>
        <v/>
      </c>
      <c r="H24" s="7"/>
    </row>
    <row r="25" spans="1:8" ht="15.75" customHeight="1">
      <c r="A25" s="8"/>
      <c r="B25" s="7"/>
      <c r="C25" s="146"/>
      <c r="D25" s="5"/>
      <c r="E25" s="5"/>
      <c r="F25" s="28" t="str">
        <f t="shared" si="0"/>
        <v/>
      </c>
      <c r="G25" s="339" t="str">
        <f t="shared" si="1"/>
        <v/>
      </c>
      <c r="H25" s="7"/>
    </row>
    <row r="26" spans="1:8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8" t="str">
        <f t="shared" ca="1" si="0"/>
        <v/>
      </c>
      <c r="G26" s="339" t="str">
        <f t="shared" ca="1" si="1"/>
        <v/>
      </c>
      <c r="H26" s="30"/>
    </row>
    <row r="27" spans="1:8" ht="15.75" hidden="1" customHeight="1">
      <c r="A27" s="8"/>
      <c r="B27" s="7"/>
      <c r="C27" s="146"/>
      <c r="D27" s="5"/>
      <c r="E27" s="5"/>
      <c r="F27" s="28" t="str">
        <f>IF(ISERROR(E27-D27),"",IF(E27=0,"",E27-D27))</f>
        <v/>
      </c>
      <c r="G27" s="339" t="str">
        <f>IF(ISERROR(E27-D27),"",IF(E27=0,"",IF(F27="",0,ROUND(F27*100/D27,2))))</f>
        <v/>
      </c>
      <c r="H27" s="7"/>
    </row>
    <row r="28" spans="1:8" ht="15.75" hidden="1" customHeight="1">
      <c r="A28" s="8"/>
      <c r="B28" s="7"/>
      <c r="C28" s="146"/>
      <c r="D28" s="5"/>
      <c r="E28" s="5"/>
      <c r="F28" s="28" t="str">
        <f t="shared" ref="F28:F46" si="2">IF(ISERROR(E28-D28),"",IF(E28=0,"",E28-D28))</f>
        <v/>
      </c>
      <c r="G28" s="339" t="str">
        <f t="shared" ref="G28:G46" si="3">IF(ISERROR(E28-D28),"",IF(E28=0,"",IF(F28="",0,ROUND(F28*100/D28,2))))</f>
        <v/>
      </c>
      <c r="H28" s="7"/>
    </row>
    <row r="29" spans="1:8" ht="15.75" hidden="1" customHeight="1">
      <c r="A29" s="8"/>
      <c r="B29" s="7"/>
      <c r="C29" s="146"/>
      <c r="D29" s="5"/>
      <c r="E29" s="5"/>
      <c r="F29" s="28" t="str">
        <f t="shared" si="2"/>
        <v/>
      </c>
      <c r="G29" s="339" t="str">
        <f t="shared" si="3"/>
        <v/>
      </c>
      <c r="H29" s="7"/>
    </row>
    <row r="30" spans="1:8" ht="15.75" hidden="1" customHeight="1">
      <c r="A30" s="8"/>
      <c r="B30" s="7"/>
      <c r="C30" s="146"/>
      <c r="D30" s="5"/>
      <c r="E30" s="5"/>
      <c r="F30" s="28" t="str">
        <f t="shared" si="2"/>
        <v/>
      </c>
      <c r="G30" s="339" t="str">
        <f t="shared" si="3"/>
        <v/>
      </c>
      <c r="H30" s="7"/>
    </row>
    <row r="31" spans="1:8" ht="15.75" hidden="1" customHeight="1">
      <c r="A31" s="8"/>
      <c r="B31" s="7"/>
      <c r="C31" s="146"/>
      <c r="D31" s="5"/>
      <c r="E31" s="5"/>
      <c r="F31" s="28" t="str">
        <f t="shared" si="2"/>
        <v/>
      </c>
      <c r="G31" s="339" t="str">
        <f t="shared" si="3"/>
        <v/>
      </c>
      <c r="H31" s="7"/>
    </row>
    <row r="32" spans="1:8" ht="15.75" hidden="1" customHeight="1">
      <c r="A32" s="8"/>
      <c r="B32" s="7"/>
      <c r="C32" s="146"/>
      <c r="D32" s="5"/>
      <c r="E32" s="5"/>
      <c r="F32" s="28" t="str">
        <f t="shared" si="2"/>
        <v/>
      </c>
      <c r="G32" s="339" t="str">
        <f t="shared" si="3"/>
        <v/>
      </c>
      <c r="H32" s="7"/>
    </row>
    <row r="33" spans="1:8" ht="15.75" hidden="1" customHeight="1">
      <c r="A33" s="8"/>
      <c r="B33" s="7"/>
      <c r="C33" s="146"/>
      <c r="D33" s="5"/>
      <c r="E33" s="5"/>
      <c r="F33" s="28" t="str">
        <f t="shared" si="2"/>
        <v/>
      </c>
      <c r="G33" s="339" t="str">
        <f t="shared" si="3"/>
        <v/>
      </c>
      <c r="H33" s="7"/>
    </row>
    <row r="34" spans="1:8" ht="15.75" hidden="1" customHeight="1">
      <c r="A34" s="8"/>
      <c r="B34" s="7"/>
      <c r="C34" s="146"/>
      <c r="D34" s="5"/>
      <c r="E34" s="5"/>
      <c r="F34" s="28" t="str">
        <f t="shared" si="2"/>
        <v/>
      </c>
      <c r="G34" s="339" t="str">
        <f t="shared" si="3"/>
        <v/>
      </c>
      <c r="H34" s="7"/>
    </row>
    <row r="35" spans="1:8" ht="15.75" hidden="1" customHeight="1">
      <c r="A35" s="8"/>
      <c r="B35" s="7"/>
      <c r="C35" s="146"/>
      <c r="D35" s="5"/>
      <c r="E35" s="5"/>
      <c r="F35" s="28" t="str">
        <f t="shared" si="2"/>
        <v/>
      </c>
      <c r="G35" s="339" t="str">
        <f t="shared" si="3"/>
        <v/>
      </c>
      <c r="H35" s="7"/>
    </row>
    <row r="36" spans="1:8" ht="15.75" hidden="1" customHeight="1">
      <c r="A36" s="8"/>
      <c r="B36" s="7"/>
      <c r="C36" s="146"/>
      <c r="D36" s="5"/>
      <c r="E36" s="5"/>
      <c r="F36" s="28" t="str">
        <f t="shared" si="2"/>
        <v/>
      </c>
      <c r="G36" s="339" t="str">
        <f t="shared" si="3"/>
        <v/>
      </c>
      <c r="H36" s="7"/>
    </row>
    <row r="37" spans="1:8" ht="15.75" hidden="1" customHeight="1">
      <c r="A37" s="8"/>
      <c r="B37" s="7"/>
      <c r="C37" s="146"/>
      <c r="D37" s="5"/>
      <c r="E37" s="5"/>
      <c r="F37" s="28" t="str">
        <f t="shared" si="2"/>
        <v/>
      </c>
      <c r="G37" s="339" t="str">
        <f t="shared" si="3"/>
        <v/>
      </c>
      <c r="H37" s="7"/>
    </row>
    <row r="38" spans="1:8" ht="15.75" hidden="1" customHeight="1">
      <c r="A38" s="8"/>
      <c r="B38" s="7"/>
      <c r="C38" s="146"/>
      <c r="D38" s="5"/>
      <c r="E38" s="5"/>
      <c r="F38" s="28" t="str">
        <f t="shared" si="2"/>
        <v/>
      </c>
      <c r="G38" s="339" t="str">
        <f t="shared" si="3"/>
        <v/>
      </c>
      <c r="H38" s="7"/>
    </row>
    <row r="39" spans="1:8" ht="15.75" hidden="1" customHeight="1">
      <c r="A39" s="8"/>
      <c r="B39" s="7"/>
      <c r="C39" s="146"/>
      <c r="D39" s="5"/>
      <c r="E39" s="5"/>
      <c r="F39" s="28" t="str">
        <f t="shared" si="2"/>
        <v/>
      </c>
      <c r="G39" s="339" t="str">
        <f t="shared" si="3"/>
        <v/>
      </c>
      <c r="H39" s="7"/>
    </row>
    <row r="40" spans="1:8" ht="15.75" hidden="1" customHeight="1">
      <c r="A40" s="8"/>
      <c r="B40" s="7"/>
      <c r="C40" s="146"/>
      <c r="D40" s="5"/>
      <c r="E40" s="5"/>
      <c r="F40" s="28" t="str">
        <f t="shared" si="2"/>
        <v/>
      </c>
      <c r="G40" s="339" t="str">
        <f t="shared" si="3"/>
        <v/>
      </c>
      <c r="H40" s="7"/>
    </row>
    <row r="41" spans="1:8" ht="15.75" hidden="1" customHeight="1">
      <c r="A41" s="8"/>
      <c r="B41" s="7"/>
      <c r="C41" s="146"/>
      <c r="D41" s="5"/>
      <c r="E41" s="5"/>
      <c r="F41" s="28" t="str">
        <f t="shared" si="2"/>
        <v/>
      </c>
      <c r="G41" s="339" t="str">
        <f t="shared" si="3"/>
        <v/>
      </c>
      <c r="H41" s="7"/>
    </row>
    <row r="42" spans="1:8" ht="15.75" hidden="1" customHeight="1">
      <c r="A42" s="8"/>
      <c r="B42" s="7"/>
      <c r="C42" s="146"/>
      <c r="D42" s="5"/>
      <c r="E42" s="5"/>
      <c r="F42" s="28" t="str">
        <f t="shared" si="2"/>
        <v/>
      </c>
      <c r="G42" s="339" t="str">
        <f t="shared" si="3"/>
        <v/>
      </c>
      <c r="H42" s="7"/>
    </row>
    <row r="43" spans="1:8" ht="15.75" hidden="1" customHeight="1">
      <c r="A43" s="8"/>
      <c r="B43" s="7"/>
      <c r="C43" s="146"/>
      <c r="D43" s="5"/>
      <c r="E43" s="5"/>
      <c r="F43" s="28" t="str">
        <f t="shared" si="2"/>
        <v/>
      </c>
      <c r="G43" s="339" t="str">
        <f t="shared" si="3"/>
        <v/>
      </c>
      <c r="H43" s="7"/>
    </row>
    <row r="44" spans="1:8" ht="15.75" hidden="1" customHeight="1">
      <c r="A44" s="8"/>
      <c r="B44" s="7"/>
      <c r="C44" s="146"/>
      <c r="D44" s="5"/>
      <c r="E44" s="5"/>
      <c r="F44" s="28" t="str">
        <f t="shared" si="2"/>
        <v/>
      </c>
      <c r="G44" s="339" t="str">
        <f t="shared" si="3"/>
        <v/>
      </c>
      <c r="H44" s="7"/>
    </row>
    <row r="45" spans="1:8" ht="15.75" hidden="1" customHeight="1">
      <c r="A45" s="8"/>
      <c r="B45" s="7"/>
      <c r="C45" s="146"/>
      <c r="D45" s="5"/>
      <c r="E45" s="5"/>
      <c r="F45" s="28" t="str">
        <f t="shared" si="2"/>
        <v/>
      </c>
      <c r="G45" s="339" t="str">
        <f t="shared" si="3"/>
        <v/>
      </c>
      <c r="H45" s="7"/>
    </row>
    <row r="46" spans="1:8" ht="15.75" hidden="1" customHeight="1">
      <c r="A46" s="8"/>
      <c r="B46" s="7"/>
      <c r="C46" s="146"/>
      <c r="D46" s="5"/>
      <c r="E46" s="5"/>
      <c r="F46" s="28" t="str">
        <f t="shared" si="2"/>
        <v/>
      </c>
      <c r="G46" s="339" t="str">
        <f t="shared" si="3"/>
        <v/>
      </c>
      <c r="H46" s="7"/>
    </row>
  </sheetData>
  <mergeCells count="3">
    <mergeCell ref="A1:H1"/>
    <mergeCell ref="A2:H2"/>
    <mergeCell ref="A26:B26"/>
  </mergeCells>
  <phoneticPr fontId="52" type="noConversion"/>
  <printOptions horizontalCentered="1" verticalCentered="1"/>
  <pageMargins left="1.1023622047244095" right="0.94488188976377963" top="0.43307086614173229" bottom="0.78740157480314965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&amp;R&amp;"宋体,常规"&amp;10表4-6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800100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2</xdr:col>
                    <xdr:colOff>38100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98B13-E6B7-4211-8058-1CA24D42D9D4}">
  <sheetPr codeName="Sheet34">
    <pageSetUpPr fitToPage="1"/>
  </sheetPr>
  <dimension ref="A1:Q48"/>
  <sheetViews>
    <sheetView workbookViewId="0">
      <pane ySplit="8" topLeftCell="A18" activePane="bottomLeft" state="frozen"/>
      <selection activeCell="F17" sqref="F17"/>
      <selection pane="bottomLeft" activeCell="O4" sqref="O1:O65536"/>
    </sheetView>
  </sheetViews>
  <sheetFormatPr baseColWidth="10" defaultColWidth="9" defaultRowHeight="15.75" customHeight="1"/>
  <cols>
    <col min="1" max="1" width="5.5" style="81" customWidth="1"/>
    <col min="2" max="2" width="7.1640625" style="81" customWidth="1"/>
    <col min="3" max="3" width="9.1640625" style="81" customWidth="1"/>
    <col min="4" max="4" width="13" style="81" customWidth="1"/>
    <col min="5" max="5" width="5.5" style="81" customWidth="1"/>
    <col min="6" max="6" width="6.5" style="81" customWidth="1"/>
    <col min="7" max="7" width="4.5" style="81" customWidth="1"/>
    <col min="8" max="8" width="7.6640625" style="81" customWidth="1"/>
    <col min="9" max="9" width="7.1640625" style="81" customWidth="1"/>
    <col min="10" max="12" width="9" style="81" customWidth="1"/>
    <col min="13" max="13" width="6.6640625" style="81" customWidth="1"/>
    <col min="14" max="14" width="8.5" style="81" customWidth="1"/>
    <col min="15" max="15" width="7" style="355" customWidth="1"/>
    <col min="16" max="16" width="7.1640625" style="81" customWidth="1"/>
    <col min="17" max="17" width="6.5" style="81" customWidth="1"/>
    <col min="18" max="16384" width="9" style="81"/>
  </cols>
  <sheetData>
    <row r="1" spans="1:17" s="80" customFormat="1" ht="30" customHeight="1">
      <c r="A1" s="374" t="s">
        <v>1002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</row>
    <row r="2" spans="1:17" s="80" customFormat="1" ht="30" customHeight="1">
      <c r="A2" s="523" t="s">
        <v>419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</row>
    <row r="3" spans="1:17" ht="14.25" customHeight="1">
      <c r="A3" s="376" t="str">
        <f>"评估基准日"&amp;"："&amp;IF(AND('1-汇总表'!D2=""),"",TEXT('1-汇总表'!D2,"YYYY年MM月DD日"))</f>
        <v>评估基准日：2024年12月31日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  <c r="M3" s="377"/>
      <c r="N3" s="377"/>
      <c r="O3" s="377"/>
      <c r="P3" s="377"/>
      <c r="Q3" s="377"/>
    </row>
    <row r="4" spans="1:17" ht="14.25" customHeight="1">
      <c r="A4" s="42"/>
      <c r="B4" s="42"/>
      <c r="C4" s="42"/>
      <c r="D4" s="42"/>
      <c r="E4" s="42"/>
      <c r="F4" s="42"/>
      <c r="G4" s="40"/>
      <c r="H4" s="40"/>
      <c r="I4" s="40"/>
      <c r="J4" s="40"/>
      <c r="K4" s="40"/>
      <c r="L4" s="40"/>
      <c r="M4" s="40"/>
      <c r="N4" s="40"/>
      <c r="O4" s="41"/>
      <c r="P4" s="41"/>
      <c r="Q4" s="41"/>
    </row>
    <row r="5" spans="1:17" ht="14.25" customHeight="1">
      <c r="A5" s="42"/>
      <c r="B5" s="42"/>
      <c r="C5" s="42"/>
      <c r="D5" s="42"/>
      <c r="E5" s="42"/>
      <c r="F5" s="42"/>
      <c r="G5" s="40"/>
      <c r="H5" s="40"/>
      <c r="I5" s="40"/>
      <c r="J5" s="40"/>
      <c r="K5" s="40"/>
      <c r="L5" s="40"/>
      <c r="M5" s="40"/>
      <c r="N5" s="40"/>
      <c r="O5" s="85"/>
      <c r="P5" s="37"/>
      <c r="Q5" s="37"/>
    </row>
    <row r="6" spans="1:17" ht="15.75" customHeight="1">
      <c r="A6" s="125" t="str">
        <f>'1-汇总表'!A4</f>
        <v>被评估单位：A有限公司</v>
      </c>
      <c r="B6" s="125"/>
      <c r="C6" s="125"/>
      <c r="D6" s="125"/>
      <c r="E6" s="125"/>
      <c r="F6" s="125"/>
      <c r="G6" s="42"/>
      <c r="H6" s="42"/>
      <c r="I6" s="42"/>
      <c r="J6" s="42"/>
      <c r="K6" s="42"/>
      <c r="L6" s="42"/>
      <c r="M6" s="42"/>
      <c r="N6" s="42"/>
      <c r="O6" s="223"/>
      <c r="P6" s="168"/>
      <c r="Q6" s="168"/>
    </row>
    <row r="7" spans="1:17" s="101" customFormat="1" ht="18.75" customHeight="1">
      <c r="A7" s="465" t="s">
        <v>7</v>
      </c>
      <c r="B7" s="465" t="s">
        <v>99</v>
      </c>
      <c r="C7" s="467" t="s">
        <v>449</v>
      </c>
      <c r="D7" s="467" t="s">
        <v>415</v>
      </c>
      <c r="E7" s="465" t="s">
        <v>74</v>
      </c>
      <c r="F7" s="480" t="s">
        <v>126</v>
      </c>
      <c r="G7" s="521" t="s">
        <v>101</v>
      </c>
      <c r="H7" s="521" t="s">
        <v>447</v>
      </c>
      <c r="I7" s="480" t="s">
        <v>102</v>
      </c>
      <c r="J7" s="465" t="s">
        <v>117</v>
      </c>
      <c r="K7" s="466"/>
      <c r="L7" s="465" t="s">
        <v>0</v>
      </c>
      <c r="M7" s="466"/>
      <c r="N7" s="466"/>
      <c r="O7" s="519" t="s">
        <v>479</v>
      </c>
      <c r="P7" s="467" t="s">
        <v>98</v>
      </c>
      <c r="Q7" s="480" t="s">
        <v>39</v>
      </c>
    </row>
    <row r="8" spans="1:17" s="101" customFormat="1" ht="25.5" customHeight="1">
      <c r="A8" s="466"/>
      <c r="B8" s="466"/>
      <c r="C8" s="468"/>
      <c r="D8" s="474"/>
      <c r="E8" s="466"/>
      <c r="F8" s="466"/>
      <c r="G8" s="522"/>
      <c r="H8" s="522"/>
      <c r="I8" s="466"/>
      <c r="J8" s="124" t="s">
        <v>87</v>
      </c>
      <c r="K8" s="45" t="s">
        <v>88</v>
      </c>
      <c r="L8" s="45" t="s">
        <v>87</v>
      </c>
      <c r="M8" s="211" t="s">
        <v>481</v>
      </c>
      <c r="N8" s="45" t="s">
        <v>88</v>
      </c>
      <c r="O8" s="520"/>
      <c r="P8" s="468"/>
      <c r="Q8" s="466"/>
    </row>
    <row r="9" spans="1:17" ht="15.75" customHeight="1">
      <c r="A9" s="8"/>
      <c r="B9" s="7"/>
      <c r="C9" s="7"/>
      <c r="D9" s="7"/>
      <c r="E9" s="8"/>
      <c r="F9" s="146"/>
      <c r="G9" s="146"/>
      <c r="H9" s="144"/>
      <c r="I9" s="5" t="s">
        <v>37</v>
      </c>
      <c r="J9" s="6"/>
      <c r="K9" s="5"/>
      <c r="L9" s="5"/>
      <c r="M9" s="9"/>
      <c r="N9" s="5"/>
      <c r="O9" s="339" t="str">
        <f>IF(ISERROR(N9-K9),"",IF(N9=0,"",ROUND((N9-K9)*100/K9,2)))</f>
        <v/>
      </c>
      <c r="P9" s="31"/>
      <c r="Q9" s="7"/>
    </row>
    <row r="10" spans="1:17" ht="15.75" customHeight="1">
      <c r="A10" s="8"/>
      <c r="B10" s="7"/>
      <c r="C10" s="7"/>
      <c r="D10" s="7"/>
      <c r="E10" s="8"/>
      <c r="F10" s="146"/>
      <c r="G10" s="146"/>
      <c r="H10" s="144"/>
      <c r="I10" s="5" t="s">
        <v>37</v>
      </c>
      <c r="J10" s="6"/>
      <c r="K10" s="5"/>
      <c r="L10" s="5"/>
      <c r="M10" s="9"/>
      <c r="N10" s="5"/>
      <c r="O10" s="339" t="str">
        <f t="shared" ref="O10:O29" si="0">IF(ISERROR(N10-K10),"",IF(N10=0,"",ROUND((N10-K10)*100/K10,2)))</f>
        <v/>
      </c>
      <c r="P10" s="31"/>
      <c r="Q10" s="7"/>
    </row>
    <row r="11" spans="1:17" ht="15.75" customHeight="1">
      <c r="A11" s="8"/>
      <c r="B11" s="7"/>
      <c r="C11" s="7"/>
      <c r="D11" s="7"/>
      <c r="E11" s="8"/>
      <c r="F11" s="146"/>
      <c r="G11" s="146"/>
      <c r="H11" s="144"/>
      <c r="I11" s="5"/>
      <c r="J11" s="6"/>
      <c r="K11" s="5"/>
      <c r="L11" s="5"/>
      <c r="M11" s="9"/>
      <c r="N11" s="5"/>
      <c r="O11" s="339" t="str">
        <f t="shared" si="0"/>
        <v/>
      </c>
      <c r="P11" s="31"/>
      <c r="Q11" s="7"/>
    </row>
    <row r="12" spans="1:17" ht="15.75" customHeight="1">
      <c r="A12" s="8"/>
      <c r="B12" s="7"/>
      <c r="C12" s="7"/>
      <c r="D12" s="7"/>
      <c r="E12" s="8"/>
      <c r="F12" s="146"/>
      <c r="G12" s="146"/>
      <c r="H12" s="144"/>
      <c r="I12" s="5"/>
      <c r="J12" s="6"/>
      <c r="K12" s="5"/>
      <c r="L12" s="5"/>
      <c r="M12" s="9"/>
      <c r="N12" s="5"/>
      <c r="O12" s="339" t="str">
        <f t="shared" si="0"/>
        <v/>
      </c>
      <c r="P12" s="31"/>
      <c r="Q12" s="7"/>
    </row>
    <row r="13" spans="1:17" ht="15.75" customHeight="1">
      <c r="A13" s="8"/>
      <c r="B13" s="7"/>
      <c r="C13" s="7"/>
      <c r="D13" s="7"/>
      <c r="E13" s="8"/>
      <c r="F13" s="146"/>
      <c r="G13" s="146"/>
      <c r="H13" s="144"/>
      <c r="I13" s="5"/>
      <c r="J13" s="6"/>
      <c r="K13" s="5"/>
      <c r="L13" s="5"/>
      <c r="M13" s="9"/>
      <c r="N13" s="5"/>
      <c r="O13" s="339" t="str">
        <f t="shared" si="0"/>
        <v/>
      </c>
      <c r="P13" s="31"/>
      <c r="Q13" s="7"/>
    </row>
    <row r="14" spans="1:17" ht="15.75" customHeight="1">
      <c r="A14" s="8"/>
      <c r="B14" s="7"/>
      <c r="C14" s="7"/>
      <c r="D14" s="7"/>
      <c r="E14" s="8"/>
      <c r="F14" s="146"/>
      <c r="G14" s="146"/>
      <c r="H14" s="144"/>
      <c r="I14" s="5"/>
      <c r="J14" s="6"/>
      <c r="K14" s="5"/>
      <c r="L14" s="5"/>
      <c r="M14" s="9"/>
      <c r="N14" s="5"/>
      <c r="O14" s="339" t="str">
        <f t="shared" si="0"/>
        <v/>
      </c>
      <c r="P14" s="31"/>
      <c r="Q14" s="7"/>
    </row>
    <row r="15" spans="1:17" ht="15.75" customHeight="1">
      <c r="A15" s="8"/>
      <c r="B15" s="7"/>
      <c r="C15" s="7"/>
      <c r="D15" s="7"/>
      <c r="E15" s="8"/>
      <c r="F15" s="146"/>
      <c r="G15" s="146"/>
      <c r="H15" s="144"/>
      <c r="I15" s="5"/>
      <c r="J15" s="6"/>
      <c r="K15" s="5"/>
      <c r="L15" s="5"/>
      <c r="M15" s="9"/>
      <c r="N15" s="5"/>
      <c r="O15" s="339" t="str">
        <f t="shared" si="0"/>
        <v/>
      </c>
      <c r="P15" s="31"/>
      <c r="Q15" s="7"/>
    </row>
    <row r="16" spans="1:17" ht="15.75" customHeight="1">
      <c r="A16" s="8"/>
      <c r="B16" s="7"/>
      <c r="C16" s="7"/>
      <c r="D16" s="7"/>
      <c r="E16" s="8"/>
      <c r="F16" s="146"/>
      <c r="G16" s="146"/>
      <c r="H16" s="144"/>
      <c r="I16" s="5" t="s">
        <v>37</v>
      </c>
      <c r="J16" s="6"/>
      <c r="K16" s="5"/>
      <c r="L16" s="5"/>
      <c r="M16" s="9"/>
      <c r="N16" s="5"/>
      <c r="O16" s="339" t="str">
        <f t="shared" si="0"/>
        <v/>
      </c>
      <c r="P16" s="31"/>
      <c r="Q16" s="7"/>
    </row>
    <row r="17" spans="1:17" ht="15.75" customHeight="1">
      <c r="A17" s="8"/>
      <c r="B17" s="7"/>
      <c r="C17" s="7"/>
      <c r="D17" s="7"/>
      <c r="E17" s="8"/>
      <c r="F17" s="146"/>
      <c r="G17" s="146"/>
      <c r="H17" s="144"/>
      <c r="I17" s="5" t="s">
        <v>37</v>
      </c>
      <c r="J17" s="6"/>
      <c r="K17" s="5"/>
      <c r="L17" s="5"/>
      <c r="M17" s="9"/>
      <c r="N17" s="5"/>
      <c r="O17" s="339" t="str">
        <f t="shared" si="0"/>
        <v/>
      </c>
      <c r="P17" s="31"/>
      <c r="Q17" s="7"/>
    </row>
    <row r="18" spans="1:17" ht="15.75" customHeight="1">
      <c r="A18" s="8"/>
      <c r="B18" s="7"/>
      <c r="C18" s="7"/>
      <c r="D18" s="7"/>
      <c r="E18" s="8"/>
      <c r="F18" s="146"/>
      <c r="G18" s="146"/>
      <c r="H18" s="144"/>
      <c r="I18" s="5" t="s">
        <v>37</v>
      </c>
      <c r="J18" s="6"/>
      <c r="K18" s="5"/>
      <c r="L18" s="5"/>
      <c r="M18" s="9"/>
      <c r="N18" s="5"/>
      <c r="O18" s="339" t="str">
        <f t="shared" si="0"/>
        <v/>
      </c>
      <c r="P18" s="31"/>
      <c r="Q18" s="7"/>
    </row>
    <row r="19" spans="1:17" ht="15.75" customHeight="1">
      <c r="A19" s="8"/>
      <c r="B19" s="7"/>
      <c r="C19" s="7"/>
      <c r="D19" s="7"/>
      <c r="E19" s="8"/>
      <c r="F19" s="146"/>
      <c r="G19" s="146"/>
      <c r="H19" s="144"/>
      <c r="I19" s="5" t="s">
        <v>37</v>
      </c>
      <c r="J19" s="6"/>
      <c r="K19" s="5"/>
      <c r="L19" s="5"/>
      <c r="M19" s="9"/>
      <c r="N19" s="5"/>
      <c r="O19" s="339" t="str">
        <f t="shared" si="0"/>
        <v/>
      </c>
      <c r="P19" s="31"/>
      <c r="Q19" s="7"/>
    </row>
    <row r="20" spans="1:17" ht="15.75" customHeight="1">
      <c r="A20" s="8"/>
      <c r="B20" s="7"/>
      <c r="C20" s="7"/>
      <c r="D20" s="7"/>
      <c r="E20" s="8"/>
      <c r="F20" s="146"/>
      <c r="G20" s="146"/>
      <c r="H20" s="144"/>
      <c r="I20" s="5" t="s">
        <v>37</v>
      </c>
      <c r="J20" s="6"/>
      <c r="K20" s="5"/>
      <c r="L20" s="5"/>
      <c r="M20" s="9"/>
      <c r="N20" s="5"/>
      <c r="O20" s="339" t="str">
        <f t="shared" si="0"/>
        <v/>
      </c>
      <c r="P20" s="31"/>
      <c r="Q20" s="7"/>
    </row>
    <row r="21" spans="1:17" ht="15.75" customHeight="1">
      <c r="A21" s="8"/>
      <c r="B21" s="7"/>
      <c r="C21" s="7"/>
      <c r="D21" s="7"/>
      <c r="E21" s="8"/>
      <c r="F21" s="146"/>
      <c r="G21" s="146"/>
      <c r="H21" s="144"/>
      <c r="I21" s="5" t="s">
        <v>37</v>
      </c>
      <c r="J21" s="6"/>
      <c r="K21" s="5"/>
      <c r="L21" s="5"/>
      <c r="M21" s="9"/>
      <c r="N21" s="5"/>
      <c r="O21" s="339" t="str">
        <f t="shared" si="0"/>
        <v/>
      </c>
      <c r="P21" s="31"/>
      <c r="Q21" s="7"/>
    </row>
    <row r="22" spans="1:17" ht="15.75" customHeight="1">
      <c r="A22" s="8"/>
      <c r="B22" s="7"/>
      <c r="C22" s="7"/>
      <c r="D22" s="7"/>
      <c r="E22" s="8"/>
      <c r="F22" s="146"/>
      <c r="G22" s="146"/>
      <c r="H22" s="144"/>
      <c r="I22" s="5"/>
      <c r="J22" s="6"/>
      <c r="K22" s="5"/>
      <c r="L22" s="5"/>
      <c r="M22" s="9"/>
      <c r="N22" s="5"/>
      <c r="O22" s="339" t="str">
        <f t="shared" si="0"/>
        <v/>
      </c>
      <c r="P22" s="31"/>
      <c r="Q22" s="7"/>
    </row>
    <row r="23" spans="1:17" ht="15.75" customHeight="1">
      <c r="A23" s="8"/>
      <c r="B23" s="7"/>
      <c r="C23" s="7"/>
      <c r="D23" s="7"/>
      <c r="E23" s="8"/>
      <c r="F23" s="146"/>
      <c r="G23" s="146"/>
      <c r="H23" s="144"/>
      <c r="I23" s="5"/>
      <c r="J23" s="6"/>
      <c r="K23" s="5"/>
      <c r="L23" s="5"/>
      <c r="M23" s="9"/>
      <c r="N23" s="5"/>
      <c r="O23" s="339" t="str">
        <f t="shared" si="0"/>
        <v/>
      </c>
      <c r="P23" s="31"/>
      <c r="Q23" s="7"/>
    </row>
    <row r="24" spans="1:17" ht="15.75" customHeight="1">
      <c r="A24" s="8"/>
      <c r="B24" s="7"/>
      <c r="C24" s="7"/>
      <c r="D24" s="7"/>
      <c r="E24" s="8"/>
      <c r="F24" s="146"/>
      <c r="G24" s="146"/>
      <c r="H24" s="144"/>
      <c r="I24" s="5" t="s">
        <v>37</v>
      </c>
      <c r="J24" s="6"/>
      <c r="K24" s="5"/>
      <c r="L24" s="5"/>
      <c r="M24" s="9"/>
      <c r="N24" s="5"/>
      <c r="O24" s="339" t="str">
        <f t="shared" si="0"/>
        <v/>
      </c>
      <c r="P24" s="31"/>
      <c r="Q24" s="7"/>
    </row>
    <row r="25" spans="1:17" ht="15.75" customHeight="1">
      <c r="A25" s="8"/>
      <c r="B25" s="7"/>
      <c r="C25" s="7"/>
      <c r="D25" s="7"/>
      <c r="E25" s="8"/>
      <c r="F25" s="146"/>
      <c r="G25" s="146"/>
      <c r="H25" s="144"/>
      <c r="I25" s="5" t="s">
        <v>37</v>
      </c>
      <c r="J25" s="6"/>
      <c r="K25" s="5"/>
      <c r="L25" s="5"/>
      <c r="M25" s="9"/>
      <c r="N25" s="5"/>
      <c r="O25" s="339" t="str">
        <f t="shared" si="0"/>
        <v/>
      </c>
      <c r="P25" s="31"/>
      <c r="Q25" s="7"/>
    </row>
    <row r="26" spans="1:17" ht="15.75" customHeight="1">
      <c r="A26" s="516" t="s">
        <v>539</v>
      </c>
      <c r="B26" s="517"/>
      <c r="C26" s="508"/>
      <c r="D26" s="247"/>
      <c r="E26" s="237"/>
      <c r="F26" s="232"/>
      <c r="G26" s="232"/>
      <c r="H26" s="248"/>
      <c r="I26" s="31" t="s">
        <v>37</v>
      </c>
      <c r="J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6" s="243"/>
      <c r="N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6" s="339" t="str">
        <f t="shared" ca="1" si="0"/>
        <v/>
      </c>
      <c r="P26" s="31"/>
      <c r="Q26" s="234"/>
    </row>
    <row r="27" spans="1:17" ht="15.75" customHeight="1">
      <c r="A27" s="379" t="s">
        <v>206</v>
      </c>
      <c r="B27" s="518"/>
      <c r="C27" s="444"/>
      <c r="D27" s="86"/>
      <c r="E27" s="237"/>
      <c r="F27" s="232"/>
      <c r="G27" s="232"/>
      <c r="H27" s="248"/>
      <c r="I27" s="31"/>
      <c r="J27" s="243"/>
      <c r="K27" s="31"/>
      <c r="L27" s="31"/>
      <c r="M27" s="249"/>
      <c r="N27" s="31"/>
      <c r="O27" s="339"/>
      <c r="P27" s="31"/>
      <c r="Q27" s="234"/>
    </row>
    <row r="28" spans="1:17" ht="15.75" customHeight="1">
      <c r="A28" s="516" t="s">
        <v>539</v>
      </c>
      <c r="B28" s="517"/>
      <c r="C28" s="508"/>
      <c r="D28" s="86"/>
      <c r="E28" s="237"/>
      <c r="F28" s="232"/>
      <c r="G28" s="232"/>
      <c r="H28" s="30"/>
      <c r="I28" s="31"/>
      <c r="J28" s="243" t="str">
        <f ca="1">IF(J27="",J26,J26-J27)</f>
        <v/>
      </c>
      <c r="K28" s="243" t="str">
        <f ca="1">IF(K27="",K26,K26-K27)</f>
        <v/>
      </c>
      <c r="L28" s="243" t="str">
        <f ca="1">IF(L27="",L26,L26-L27)</f>
        <v/>
      </c>
      <c r="M28" s="243"/>
      <c r="N28" s="243" t="str">
        <f ca="1">IF(N27="",N26,N26-N27)</f>
        <v/>
      </c>
      <c r="O28" s="339" t="str">
        <f t="shared" ca="1" si="0"/>
        <v/>
      </c>
      <c r="P28" s="31"/>
      <c r="Q28" s="234"/>
    </row>
    <row r="29" spans="1:17" ht="15.75" hidden="1" customHeight="1">
      <c r="A29" s="8"/>
      <c r="B29" s="7"/>
      <c r="C29" s="7"/>
      <c r="D29" s="7"/>
      <c r="E29" s="8"/>
      <c r="F29" s="146"/>
      <c r="G29" s="146"/>
      <c r="H29" s="144"/>
      <c r="I29" s="5"/>
      <c r="J29" s="6"/>
      <c r="K29" s="5"/>
      <c r="L29" s="5"/>
      <c r="M29" s="9"/>
      <c r="N29" s="5"/>
      <c r="O29" s="339" t="str">
        <f t="shared" si="0"/>
        <v/>
      </c>
      <c r="P29" s="31"/>
      <c r="Q29" s="7"/>
    </row>
    <row r="30" spans="1:17" ht="15.75" hidden="1" customHeight="1">
      <c r="A30" s="8"/>
      <c r="B30" s="7"/>
      <c r="C30" s="7"/>
      <c r="D30" s="7"/>
      <c r="E30" s="8"/>
      <c r="F30" s="146"/>
      <c r="G30" s="146"/>
      <c r="H30" s="144"/>
      <c r="I30" s="5" t="s">
        <v>37</v>
      </c>
      <c r="J30" s="6"/>
      <c r="K30" s="5"/>
      <c r="L30" s="5"/>
      <c r="M30" s="9"/>
      <c r="N30" s="5"/>
      <c r="O30" s="339" t="str">
        <f t="shared" ref="O30:O48" si="1">IF(ISERROR(N30-K30),"",IF(N30=0,"",ROUND((N30-K30)*100/K30,2)))</f>
        <v/>
      </c>
      <c r="P30" s="31"/>
      <c r="Q30" s="7"/>
    </row>
    <row r="31" spans="1:17" ht="15.75" hidden="1" customHeight="1">
      <c r="A31" s="8"/>
      <c r="B31" s="7"/>
      <c r="C31" s="7"/>
      <c r="D31" s="7"/>
      <c r="E31" s="8"/>
      <c r="F31" s="146"/>
      <c r="G31" s="146"/>
      <c r="H31" s="144"/>
      <c r="I31" s="5" t="s">
        <v>37</v>
      </c>
      <c r="J31" s="6"/>
      <c r="K31" s="5"/>
      <c r="L31" s="5"/>
      <c r="M31" s="9"/>
      <c r="N31" s="5"/>
      <c r="O31" s="339" t="str">
        <f t="shared" si="1"/>
        <v/>
      </c>
      <c r="P31" s="31"/>
      <c r="Q31" s="7"/>
    </row>
    <row r="32" spans="1:17" ht="15.75" hidden="1" customHeight="1">
      <c r="A32" s="8"/>
      <c r="B32" s="7"/>
      <c r="C32" s="7"/>
      <c r="D32" s="7"/>
      <c r="E32" s="8"/>
      <c r="F32" s="146"/>
      <c r="G32" s="146"/>
      <c r="H32" s="144"/>
      <c r="I32" s="5" t="s">
        <v>37</v>
      </c>
      <c r="J32" s="6"/>
      <c r="K32" s="5"/>
      <c r="L32" s="5"/>
      <c r="M32" s="9"/>
      <c r="N32" s="5"/>
      <c r="O32" s="339" t="str">
        <f t="shared" si="1"/>
        <v/>
      </c>
      <c r="P32" s="31"/>
      <c r="Q32" s="7"/>
    </row>
    <row r="33" spans="1:17" ht="15.75" hidden="1" customHeight="1">
      <c r="A33" s="8"/>
      <c r="B33" s="7"/>
      <c r="C33" s="7"/>
      <c r="D33" s="7"/>
      <c r="E33" s="8"/>
      <c r="F33" s="146"/>
      <c r="G33" s="146"/>
      <c r="H33" s="144"/>
      <c r="I33" s="5" t="s">
        <v>37</v>
      </c>
      <c r="J33" s="6"/>
      <c r="K33" s="5"/>
      <c r="L33" s="5"/>
      <c r="M33" s="9"/>
      <c r="N33" s="5"/>
      <c r="O33" s="339" t="str">
        <f t="shared" si="1"/>
        <v/>
      </c>
      <c r="P33" s="31"/>
      <c r="Q33" s="7"/>
    </row>
    <row r="34" spans="1:17" ht="15.75" hidden="1" customHeight="1">
      <c r="A34" s="8"/>
      <c r="B34" s="7"/>
      <c r="C34" s="7"/>
      <c r="D34" s="7"/>
      <c r="E34" s="8"/>
      <c r="F34" s="146"/>
      <c r="G34" s="146"/>
      <c r="H34" s="144"/>
      <c r="I34" s="5" t="s">
        <v>37</v>
      </c>
      <c r="J34" s="6"/>
      <c r="K34" s="5"/>
      <c r="L34" s="5"/>
      <c r="M34" s="9"/>
      <c r="N34" s="5"/>
      <c r="O34" s="339" t="str">
        <f t="shared" si="1"/>
        <v/>
      </c>
      <c r="P34" s="31"/>
      <c r="Q34" s="7"/>
    </row>
    <row r="35" spans="1:17" ht="15.75" hidden="1" customHeight="1">
      <c r="A35" s="8"/>
      <c r="B35" s="7"/>
      <c r="C35" s="7"/>
      <c r="D35" s="7"/>
      <c r="E35" s="8"/>
      <c r="F35" s="146"/>
      <c r="G35" s="146"/>
      <c r="H35" s="144"/>
      <c r="I35" s="5" t="s">
        <v>37</v>
      </c>
      <c r="J35" s="6"/>
      <c r="K35" s="5"/>
      <c r="L35" s="5"/>
      <c r="M35" s="9"/>
      <c r="N35" s="5"/>
      <c r="O35" s="339" t="str">
        <f t="shared" si="1"/>
        <v/>
      </c>
      <c r="P35" s="31"/>
      <c r="Q35" s="7"/>
    </row>
    <row r="36" spans="1:17" ht="15.75" hidden="1" customHeight="1">
      <c r="A36" s="8"/>
      <c r="B36" s="7"/>
      <c r="C36" s="7"/>
      <c r="D36" s="7"/>
      <c r="E36" s="8"/>
      <c r="F36" s="146"/>
      <c r="G36" s="146"/>
      <c r="H36" s="144"/>
      <c r="I36" s="5" t="s">
        <v>37</v>
      </c>
      <c r="J36" s="6"/>
      <c r="K36" s="5"/>
      <c r="L36" s="5"/>
      <c r="M36" s="9"/>
      <c r="N36" s="5"/>
      <c r="O36" s="339" t="str">
        <f t="shared" si="1"/>
        <v/>
      </c>
      <c r="P36" s="31"/>
      <c r="Q36" s="7"/>
    </row>
    <row r="37" spans="1:17" ht="15.75" hidden="1" customHeight="1">
      <c r="A37" s="8"/>
      <c r="B37" s="7"/>
      <c r="C37" s="7"/>
      <c r="D37" s="7"/>
      <c r="E37" s="8"/>
      <c r="F37" s="146"/>
      <c r="G37" s="146"/>
      <c r="H37" s="144"/>
      <c r="I37" s="5" t="s">
        <v>37</v>
      </c>
      <c r="J37" s="6"/>
      <c r="K37" s="5"/>
      <c r="L37" s="5"/>
      <c r="M37" s="9"/>
      <c r="N37" s="5"/>
      <c r="O37" s="339" t="str">
        <f t="shared" si="1"/>
        <v/>
      </c>
      <c r="P37" s="31"/>
      <c r="Q37" s="7"/>
    </row>
    <row r="38" spans="1:17" ht="15.75" hidden="1" customHeight="1">
      <c r="A38" s="8"/>
      <c r="B38" s="7"/>
      <c r="C38" s="7"/>
      <c r="D38" s="7"/>
      <c r="E38" s="8"/>
      <c r="F38" s="146"/>
      <c r="G38" s="146"/>
      <c r="H38" s="144"/>
      <c r="I38" s="5" t="s">
        <v>37</v>
      </c>
      <c r="J38" s="6"/>
      <c r="K38" s="5"/>
      <c r="L38" s="5"/>
      <c r="M38" s="9"/>
      <c r="N38" s="5"/>
      <c r="O38" s="339" t="str">
        <f t="shared" si="1"/>
        <v/>
      </c>
      <c r="P38" s="31"/>
      <c r="Q38" s="7"/>
    </row>
    <row r="39" spans="1:17" ht="15.75" hidden="1" customHeight="1">
      <c r="A39" s="8"/>
      <c r="B39" s="7"/>
      <c r="C39" s="7"/>
      <c r="D39" s="7"/>
      <c r="E39" s="8"/>
      <c r="F39" s="146"/>
      <c r="G39" s="146"/>
      <c r="H39" s="144"/>
      <c r="I39" s="5" t="s">
        <v>37</v>
      </c>
      <c r="J39" s="6"/>
      <c r="K39" s="5"/>
      <c r="L39" s="5"/>
      <c r="M39" s="9"/>
      <c r="N39" s="5"/>
      <c r="O39" s="339" t="str">
        <f t="shared" si="1"/>
        <v/>
      </c>
      <c r="P39" s="31"/>
      <c r="Q39" s="7"/>
    </row>
    <row r="40" spans="1:17" ht="15.75" hidden="1" customHeight="1">
      <c r="A40" s="8"/>
      <c r="B40" s="7"/>
      <c r="C40" s="7"/>
      <c r="D40" s="7"/>
      <c r="E40" s="8"/>
      <c r="F40" s="146"/>
      <c r="G40" s="146"/>
      <c r="H40" s="144"/>
      <c r="I40" s="5" t="s">
        <v>37</v>
      </c>
      <c r="J40" s="6"/>
      <c r="K40" s="5"/>
      <c r="L40" s="5"/>
      <c r="M40" s="9"/>
      <c r="N40" s="5"/>
      <c r="O40" s="339" t="str">
        <f t="shared" si="1"/>
        <v/>
      </c>
      <c r="P40" s="31"/>
      <c r="Q40" s="7"/>
    </row>
    <row r="41" spans="1:17" ht="15.75" hidden="1" customHeight="1">
      <c r="A41" s="8"/>
      <c r="B41" s="7"/>
      <c r="C41" s="7"/>
      <c r="D41" s="7"/>
      <c r="E41" s="8"/>
      <c r="F41" s="146"/>
      <c r="G41" s="146"/>
      <c r="H41" s="144"/>
      <c r="I41" s="5" t="s">
        <v>37</v>
      </c>
      <c r="J41" s="6"/>
      <c r="K41" s="5"/>
      <c r="L41" s="5"/>
      <c r="M41" s="9"/>
      <c r="N41" s="5"/>
      <c r="O41" s="339" t="str">
        <f t="shared" si="1"/>
        <v/>
      </c>
      <c r="P41" s="31"/>
      <c r="Q41" s="7"/>
    </row>
    <row r="42" spans="1:17" ht="15.75" hidden="1" customHeight="1">
      <c r="A42" s="8"/>
      <c r="B42" s="7"/>
      <c r="C42" s="7"/>
      <c r="D42" s="7"/>
      <c r="E42" s="8"/>
      <c r="F42" s="146"/>
      <c r="G42" s="146"/>
      <c r="H42" s="144"/>
      <c r="I42" s="5" t="s">
        <v>37</v>
      </c>
      <c r="J42" s="6"/>
      <c r="K42" s="5"/>
      <c r="L42" s="5"/>
      <c r="M42" s="9"/>
      <c r="N42" s="5"/>
      <c r="O42" s="339" t="str">
        <f t="shared" si="1"/>
        <v/>
      </c>
      <c r="P42" s="31"/>
      <c r="Q42" s="7"/>
    </row>
    <row r="43" spans="1:17" ht="15.75" hidden="1" customHeight="1">
      <c r="A43" s="8"/>
      <c r="B43" s="7"/>
      <c r="C43" s="7"/>
      <c r="D43" s="7"/>
      <c r="E43" s="8"/>
      <c r="F43" s="146"/>
      <c r="G43" s="146"/>
      <c r="H43" s="144"/>
      <c r="I43" s="5" t="s">
        <v>37</v>
      </c>
      <c r="J43" s="6"/>
      <c r="K43" s="5"/>
      <c r="L43" s="5"/>
      <c r="M43" s="9"/>
      <c r="N43" s="5"/>
      <c r="O43" s="339" t="str">
        <f t="shared" si="1"/>
        <v/>
      </c>
      <c r="P43" s="31"/>
      <c r="Q43" s="7"/>
    </row>
    <row r="44" spans="1:17" ht="15.75" hidden="1" customHeight="1">
      <c r="A44" s="8"/>
      <c r="B44" s="7"/>
      <c r="C44" s="7"/>
      <c r="D44" s="7"/>
      <c r="E44" s="8"/>
      <c r="F44" s="146"/>
      <c r="G44" s="146"/>
      <c r="H44" s="144"/>
      <c r="I44" s="5" t="s">
        <v>37</v>
      </c>
      <c r="J44" s="6"/>
      <c r="K44" s="5"/>
      <c r="L44" s="5"/>
      <c r="M44" s="9"/>
      <c r="N44" s="5"/>
      <c r="O44" s="339" t="str">
        <f t="shared" si="1"/>
        <v/>
      </c>
      <c r="P44" s="31"/>
      <c r="Q44" s="7"/>
    </row>
    <row r="45" spans="1:17" ht="15.75" hidden="1" customHeight="1">
      <c r="A45" s="8"/>
      <c r="B45" s="7"/>
      <c r="C45" s="7"/>
      <c r="D45" s="7"/>
      <c r="E45" s="8"/>
      <c r="F45" s="146"/>
      <c r="G45" s="146"/>
      <c r="H45" s="144"/>
      <c r="I45" s="5" t="s">
        <v>37</v>
      </c>
      <c r="J45" s="6"/>
      <c r="K45" s="5"/>
      <c r="L45" s="5"/>
      <c r="M45" s="9"/>
      <c r="N45" s="5"/>
      <c r="O45" s="339" t="str">
        <f t="shared" si="1"/>
        <v/>
      </c>
      <c r="P45" s="31"/>
      <c r="Q45" s="7"/>
    </row>
    <row r="46" spans="1:17" ht="15.75" hidden="1" customHeight="1">
      <c r="A46" s="8"/>
      <c r="B46" s="7"/>
      <c r="C46" s="7"/>
      <c r="D46" s="7"/>
      <c r="E46" s="8"/>
      <c r="F46" s="146"/>
      <c r="G46" s="146"/>
      <c r="H46" s="144"/>
      <c r="I46" s="5" t="s">
        <v>37</v>
      </c>
      <c r="J46" s="6"/>
      <c r="K46" s="5"/>
      <c r="L46" s="5"/>
      <c r="M46" s="9"/>
      <c r="N46" s="5"/>
      <c r="O46" s="339" t="str">
        <f t="shared" si="1"/>
        <v/>
      </c>
      <c r="P46" s="31"/>
      <c r="Q46" s="7"/>
    </row>
    <row r="47" spans="1:17" ht="15.75" hidden="1" customHeight="1">
      <c r="A47" s="8"/>
      <c r="B47" s="7"/>
      <c r="C47" s="7"/>
      <c r="D47" s="7"/>
      <c r="E47" s="8"/>
      <c r="F47" s="146"/>
      <c r="G47" s="146"/>
      <c r="H47" s="144"/>
      <c r="I47" s="5" t="s">
        <v>37</v>
      </c>
      <c r="J47" s="6"/>
      <c r="K47" s="5"/>
      <c r="L47" s="5"/>
      <c r="M47" s="9"/>
      <c r="N47" s="5"/>
      <c r="O47" s="339" t="str">
        <f t="shared" si="1"/>
        <v/>
      </c>
      <c r="P47" s="31"/>
      <c r="Q47" s="7"/>
    </row>
    <row r="48" spans="1:17" ht="15.75" hidden="1" customHeight="1">
      <c r="A48" s="8"/>
      <c r="B48" s="7"/>
      <c r="C48" s="7"/>
      <c r="D48" s="7"/>
      <c r="E48" s="8"/>
      <c r="F48" s="146"/>
      <c r="G48" s="146"/>
      <c r="H48" s="144"/>
      <c r="I48" s="5" t="s">
        <v>37</v>
      </c>
      <c r="J48" s="6"/>
      <c r="K48" s="5"/>
      <c r="L48" s="5"/>
      <c r="M48" s="9"/>
      <c r="N48" s="5"/>
      <c r="O48" s="339" t="str">
        <f t="shared" si="1"/>
        <v/>
      </c>
      <c r="P48" s="31"/>
      <c r="Q48" s="7"/>
    </row>
  </sheetData>
  <mergeCells count="20">
    <mergeCell ref="A2:Q2"/>
    <mergeCell ref="A1:Q1"/>
    <mergeCell ref="A3:Q3"/>
    <mergeCell ref="A7:A8"/>
    <mergeCell ref="B7:B8"/>
    <mergeCell ref="C7:C8"/>
    <mergeCell ref="Q7:Q8"/>
    <mergeCell ref="D7:D8"/>
    <mergeCell ref="E7:E8"/>
    <mergeCell ref="G7:G8"/>
    <mergeCell ref="A28:C28"/>
    <mergeCell ref="A26:C26"/>
    <mergeCell ref="A27:C27"/>
    <mergeCell ref="P7:P8"/>
    <mergeCell ref="L7:N7"/>
    <mergeCell ref="O7:O8"/>
    <mergeCell ref="J7:K7"/>
    <mergeCell ref="H7:H8"/>
    <mergeCell ref="I7:I8"/>
    <mergeCell ref="F7:F8"/>
  </mergeCells>
  <phoneticPr fontId="6" type="noConversion"/>
  <printOptions horizontalCentered="1" verticalCentered="1"/>
  <pageMargins left="0.78740157480314965" right="0.47244094488188981" top="0.35433070866141736" bottom="0.86614173228346458" header="1.7716535433070868" footer="0.98425196850393704"/>
  <pageSetup paperSize="9" scale="97" fitToHeight="0" orientation="landscape" blackAndWhite="1" horizontalDpi="1200" verticalDpi="1200" r:id="rId1"/>
  <headerFooter scaleWithDoc="0">
    <oddHeader>&amp;R&amp;"宋体,常规"&amp;10表4-7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1</xdr:row>
                    <xdr:rowOff>177800</xdr:rowOff>
                  </from>
                  <to>
                    <xdr:col>2</xdr:col>
                    <xdr:colOff>419100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673100</xdr:colOff>
                    <xdr:row>1</xdr:row>
                    <xdr:rowOff>177800</xdr:rowOff>
                  </from>
                  <to>
                    <xdr:col>4</xdr:col>
                    <xdr:colOff>12700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643EC-816D-400A-83D5-D49CCAAAD94C}">
  <sheetPr codeName="Sheet52"/>
  <dimension ref="A1:O47"/>
  <sheetViews>
    <sheetView workbookViewId="0">
      <pane ySplit="7" topLeftCell="A8" activePane="bottomLeft" state="frozen"/>
      <selection activeCell="F17" sqref="F17"/>
      <selection pane="bottomLeft" activeCell="N4" sqref="N1:N65536"/>
    </sheetView>
  </sheetViews>
  <sheetFormatPr baseColWidth="10" defaultColWidth="9" defaultRowHeight="13"/>
  <cols>
    <col min="1" max="1" width="5" style="81" customWidth="1"/>
    <col min="2" max="3" width="9.1640625" style="81" customWidth="1"/>
    <col min="4" max="4" width="15" style="81" customWidth="1"/>
    <col min="5" max="6" width="5.5" style="81" customWidth="1"/>
    <col min="7" max="7" width="4.5" style="81" customWidth="1"/>
    <col min="8" max="8" width="7" style="81" customWidth="1"/>
    <col min="9" max="9" width="7.6640625" style="81" customWidth="1"/>
    <col min="10" max="10" width="11" style="81" customWidth="1"/>
    <col min="11" max="11" width="9.5" style="81" customWidth="1"/>
    <col min="12" max="12" width="9.1640625" style="81" customWidth="1"/>
    <col min="13" max="13" width="8.1640625" style="135" customWidth="1"/>
    <col min="14" max="14" width="6.1640625" style="340" customWidth="1"/>
    <col min="15" max="15" width="8" style="81" customWidth="1"/>
    <col min="16" max="16384" width="9" style="81"/>
  </cols>
  <sheetData>
    <row r="1" spans="1:15" s="80" customFormat="1" ht="30" customHeight="1">
      <c r="A1" s="374" t="s">
        <v>1003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</row>
    <row r="2" spans="1:15" s="80" customFormat="1" ht="30" customHeight="1">
      <c r="A2" s="523" t="s">
        <v>420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</row>
    <row r="3" spans="1:15" ht="14.25" customHeight="1">
      <c r="A3" s="376" t="str">
        <f>"评估基准日"&amp;"："&amp;IF(AND('1-汇总表'!D2=""),"",TEXT('1-汇总表'!D2,"YYYY年MM月DD日"))</f>
        <v>评估基准日：2024年12月31日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  <c r="M3" s="377"/>
      <c r="N3" s="377"/>
      <c r="O3" s="377"/>
    </row>
    <row r="4" spans="1:15" ht="14.25" customHeight="1">
      <c r="A4" s="42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131"/>
      <c r="N4" s="131"/>
      <c r="O4" s="85"/>
    </row>
    <row r="5" spans="1:15" ht="14.25" customHeight="1">
      <c r="A5" s="42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131"/>
      <c r="N5" s="337"/>
      <c r="O5" s="37"/>
    </row>
    <row r="6" spans="1:15" ht="15.75" customHeight="1">
      <c r="A6" s="125" t="str">
        <f>'1-汇总表'!A4</f>
        <v>被评估单位：A有限公司</v>
      </c>
      <c r="B6" s="125"/>
      <c r="C6" s="125"/>
      <c r="D6" s="125"/>
      <c r="E6" s="125"/>
      <c r="F6" s="125"/>
      <c r="G6" s="125"/>
      <c r="H6" s="42"/>
      <c r="I6" s="42"/>
      <c r="J6" s="42"/>
      <c r="K6" s="42"/>
      <c r="L6" s="42"/>
      <c r="M6" s="173"/>
      <c r="N6" s="218"/>
      <c r="O6" s="122"/>
    </row>
    <row r="7" spans="1:15" s="101" customFormat="1" ht="39" customHeight="1">
      <c r="A7" s="45" t="s">
        <v>7</v>
      </c>
      <c r="B7" s="45" t="s">
        <v>99</v>
      </c>
      <c r="C7" s="212" t="s">
        <v>450</v>
      </c>
      <c r="D7" s="212" t="s">
        <v>415</v>
      </c>
      <c r="E7" s="45" t="s">
        <v>74</v>
      </c>
      <c r="F7" s="188" t="s">
        <v>126</v>
      </c>
      <c r="G7" s="213" t="s">
        <v>101</v>
      </c>
      <c r="H7" s="213" t="s">
        <v>354</v>
      </c>
      <c r="I7" s="188" t="s">
        <v>102</v>
      </c>
      <c r="J7" s="214" t="s">
        <v>487</v>
      </c>
      <c r="K7" s="212" t="s">
        <v>418</v>
      </c>
      <c r="L7" s="215" t="s">
        <v>0</v>
      </c>
      <c r="M7" s="216" t="s">
        <v>448</v>
      </c>
      <c r="N7" s="356" t="s">
        <v>479</v>
      </c>
      <c r="O7" s="188" t="s">
        <v>39</v>
      </c>
    </row>
    <row r="8" spans="1:15" ht="15.75" customHeight="1">
      <c r="A8" s="8"/>
      <c r="B8" s="7"/>
      <c r="C8" s="7"/>
      <c r="D8" s="7"/>
      <c r="E8" s="8"/>
      <c r="F8" s="146"/>
      <c r="G8" s="146"/>
      <c r="H8" s="5"/>
      <c r="I8" s="5" t="s">
        <v>37</v>
      </c>
      <c r="J8" s="209"/>
      <c r="K8" s="5"/>
      <c r="L8" s="5"/>
      <c r="M8" s="28" t="str">
        <f>IF(ISERROR(L8-K8),"",IF(L8=0,"",L8-K8))</f>
        <v/>
      </c>
      <c r="N8" s="339" t="str">
        <f>IF(ISERROR(L8-K8),"",IF(L8=0,"",IF(M8="",0,ROUND(M8*100/K8,2))))</f>
        <v/>
      </c>
      <c r="O8" s="7"/>
    </row>
    <row r="9" spans="1:15" ht="15.75" customHeight="1">
      <c r="A9" s="8"/>
      <c r="B9" s="7"/>
      <c r="C9" s="7"/>
      <c r="D9" s="7"/>
      <c r="E9" s="8"/>
      <c r="F9" s="146"/>
      <c r="G9" s="146"/>
      <c r="H9" s="5"/>
      <c r="I9" s="5" t="s">
        <v>37</v>
      </c>
      <c r="J9" s="209"/>
      <c r="K9" s="5"/>
      <c r="L9" s="5"/>
      <c r="M9" s="28" t="str">
        <f t="shared" ref="M9:M27" si="0">IF(ISERROR(L9-K9),"",IF(L9=0,"",L9-K9))</f>
        <v/>
      </c>
      <c r="N9" s="339" t="str">
        <f t="shared" ref="N9:N27" si="1">IF(ISERROR(L9-K9),"",IF(L9=0,"",IF(M9="",0,ROUND(M9*100/K9,2))))</f>
        <v/>
      </c>
      <c r="O9" s="7"/>
    </row>
    <row r="10" spans="1:15" ht="15.75" customHeight="1">
      <c r="A10" s="8"/>
      <c r="B10" s="7"/>
      <c r="C10" s="7"/>
      <c r="D10" s="7"/>
      <c r="E10" s="8"/>
      <c r="F10" s="146"/>
      <c r="G10" s="146"/>
      <c r="H10" s="5"/>
      <c r="I10" s="5" t="s">
        <v>37</v>
      </c>
      <c r="J10" s="209"/>
      <c r="K10" s="5"/>
      <c r="L10" s="5"/>
      <c r="M10" s="28" t="str">
        <f t="shared" si="0"/>
        <v/>
      </c>
      <c r="N10" s="339" t="str">
        <f t="shared" si="1"/>
        <v/>
      </c>
      <c r="O10" s="7"/>
    </row>
    <row r="11" spans="1:15" ht="15.75" customHeight="1">
      <c r="A11" s="8"/>
      <c r="B11" s="7"/>
      <c r="C11" s="7"/>
      <c r="D11" s="7"/>
      <c r="E11" s="8"/>
      <c r="F11" s="146"/>
      <c r="G11" s="146"/>
      <c r="H11" s="5"/>
      <c r="I11" s="5" t="s">
        <v>37</v>
      </c>
      <c r="J11" s="209"/>
      <c r="K11" s="5"/>
      <c r="L11" s="5"/>
      <c r="M11" s="28" t="str">
        <f t="shared" si="0"/>
        <v/>
      </c>
      <c r="N11" s="339" t="str">
        <f t="shared" si="1"/>
        <v/>
      </c>
      <c r="O11" s="7"/>
    </row>
    <row r="12" spans="1:15" ht="15.75" customHeight="1">
      <c r="A12" s="8"/>
      <c r="B12" s="7"/>
      <c r="C12" s="7"/>
      <c r="D12" s="7"/>
      <c r="E12" s="8"/>
      <c r="F12" s="146"/>
      <c r="G12" s="146"/>
      <c r="H12" s="5"/>
      <c r="I12" s="5" t="s">
        <v>37</v>
      </c>
      <c r="J12" s="209"/>
      <c r="K12" s="5"/>
      <c r="L12" s="5"/>
      <c r="M12" s="28" t="str">
        <f t="shared" si="0"/>
        <v/>
      </c>
      <c r="N12" s="339" t="str">
        <f t="shared" si="1"/>
        <v/>
      </c>
      <c r="O12" s="7"/>
    </row>
    <row r="13" spans="1:15" ht="15.75" customHeight="1">
      <c r="A13" s="8"/>
      <c r="B13" s="7"/>
      <c r="C13" s="7"/>
      <c r="D13" s="7"/>
      <c r="E13" s="8"/>
      <c r="F13" s="146"/>
      <c r="G13" s="146"/>
      <c r="H13" s="5"/>
      <c r="I13" s="5" t="s">
        <v>37</v>
      </c>
      <c r="J13" s="209"/>
      <c r="K13" s="5"/>
      <c r="L13" s="5"/>
      <c r="M13" s="28" t="str">
        <f t="shared" si="0"/>
        <v/>
      </c>
      <c r="N13" s="339" t="str">
        <f t="shared" si="1"/>
        <v/>
      </c>
      <c r="O13" s="7"/>
    </row>
    <row r="14" spans="1:15" ht="15.75" customHeight="1">
      <c r="A14" s="8"/>
      <c r="B14" s="7"/>
      <c r="C14" s="7"/>
      <c r="D14" s="7"/>
      <c r="E14" s="8"/>
      <c r="F14" s="146"/>
      <c r="G14" s="146"/>
      <c r="H14" s="5"/>
      <c r="I14" s="5" t="s">
        <v>37</v>
      </c>
      <c r="J14" s="209"/>
      <c r="K14" s="5"/>
      <c r="L14" s="5"/>
      <c r="M14" s="28" t="str">
        <f t="shared" si="0"/>
        <v/>
      </c>
      <c r="N14" s="339" t="str">
        <f t="shared" si="1"/>
        <v/>
      </c>
      <c r="O14" s="7"/>
    </row>
    <row r="15" spans="1:15" ht="15.75" customHeight="1">
      <c r="A15" s="8"/>
      <c r="B15" s="7"/>
      <c r="C15" s="7"/>
      <c r="D15" s="7"/>
      <c r="E15" s="8"/>
      <c r="F15" s="146"/>
      <c r="G15" s="146"/>
      <c r="H15" s="5"/>
      <c r="I15" s="5" t="s">
        <v>37</v>
      </c>
      <c r="J15" s="209"/>
      <c r="K15" s="5"/>
      <c r="L15" s="5"/>
      <c r="M15" s="28" t="str">
        <f t="shared" si="0"/>
        <v/>
      </c>
      <c r="N15" s="339" t="str">
        <f t="shared" si="1"/>
        <v/>
      </c>
      <c r="O15" s="7"/>
    </row>
    <row r="16" spans="1:15" ht="15.75" customHeight="1">
      <c r="A16" s="8"/>
      <c r="B16" s="7"/>
      <c r="C16" s="7"/>
      <c r="D16" s="7"/>
      <c r="E16" s="8"/>
      <c r="F16" s="146"/>
      <c r="G16" s="146"/>
      <c r="H16" s="5"/>
      <c r="I16" s="5"/>
      <c r="J16" s="209"/>
      <c r="K16" s="5"/>
      <c r="L16" s="5"/>
      <c r="M16" s="28" t="str">
        <f t="shared" si="0"/>
        <v/>
      </c>
      <c r="N16" s="339" t="str">
        <f t="shared" si="1"/>
        <v/>
      </c>
      <c r="O16" s="7"/>
    </row>
    <row r="17" spans="1:15" ht="15.75" customHeight="1">
      <c r="A17" s="8"/>
      <c r="B17" s="7"/>
      <c r="C17" s="7"/>
      <c r="D17" s="7"/>
      <c r="E17" s="8"/>
      <c r="F17" s="146"/>
      <c r="G17" s="146"/>
      <c r="H17" s="5"/>
      <c r="I17" s="5"/>
      <c r="J17" s="209"/>
      <c r="K17" s="5"/>
      <c r="L17" s="5"/>
      <c r="M17" s="28" t="str">
        <f t="shared" si="0"/>
        <v/>
      </c>
      <c r="N17" s="339" t="str">
        <f t="shared" si="1"/>
        <v/>
      </c>
      <c r="O17" s="7"/>
    </row>
    <row r="18" spans="1:15" ht="15.75" customHeight="1">
      <c r="A18" s="8"/>
      <c r="B18" s="7"/>
      <c r="C18" s="7"/>
      <c r="D18" s="7"/>
      <c r="E18" s="8"/>
      <c r="F18" s="146"/>
      <c r="G18" s="146"/>
      <c r="H18" s="5"/>
      <c r="I18" s="5"/>
      <c r="J18" s="209"/>
      <c r="K18" s="5"/>
      <c r="L18" s="5"/>
      <c r="M18" s="28" t="str">
        <f t="shared" si="0"/>
        <v/>
      </c>
      <c r="N18" s="339" t="str">
        <f t="shared" si="1"/>
        <v/>
      </c>
      <c r="O18" s="7"/>
    </row>
    <row r="19" spans="1:15" ht="15.75" customHeight="1">
      <c r="A19" s="8"/>
      <c r="B19" s="7"/>
      <c r="C19" s="7"/>
      <c r="D19" s="7"/>
      <c r="E19" s="8"/>
      <c r="F19" s="146"/>
      <c r="G19" s="146"/>
      <c r="H19" s="5"/>
      <c r="I19" s="5" t="s">
        <v>37</v>
      </c>
      <c r="J19" s="209"/>
      <c r="K19" s="5"/>
      <c r="L19" s="5"/>
      <c r="M19" s="28" t="str">
        <f t="shared" si="0"/>
        <v/>
      </c>
      <c r="N19" s="339" t="str">
        <f t="shared" si="1"/>
        <v/>
      </c>
      <c r="O19" s="7"/>
    </row>
    <row r="20" spans="1:15" ht="15.75" customHeight="1">
      <c r="A20" s="8"/>
      <c r="B20" s="7"/>
      <c r="C20" s="7"/>
      <c r="D20" s="7"/>
      <c r="E20" s="8"/>
      <c r="F20" s="146"/>
      <c r="G20" s="146"/>
      <c r="H20" s="5"/>
      <c r="I20" s="5" t="s">
        <v>37</v>
      </c>
      <c r="J20" s="209"/>
      <c r="K20" s="5"/>
      <c r="L20" s="5"/>
      <c r="M20" s="28" t="str">
        <f t="shared" si="0"/>
        <v/>
      </c>
      <c r="N20" s="339" t="str">
        <f t="shared" si="1"/>
        <v/>
      </c>
      <c r="O20" s="7"/>
    </row>
    <row r="21" spans="1:15" ht="15.75" customHeight="1">
      <c r="A21" s="8"/>
      <c r="B21" s="7"/>
      <c r="C21" s="7"/>
      <c r="D21" s="7"/>
      <c r="E21" s="8"/>
      <c r="F21" s="146"/>
      <c r="G21" s="146"/>
      <c r="H21" s="5"/>
      <c r="I21" s="5"/>
      <c r="J21" s="209"/>
      <c r="K21" s="5"/>
      <c r="L21" s="5"/>
      <c r="M21" s="28" t="str">
        <f t="shared" si="0"/>
        <v/>
      </c>
      <c r="N21" s="339" t="str">
        <f t="shared" si="1"/>
        <v/>
      </c>
      <c r="O21" s="7"/>
    </row>
    <row r="22" spans="1:15" ht="15.75" customHeight="1">
      <c r="A22" s="8"/>
      <c r="B22" s="7"/>
      <c r="C22" s="7"/>
      <c r="D22" s="7"/>
      <c r="E22" s="8"/>
      <c r="F22" s="146"/>
      <c r="G22" s="146"/>
      <c r="H22" s="5"/>
      <c r="I22" s="5"/>
      <c r="J22" s="209"/>
      <c r="K22" s="5"/>
      <c r="L22" s="5"/>
      <c r="M22" s="28" t="str">
        <f t="shared" si="0"/>
        <v/>
      </c>
      <c r="N22" s="339" t="str">
        <f t="shared" si="1"/>
        <v/>
      </c>
      <c r="O22" s="7"/>
    </row>
    <row r="23" spans="1:15" ht="15.75" customHeight="1">
      <c r="A23" s="8"/>
      <c r="B23" s="7"/>
      <c r="C23" s="7"/>
      <c r="D23" s="7"/>
      <c r="E23" s="8"/>
      <c r="F23" s="146"/>
      <c r="G23" s="146"/>
      <c r="H23" s="5"/>
      <c r="I23" s="5"/>
      <c r="J23" s="209"/>
      <c r="K23" s="5"/>
      <c r="L23" s="5"/>
      <c r="M23" s="28" t="str">
        <f t="shared" si="0"/>
        <v/>
      </c>
      <c r="N23" s="339" t="str">
        <f t="shared" si="1"/>
        <v/>
      </c>
      <c r="O23" s="7"/>
    </row>
    <row r="24" spans="1:15" ht="15.75" customHeight="1">
      <c r="A24" s="8"/>
      <c r="B24" s="7"/>
      <c r="C24" s="7"/>
      <c r="D24" s="7"/>
      <c r="E24" s="8"/>
      <c r="F24" s="146"/>
      <c r="G24" s="146"/>
      <c r="H24" s="5"/>
      <c r="I24" s="5"/>
      <c r="J24" s="209"/>
      <c r="K24" s="5"/>
      <c r="L24" s="5"/>
      <c r="M24" s="28" t="str">
        <f t="shared" si="0"/>
        <v/>
      </c>
      <c r="N24" s="339" t="str">
        <f t="shared" si="1"/>
        <v/>
      </c>
      <c r="O24" s="7"/>
    </row>
    <row r="25" spans="1:15" ht="15.75" customHeight="1">
      <c r="A25" s="8"/>
      <c r="B25" s="7"/>
      <c r="C25" s="7"/>
      <c r="D25" s="7"/>
      <c r="E25" s="8"/>
      <c r="F25" s="146"/>
      <c r="G25" s="146"/>
      <c r="H25" s="5"/>
      <c r="I25" s="5" t="s">
        <v>37</v>
      </c>
      <c r="J25" s="209"/>
      <c r="K25" s="5"/>
      <c r="L25" s="5"/>
      <c r="M25" s="28" t="str">
        <f t="shared" si="0"/>
        <v/>
      </c>
      <c r="N25" s="339" t="str">
        <f t="shared" si="1"/>
        <v/>
      </c>
      <c r="O25" s="7"/>
    </row>
    <row r="26" spans="1:15" ht="15.75" customHeight="1">
      <c r="A26" s="8"/>
      <c r="B26" s="7"/>
      <c r="C26" s="7"/>
      <c r="D26" s="7"/>
      <c r="E26" s="8"/>
      <c r="F26" s="146"/>
      <c r="G26" s="146"/>
      <c r="H26" s="5"/>
      <c r="I26" s="5" t="s">
        <v>37</v>
      </c>
      <c r="J26" s="209"/>
      <c r="K26" s="5"/>
      <c r="L26" s="5"/>
      <c r="M26" s="28" t="str">
        <f t="shared" si="0"/>
        <v/>
      </c>
      <c r="N26" s="339" t="str">
        <f t="shared" si="1"/>
        <v/>
      </c>
      <c r="O26" s="7"/>
    </row>
    <row r="27" spans="1:15" ht="15.75" customHeight="1">
      <c r="A27" s="516" t="s">
        <v>539</v>
      </c>
      <c r="B27" s="517"/>
      <c r="C27" s="508"/>
      <c r="D27" s="247"/>
      <c r="E27" s="237"/>
      <c r="F27" s="232"/>
      <c r="G27" s="232"/>
      <c r="H27" s="31"/>
      <c r="I27" s="31" t="s">
        <v>37</v>
      </c>
      <c r="J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7" s="28" t="str">
        <f t="shared" ca="1" si="0"/>
        <v/>
      </c>
      <c r="N27" s="339" t="str">
        <f t="shared" ca="1" si="1"/>
        <v/>
      </c>
      <c r="O27" s="234"/>
    </row>
    <row r="28" spans="1:15" ht="15.75" hidden="1" customHeight="1">
      <c r="A28" s="8"/>
      <c r="B28" s="7"/>
      <c r="C28" s="7"/>
      <c r="D28" s="7"/>
      <c r="E28" s="8"/>
      <c r="F28" s="146"/>
      <c r="G28" s="146"/>
      <c r="H28" s="5"/>
      <c r="I28" s="5"/>
      <c r="J28" s="209"/>
      <c r="K28" s="5"/>
      <c r="L28" s="5"/>
      <c r="M28" s="28" t="str">
        <f>IF(ISERROR(L28-K28),"",IF(L28=0,"",L28-K28))</f>
        <v/>
      </c>
      <c r="N28" s="339" t="str">
        <f>IF(ISERROR(L28-K28),"",IF(L28=0,"",IF(M28="",0,ROUND(M28*100/K28,2))))</f>
        <v/>
      </c>
      <c r="O28" s="7"/>
    </row>
    <row r="29" spans="1:15" ht="15.75" hidden="1" customHeight="1">
      <c r="A29" s="8"/>
      <c r="B29" s="7"/>
      <c r="C29" s="7"/>
      <c r="D29" s="7"/>
      <c r="E29" s="8"/>
      <c r="F29" s="146"/>
      <c r="G29" s="146"/>
      <c r="H29" s="5"/>
      <c r="I29" s="5" t="s">
        <v>37</v>
      </c>
      <c r="J29" s="209"/>
      <c r="K29" s="5"/>
      <c r="L29" s="5"/>
      <c r="M29" s="28" t="str">
        <f t="shared" ref="M29:M47" si="2">IF(ISERROR(L29-K29),"",IF(L29=0,"",L29-K29))</f>
        <v/>
      </c>
      <c r="N29" s="339" t="str">
        <f t="shared" ref="N29:N47" si="3">IF(ISERROR(L29-K29),"",IF(L29=0,"",IF(M29="",0,ROUND(M29*100/K29,2))))</f>
        <v/>
      </c>
      <c r="O29" s="7"/>
    </row>
    <row r="30" spans="1:15" ht="15.75" hidden="1" customHeight="1">
      <c r="A30" s="8"/>
      <c r="B30" s="7"/>
      <c r="C30" s="7"/>
      <c r="D30" s="7"/>
      <c r="E30" s="8"/>
      <c r="F30" s="146"/>
      <c r="G30" s="146"/>
      <c r="H30" s="5"/>
      <c r="I30" s="5" t="s">
        <v>37</v>
      </c>
      <c r="J30" s="209"/>
      <c r="K30" s="5"/>
      <c r="L30" s="5"/>
      <c r="M30" s="28" t="str">
        <f t="shared" si="2"/>
        <v/>
      </c>
      <c r="N30" s="339" t="str">
        <f t="shared" si="3"/>
        <v/>
      </c>
      <c r="O30" s="7"/>
    </row>
    <row r="31" spans="1:15" ht="15.75" hidden="1" customHeight="1">
      <c r="A31" s="8"/>
      <c r="B31" s="7"/>
      <c r="C31" s="7"/>
      <c r="D31" s="7"/>
      <c r="E31" s="8"/>
      <c r="F31" s="146"/>
      <c r="G31" s="146"/>
      <c r="H31" s="5"/>
      <c r="I31" s="5" t="s">
        <v>37</v>
      </c>
      <c r="J31" s="209"/>
      <c r="K31" s="5"/>
      <c r="L31" s="5"/>
      <c r="M31" s="28" t="str">
        <f t="shared" si="2"/>
        <v/>
      </c>
      <c r="N31" s="339" t="str">
        <f t="shared" si="3"/>
        <v/>
      </c>
      <c r="O31" s="7"/>
    </row>
    <row r="32" spans="1:15" ht="15.75" hidden="1" customHeight="1">
      <c r="A32" s="8"/>
      <c r="B32" s="7"/>
      <c r="C32" s="7"/>
      <c r="D32" s="7"/>
      <c r="E32" s="8"/>
      <c r="F32" s="146"/>
      <c r="G32" s="146"/>
      <c r="H32" s="5"/>
      <c r="I32" s="5" t="s">
        <v>37</v>
      </c>
      <c r="J32" s="209"/>
      <c r="K32" s="5"/>
      <c r="L32" s="5"/>
      <c r="M32" s="28" t="str">
        <f t="shared" si="2"/>
        <v/>
      </c>
      <c r="N32" s="339" t="str">
        <f t="shared" si="3"/>
        <v/>
      </c>
      <c r="O32" s="7"/>
    </row>
    <row r="33" spans="1:15" ht="15.75" hidden="1" customHeight="1">
      <c r="A33" s="8"/>
      <c r="B33" s="7"/>
      <c r="C33" s="7"/>
      <c r="D33" s="7"/>
      <c r="E33" s="8"/>
      <c r="F33" s="146"/>
      <c r="G33" s="146"/>
      <c r="H33" s="5"/>
      <c r="I33" s="5" t="s">
        <v>37</v>
      </c>
      <c r="J33" s="209"/>
      <c r="K33" s="5"/>
      <c r="L33" s="5"/>
      <c r="M33" s="28" t="str">
        <f t="shared" si="2"/>
        <v/>
      </c>
      <c r="N33" s="339" t="str">
        <f t="shared" si="3"/>
        <v/>
      </c>
      <c r="O33" s="7"/>
    </row>
    <row r="34" spans="1:15" ht="15.75" hidden="1" customHeight="1">
      <c r="A34" s="8"/>
      <c r="B34" s="7"/>
      <c r="C34" s="7"/>
      <c r="D34" s="7"/>
      <c r="E34" s="8"/>
      <c r="F34" s="146"/>
      <c r="G34" s="146"/>
      <c r="H34" s="5"/>
      <c r="I34" s="5" t="s">
        <v>37</v>
      </c>
      <c r="J34" s="209"/>
      <c r="K34" s="5"/>
      <c r="L34" s="5"/>
      <c r="M34" s="28" t="str">
        <f t="shared" si="2"/>
        <v/>
      </c>
      <c r="N34" s="339" t="str">
        <f t="shared" si="3"/>
        <v/>
      </c>
      <c r="O34" s="7"/>
    </row>
    <row r="35" spans="1:15" ht="15.75" hidden="1" customHeight="1">
      <c r="A35" s="8"/>
      <c r="B35" s="7"/>
      <c r="C35" s="7"/>
      <c r="D35" s="7"/>
      <c r="E35" s="8"/>
      <c r="F35" s="146"/>
      <c r="G35" s="146"/>
      <c r="H35" s="5"/>
      <c r="I35" s="5" t="s">
        <v>37</v>
      </c>
      <c r="J35" s="209"/>
      <c r="K35" s="5"/>
      <c r="L35" s="5"/>
      <c r="M35" s="28" t="str">
        <f t="shared" si="2"/>
        <v/>
      </c>
      <c r="N35" s="339" t="str">
        <f t="shared" si="3"/>
        <v/>
      </c>
      <c r="O35" s="7"/>
    </row>
    <row r="36" spans="1:15" ht="15.75" hidden="1" customHeight="1">
      <c r="A36" s="8"/>
      <c r="B36" s="7"/>
      <c r="C36" s="7"/>
      <c r="D36" s="7"/>
      <c r="E36" s="8"/>
      <c r="F36" s="146"/>
      <c r="G36" s="146"/>
      <c r="H36" s="5"/>
      <c r="I36" s="5" t="s">
        <v>37</v>
      </c>
      <c r="J36" s="209"/>
      <c r="K36" s="5"/>
      <c r="L36" s="5"/>
      <c r="M36" s="28" t="str">
        <f t="shared" si="2"/>
        <v/>
      </c>
      <c r="N36" s="339" t="str">
        <f t="shared" si="3"/>
        <v/>
      </c>
      <c r="O36" s="7"/>
    </row>
    <row r="37" spans="1:15" ht="15.75" hidden="1" customHeight="1">
      <c r="A37" s="8"/>
      <c r="B37" s="7"/>
      <c r="C37" s="7"/>
      <c r="D37" s="7"/>
      <c r="E37" s="8"/>
      <c r="F37" s="146"/>
      <c r="G37" s="146"/>
      <c r="H37" s="5"/>
      <c r="I37" s="5" t="s">
        <v>37</v>
      </c>
      <c r="J37" s="209"/>
      <c r="K37" s="5"/>
      <c r="L37" s="5"/>
      <c r="M37" s="28" t="str">
        <f t="shared" si="2"/>
        <v/>
      </c>
      <c r="N37" s="339" t="str">
        <f t="shared" si="3"/>
        <v/>
      </c>
      <c r="O37" s="7"/>
    </row>
    <row r="38" spans="1:15" ht="15.75" hidden="1" customHeight="1">
      <c r="A38" s="8"/>
      <c r="B38" s="7"/>
      <c r="C38" s="7"/>
      <c r="D38" s="7"/>
      <c r="E38" s="8"/>
      <c r="F38" s="146"/>
      <c r="G38" s="146"/>
      <c r="H38" s="5"/>
      <c r="I38" s="5" t="s">
        <v>37</v>
      </c>
      <c r="J38" s="209"/>
      <c r="K38" s="5"/>
      <c r="L38" s="5"/>
      <c r="M38" s="28" t="str">
        <f t="shared" si="2"/>
        <v/>
      </c>
      <c r="N38" s="339" t="str">
        <f t="shared" si="3"/>
        <v/>
      </c>
      <c r="O38" s="7"/>
    </row>
    <row r="39" spans="1:15" ht="15.75" hidden="1" customHeight="1">
      <c r="A39" s="8"/>
      <c r="B39" s="7"/>
      <c r="C39" s="7"/>
      <c r="D39" s="7"/>
      <c r="E39" s="8"/>
      <c r="F39" s="146"/>
      <c r="G39" s="146"/>
      <c r="H39" s="5"/>
      <c r="I39" s="5" t="s">
        <v>37</v>
      </c>
      <c r="J39" s="209"/>
      <c r="K39" s="5"/>
      <c r="L39" s="5"/>
      <c r="M39" s="28" t="str">
        <f t="shared" si="2"/>
        <v/>
      </c>
      <c r="N39" s="339" t="str">
        <f t="shared" si="3"/>
        <v/>
      </c>
      <c r="O39" s="7"/>
    </row>
    <row r="40" spans="1:15" ht="15.75" hidden="1" customHeight="1">
      <c r="A40" s="8"/>
      <c r="B40" s="7"/>
      <c r="C40" s="7"/>
      <c r="D40" s="7"/>
      <c r="E40" s="8"/>
      <c r="F40" s="146"/>
      <c r="G40" s="146"/>
      <c r="H40" s="5"/>
      <c r="I40" s="5" t="s">
        <v>37</v>
      </c>
      <c r="J40" s="209"/>
      <c r="K40" s="5"/>
      <c r="L40" s="5"/>
      <c r="M40" s="28" t="str">
        <f t="shared" si="2"/>
        <v/>
      </c>
      <c r="N40" s="339" t="str">
        <f t="shared" si="3"/>
        <v/>
      </c>
      <c r="O40" s="7"/>
    </row>
    <row r="41" spans="1:15" ht="15.75" hidden="1" customHeight="1">
      <c r="A41" s="8"/>
      <c r="B41" s="7"/>
      <c r="C41" s="7"/>
      <c r="D41" s="7"/>
      <c r="E41" s="8"/>
      <c r="F41" s="146"/>
      <c r="G41" s="146"/>
      <c r="H41" s="5"/>
      <c r="I41" s="5" t="s">
        <v>37</v>
      </c>
      <c r="J41" s="209"/>
      <c r="K41" s="5"/>
      <c r="L41" s="5"/>
      <c r="M41" s="28" t="str">
        <f t="shared" si="2"/>
        <v/>
      </c>
      <c r="N41" s="339" t="str">
        <f t="shared" si="3"/>
        <v/>
      </c>
      <c r="O41" s="7"/>
    </row>
    <row r="42" spans="1:15" ht="15.75" hidden="1" customHeight="1">
      <c r="A42" s="8"/>
      <c r="B42" s="7"/>
      <c r="C42" s="7"/>
      <c r="D42" s="7"/>
      <c r="E42" s="8"/>
      <c r="F42" s="146"/>
      <c r="G42" s="146"/>
      <c r="H42" s="5"/>
      <c r="I42" s="5" t="s">
        <v>37</v>
      </c>
      <c r="J42" s="209"/>
      <c r="K42" s="5"/>
      <c r="L42" s="5"/>
      <c r="M42" s="28" t="str">
        <f t="shared" si="2"/>
        <v/>
      </c>
      <c r="N42" s="339" t="str">
        <f t="shared" si="3"/>
        <v/>
      </c>
      <c r="O42" s="7"/>
    </row>
    <row r="43" spans="1:15" ht="15.75" hidden="1" customHeight="1">
      <c r="A43" s="8"/>
      <c r="B43" s="7"/>
      <c r="C43" s="7"/>
      <c r="D43" s="7"/>
      <c r="E43" s="8"/>
      <c r="F43" s="146"/>
      <c r="G43" s="146"/>
      <c r="H43" s="5"/>
      <c r="I43" s="5" t="s">
        <v>37</v>
      </c>
      <c r="J43" s="209"/>
      <c r="K43" s="5"/>
      <c r="L43" s="5"/>
      <c r="M43" s="28" t="str">
        <f t="shared" si="2"/>
        <v/>
      </c>
      <c r="N43" s="339" t="str">
        <f t="shared" si="3"/>
        <v/>
      </c>
      <c r="O43" s="7"/>
    </row>
    <row r="44" spans="1:15" ht="15.75" hidden="1" customHeight="1">
      <c r="A44" s="8"/>
      <c r="B44" s="7"/>
      <c r="C44" s="7"/>
      <c r="D44" s="7"/>
      <c r="E44" s="8"/>
      <c r="F44" s="146"/>
      <c r="G44" s="146"/>
      <c r="H44" s="5"/>
      <c r="I44" s="5" t="s">
        <v>37</v>
      </c>
      <c r="J44" s="209"/>
      <c r="K44" s="5"/>
      <c r="L44" s="5"/>
      <c r="M44" s="28" t="str">
        <f t="shared" si="2"/>
        <v/>
      </c>
      <c r="N44" s="339" t="str">
        <f t="shared" si="3"/>
        <v/>
      </c>
      <c r="O44" s="7"/>
    </row>
    <row r="45" spans="1:15" ht="15.75" hidden="1" customHeight="1">
      <c r="A45" s="8"/>
      <c r="B45" s="7"/>
      <c r="C45" s="7"/>
      <c r="D45" s="7"/>
      <c r="E45" s="8"/>
      <c r="F45" s="146"/>
      <c r="G45" s="146"/>
      <c r="H45" s="5"/>
      <c r="I45" s="5" t="s">
        <v>37</v>
      </c>
      <c r="J45" s="209"/>
      <c r="K45" s="5"/>
      <c r="L45" s="5"/>
      <c r="M45" s="28" t="str">
        <f t="shared" si="2"/>
        <v/>
      </c>
      <c r="N45" s="339" t="str">
        <f t="shared" si="3"/>
        <v/>
      </c>
      <c r="O45" s="7"/>
    </row>
    <row r="46" spans="1:15" ht="15.75" hidden="1" customHeight="1">
      <c r="A46" s="8"/>
      <c r="B46" s="7"/>
      <c r="C46" s="7"/>
      <c r="D46" s="7"/>
      <c r="E46" s="8"/>
      <c r="F46" s="146"/>
      <c r="G46" s="146"/>
      <c r="H46" s="5"/>
      <c r="I46" s="5" t="s">
        <v>37</v>
      </c>
      <c r="J46" s="209"/>
      <c r="K46" s="5"/>
      <c r="L46" s="5"/>
      <c r="M46" s="28" t="str">
        <f t="shared" si="2"/>
        <v/>
      </c>
      <c r="N46" s="339" t="str">
        <f t="shared" si="3"/>
        <v/>
      </c>
      <c r="O46" s="7"/>
    </row>
    <row r="47" spans="1:15" ht="15.75" hidden="1" customHeight="1">
      <c r="A47" s="8"/>
      <c r="B47" s="7"/>
      <c r="C47" s="7"/>
      <c r="D47" s="7"/>
      <c r="E47" s="8"/>
      <c r="F47" s="146"/>
      <c r="G47" s="146"/>
      <c r="H47" s="5"/>
      <c r="I47" s="5" t="s">
        <v>37</v>
      </c>
      <c r="J47" s="209"/>
      <c r="K47" s="5"/>
      <c r="L47" s="5"/>
      <c r="M47" s="28" t="str">
        <f t="shared" si="2"/>
        <v/>
      </c>
      <c r="N47" s="339" t="str">
        <f t="shared" si="3"/>
        <v/>
      </c>
      <c r="O47" s="7"/>
    </row>
  </sheetData>
  <mergeCells count="4">
    <mergeCell ref="A27:C27"/>
    <mergeCell ref="A1:O1"/>
    <mergeCell ref="A2:O2"/>
    <mergeCell ref="A3:O3"/>
  </mergeCells>
  <phoneticPr fontId="52" type="noConversion"/>
  <printOptions horizontalCentered="1" verticalCentered="1"/>
  <pageMargins left="0.9055118110236221" right="0.6692913385826772" top="0.23622047244094491" bottom="0.74803149606299213" header="1.7716535433070868" footer="0.86614173228346458"/>
  <pageSetup paperSize="9" orientation="landscape" blackAndWhite="1" r:id="rId1"/>
  <headerFooter scaleWithDoc="0">
    <oddHeader>&amp;R&amp;"宋体,常规"&amp;10表4-7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1</xdr:row>
                    <xdr:rowOff>177800</xdr:rowOff>
                  </from>
                  <to>
                    <xdr:col>2</xdr:col>
                    <xdr:colOff>304800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558800</xdr:colOff>
                    <xdr:row>1</xdr:row>
                    <xdr:rowOff>177800</xdr:rowOff>
                  </from>
                  <to>
                    <xdr:col>3</xdr:col>
                    <xdr:colOff>876300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F74B4-0CC8-4855-8B02-A318268C05EB}">
  <sheetPr codeName="Sheet55">
    <pageSetUpPr fitToPage="1"/>
  </sheetPr>
  <dimension ref="A1:Q47"/>
  <sheetViews>
    <sheetView workbookViewId="0">
      <pane ySplit="7" topLeftCell="A18" activePane="bottomLeft" state="frozen"/>
      <selection activeCell="F17" sqref="F17"/>
      <selection pane="bottomLeft" activeCell="P4" sqref="P1:P65536"/>
    </sheetView>
  </sheetViews>
  <sheetFormatPr baseColWidth="10" defaultColWidth="9" defaultRowHeight="13"/>
  <cols>
    <col min="1" max="1" width="4.5" style="81" customWidth="1"/>
    <col min="2" max="2" width="6.1640625" style="81" customWidth="1"/>
    <col min="3" max="3" width="9" style="81"/>
    <col min="4" max="4" width="13.6640625" style="81" customWidth="1"/>
    <col min="5" max="5" width="7.6640625" style="81" customWidth="1"/>
    <col min="6" max="7" width="5" style="81" customWidth="1"/>
    <col min="8" max="8" width="4.6640625" style="81" customWidth="1"/>
    <col min="9" max="9" width="4.5" style="81" customWidth="1"/>
    <col min="10" max="10" width="5" style="81" customWidth="1"/>
    <col min="11" max="11" width="7.5" style="81" customWidth="1"/>
    <col min="12" max="12" width="8.1640625" style="81" customWidth="1"/>
    <col min="13" max="14" width="9" style="81" customWidth="1"/>
    <col min="15" max="15" width="7" style="135" customWidth="1"/>
    <col min="16" max="16" width="7" style="340" customWidth="1"/>
    <col min="17" max="17" width="7.6640625" style="81" customWidth="1"/>
    <col min="18" max="16384" width="9" style="81"/>
  </cols>
  <sheetData>
    <row r="1" spans="1:17" s="80" customFormat="1" ht="30" customHeight="1">
      <c r="A1" s="374" t="s">
        <v>1004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</row>
    <row r="2" spans="1:17" s="80" customFormat="1" ht="23.25" customHeight="1">
      <c r="A2" s="523" t="s">
        <v>421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</row>
    <row r="3" spans="1:17" ht="13.5" customHeight="1">
      <c r="A3" s="376" t="str">
        <f>"评估基准日"&amp;"："&amp;IF(AND('1-汇总表'!D2=""),"",TEXT('1-汇总表'!D2,"YYYY年MM月DD日"))</f>
        <v>评估基准日：2024年12月31日</v>
      </c>
      <c r="B3" s="377"/>
      <c r="C3" s="377"/>
      <c r="D3" s="377"/>
      <c r="E3" s="377"/>
      <c r="F3" s="377"/>
      <c r="G3" s="377"/>
      <c r="H3" s="377"/>
      <c r="I3" s="377"/>
      <c r="J3" s="377"/>
      <c r="K3" s="378"/>
      <c r="L3" s="378"/>
      <c r="M3" s="378"/>
      <c r="N3" s="378"/>
      <c r="O3" s="378"/>
      <c r="P3" s="378"/>
      <c r="Q3" s="378"/>
    </row>
    <row r="4" spans="1:17" ht="12" customHeight="1">
      <c r="A4" s="42"/>
      <c r="B4" s="40"/>
      <c r="C4" s="40"/>
      <c r="D4" s="40"/>
      <c r="E4" s="40"/>
      <c r="F4" s="40"/>
      <c r="G4" s="40"/>
      <c r="H4" s="40"/>
      <c r="I4" s="40"/>
      <c r="J4" s="40"/>
      <c r="K4" s="171"/>
      <c r="L4" s="171"/>
      <c r="M4" s="171"/>
      <c r="N4" s="171"/>
      <c r="O4" s="172"/>
      <c r="P4" s="218"/>
      <c r="Q4" s="177"/>
    </row>
    <row r="5" spans="1:17" ht="12" customHeight="1">
      <c r="A5" s="42"/>
      <c r="B5" s="40"/>
      <c r="C5" s="40"/>
      <c r="D5" s="40"/>
      <c r="E5" s="40"/>
      <c r="F5" s="40"/>
      <c r="G5" s="40"/>
      <c r="H5" s="40"/>
      <c r="I5" s="40"/>
      <c r="J5" s="40"/>
      <c r="K5" s="171"/>
      <c r="L5" s="171"/>
      <c r="M5" s="171"/>
      <c r="N5" s="171"/>
      <c r="O5" s="172"/>
      <c r="P5" s="337"/>
      <c r="Q5" s="37"/>
    </row>
    <row r="6" spans="1:17" ht="12.75" customHeight="1">
      <c r="A6" s="125" t="str">
        <f>'1-汇总表'!A4</f>
        <v>被评估单位：A有限公司</v>
      </c>
      <c r="B6" s="125"/>
      <c r="C6" s="125"/>
      <c r="D6" s="125"/>
      <c r="E6" s="125"/>
      <c r="F6" s="42"/>
      <c r="G6" s="42"/>
      <c r="H6" s="42"/>
      <c r="I6" s="42"/>
      <c r="J6" s="42"/>
      <c r="K6" s="42"/>
      <c r="L6" s="42"/>
      <c r="M6" s="42"/>
      <c r="N6" s="42"/>
      <c r="O6" s="173"/>
      <c r="P6" s="218"/>
      <c r="Q6" s="122"/>
    </row>
    <row r="7" spans="1:17" s="189" customFormat="1" ht="39" customHeight="1">
      <c r="A7" s="188" t="s">
        <v>7</v>
      </c>
      <c r="B7" s="188" t="s">
        <v>63</v>
      </c>
      <c r="C7" s="188" t="s">
        <v>40</v>
      </c>
      <c r="D7" s="188" t="s">
        <v>416</v>
      </c>
      <c r="E7" s="188" t="s">
        <v>64</v>
      </c>
      <c r="F7" s="188" t="s">
        <v>61</v>
      </c>
      <c r="G7" s="188" t="s">
        <v>65</v>
      </c>
      <c r="H7" s="188" t="s">
        <v>460</v>
      </c>
      <c r="I7" s="188" t="s">
        <v>66</v>
      </c>
      <c r="J7" s="188" t="s">
        <v>67</v>
      </c>
      <c r="K7" s="188" t="s">
        <v>68</v>
      </c>
      <c r="L7" s="188" t="s">
        <v>417</v>
      </c>
      <c r="M7" s="217" t="s">
        <v>117</v>
      </c>
      <c r="N7" s="188" t="s">
        <v>0</v>
      </c>
      <c r="O7" s="175" t="s">
        <v>448</v>
      </c>
      <c r="P7" s="356" t="s">
        <v>479</v>
      </c>
      <c r="Q7" s="188" t="s">
        <v>39</v>
      </c>
    </row>
    <row r="8" spans="1:17" ht="15.75" customHeight="1">
      <c r="A8" s="8"/>
      <c r="B8" s="8"/>
      <c r="C8" s="7"/>
      <c r="D8" s="7"/>
      <c r="E8" s="7"/>
      <c r="F8" s="146"/>
      <c r="G8" s="8"/>
      <c r="H8" s="8"/>
      <c r="I8" s="8"/>
      <c r="J8" s="8"/>
      <c r="K8" s="5"/>
      <c r="L8" s="5"/>
      <c r="M8" s="6"/>
      <c r="N8" s="5"/>
      <c r="O8" s="28" t="str">
        <f>IF(ISERROR(N8-M8),"",IF(N8=0,"",N8-M8))</f>
        <v/>
      </c>
      <c r="P8" s="339" t="str">
        <f>IF(ISERROR(N8-M8),"",IF(N8=0,"",IF(O8="",0,ROUND(O8*100/M8,2))))</f>
        <v/>
      </c>
      <c r="Q8" s="7"/>
    </row>
    <row r="9" spans="1:17" ht="15.75" customHeight="1">
      <c r="A9" s="8"/>
      <c r="B9" s="8"/>
      <c r="C9" s="7"/>
      <c r="D9" s="7"/>
      <c r="E9" s="7"/>
      <c r="F9" s="146"/>
      <c r="G9" s="8"/>
      <c r="H9" s="8"/>
      <c r="I9" s="8"/>
      <c r="J9" s="8"/>
      <c r="K9" s="5"/>
      <c r="L9" s="5"/>
      <c r="M9" s="5"/>
      <c r="N9" s="5"/>
      <c r="O9" s="28" t="str">
        <f t="shared" ref="O9:O27" si="0">IF(ISERROR(N9-M9),"",IF(N9=0,"",N9-M9))</f>
        <v/>
      </c>
      <c r="P9" s="339" t="str">
        <f t="shared" ref="P9:P27" si="1">IF(ISERROR(N9-M9),"",IF(N9=0,"",IF(O9="",0,ROUND(O9*100/M9,2))))</f>
        <v/>
      </c>
      <c r="Q9" s="7"/>
    </row>
    <row r="10" spans="1:17" ht="15.75" customHeight="1">
      <c r="A10" s="8"/>
      <c r="B10" s="8"/>
      <c r="C10" s="7"/>
      <c r="D10" s="7"/>
      <c r="E10" s="7"/>
      <c r="F10" s="146"/>
      <c r="G10" s="8"/>
      <c r="H10" s="8"/>
      <c r="I10" s="8"/>
      <c r="J10" s="8"/>
      <c r="K10" s="5"/>
      <c r="L10" s="5"/>
      <c r="M10" s="5"/>
      <c r="N10" s="5"/>
      <c r="O10" s="28" t="str">
        <f t="shared" si="0"/>
        <v/>
      </c>
      <c r="P10" s="339" t="str">
        <f t="shared" si="1"/>
        <v/>
      </c>
      <c r="Q10" s="7"/>
    </row>
    <row r="11" spans="1:17" ht="15.75" customHeight="1">
      <c r="A11" s="8"/>
      <c r="B11" s="8"/>
      <c r="C11" s="7"/>
      <c r="D11" s="7"/>
      <c r="E11" s="7"/>
      <c r="F11" s="146"/>
      <c r="G11" s="8"/>
      <c r="H11" s="8"/>
      <c r="I11" s="8"/>
      <c r="J11" s="8"/>
      <c r="K11" s="5"/>
      <c r="L11" s="5"/>
      <c r="M11" s="5"/>
      <c r="N11" s="5"/>
      <c r="O11" s="28" t="str">
        <f t="shared" si="0"/>
        <v/>
      </c>
      <c r="P11" s="339" t="str">
        <f t="shared" si="1"/>
        <v/>
      </c>
      <c r="Q11" s="7"/>
    </row>
    <row r="12" spans="1:17" ht="15.75" customHeight="1">
      <c r="A12" s="8"/>
      <c r="B12" s="8"/>
      <c r="C12" s="7"/>
      <c r="D12" s="7"/>
      <c r="E12" s="7"/>
      <c r="F12" s="146"/>
      <c r="G12" s="8"/>
      <c r="H12" s="8"/>
      <c r="I12" s="8"/>
      <c r="J12" s="8"/>
      <c r="K12" s="5"/>
      <c r="L12" s="5"/>
      <c r="M12" s="5"/>
      <c r="N12" s="5"/>
      <c r="O12" s="28" t="str">
        <f t="shared" si="0"/>
        <v/>
      </c>
      <c r="P12" s="339" t="str">
        <f t="shared" si="1"/>
        <v/>
      </c>
      <c r="Q12" s="7"/>
    </row>
    <row r="13" spans="1:17" ht="15.75" customHeight="1">
      <c r="A13" s="8"/>
      <c r="B13" s="8"/>
      <c r="C13" s="7"/>
      <c r="D13" s="7"/>
      <c r="E13" s="7"/>
      <c r="F13" s="146"/>
      <c r="G13" s="8"/>
      <c r="H13" s="8"/>
      <c r="I13" s="8"/>
      <c r="J13" s="8"/>
      <c r="K13" s="5"/>
      <c r="L13" s="5"/>
      <c r="M13" s="5"/>
      <c r="N13" s="5"/>
      <c r="O13" s="28" t="str">
        <f t="shared" si="0"/>
        <v/>
      </c>
      <c r="P13" s="339" t="str">
        <f t="shared" si="1"/>
        <v/>
      </c>
      <c r="Q13" s="7"/>
    </row>
    <row r="14" spans="1:17" ht="15.75" customHeight="1">
      <c r="A14" s="8"/>
      <c r="B14" s="8"/>
      <c r="C14" s="7"/>
      <c r="D14" s="7"/>
      <c r="E14" s="7"/>
      <c r="F14" s="146"/>
      <c r="G14" s="8"/>
      <c r="H14" s="8"/>
      <c r="I14" s="8"/>
      <c r="J14" s="8"/>
      <c r="K14" s="5"/>
      <c r="L14" s="5"/>
      <c r="M14" s="5"/>
      <c r="N14" s="5"/>
      <c r="O14" s="28" t="str">
        <f t="shared" si="0"/>
        <v/>
      </c>
      <c r="P14" s="339" t="str">
        <f t="shared" si="1"/>
        <v/>
      </c>
      <c r="Q14" s="7"/>
    </row>
    <row r="15" spans="1:17" ht="15.75" customHeight="1">
      <c r="A15" s="8"/>
      <c r="B15" s="8"/>
      <c r="C15" s="7"/>
      <c r="D15" s="7"/>
      <c r="E15" s="7"/>
      <c r="F15" s="146"/>
      <c r="G15" s="8"/>
      <c r="H15" s="8"/>
      <c r="I15" s="8"/>
      <c r="J15" s="8"/>
      <c r="K15" s="5"/>
      <c r="L15" s="5"/>
      <c r="M15" s="5"/>
      <c r="N15" s="5"/>
      <c r="O15" s="28" t="str">
        <f t="shared" si="0"/>
        <v/>
      </c>
      <c r="P15" s="339" t="str">
        <f t="shared" si="1"/>
        <v/>
      </c>
      <c r="Q15" s="7"/>
    </row>
    <row r="16" spans="1:17" ht="15.75" customHeight="1">
      <c r="A16" s="8"/>
      <c r="B16" s="8"/>
      <c r="C16" s="7"/>
      <c r="D16" s="7"/>
      <c r="E16" s="7"/>
      <c r="F16" s="146"/>
      <c r="G16" s="8"/>
      <c r="H16" s="8"/>
      <c r="I16" s="8"/>
      <c r="J16" s="8"/>
      <c r="K16" s="5"/>
      <c r="L16" s="5"/>
      <c r="M16" s="5"/>
      <c r="N16" s="5"/>
      <c r="O16" s="28" t="str">
        <f t="shared" si="0"/>
        <v/>
      </c>
      <c r="P16" s="339" t="str">
        <f t="shared" si="1"/>
        <v/>
      </c>
      <c r="Q16" s="7"/>
    </row>
    <row r="17" spans="1:17" ht="15.75" customHeight="1">
      <c r="A17" s="8"/>
      <c r="B17" s="8"/>
      <c r="C17" s="7"/>
      <c r="D17" s="7"/>
      <c r="E17" s="7"/>
      <c r="F17" s="146"/>
      <c r="G17" s="8"/>
      <c r="H17" s="8"/>
      <c r="I17" s="8"/>
      <c r="J17" s="8"/>
      <c r="K17" s="5"/>
      <c r="L17" s="5"/>
      <c r="M17" s="5"/>
      <c r="N17" s="5"/>
      <c r="O17" s="28" t="str">
        <f t="shared" si="0"/>
        <v/>
      </c>
      <c r="P17" s="339" t="str">
        <f t="shared" si="1"/>
        <v/>
      </c>
      <c r="Q17" s="7"/>
    </row>
    <row r="18" spans="1:17" ht="15.75" customHeight="1">
      <c r="A18" s="8"/>
      <c r="B18" s="8"/>
      <c r="C18" s="7"/>
      <c r="D18" s="7"/>
      <c r="E18" s="7"/>
      <c r="F18" s="146"/>
      <c r="G18" s="8"/>
      <c r="H18" s="8"/>
      <c r="I18" s="8"/>
      <c r="J18" s="8"/>
      <c r="K18" s="5"/>
      <c r="L18" s="5"/>
      <c r="M18" s="5"/>
      <c r="N18" s="5"/>
      <c r="O18" s="28" t="str">
        <f t="shared" si="0"/>
        <v/>
      </c>
      <c r="P18" s="339" t="str">
        <f t="shared" si="1"/>
        <v/>
      </c>
      <c r="Q18" s="7"/>
    </row>
    <row r="19" spans="1:17" ht="15.75" customHeight="1">
      <c r="A19" s="8"/>
      <c r="B19" s="8"/>
      <c r="C19" s="7"/>
      <c r="D19" s="7"/>
      <c r="E19" s="7"/>
      <c r="F19" s="146"/>
      <c r="G19" s="8"/>
      <c r="H19" s="8"/>
      <c r="I19" s="8"/>
      <c r="J19" s="8"/>
      <c r="K19" s="5"/>
      <c r="L19" s="5"/>
      <c r="M19" s="5"/>
      <c r="N19" s="5"/>
      <c r="O19" s="28" t="str">
        <f t="shared" si="0"/>
        <v/>
      </c>
      <c r="P19" s="339" t="str">
        <f t="shared" si="1"/>
        <v/>
      </c>
      <c r="Q19" s="7"/>
    </row>
    <row r="20" spans="1:17" ht="15.75" customHeight="1">
      <c r="A20" s="8"/>
      <c r="B20" s="8"/>
      <c r="C20" s="7"/>
      <c r="D20" s="7"/>
      <c r="E20" s="7"/>
      <c r="F20" s="146"/>
      <c r="G20" s="8"/>
      <c r="H20" s="8"/>
      <c r="I20" s="8"/>
      <c r="J20" s="8"/>
      <c r="K20" s="5"/>
      <c r="L20" s="5"/>
      <c r="M20" s="5"/>
      <c r="N20" s="5"/>
      <c r="O20" s="28" t="str">
        <f t="shared" si="0"/>
        <v/>
      </c>
      <c r="P20" s="339" t="str">
        <f t="shared" si="1"/>
        <v/>
      </c>
      <c r="Q20" s="7"/>
    </row>
    <row r="21" spans="1:17" ht="15.75" customHeight="1">
      <c r="A21" s="8"/>
      <c r="B21" s="8"/>
      <c r="C21" s="7"/>
      <c r="D21" s="7"/>
      <c r="E21" s="7"/>
      <c r="F21" s="146"/>
      <c r="G21" s="8"/>
      <c r="H21" s="8"/>
      <c r="I21" s="8"/>
      <c r="J21" s="8"/>
      <c r="K21" s="5"/>
      <c r="L21" s="5"/>
      <c r="M21" s="5"/>
      <c r="N21" s="5"/>
      <c r="O21" s="28" t="str">
        <f t="shared" si="0"/>
        <v/>
      </c>
      <c r="P21" s="339" t="str">
        <f t="shared" si="1"/>
        <v/>
      </c>
      <c r="Q21" s="7"/>
    </row>
    <row r="22" spans="1:17" ht="15.75" customHeight="1">
      <c r="A22" s="8"/>
      <c r="B22" s="8"/>
      <c r="C22" s="7"/>
      <c r="D22" s="7"/>
      <c r="E22" s="7"/>
      <c r="F22" s="146"/>
      <c r="G22" s="8"/>
      <c r="H22" s="8"/>
      <c r="I22" s="8"/>
      <c r="J22" s="8"/>
      <c r="K22" s="5"/>
      <c r="L22" s="5"/>
      <c r="M22" s="5"/>
      <c r="N22" s="5"/>
      <c r="O22" s="28" t="str">
        <f t="shared" si="0"/>
        <v/>
      </c>
      <c r="P22" s="339" t="str">
        <f t="shared" si="1"/>
        <v/>
      </c>
      <c r="Q22" s="7"/>
    </row>
    <row r="23" spans="1:17" ht="15.75" customHeight="1">
      <c r="A23" s="8"/>
      <c r="B23" s="8"/>
      <c r="C23" s="7"/>
      <c r="D23" s="7"/>
      <c r="E23" s="7"/>
      <c r="F23" s="146"/>
      <c r="G23" s="8"/>
      <c r="H23" s="8"/>
      <c r="I23" s="8"/>
      <c r="J23" s="8"/>
      <c r="K23" s="5"/>
      <c r="L23" s="5"/>
      <c r="M23" s="5"/>
      <c r="N23" s="5"/>
      <c r="O23" s="28" t="str">
        <f t="shared" si="0"/>
        <v/>
      </c>
      <c r="P23" s="339" t="str">
        <f t="shared" si="1"/>
        <v/>
      </c>
      <c r="Q23" s="7"/>
    </row>
    <row r="24" spans="1:17" ht="15.75" customHeight="1">
      <c r="A24" s="8"/>
      <c r="B24" s="8"/>
      <c r="C24" s="7"/>
      <c r="D24" s="7"/>
      <c r="E24" s="7"/>
      <c r="F24" s="146"/>
      <c r="G24" s="8"/>
      <c r="H24" s="8"/>
      <c r="I24" s="8"/>
      <c r="J24" s="8"/>
      <c r="K24" s="5"/>
      <c r="L24" s="5"/>
      <c r="M24" s="5"/>
      <c r="N24" s="5"/>
      <c r="O24" s="28" t="str">
        <f t="shared" si="0"/>
        <v/>
      </c>
      <c r="P24" s="339" t="str">
        <f t="shared" si="1"/>
        <v/>
      </c>
      <c r="Q24" s="7"/>
    </row>
    <row r="25" spans="1:17" ht="15.75" customHeight="1">
      <c r="A25" s="516" t="s">
        <v>539</v>
      </c>
      <c r="B25" s="517"/>
      <c r="C25" s="508"/>
      <c r="D25" s="247"/>
      <c r="E25" s="237"/>
      <c r="F25" s="232"/>
      <c r="G25" s="232"/>
      <c r="H25" s="232"/>
      <c r="I25" s="248"/>
      <c r="J25" s="235" t="s">
        <v>37</v>
      </c>
      <c r="K25" s="243"/>
      <c r="L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5" s="28" t="str">
        <f t="shared" ca="1" si="0"/>
        <v/>
      </c>
      <c r="P25" s="339" t="str">
        <f t="shared" ca="1" si="1"/>
        <v/>
      </c>
      <c r="Q25" s="253" t="s">
        <v>37</v>
      </c>
    </row>
    <row r="26" spans="1:17" ht="15.75" customHeight="1">
      <c r="A26" s="379" t="s">
        <v>206</v>
      </c>
      <c r="B26" s="518"/>
      <c r="C26" s="444"/>
      <c r="D26" s="86"/>
      <c r="E26" s="237"/>
      <c r="F26" s="232"/>
      <c r="G26" s="232"/>
      <c r="H26" s="232"/>
      <c r="I26" s="248"/>
      <c r="J26" s="235"/>
      <c r="K26" s="243"/>
      <c r="L26" s="31"/>
      <c r="M26" s="31"/>
      <c r="N26" s="242"/>
      <c r="O26" s="28"/>
      <c r="P26" s="339"/>
      <c r="Q26" s="253" t="s">
        <v>37</v>
      </c>
    </row>
    <row r="27" spans="1:17" ht="15.75" customHeight="1">
      <c r="A27" s="516" t="s">
        <v>539</v>
      </c>
      <c r="B27" s="517"/>
      <c r="C27" s="508"/>
      <c r="D27" s="86"/>
      <c r="E27" s="237"/>
      <c r="F27" s="232"/>
      <c r="G27" s="232"/>
      <c r="H27" s="232"/>
      <c r="I27" s="30"/>
      <c r="J27" s="235"/>
      <c r="K27" s="243"/>
      <c r="L27" s="243" t="str">
        <f ca="1">IF(L26="",L25,L25-L26)</f>
        <v/>
      </c>
      <c r="M27" s="243" t="str">
        <f ca="1">IF(M26="",M25,M25-M26)</f>
        <v/>
      </c>
      <c r="N27" s="243" t="str">
        <f ca="1">IF(N26="",N25,N25-N26)</f>
        <v/>
      </c>
      <c r="O27" s="28" t="str">
        <f t="shared" ca="1" si="0"/>
        <v/>
      </c>
      <c r="P27" s="339" t="str">
        <f t="shared" ca="1" si="1"/>
        <v/>
      </c>
      <c r="Q27" s="253" t="s">
        <v>37</v>
      </c>
    </row>
    <row r="28" spans="1:17" ht="15.75" hidden="1" customHeight="1">
      <c r="A28" s="8"/>
      <c r="B28" s="8"/>
      <c r="C28" s="7"/>
      <c r="D28" s="7"/>
      <c r="E28" s="7"/>
      <c r="F28" s="146"/>
      <c r="G28" s="8"/>
      <c r="H28" s="8"/>
      <c r="I28" s="8"/>
      <c r="J28" s="8"/>
      <c r="K28" s="5"/>
      <c r="L28" s="5"/>
      <c r="M28" s="5"/>
      <c r="N28" s="5"/>
      <c r="O28" s="28" t="str">
        <f>IF(ISERROR(N28-M28),"",IF(N28=0,"",N28-M28))</f>
        <v/>
      </c>
      <c r="P28" s="339" t="str">
        <f>IF(ISERROR(N28-M28),"",IF(N28=0,"",IF(O28="",0,ROUND(O28*100/M28,2))))</f>
        <v/>
      </c>
      <c r="Q28" s="7"/>
    </row>
    <row r="29" spans="1:17" ht="15.75" hidden="1" customHeight="1">
      <c r="A29" s="8"/>
      <c r="B29" s="8"/>
      <c r="C29" s="7"/>
      <c r="D29" s="7"/>
      <c r="E29" s="7"/>
      <c r="F29" s="146"/>
      <c r="G29" s="8"/>
      <c r="H29" s="8"/>
      <c r="I29" s="8"/>
      <c r="J29" s="8"/>
      <c r="K29" s="5"/>
      <c r="L29" s="5"/>
      <c r="M29" s="5"/>
      <c r="N29" s="5"/>
      <c r="O29" s="28" t="str">
        <f t="shared" ref="O29:O47" si="2">IF(ISERROR(N29-M29),"",IF(N29=0,"",N29-M29))</f>
        <v/>
      </c>
      <c r="P29" s="339" t="str">
        <f t="shared" ref="P29:P47" si="3">IF(ISERROR(N29-M29),"",IF(N29=0,"",IF(O29="",0,ROUND(O29*100/M29,2))))</f>
        <v/>
      </c>
      <c r="Q29" s="7"/>
    </row>
    <row r="30" spans="1:17" ht="15.75" hidden="1" customHeight="1">
      <c r="A30" s="8"/>
      <c r="B30" s="8"/>
      <c r="C30" s="7"/>
      <c r="D30" s="7"/>
      <c r="E30" s="7"/>
      <c r="F30" s="146"/>
      <c r="G30" s="8"/>
      <c r="H30" s="8"/>
      <c r="I30" s="8"/>
      <c r="J30" s="8"/>
      <c r="K30" s="5"/>
      <c r="L30" s="5"/>
      <c r="M30" s="5"/>
      <c r="N30" s="5"/>
      <c r="O30" s="28" t="str">
        <f t="shared" si="2"/>
        <v/>
      </c>
      <c r="P30" s="339" t="str">
        <f t="shared" si="3"/>
        <v/>
      </c>
      <c r="Q30" s="7"/>
    </row>
    <row r="31" spans="1:17" ht="15.75" hidden="1" customHeight="1">
      <c r="A31" s="8"/>
      <c r="B31" s="8"/>
      <c r="C31" s="7"/>
      <c r="D31" s="7"/>
      <c r="E31" s="7"/>
      <c r="F31" s="146"/>
      <c r="G31" s="8"/>
      <c r="H31" s="8"/>
      <c r="I31" s="8"/>
      <c r="J31" s="8"/>
      <c r="K31" s="5"/>
      <c r="L31" s="5"/>
      <c r="M31" s="5"/>
      <c r="N31" s="5"/>
      <c r="O31" s="28" t="str">
        <f t="shared" si="2"/>
        <v/>
      </c>
      <c r="P31" s="339" t="str">
        <f t="shared" si="3"/>
        <v/>
      </c>
      <c r="Q31" s="7"/>
    </row>
    <row r="32" spans="1:17" ht="15.75" hidden="1" customHeight="1">
      <c r="A32" s="8"/>
      <c r="B32" s="8"/>
      <c r="C32" s="7"/>
      <c r="D32" s="7"/>
      <c r="E32" s="7"/>
      <c r="F32" s="146"/>
      <c r="G32" s="8"/>
      <c r="H32" s="8"/>
      <c r="I32" s="8"/>
      <c r="J32" s="8"/>
      <c r="K32" s="5"/>
      <c r="L32" s="5"/>
      <c r="M32" s="5"/>
      <c r="N32" s="5"/>
      <c r="O32" s="28" t="str">
        <f t="shared" si="2"/>
        <v/>
      </c>
      <c r="P32" s="339" t="str">
        <f t="shared" si="3"/>
        <v/>
      </c>
      <c r="Q32" s="7"/>
    </row>
    <row r="33" spans="1:17" ht="15.75" hidden="1" customHeight="1">
      <c r="A33" s="8"/>
      <c r="B33" s="8"/>
      <c r="C33" s="7"/>
      <c r="D33" s="7"/>
      <c r="E33" s="7"/>
      <c r="F33" s="146"/>
      <c r="G33" s="8"/>
      <c r="H33" s="8"/>
      <c r="I33" s="8"/>
      <c r="J33" s="8"/>
      <c r="K33" s="5"/>
      <c r="L33" s="5"/>
      <c r="M33" s="5"/>
      <c r="N33" s="5"/>
      <c r="O33" s="28" t="str">
        <f t="shared" si="2"/>
        <v/>
      </c>
      <c r="P33" s="339" t="str">
        <f t="shared" si="3"/>
        <v/>
      </c>
      <c r="Q33" s="7"/>
    </row>
    <row r="34" spans="1:17" ht="15.75" hidden="1" customHeight="1">
      <c r="A34" s="8"/>
      <c r="B34" s="8"/>
      <c r="C34" s="7"/>
      <c r="D34" s="7"/>
      <c r="E34" s="7"/>
      <c r="F34" s="146"/>
      <c r="G34" s="8"/>
      <c r="H34" s="8"/>
      <c r="I34" s="8"/>
      <c r="J34" s="8"/>
      <c r="K34" s="5"/>
      <c r="L34" s="5"/>
      <c r="M34" s="5"/>
      <c r="N34" s="5"/>
      <c r="O34" s="28" t="str">
        <f t="shared" si="2"/>
        <v/>
      </c>
      <c r="P34" s="339" t="str">
        <f t="shared" si="3"/>
        <v/>
      </c>
      <c r="Q34" s="7"/>
    </row>
    <row r="35" spans="1:17" ht="15.75" hidden="1" customHeight="1">
      <c r="A35" s="8"/>
      <c r="B35" s="8"/>
      <c r="C35" s="7"/>
      <c r="D35" s="7"/>
      <c r="E35" s="7"/>
      <c r="F35" s="146"/>
      <c r="G35" s="8"/>
      <c r="H35" s="8"/>
      <c r="I35" s="8"/>
      <c r="J35" s="8"/>
      <c r="K35" s="5"/>
      <c r="L35" s="5"/>
      <c r="M35" s="5"/>
      <c r="N35" s="5"/>
      <c r="O35" s="28" t="str">
        <f t="shared" si="2"/>
        <v/>
      </c>
      <c r="P35" s="339" t="str">
        <f t="shared" si="3"/>
        <v/>
      </c>
      <c r="Q35" s="7"/>
    </row>
    <row r="36" spans="1:17" ht="15.75" hidden="1" customHeight="1">
      <c r="A36" s="8"/>
      <c r="B36" s="8"/>
      <c r="C36" s="7"/>
      <c r="D36" s="7"/>
      <c r="E36" s="7"/>
      <c r="F36" s="146"/>
      <c r="G36" s="8"/>
      <c r="H36" s="8"/>
      <c r="I36" s="8"/>
      <c r="J36" s="8"/>
      <c r="K36" s="5"/>
      <c r="L36" s="5"/>
      <c r="M36" s="5"/>
      <c r="N36" s="5"/>
      <c r="O36" s="28" t="str">
        <f t="shared" si="2"/>
        <v/>
      </c>
      <c r="P36" s="339" t="str">
        <f t="shared" si="3"/>
        <v/>
      </c>
      <c r="Q36" s="7"/>
    </row>
    <row r="37" spans="1:17" ht="15.75" hidden="1" customHeight="1">
      <c r="A37" s="8"/>
      <c r="B37" s="8"/>
      <c r="C37" s="7"/>
      <c r="D37" s="7"/>
      <c r="E37" s="7"/>
      <c r="F37" s="146"/>
      <c r="G37" s="8"/>
      <c r="H37" s="8"/>
      <c r="I37" s="8"/>
      <c r="J37" s="8"/>
      <c r="K37" s="5"/>
      <c r="L37" s="5"/>
      <c r="M37" s="5"/>
      <c r="N37" s="5"/>
      <c r="O37" s="28" t="str">
        <f t="shared" si="2"/>
        <v/>
      </c>
      <c r="P37" s="339" t="str">
        <f t="shared" si="3"/>
        <v/>
      </c>
      <c r="Q37" s="7"/>
    </row>
    <row r="38" spans="1:17" ht="15.75" hidden="1" customHeight="1">
      <c r="A38" s="8"/>
      <c r="B38" s="8"/>
      <c r="C38" s="7"/>
      <c r="D38" s="7"/>
      <c r="E38" s="7"/>
      <c r="F38" s="146"/>
      <c r="G38" s="8"/>
      <c r="H38" s="8"/>
      <c r="I38" s="8"/>
      <c r="J38" s="8"/>
      <c r="K38" s="5"/>
      <c r="L38" s="5"/>
      <c r="M38" s="5"/>
      <c r="N38" s="5"/>
      <c r="O38" s="28" t="str">
        <f t="shared" si="2"/>
        <v/>
      </c>
      <c r="P38" s="339" t="str">
        <f t="shared" si="3"/>
        <v/>
      </c>
      <c r="Q38" s="7"/>
    </row>
    <row r="39" spans="1:17" ht="15.75" hidden="1" customHeight="1">
      <c r="A39" s="8"/>
      <c r="B39" s="8"/>
      <c r="C39" s="7"/>
      <c r="D39" s="7"/>
      <c r="E39" s="7"/>
      <c r="F39" s="146"/>
      <c r="G39" s="8"/>
      <c r="H39" s="8"/>
      <c r="I39" s="8"/>
      <c r="J39" s="8"/>
      <c r="K39" s="5"/>
      <c r="L39" s="5"/>
      <c r="M39" s="5"/>
      <c r="N39" s="5"/>
      <c r="O39" s="28" t="str">
        <f t="shared" si="2"/>
        <v/>
      </c>
      <c r="P39" s="339" t="str">
        <f t="shared" si="3"/>
        <v/>
      </c>
      <c r="Q39" s="7"/>
    </row>
    <row r="40" spans="1:17" ht="15.75" hidden="1" customHeight="1">
      <c r="A40" s="8"/>
      <c r="B40" s="8"/>
      <c r="C40" s="7"/>
      <c r="D40" s="7"/>
      <c r="E40" s="7"/>
      <c r="F40" s="146"/>
      <c r="G40" s="8"/>
      <c r="H40" s="8"/>
      <c r="I40" s="8"/>
      <c r="J40" s="8"/>
      <c r="K40" s="5"/>
      <c r="L40" s="5"/>
      <c r="M40" s="5"/>
      <c r="N40" s="5"/>
      <c r="O40" s="28" t="str">
        <f t="shared" si="2"/>
        <v/>
      </c>
      <c r="P40" s="339" t="str">
        <f t="shared" si="3"/>
        <v/>
      </c>
      <c r="Q40" s="7"/>
    </row>
    <row r="41" spans="1:17" ht="15.75" hidden="1" customHeight="1">
      <c r="A41" s="8"/>
      <c r="B41" s="8"/>
      <c r="C41" s="7"/>
      <c r="D41" s="7"/>
      <c r="E41" s="7"/>
      <c r="F41" s="146"/>
      <c r="G41" s="8"/>
      <c r="H41" s="8"/>
      <c r="I41" s="8"/>
      <c r="J41" s="8"/>
      <c r="K41" s="5"/>
      <c r="L41" s="5"/>
      <c r="M41" s="5"/>
      <c r="N41" s="5"/>
      <c r="O41" s="28" t="str">
        <f t="shared" si="2"/>
        <v/>
      </c>
      <c r="P41" s="339" t="str">
        <f t="shared" si="3"/>
        <v/>
      </c>
      <c r="Q41" s="7"/>
    </row>
    <row r="42" spans="1:17" ht="15.75" hidden="1" customHeight="1">
      <c r="A42" s="8"/>
      <c r="B42" s="8"/>
      <c r="C42" s="7"/>
      <c r="D42" s="7"/>
      <c r="E42" s="7"/>
      <c r="F42" s="146"/>
      <c r="G42" s="8"/>
      <c r="H42" s="8"/>
      <c r="I42" s="8"/>
      <c r="J42" s="8"/>
      <c r="K42" s="5"/>
      <c r="L42" s="5"/>
      <c r="M42" s="5"/>
      <c r="N42" s="5"/>
      <c r="O42" s="28" t="str">
        <f t="shared" si="2"/>
        <v/>
      </c>
      <c r="P42" s="339" t="str">
        <f t="shared" si="3"/>
        <v/>
      </c>
      <c r="Q42" s="7"/>
    </row>
    <row r="43" spans="1:17" ht="15.75" hidden="1" customHeight="1">
      <c r="A43" s="8"/>
      <c r="B43" s="8"/>
      <c r="C43" s="7"/>
      <c r="D43" s="7"/>
      <c r="E43" s="7"/>
      <c r="F43" s="146"/>
      <c r="G43" s="8"/>
      <c r="H43" s="8"/>
      <c r="I43" s="8"/>
      <c r="J43" s="8"/>
      <c r="K43" s="5"/>
      <c r="L43" s="5"/>
      <c r="M43" s="5"/>
      <c r="N43" s="5"/>
      <c r="O43" s="28" t="str">
        <f t="shared" si="2"/>
        <v/>
      </c>
      <c r="P43" s="339" t="str">
        <f t="shared" si="3"/>
        <v/>
      </c>
      <c r="Q43" s="7"/>
    </row>
    <row r="44" spans="1:17" ht="15.75" hidden="1" customHeight="1">
      <c r="A44" s="8"/>
      <c r="B44" s="8"/>
      <c r="C44" s="7"/>
      <c r="D44" s="7"/>
      <c r="E44" s="7"/>
      <c r="F44" s="146"/>
      <c r="G44" s="8"/>
      <c r="H44" s="8"/>
      <c r="I44" s="8"/>
      <c r="J44" s="8"/>
      <c r="K44" s="5"/>
      <c r="L44" s="5"/>
      <c r="M44" s="5"/>
      <c r="N44" s="5"/>
      <c r="O44" s="28" t="str">
        <f t="shared" si="2"/>
        <v/>
      </c>
      <c r="P44" s="339" t="str">
        <f t="shared" si="3"/>
        <v/>
      </c>
      <c r="Q44" s="7"/>
    </row>
    <row r="45" spans="1:17" ht="15.75" hidden="1" customHeight="1">
      <c r="A45" s="8"/>
      <c r="B45" s="8"/>
      <c r="C45" s="7"/>
      <c r="D45" s="7"/>
      <c r="E45" s="7"/>
      <c r="F45" s="146"/>
      <c r="G45" s="8"/>
      <c r="H45" s="8"/>
      <c r="I45" s="8"/>
      <c r="J45" s="8"/>
      <c r="K45" s="5"/>
      <c r="L45" s="5"/>
      <c r="M45" s="5"/>
      <c r="N45" s="5"/>
      <c r="O45" s="28" t="str">
        <f t="shared" si="2"/>
        <v/>
      </c>
      <c r="P45" s="339" t="str">
        <f t="shared" si="3"/>
        <v/>
      </c>
      <c r="Q45" s="7"/>
    </row>
    <row r="46" spans="1:17" ht="15.75" hidden="1" customHeight="1">
      <c r="A46" s="8"/>
      <c r="B46" s="8"/>
      <c r="C46" s="7"/>
      <c r="D46" s="7"/>
      <c r="E46" s="7"/>
      <c r="F46" s="146"/>
      <c r="G46" s="8"/>
      <c r="H46" s="8"/>
      <c r="I46" s="8"/>
      <c r="J46" s="8"/>
      <c r="K46" s="5"/>
      <c r="L46" s="5"/>
      <c r="M46" s="5"/>
      <c r="N46" s="5"/>
      <c r="O46" s="28" t="str">
        <f t="shared" si="2"/>
        <v/>
      </c>
      <c r="P46" s="339" t="str">
        <f t="shared" si="3"/>
        <v/>
      </c>
      <c r="Q46" s="7"/>
    </row>
    <row r="47" spans="1:17" ht="15.75" hidden="1" customHeight="1">
      <c r="A47" s="8"/>
      <c r="B47" s="8"/>
      <c r="C47" s="7"/>
      <c r="D47" s="7"/>
      <c r="E47" s="7"/>
      <c r="F47" s="146"/>
      <c r="G47" s="8"/>
      <c r="H47" s="8"/>
      <c r="I47" s="8"/>
      <c r="J47" s="8"/>
      <c r="K47" s="5"/>
      <c r="L47" s="5"/>
      <c r="M47" s="5"/>
      <c r="N47" s="5"/>
      <c r="O47" s="28" t="str">
        <f t="shared" si="2"/>
        <v/>
      </c>
      <c r="P47" s="339" t="str">
        <f t="shared" si="3"/>
        <v/>
      </c>
      <c r="Q47" s="7"/>
    </row>
  </sheetData>
  <mergeCells count="6">
    <mergeCell ref="A26:C26"/>
    <mergeCell ref="A27:C27"/>
    <mergeCell ref="A3:Q3"/>
    <mergeCell ref="A1:Q1"/>
    <mergeCell ref="A2:Q2"/>
    <mergeCell ref="A25:C25"/>
  </mergeCells>
  <phoneticPr fontId="52" type="noConversion"/>
  <printOptions horizontalCentered="1" verticalCentered="1"/>
  <pageMargins left="0.94488188976377963" right="0.70866141732283472" top="0.15748031496062992" bottom="0.86614173228346458" header="1.5748031496062993" footer="1.0629921259842521"/>
  <pageSetup paperSize="9" fitToHeight="0" orientation="landscape" blackAndWhite="1" r:id="rId1"/>
  <headerFooter scaleWithDoc="0">
    <oddHeader>&amp;R&amp;"宋体,常规"&amp;10表4-7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1</xdr:row>
                    <xdr:rowOff>177800</xdr:rowOff>
                  </from>
                  <to>
                    <xdr:col>2</xdr:col>
                    <xdr:colOff>571500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127000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63BD-C6B0-47E6-9992-FE64C7D78B3E}">
  <sheetPr codeName="Sheet66">
    <pageSetUpPr fitToPage="1"/>
  </sheetPr>
  <dimension ref="A1:R47"/>
  <sheetViews>
    <sheetView workbookViewId="0">
      <pane ySplit="7" topLeftCell="A17" activePane="bottomLeft" state="frozen"/>
      <selection activeCell="F17" sqref="F17"/>
      <selection pane="bottomLeft" activeCell="M20" sqref="M20"/>
    </sheetView>
  </sheetViews>
  <sheetFormatPr baseColWidth="10" defaultColWidth="9" defaultRowHeight="13"/>
  <cols>
    <col min="1" max="1" width="6.5" style="81" customWidth="1"/>
    <col min="2" max="2" width="7" style="81" customWidth="1"/>
    <col min="3" max="3" width="8" style="81" customWidth="1"/>
    <col min="4" max="4" width="13" style="81" customWidth="1"/>
    <col min="5" max="5" width="5.1640625" style="81" customWidth="1"/>
    <col min="6" max="6" width="4.6640625" style="81" customWidth="1"/>
    <col min="7" max="7" width="5" style="81" customWidth="1"/>
    <col min="8" max="8" width="4.6640625" style="81" customWidth="1"/>
    <col min="9" max="9" width="4.1640625" style="81" customWidth="1"/>
    <col min="10" max="10" width="4.6640625" style="81" customWidth="1"/>
    <col min="11" max="11" width="6.6640625" style="81" customWidth="1"/>
    <col min="12" max="12" width="9.6640625" style="81" customWidth="1"/>
    <col min="13" max="14" width="9.5" style="81" customWidth="1"/>
    <col min="15" max="15" width="7.1640625" style="135" customWidth="1"/>
    <col min="16" max="16" width="7.1640625" style="340" customWidth="1"/>
    <col min="17" max="17" width="7.6640625" style="81" customWidth="1"/>
    <col min="18" max="16384" width="9" style="81"/>
  </cols>
  <sheetData>
    <row r="1" spans="1:18" s="80" customFormat="1" ht="25.5" customHeight="1">
      <c r="A1" s="374" t="s">
        <v>1004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189"/>
    </row>
    <row r="2" spans="1:18" s="80" customFormat="1" ht="18.75" customHeight="1">
      <c r="A2" s="523" t="s">
        <v>420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189"/>
    </row>
    <row r="3" spans="1:18" ht="14.25" customHeight="1">
      <c r="A3" s="376" t="str">
        <f>"评估基准日"&amp;"："&amp;IF(AND('1-汇总表'!D2=""),"",TEXT('1-汇总表'!D2,"YYYY年MM月DD日"))</f>
        <v>评估基准日：2024年12月31日</v>
      </c>
      <c r="B3" s="377"/>
      <c r="C3" s="377"/>
      <c r="D3" s="377"/>
      <c r="E3" s="377"/>
      <c r="F3" s="377"/>
      <c r="G3" s="377"/>
      <c r="H3" s="377"/>
      <c r="I3" s="377"/>
      <c r="J3" s="377"/>
      <c r="K3" s="378"/>
      <c r="L3" s="378"/>
      <c r="M3" s="378"/>
      <c r="N3" s="378"/>
      <c r="O3" s="378"/>
      <c r="P3" s="378"/>
      <c r="Q3" s="378"/>
    </row>
    <row r="4" spans="1:18" ht="12" customHeight="1">
      <c r="A4" s="42"/>
      <c r="B4" s="40"/>
      <c r="C4" s="40"/>
      <c r="D4" s="40"/>
      <c r="E4" s="40"/>
      <c r="F4" s="40"/>
      <c r="G4" s="40"/>
      <c r="H4" s="40"/>
      <c r="I4" s="40"/>
      <c r="J4" s="40"/>
      <c r="K4" s="171"/>
      <c r="L4" s="171"/>
      <c r="M4" s="171"/>
      <c r="N4" s="171"/>
      <c r="O4" s="172"/>
      <c r="P4" s="131"/>
      <c r="Q4" s="178"/>
    </row>
    <row r="5" spans="1:18" ht="12" customHeight="1">
      <c r="A5" s="42"/>
      <c r="B5" s="40"/>
      <c r="C5" s="40"/>
      <c r="D5" s="40"/>
      <c r="E5" s="40"/>
      <c r="F5" s="40"/>
      <c r="G5" s="40"/>
      <c r="H5" s="40"/>
      <c r="I5" s="40"/>
      <c r="J5" s="40"/>
      <c r="K5" s="171"/>
      <c r="L5" s="171"/>
      <c r="M5" s="171"/>
      <c r="N5" s="171"/>
      <c r="O5" s="172"/>
      <c r="P5" s="337"/>
      <c r="Q5" s="37"/>
    </row>
    <row r="6" spans="1:18" ht="13.5" customHeight="1">
      <c r="A6" s="125" t="str">
        <f>'1-汇总表'!A4</f>
        <v>被评估单位：A有限公司</v>
      </c>
      <c r="B6" s="125"/>
      <c r="C6" s="125"/>
      <c r="D6" s="125"/>
      <c r="E6" s="125"/>
      <c r="F6" s="42"/>
      <c r="G6" s="42"/>
      <c r="H6" s="42"/>
      <c r="I6" s="42"/>
      <c r="J6" s="42"/>
      <c r="K6" s="42"/>
      <c r="L6" s="42"/>
      <c r="M6" s="42"/>
      <c r="N6" s="42"/>
      <c r="O6" s="173"/>
      <c r="P6" s="218"/>
      <c r="Q6" s="122"/>
    </row>
    <row r="7" spans="1:18" s="189" customFormat="1" ht="39.75" customHeight="1">
      <c r="A7" s="188" t="s">
        <v>7</v>
      </c>
      <c r="B7" s="188" t="s">
        <v>63</v>
      </c>
      <c r="C7" s="188" t="s">
        <v>40</v>
      </c>
      <c r="D7" s="188" t="s">
        <v>416</v>
      </c>
      <c r="E7" s="188" t="s">
        <v>64</v>
      </c>
      <c r="F7" s="188" t="s">
        <v>61</v>
      </c>
      <c r="G7" s="188" t="s">
        <v>65</v>
      </c>
      <c r="H7" s="188" t="s">
        <v>460</v>
      </c>
      <c r="I7" s="188" t="s">
        <v>66</v>
      </c>
      <c r="J7" s="188" t="s">
        <v>67</v>
      </c>
      <c r="K7" s="188" t="s">
        <v>68</v>
      </c>
      <c r="L7" s="188" t="s">
        <v>451</v>
      </c>
      <c r="M7" s="217" t="s">
        <v>117</v>
      </c>
      <c r="N7" s="188" t="s">
        <v>0</v>
      </c>
      <c r="O7" s="175" t="s">
        <v>448</v>
      </c>
      <c r="P7" s="356" t="s">
        <v>479</v>
      </c>
      <c r="Q7" s="188" t="s">
        <v>39</v>
      </c>
    </row>
    <row r="8" spans="1:18" ht="15.75" customHeight="1">
      <c r="A8" s="8"/>
      <c r="B8" s="8"/>
      <c r="C8" s="7"/>
      <c r="D8" s="7"/>
      <c r="E8" s="7"/>
      <c r="F8" s="146"/>
      <c r="G8" s="8"/>
      <c r="H8" s="8"/>
      <c r="I8" s="8"/>
      <c r="J8" s="8"/>
      <c r="K8" s="5"/>
      <c r="L8" s="5"/>
      <c r="M8" s="6"/>
      <c r="N8" s="5"/>
      <c r="O8" s="28" t="str">
        <f>IF(ISERROR(N8-M8),"",IF(N8=0,"",N8-M8))</f>
        <v/>
      </c>
      <c r="P8" s="339" t="str">
        <f>IF(ISERROR(N8-M8),"",IF(N8=0,"",IF(O8="",0,ROUND(O8*100/M8,2))))</f>
        <v/>
      </c>
      <c r="Q8" s="7"/>
    </row>
    <row r="9" spans="1:18" ht="15.75" customHeight="1">
      <c r="A9" s="8"/>
      <c r="B9" s="8"/>
      <c r="C9" s="7"/>
      <c r="D9" s="7"/>
      <c r="E9" s="7"/>
      <c r="F9" s="146"/>
      <c r="G9" s="8"/>
      <c r="H9" s="8"/>
      <c r="I9" s="8"/>
      <c r="J9" s="8"/>
      <c r="K9" s="5"/>
      <c r="L9" s="5"/>
      <c r="M9" s="5"/>
      <c r="N9" s="5"/>
      <c r="O9" s="28" t="str">
        <f t="shared" ref="O9:O27" si="0">IF(ISERROR(N9-M9),"",IF(N9=0,"",N9-M9))</f>
        <v/>
      </c>
      <c r="P9" s="339" t="str">
        <f t="shared" ref="P9:P27" si="1">IF(ISERROR(N9-M9),"",IF(N9=0,"",IF(O9="",0,ROUND(O9*100/M9,2))))</f>
        <v/>
      </c>
      <c r="Q9" s="7"/>
    </row>
    <row r="10" spans="1:18" ht="15.75" customHeight="1">
      <c r="A10" s="8"/>
      <c r="B10" s="8"/>
      <c r="C10" s="7"/>
      <c r="D10" s="7"/>
      <c r="E10" s="7"/>
      <c r="F10" s="146"/>
      <c r="G10" s="8"/>
      <c r="H10" s="8"/>
      <c r="I10" s="8"/>
      <c r="J10" s="8"/>
      <c r="K10" s="5"/>
      <c r="L10" s="5"/>
      <c r="M10" s="5"/>
      <c r="N10" s="5"/>
      <c r="O10" s="28" t="str">
        <f t="shared" si="0"/>
        <v/>
      </c>
      <c r="P10" s="339" t="str">
        <f t="shared" si="1"/>
        <v/>
      </c>
      <c r="Q10" s="7"/>
    </row>
    <row r="11" spans="1:18" ht="15.75" customHeight="1">
      <c r="A11" s="8"/>
      <c r="B11" s="8"/>
      <c r="C11" s="7"/>
      <c r="D11" s="7"/>
      <c r="E11" s="7"/>
      <c r="F11" s="146"/>
      <c r="G11" s="8"/>
      <c r="H11" s="8"/>
      <c r="I11" s="8"/>
      <c r="J11" s="8"/>
      <c r="K11" s="5"/>
      <c r="L11" s="5"/>
      <c r="M11" s="5"/>
      <c r="N11" s="5"/>
      <c r="O11" s="28" t="str">
        <f t="shared" si="0"/>
        <v/>
      </c>
      <c r="P11" s="339" t="str">
        <f t="shared" si="1"/>
        <v/>
      </c>
      <c r="Q11" s="7"/>
    </row>
    <row r="12" spans="1:18" ht="15.75" customHeight="1">
      <c r="A12" s="8"/>
      <c r="B12" s="8"/>
      <c r="C12" s="7"/>
      <c r="D12" s="7"/>
      <c r="E12" s="7"/>
      <c r="F12" s="146"/>
      <c r="G12" s="8"/>
      <c r="H12" s="8"/>
      <c r="I12" s="8"/>
      <c r="J12" s="8"/>
      <c r="K12" s="5"/>
      <c r="L12" s="5"/>
      <c r="M12" s="5"/>
      <c r="N12" s="5"/>
      <c r="O12" s="28" t="str">
        <f t="shared" si="0"/>
        <v/>
      </c>
      <c r="P12" s="339" t="str">
        <f t="shared" si="1"/>
        <v/>
      </c>
      <c r="Q12" s="7"/>
    </row>
    <row r="13" spans="1:18" ht="15.75" customHeight="1">
      <c r="A13" s="8"/>
      <c r="B13" s="8"/>
      <c r="C13" s="7"/>
      <c r="D13" s="7"/>
      <c r="E13" s="7"/>
      <c r="F13" s="146"/>
      <c r="G13" s="8"/>
      <c r="H13" s="8"/>
      <c r="I13" s="8"/>
      <c r="J13" s="8"/>
      <c r="K13" s="5"/>
      <c r="L13" s="5"/>
      <c r="M13" s="5"/>
      <c r="N13" s="5"/>
      <c r="O13" s="28" t="str">
        <f t="shared" si="0"/>
        <v/>
      </c>
      <c r="P13" s="339" t="str">
        <f t="shared" si="1"/>
        <v/>
      </c>
      <c r="Q13" s="7"/>
    </row>
    <row r="14" spans="1:18" ht="15.75" customHeight="1">
      <c r="A14" s="8"/>
      <c r="B14" s="8"/>
      <c r="C14" s="7"/>
      <c r="D14" s="7"/>
      <c r="E14" s="7"/>
      <c r="F14" s="146"/>
      <c r="G14" s="8"/>
      <c r="H14" s="8"/>
      <c r="I14" s="8"/>
      <c r="J14" s="8"/>
      <c r="K14" s="5"/>
      <c r="L14" s="5"/>
      <c r="M14" s="5"/>
      <c r="N14" s="5"/>
      <c r="O14" s="28" t="str">
        <f t="shared" si="0"/>
        <v/>
      </c>
      <c r="P14" s="339" t="str">
        <f t="shared" si="1"/>
        <v/>
      </c>
      <c r="Q14" s="7"/>
    </row>
    <row r="15" spans="1:18" ht="15.75" customHeight="1">
      <c r="A15" s="8"/>
      <c r="B15" s="8"/>
      <c r="C15" s="7"/>
      <c r="D15" s="7"/>
      <c r="E15" s="7"/>
      <c r="F15" s="146"/>
      <c r="G15" s="8"/>
      <c r="H15" s="8"/>
      <c r="I15" s="8"/>
      <c r="J15" s="8"/>
      <c r="K15" s="5"/>
      <c r="L15" s="5"/>
      <c r="M15" s="5"/>
      <c r="N15" s="5"/>
      <c r="O15" s="28" t="str">
        <f t="shared" si="0"/>
        <v/>
      </c>
      <c r="P15" s="339" t="str">
        <f t="shared" si="1"/>
        <v/>
      </c>
      <c r="Q15" s="7"/>
    </row>
    <row r="16" spans="1:18" ht="15.75" customHeight="1">
      <c r="A16" s="8"/>
      <c r="B16" s="8"/>
      <c r="C16" s="7"/>
      <c r="D16" s="7"/>
      <c r="E16" s="7"/>
      <c r="F16" s="146"/>
      <c r="G16" s="8"/>
      <c r="H16" s="8"/>
      <c r="I16" s="8"/>
      <c r="J16" s="8"/>
      <c r="K16" s="5"/>
      <c r="L16" s="5"/>
      <c r="M16" s="5"/>
      <c r="N16" s="5"/>
      <c r="O16" s="28" t="str">
        <f t="shared" si="0"/>
        <v/>
      </c>
      <c r="P16" s="339" t="str">
        <f t="shared" si="1"/>
        <v/>
      </c>
      <c r="Q16" s="7"/>
    </row>
    <row r="17" spans="1:17" ht="15.75" customHeight="1">
      <c r="A17" s="8"/>
      <c r="B17" s="8"/>
      <c r="C17" s="7"/>
      <c r="D17" s="7"/>
      <c r="E17" s="7"/>
      <c r="F17" s="146"/>
      <c r="G17" s="8"/>
      <c r="H17" s="8"/>
      <c r="I17" s="8"/>
      <c r="J17" s="8"/>
      <c r="K17" s="5"/>
      <c r="L17" s="5"/>
      <c r="M17" s="5"/>
      <c r="N17" s="5"/>
      <c r="O17" s="28" t="str">
        <f t="shared" si="0"/>
        <v/>
      </c>
      <c r="P17" s="339" t="str">
        <f t="shared" si="1"/>
        <v/>
      </c>
      <c r="Q17" s="7"/>
    </row>
    <row r="18" spans="1:17" ht="15.75" customHeight="1">
      <c r="A18" s="8"/>
      <c r="B18" s="8"/>
      <c r="C18" s="7"/>
      <c r="D18" s="7"/>
      <c r="E18" s="7"/>
      <c r="F18" s="146"/>
      <c r="G18" s="8"/>
      <c r="H18" s="8"/>
      <c r="I18" s="8"/>
      <c r="J18" s="8"/>
      <c r="K18" s="5"/>
      <c r="L18" s="5"/>
      <c r="M18" s="5"/>
      <c r="N18" s="5"/>
      <c r="O18" s="28" t="str">
        <f t="shared" si="0"/>
        <v/>
      </c>
      <c r="P18" s="339" t="str">
        <f t="shared" si="1"/>
        <v/>
      </c>
      <c r="Q18" s="7"/>
    </row>
    <row r="19" spans="1:17" ht="15.75" customHeight="1">
      <c r="A19" s="8"/>
      <c r="B19" s="8"/>
      <c r="C19" s="7"/>
      <c r="D19" s="7"/>
      <c r="E19" s="7"/>
      <c r="F19" s="146"/>
      <c r="G19" s="8"/>
      <c r="H19" s="8"/>
      <c r="I19" s="8"/>
      <c r="J19" s="8"/>
      <c r="K19" s="5"/>
      <c r="L19" s="5"/>
      <c r="M19" s="5"/>
      <c r="N19" s="5"/>
      <c r="O19" s="28" t="str">
        <f t="shared" si="0"/>
        <v/>
      </c>
      <c r="P19" s="339" t="str">
        <f t="shared" si="1"/>
        <v/>
      </c>
      <c r="Q19" s="7"/>
    </row>
    <row r="20" spans="1:17" ht="15.75" customHeight="1">
      <c r="A20" s="8"/>
      <c r="B20" s="8"/>
      <c r="C20" s="7"/>
      <c r="D20" s="7"/>
      <c r="E20" s="7"/>
      <c r="F20" s="146"/>
      <c r="G20" s="8"/>
      <c r="H20" s="8"/>
      <c r="I20" s="8"/>
      <c r="J20" s="8"/>
      <c r="K20" s="5"/>
      <c r="L20" s="5"/>
      <c r="M20" s="5"/>
      <c r="N20" s="5"/>
      <c r="O20" s="28" t="str">
        <f t="shared" si="0"/>
        <v/>
      </c>
      <c r="P20" s="339" t="str">
        <f t="shared" si="1"/>
        <v/>
      </c>
      <c r="Q20" s="7"/>
    </row>
    <row r="21" spans="1:17" ht="15.75" customHeight="1">
      <c r="A21" s="8"/>
      <c r="B21" s="8"/>
      <c r="C21" s="7"/>
      <c r="D21" s="7"/>
      <c r="E21" s="7"/>
      <c r="F21" s="146"/>
      <c r="G21" s="8"/>
      <c r="H21" s="8"/>
      <c r="I21" s="8"/>
      <c r="J21" s="8"/>
      <c r="K21" s="5"/>
      <c r="L21" s="5"/>
      <c r="M21" s="5"/>
      <c r="N21" s="5"/>
      <c r="O21" s="28" t="str">
        <f t="shared" si="0"/>
        <v/>
      </c>
      <c r="P21" s="339" t="str">
        <f t="shared" si="1"/>
        <v/>
      </c>
      <c r="Q21" s="7"/>
    </row>
    <row r="22" spans="1:17" ht="15.75" customHeight="1">
      <c r="A22" s="8"/>
      <c r="B22" s="8"/>
      <c r="C22" s="7"/>
      <c r="D22" s="7"/>
      <c r="E22" s="7"/>
      <c r="F22" s="146"/>
      <c r="G22" s="8"/>
      <c r="H22" s="8"/>
      <c r="I22" s="8"/>
      <c r="J22" s="8"/>
      <c r="K22" s="5"/>
      <c r="L22" s="5"/>
      <c r="M22" s="5"/>
      <c r="N22" s="5"/>
      <c r="O22" s="28" t="str">
        <f t="shared" si="0"/>
        <v/>
      </c>
      <c r="P22" s="339" t="str">
        <f t="shared" si="1"/>
        <v/>
      </c>
      <c r="Q22" s="7"/>
    </row>
    <row r="23" spans="1:17" ht="15.75" customHeight="1">
      <c r="A23" s="8"/>
      <c r="B23" s="8"/>
      <c r="C23" s="7"/>
      <c r="D23" s="7"/>
      <c r="E23" s="7"/>
      <c r="F23" s="146"/>
      <c r="G23" s="8"/>
      <c r="H23" s="8"/>
      <c r="I23" s="8"/>
      <c r="J23" s="8"/>
      <c r="K23" s="5"/>
      <c r="L23" s="5"/>
      <c r="M23" s="5"/>
      <c r="N23" s="5"/>
      <c r="O23" s="28" t="str">
        <f t="shared" si="0"/>
        <v/>
      </c>
      <c r="P23" s="339" t="str">
        <f t="shared" si="1"/>
        <v/>
      </c>
      <c r="Q23" s="7"/>
    </row>
    <row r="24" spans="1:17" ht="15.75" customHeight="1">
      <c r="A24" s="8"/>
      <c r="B24" s="8"/>
      <c r="C24" s="7"/>
      <c r="D24" s="7"/>
      <c r="E24" s="7"/>
      <c r="F24" s="146"/>
      <c r="G24" s="8"/>
      <c r="H24" s="8"/>
      <c r="I24" s="8"/>
      <c r="J24" s="8"/>
      <c r="K24" s="5"/>
      <c r="L24" s="5"/>
      <c r="M24" s="5"/>
      <c r="N24" s="5"/>
      <c r="O24" s="28" t="str">
        <f t="shared" si="0"/>
        <v/>
      </c>
      <c r="P24" s="339" t="str">
        <f t="shared" si="1"/>
        <v/>
      </c>
      <c r="Q24" s="7"/>
    </row>
    <row r="25" spans="1:17" ht="15.75" customHeight="1">
      <c r="A25" s="8"/>
      <c r="B25" s="8"/>
      <c r="C25" s="7"/>
      <c r="D25" s="7"/>
      <c r="E25" s="7"/>
      <c r="F25" s="146"/>
      <c r="G25" s="8"/>
      <c r="H25" s="8"/>
      <c r="I25" s="8"/>
      <c r="J25" s="8"/>
      <c r="K25" s="5"/>
      <c r="L25" s="5"/>
      <c r="M25" s="5"/>
      <c r="N25" s="5"/>
      <c r="O25" s="28" t="str">
        <f t="shared" si="0"/>
        <v/>
      </c>
      <c r="P25" s="339" t="str">
        <f t="shared" si="1"/>
        <v/>
      </c>
      <c r="Q25" s="7"/>
    </row>
    <row r="26" spans="1:17" ht="15.75" customHeight="1">
      <c r="A26" s="8"/>
      <c r="B26" s="8"/>
      <c r="C26" s="7"/>
      <c r="D26" s="7"/>
      <c r="E26" s="7"/>
      <c r="F26" s="146"/>
      <c r="G26" s="8"/>
      <c r="H26" s="8"/>
      <c r="I26" s="8"/>
      <c r="J26" s="8"/>
      <c r="K26" s="5"/>
      <c r="L26" s="5"/>
      <c r="M26" s="5"/>
      <c r="N26" s="5"/>
      <c r="O26" s="28" t="str">
        <f t="shared" si="0"/>
        <v/>
      </c>
      <c r="P26" s="339" t="str">
        <f t="shared" si="1"/>
        <v/>
      </c>
      <c r="Q26" s="7"/>
    </row>
    <row r="27" spans="1:17" ht="15.75" customHeight="1">
      <c r="A27" s="524" t="s">
        <v>538</v>
      </c>
      <c r="B27" s="525"/>
      <c r="C27" s="525"/>
      <c r="D27" s="525"/>
      <c r="E27" s="526"/>
      <c r="F27" s="232"/>
      <c r="G27" s="237"/>
      <c r="H27" s="237"/>
      <c r="I27" s="237"/>
      <c r="J27" s="237"/>
      <c r="K27" s="31"/>
      <c r="L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7" s="28" t="str">
        <f t="shared" ca="1" si="0"/>
        <v/>
      </c>
      <c r="P27" s="339" t="str">
        <f t="shared" ca="1" si="1"/>
        <v/>
      </c>
      <c r="Q27" s="234"/>
    </row>
    <row r="28" spans="1:17" ht="15.75" hidden="1" customHeight="1">
      <c r="A28" s="8"/>
      <c r="B28" s="8"/>
      <c r="C28" s="7"/>
      <c r="D28" s="7"/>
      <c r="E28" s="7"/>
      <c r="F28" s="146"/>
      <c r="G28" s="8"/>
      <c r="H28" s="8"/>
      <c r="I28" s="8"/>
      <c r="J28" s="8"/>
      <c r="K28" s="5"/>
      <c r="L28" s="5"/>
      <c r="M28" s="5"/>
      <c r="N28" s="5"/>
      <c r="O28" s="28" t="str">
        <f>IF(ISERROR(N28-M28),"",IF(N28=0,"",N28-M28))</f>
        <v/>
      </c>
      <c r="P28" s="339" t="str">
        <f>IF(ISERROR(N28-M28),"",IF(N28=0,"",IF(O28="",0,ROUND(O28*100/M28,2))))</f>
        <v/>
      </c>
      <c r="Q28" s="7"/>
    </row>
    <row r="29" spans="1:17" ht="15.75" hidden="1" customHeight="1">
      <c r="A29" s="8"/>
      <c r="B29" s="8"/>
      <c r="C29" s="7"/>
      <c r="D29" s="7"/>
      <c r="E29" s="7"/>
      <c r="F29" s="146"/>
      <c r="G29" s="8"/>
      <c r="H29" s="8"/>
      <c r="I29" s="8"/>
      <c r="J29" s="8"/>
      <c r="K29" s="5"/>
      <c r="L29" s="5"/>
      <c r="M29" s="5"/>
      <c r="N29" s="5"/>
      <c r="O29" s="28" t="str">
        <f t="shared" ref="O29:O47" si="2">IF(ISERROR(N29-M29),"",IF(N29=0,"",N29-M29))</f>
        <v/>
      </c>
      <c r="P29" s="339" t="str">
        <f t="shared" ref="P29:P47" si="3">IF(ISERROR(N29-M29),"",IF(N29=0,"",IF(O29="",0,ROUND(O29*100/M29,2))))</f>
        <v/>
      </c>
      <c r="Q29" s="7"/>
    </row>
    <row r="30" spans="1:17" ht="15.75" hidden="1" customHeight="1">
      <c r="A30" s="8"/>
      <c r="B30" s="8"/>
      <c r="C30" s="7"/>
      <c r="D30" s="7"/>
      <c r="E30" s="7"/>
      <c r="F30" s="146"/>
      <c r="G30" s="8"/>
      <c r="H30" s="8"/>
      <c r="I30" s="8"/>
      <c r="J30" s="8"/>
      <c r="K30" s="5"/>
      <c r="L30" s="5"/>
      <c r="M30" s="5"/>
      <c r="N30" s="5"/>
      <c r="O30" s="28" t="str">
        <f t="shared" si="2"/>
        <v/>
      </c>
      <c r="P30" s="339" t="str">
        <f t="shared" si="3"/>
        <v/>
      </c>
      <c r="Q30" s="7"/>
    </row>
    <row r="31" spans="1:17" ht="15.75" hidden="1" customHeight="1">
      <c r="A31" s="8"/>
      <c r="B31" s="8"/>
      <c r="C31" s="7"/>
      <c r="D31" s="7"/>
      <c r="E31" s="7"/>
      <c r="F31" s="146"/>
      <c r="G31" s="8"/>
      <c r="H31" s="8"/>
      <c r="I31" s="8"/>
      <c r="J31" s="8"/>
      <c r="K31" s="5"/>
      <c r="L31" s="5"/>
      <c r="M31" s="5"/>
      <c r="N31" s="5"/>
      <c r="O31" s="28" t="str">
        <f t="shared" si="2"/>
        <v/>
      </c>
      <c r="P31" s="339" t="str">
        <f t="shared" si="3"/>
        <v/>
      </c>
      <c r="Q31" s="7"/>
    </row>
    <row r="32" spans="1:17" ht="15.75" hidden="1" customHeight="1">
      <c r="A32" s="8"/>
      <c r="B32" s="8"/>
      <c r="C32" s="7"/>
      <c r="D32" s="7"/>
      <c r="E32" s="7"/>
      <c r="F32" s="146"/>
      <c r="G32" s="8"/>
      <c r="H32" s="8"/>
      <c r="I32" s="8"/>
      <c r="J32" s="8"/>
      <c r="K32" s="5"/>
      <c r="L32" s="5"/>
      <c r="M32" s="5"/>
      <c r="N32" s="5"/>
      <c r="O32" s="28" t="str">
        <f t="shared" si="2"/>
        <v/>
      </c>
      <c r="P32" s="339" t="str">
        <f t="shared" si="3"/>
        <v/>
      </c>
      <c r="Q32" s="7"/>
    </row>
    <row r="33" spans="1:17" ht="15.75" hidden="1" customHeight="1">
      <c r="A33" s="8"/>
      <c r="B33" s="8"/>
      <c r="C33" s="7"/>
      <c r="D33" s="7"/>
      <c r="E33" s="7"/>
      <c r="F33" s="146"/>
      <c r="G33" s="8"/>
      <c r="H33" s="8"/>
      <c r="I33" s="8"/>
      <c r="J33" s="8"/>
      <c r="K33" s="5"/>
      <c r="L33" s="5"/>
      <c r="M33" s="5"/>
      <c r="N33" s="5"/>
      <c r="O33" s="28" t="str">
        <f t="shared" si="2"/>
        <v/>
      </c>
      <c r="P33" s="339" t="str">
        <f t="shared" si="3"/>
        <v/>
      </c>
      <c r="Q33" s="7"/>
    </row>
    <row r="34" spans="1:17" ht="15.75" hidden="1" customHeight="1">
      <c r="A34" s="8"/>
      <c r="B34" s="8"/>
      <c r="C34" s="7"/>
      <c r="D34" s="7"/>
      <c r="E34" s="7"/>
      <c r="F34" s="146"/>
      <c r="G34" s="8"/>
      <c r="H34" s="8"/>
      <c r="I34" s="8"/>
      <c r="J34" s="8"/>
      <c r="K34" s="5"/>
      <c r="L34" s="5"/>
      <c r="M34" s="5"/>
      <c r="N34" s="5"/>
      <c r="O34" s="28" t="str">
        <f t="shared" si="2"/>
        <v/>
      </c>
      <c r="P34" s="339" t="str">
        <f t="shared" si="3"/>
        <v/>
      </c>
      <c r="Q34" s="7"/>
    </row>
    <row r="35" spans="1:17" ht="15.75" hidden="1" customHeight="1">
      <c r="A35" s="8"/>
      <c r="B35" s="8"/>
      <c r="C35" s="7"/>
      <c r="D35" s="7"/>
      <c r="E35" s="7"/>
      <c r="F35" s="146"/>
      <c r="G35" s="8"/>
      <c r="H35" s="8"/>
      <c r="I35" s="8"/>
      <c r="J35" s="8"/>
      <c r="K35" s="5"/>
      <c r="L35" s="5"/>
      <c r="M35" s="5"/>
      <c r="N35" s="5"/>
      <c r="O35" s="28" t="str">
        <f t="shared" si="2"/>
        <v/>
      </c>
      <c r="P35" s="339" t="str">
        <f t="shared" si="3"/>
        <v/>
      </c>
      <c r="Q35" s="7"/>
    </row>
    <row r="36" spans="1:17" ht="15.75" hidden="1" customHeight="1">
      <c r="A36" s="8"/>
      <c r="B36" s="8"/>
      <c r="C36" s="7"/>
      <c r="D36" s="7"/>
      <c r="E36" s="7"/>
      <c r="F36" s="146"/>
      <c r="G36" s="8"/>
      <c r="H36" s="8"/>
      <c r="I36" s="8"/>
      <c r="J36" s="8"/>
      <c r="K36" s="5"/>
      <c r="L36" s="5"/>
      <c r="M36" s="5"/>
      <c r="N36" s="5"/>
      <c r="O36" s="28" t="str">
        <f t="shared" si="2"/>
        <v/>
      </c>
      <c r="P36" s="339" t="str">
        <f t="shared" si="3"/>
        <v/>
      </c>
      <c r="Q36" s="7"/>
    </row>
    <row r="37" spans="1:17" ht="15.75" hidden="1" customHeight="1">
      <c r="A37" s="8"/>
      <c r="B37" s="8"/>
      <c r="C37" s="7"/>
      <c r="D37" s="7"/>
      <c r="E37" s="7"/>
      <c r="F37" s="146"/>
      <c r="G37" s="8"/>
      <c r="H37" s="8"/>
      <c r="I37" s="8"/>
      <c r="J37" s="8"/>
      <c r="K37" s="5"/>
      <c r="L37" s="5"/>
      <c r="M37" s="5"/>
      <c r="N37" s="5"/>
      <c r="O37" s="28" t="str">
        <f t="shared" si="2"/>
        <v/>
      </c>
      <c r="P37" s="339" t="str">
        <f t="shared" si="3"/>
        <v/>
      </c>
      <c r="Q37" s="7"/>
    </row>
    <row r="38" spans="1:17" ht="15.75" hidden="1" customHeight="1">
      <c r="A38" s="8"/>
      <c r="B38" s="8"/>
      <c r="C38" s="7"/>
      <c r="D38" s="7"/>
      <c r="E38" s="7"/>
      <c r="F38" s="146"/>
      <c r="G38" s="8"/>
      <c r="H38" s="8"/>
      <c r="I38" s="8"/>
      <c r="J38" s="8"/>
      <c r="K38" s="5"/>
      <c r="L38" s="5"/>
      <c r="M38" s="5"/>
      <c r="N38" s="5"/>
      <c r="O38" s="28" t="str">
        <f t="shared" si="2"/>
        <v/>
      </c>
      <c r="P38" s="339" t="str">
        <f t="shared" si="3"/>
        <v/>
      </c>
      <c r="Q38" s="7"/>
    </row>
    <row r="39" spans="1:17" ht="15.75" hidden="1" customHeight="1">
      <c r="A39" s="8"/>
      <c r="B39" s="8"/>
      <c r="C39" s="7"/>
      <c r="D39" s="7"/>
      <c r="E39" s="7"/>
      <c r="F39" s="146"/>
      <c r="G39" s="8"/>
      <c r="H39" s="8"/>
      <c r="I39" s="8"/>
      <c r="J39" s="8"/>
      <c r="K39" s="5"/>
      <c r="L39" s="5"/>
      <c r="M39" s="5"/>
      <c r="N39" s="5"/>
      <c r="O39" s="28" t="str">
        <f t="shared" si="2"/>
        <v/>
      </c>
      <c r="P39" s="339" t="str">
        <f t="shared" si="3"/>
        <v/>
      </c>
      <c r="Q39" s="7"/>
    </row>
    <row r="40" spans="1:17" ht="15.75" hidden="1" customHeight="1">
      <c r="A40" s="8"/>
      <c r="B40" s="8"/>
      <c r="C40" s="7"/>
      <c r="D40" s="7"/>
      <c r="E40" s="7"/>
      <c r="F40" s="146"/>
      <c r="G40" s="8"/>
      <c r="H40" s="8"/>
      <c r="I40" s="8"/>
      <c r="J40" s="8"/>
      <c r="K40" s="5"/>
      <c r="L40" s="5"/>
      <c r="M40" s="5"/>
      <c r="N40" s="5"/>
      <c r="O40" s="28" t="str">
        <f t="shared" si="2"/>
        <v/>
      </c>
      <c r="P40" s="339" t="str">
        <f t="shared" si="3"/>
        <v/>
      </c>
      <c r="Q40" s="7"/>
    </row>
    <row r="41" spans="1:17" ht="15.75" hidden="1" customHeight="1">
      <c r="A41" s="8"/>
      <c r="B41" s="8"/>
      <c r="C41" s="7"/>
      <c r="D41" s="7"/>
      <c r="E41" s="7"/>
      <c r="F41" s="146"/>
      <c r="G41" s="8"/>
      <c r="H41" s="8"/>
      <c r="I41" s="8"/>
      <c r="J41" s="8"/>
      <c r="K41" s="5"/>
      <c r="L41" s="5"/>
      <c r="M41" s="5"/>
      <c r="N41" s="5"/>
      <c r="O41" s="28" t="str">
        <f t="shared" si="2"/>
        <v/>
      </c>
      <c r="P41" s="339" t="str">
        <f t="shared" si="3"/>
        <v/>
      </c>
      <c r="Q41" s="7"/>
    </row>
    <row r="42" spans="1:17" ht="15.75" hidden="1" customHeight="1">
      <c r="A42" s="8"/>
      <c r="B42" s="8"/>
      <c r="C42" s="7"/>
      <c r="D42" s="7"/>
      <c r="E42" s="7"/>
      <c r="F42" s="146"/>
      <c r="G42" s="8"/>
      <c r="H42" s="8"/>
      <c r="I42" s="8"/>
      <c r="J42" s="8"/>
      <c r="K42" s="5"/>
      <c r="L42" s="5"/>
      <c r="M42" s="5"/>
      <c r="N42" s="5"/>
      <c r="O42" s="28" t="str">
        <f t="shared" si="2"/>
        <v/>
      </c>
      <c r="P42" s="339" t="str">
        <f t="shared" si="3"/>
        <v/>
      </c>
      <c r="Q42" s="7"/>
    </row>
    <row r="43" spans="1:17" ht="15.75" hidden="1" customHeight="1">
      <c r="A43" s="8"/>
      <c r="B43" s="8"/>
      <c r="C43" s="7"/>
      <c r="D43" s="7"/>
      <c r="E43" s="7"/>
      <c r="F43" s="146"/>
      <c r="G43" s="8"/>
      <c r="H43" s="8"/>
      <c r="I43" s="8"/>
      <c r="J43" s="8"/>
      <c r="K43" s="5"/>
      <c r="L43" s="5"/>
      <c r="M43" s="5"/>
      <c r="N43" s="5"/>
      <c r="O43" s="28" t="str">
        <f t="shared" si="2"/>
        <v/>
      </c>
      <c r="P43" s="339" t="str">
        <f t="shared" si="3"/>
        <v/>
      </c>
      <c r="Q43" s="7"/>
    </row>
    <row r="44" spans="1:17" ht="15.75" hidden="1" customHeight="1">
      <c r="A44" s="8"/>
      <c r="B44" s="8"/>
      <c r="C44" s="7"/>
      <c r="D44" s="7"/>
      <c r="E44" s="7"/>
      <c r="F44" s="146"/>
      <c r="G44" s="8"/>
      <c r="H44" s="8"/>
      <c r="I44" s="8"/>
      <c r="J44" s="8"/>
      <c r="K44" s="5"/>
      <c r="L44" s="5"/>
      <c r="M44" s="5"/>
      <c r="N44" s="5"/>
      <c r="O44" s="28" t="str">
        <f t="shared" si="2"/>
        <v/>
      </c>
      <c r="P44" s="339" t="str">
        <f t="shared" si="3"/>
        <v/>
      </c>
      <c r="Q44" s="7"/>
    </row>
    <row r="45" spans="1:17" ht="15.75" hidden="1" customHeight="1">
      <c r="A45" s="8"/>
      <c r="B45" s="8"/>
      <c r="C45" s="7"/>
      <c r="D45" s="7"/>
      <c r="E45" s="7"/>
      <c r="F45" s="146"/>
      <c r="G45" s="8"/>
      <c r="H45" s="8"/>
      <c r="I45" s="8"/>
      <c r="J45" s="8"/>
      <c r="K45" s="5"/>
      <c r="L45" s="5"/>
      <c r="M45" s="5"/>
      <c r="N45" s="5"/>
      <c r="O45" s="28" t="str">
        <f t="shared" si="2"/>
        <v/>
      </c>
      <c r="P45" s="339" t="str">
        <f t="shared" si="3"/>
        <v/>
      </c>
      <c r="Q45" s="7"/>
    </row>
    <row r="46" spans="1:17" ht="15.75" hidden="1" customHeight="1">
      <c r="A46" s="8"/>
      <c r="B46" s="8"/>
      <c r="C46" s="7"/>
      <c r="D46" s="7"/>
      <c r="E46" s="7"/>
      <c r="F46" s="146"/>
      <c r="G46" s="8"/>
      <c r="H46" s="8"/>
      <c r="I46" s="8"/>
      <c r="J46" s="8"/>
      <c r="K46" s="5"/>
      <c r="L46" s="5"/>
      <c r="M46" s="5"/>
      <c r="N46" s="5"/>
      <c r="O46" s="28" t="str">
        <f t="shared" si="2"/>
        <v/>
      </c>
      <c r="P46" s="339" t="str">
        <f t="shared" si="3"/>
        <v/>
      </c>
      <c r="Q46" s="7"/>
    </row>
    <row r="47" spans="1:17" ht="15.75" hidden="1" customHeight="1">
      <c r="A47" s="8"/>
      <c r="B47" s="8"/>
      <c r="C47" s="7"/>
      <c r="D47" s="7"/>
      <c r="E47" s="7"/>
      <c r="F47" s="146"/>
      <c r="G47" s="8"/>
      <c r="H47" s="8"/>
      <c r="I47" s="8"/>
      <c r="J47" s="8"/>
      <c r="K47" s="5"/>
      <c r="L47" s="5"/>
      <c r="M47" s="5"/>
      <c r="N47" s="5"/>
      <c r="O47" s="28" t="str">
        <f t="shared" si="2"/>
        <v/>
      </c>
      <c r="P47" s="339" t="str">
        <f t="shared" si="3"/>
        <v/>
      </c>
      <c r="Q47" s="7"/>
    </row>
  </sheetData>
  <mergeCells count="4">
    <mergeCell ref="A1:Q1"/>
    <mergeCell ref="A2:Q2"/>
    <mergeCell ref="A3:Q3"/>
    <mergeCell ref="A27:E27"/>
  </mergeCells>
  <phoneticPr fontId="6" type="noConversion"/>
  <printOptions horizontalCentered="1"/>
  <pageMargins left="0.9055118110236221" right="0.70866141732283472" top="0.86614173228346458" bottom="0.51181102362204722" header="1.5748031496062993" footer="1.0236220472440944"/>
  <pageSetup paperSize="9" fitToHeight="0" orientation="landscape" blackAndWhite="1" r:id="rId1"/>
  <headerFooter scaleWithDoc="0">
    <oddHeader>&amp;R&amp;"宋体,常规"&amp;10表4-7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1</xdr:row>
                    <xdr:rowOff>228600</xdr:rowOff>
                  </from>
                  <to>
                    <xdr:col>2</xdr:col>
                    <xdr:colOff>381000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25400</xdr:colOff>
                    <xdr:row>1</xdr:row>
                    <xdr:rowOff>228600</xdr:rowOff>
                  </from>
                  <to>
                    <xdr:col>4</xdr:col>
                    <xdr:colOff>63500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464F-91F6-45F6-A3C0-A482437868B7}">
  <sheetPr codeName="Sheet41">
    <pageSetUpPr fitToPage="1"/>
  </sheetPr>
  <dimension ref="A1:J29"/>
  <sheetViews>
    <sheetView zoomScaleNormal="100" workbookViewId="0">
      <pane ySplit="6" topLeftCell="A7" activePane="bottomLeft" state="frozen"/>
      <selection pane="bottomLeft" activeCell="G19" sqref="G19"/>
    </sheetView>
  </sheetViews>
  <sheetFormatPr baseColWidth="10" defaultColWidth="9" defaultRowHeight="15.75" customHeight="1"/>
  <cols>
    <col min="1" max="1" width="7" style="81" customWidth="1"/>
    <col min="2" max="2" width="25.6640625" style="81" customWidth="1"/>
    <col min="3" max="3" width="12.5" style="81" customWidth="1"/>
    <col min="4" max="6" width="11.1640625" style="81" customWidth="1"/>
    <col min="7" max="8" width="9.1640625" style="135" customWidth="1"/>
    <col min="9" max="9" width="7" style="340" customWidth="1"/>
    <col min="10" max="10" width="7.1640625" style="340" customWidth="1"/>
    <col min="11" max="16384" width="9" style="81"/>
  </cols>
  <sheetData>
    <row r="1" spans="1:10" s="80" customFormat="1" ht="30" customHeight="1">
      <c r="A1" s="374" t="s">
        <v>551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8"/>
      <c r="F2" s="378"/>
      <c r="G2" s="378"/>
      <c r="H2" s="378"/>
      <c r="I2" s="378"/>
      <c r="J2" s="378"/>
    </row>
    <row r="3" spans="1:10" ht="14.25" customHeight="1">
      <c r="A3" s="40"/>
      <c r="B3" s="40"/>
      <c r="C3" s="40"/>
      <c r="D3" s="40"/>
      <c r="E3" s="171"/>
      <c r="F3" s="171"/>
      <c r="G3" s="172"/>
      <c r="H3" s="534" t="s">
        <v>894</v>
      </c>
      <c r="I3" s="535"/>
      <c r="J3" s="535"/>
    </row>
    <row r="4" spans="1:10" ht="15.75" customHeight="1">
      <c r="A4" s="41" t="str">
        <f>'1-汇总表'!A4</f>
        <v>被评估单位：A有限公司</v>
      </c>
      <c r="B4" s="42"/>
      <c r="C4" s="42"/>
      <c r="D4" s="42"/>
      <c r="E4" s="42"/>
      <c r="F4" s="42"/>
      <c r="G4" s="536" t="s">
        <v>6</v>
      </c>
      <c r="H4" s="536"/>
      <c r="I4" s="536"/>
      <c r="J4" s="536"/>
    </row>
    <row r="5" spans="1:10" s="101" customFormat="1" ht="15.75" customHeight="1">
      <c r="A5" s="465" t="s">
        <v>57</v>
      </c>
      <c r="B5" s="465" t="s">
        <v>5</v>
      </c>
      <c r="C5" s="491" t="s">
        <v>117</v>
      </c>
      <c r="D5" s="533"/>
      <c r="E5" s="465" t="s">
        <v>0</v>
      </c>
      <c r="F5" s="466"/>
      <c r="G5" s="469" t="s">
        <v>9</v>
      </c>
      <c r="H5" s="470"/>
      <c r="I5" s="469" t="s">
        <v>479</v>
      </c>
      <c r="J5" s="470"/>
    </row>
    <row r="6" spans="1:10" s="101" customFormat="1" ht="15.75" customHeight="1">
      <c r="A6" s="466"/>
      <c r="B6" s="466"/>
      <c r="C6" s="124" t="s">
        <v>87</v>
      </c>
      <c r="D6" s="45" t="s">
        <v>88</v>
      </c>
      <c r="E6" s="45" t="s">
        <v>87</v>
      </c>
      <c r="F6" s="45" t="s">
        <v>88</v>
      </c>
      <c r="G6" s="175" t="s">
        <v>87</v>
      </c>
      <c r="H6" s="175" t="s">
        <v>88</v>
      </c>
      <c r="I6" s="341" t="s">
        <v>87</v>
      </c>
      <c r="J6" s="341" t="s">
        <v>88</v>
      </c>
    </row>
    <row r="7" spans="1:10" ht="15.75" customHeight="1">
      <c r="A7" s="250"/>
      <c r="B7" s="251" t="s">
        <v>373</v>
      </c>
      <c r="C7" s="32" t="str">
        <f ca="1">IF(SUM(C8:C10)=0,"",SUM(C8:C10))</f>
        <v/>
      </c>
      <c r="D7" s="32" t="str">
        <f ca="1">IF(SUM(D8:D10)=0,"",SUM(D8:D10))</f>
        <v/>
      </c>
      <c r="E7" s="32" t="str">
        <f ca="1">IF(SUM(E8:E10)=0,"",SUM(E8:E10))</f>
        <v/>
      </c>
      <c r="F7" s="32" t="str">
        <f ca="1">IF(SUM(F8:F10)=0,"",SUM(F8:F10))</f>
        <v/>
      </c>
      <c r="G7" s="28" t="str">
        <f ca="1">IF(ISERROR(E7-C7),"",IF(C7=0,"",E7-C7))</f>
        <v/>
      </c>
      <c r="H7" s="28" t="str">
        <f ca="1">IF(ISERROR(F7-D7),"",IF(D7=0,"",F7-D7))</f>
        <v/>
      </c>
      <c r="I7" s="339" t="str">
        <f ca="1">IF(ISERROR(E7-C7),"",IF(C7=0,"",IF(G7="",0,ROUND(G7*100/C7,2))))</f>
        <v/>
      </c>
      <c r="J7" s="339" t="str">
        <f ca="1">IF(ISERROR(F7-D7),"",IF(D7=0,"",IF(H7="",0,ROUND(H7*100/D7,2))))</f>
        <v/>
      </c>
    </row>
    <row r="8" spans="1:10" ht="15.75" customHeight="1">
      <c r="A8" s="206" t="s">
        <v>307</v>
      </c>
      <c r="B8" s="207" t="s">
        <v>374</v>
      </c>
      <c r="C8" s="32" t="str">
        <f ca="1">IF('4-8-1房屋建筑物'!I25=0,"",'4-8-1房屋建筑物'!I25)</f>
        <v/>
      </c>
      <c r="D8" s="29" t="str">
        <f ca="1">IF('4-8-1房屋建筑物'!J25=0,"",'4-8-1房屋建筑物'!J25)</f>
        <v/>
      </c>
      <c r="E8" s="29" t="str">
        <f ca="1">IF('4-8-1房屋建筑物'!K25=0,"",'4-8-1房屋建筑物'!K25)</f>
        <v/>
      </c>
      <c r="F8" s="29" t="str">
        <f ca="1">IF('4-8-1房屋建筑物'!M25=0,"",'4-8-1房屋建筑物'!M25)</f>
        <v/>
      </c>
      <c r="G8" s="28" t="str">
        <f t="shared" ref="G8:H10" ca="1" si="0">IF(ISERROR(E8-C8),"",IF(C8=0,"",E8-C8))</f>
        <v/>
      </c>
      <c r="H8" s="28" t="str">
        <f t="shared" ca="1" si="0"/>
        <v/>
      </c>
      <c r="I8" s="339" t="str">
        <f t="shared" ref="I8:I27" ca="1" si="1">IF(ISERROR(E8-C8),"",IF(C8=0,"",IF(G8="",0,ROUND(G8*100/C8,2))))</f>
        <v/>
      </c>
      <c r="J8" s="339" t="str">
        <f t="shared" ref="J8:J27" ca="1" si="2">IF(ISERROR(F8-D8),"",IF(D8=0,"",IF(H8="",0,ROUND(H8*100/D8,2))))</f>
        <v/>
      </c>
    </row>
    <row r="9" spans="1:10" ht="15.75" customHeight="1">
      <c r="A9" s="206" t="s">
        <v>308</v>
      </c>
      <c r="B9" s="207" t="s">
        <v>375</v>
      </c>
      <c r="C9" s="32" t="str">
        <f ca="1">IF('4-8-2构筑物'!I25=0,"",'4-8-2构筑物'!I25)</f>
        <v/>
      </c>
      <c r="D9" s="32" t="str">
        <f ca="1">IF('4-8-2构筑物'!J25=0,"",'4-8-2构筑物'!J25)</f>
        <v/>
      </c>
      <c r="E9" s="29" t="str">
        <f ca="1">IF('4-8-2构筑物'!K25=0,"",'4-8-2构筑物'!K25)</f>
        <v/>
      </c>
      <c r="F9" s="29" t="str">
        <f ca="1">IF('4-8-2构筑物'!M25=0,"",'4-8-2构筑物'!M25)</f>
        <v/>
      </c>
      <c r="G9" s="28" t="str">
        <f t="shared" ca="1" si="0"/>
        <v/>
      </c>
      <c r="H9" s="28" t="str">
        <f t="shared" ca="1" si="0"/>
        <v/>
      </c>
      <c r="I9" s="339" t="str">
        <f t="shared" ca="1" si="1"/>
        <v/>
      </c>
      <c r="J9" s="339" t="str">
        <f t="shared" ca="1" si="2"/>
        <v/>
      </c>
    </row>
    <row r="10" spans="1:10" ht="15.75" customHeight="1">
      <c r="A10" s="206" t="s">
        <v>309</v>
      </c>
      <c r="B10" s="207" t="s">
        <v>376</v>
      </c>
      <c r="C10" s="32" t="str">
        <f ca="1">IF('4-8-3管道沟槽'!I25=0,"",'4-8-3管道沟槽'!I25)</f>
        <v/>
      </c>
      <c r="D10" s="32" t="str">
        <f ca="1">IF('4-8-3管道沟槽'!J25=0,"",'4-8-3管道沟槽'!J25)</f>
        <v/>
      </c>
      <c r="E10" s="29" t="str">
        <f ca="1">IF('4-8-3管道沟槽'!K25=0,"",'4-8-3管道沟槽'!K25)</f>
        <v/>
      </c>
      <c r="F10" s="29" t="str">
        <f ca="1">IF('4-8-3管道沟槽'!M25=0,"",'4-8-3管道沟槽'!M25)</f>
        <v/>
      </c>
      <c r="G10" s="28" t="str">
        <f t="shared" ca="1" si="0"/>
        <v/>
      </c>
      <c r="H10" s="28" t="str">
        <f t="shared" ca="1" si="0"/>
        <v/>
      </c>
      <c r="I10" s="339" t="str">
        <f t="shared" ca="1" si="1"/>
        <v/>
      </c>
      <c r="J10" s="339" t="str">
        <f t="shared" ca="1" si="2"/>
        <v/>
      </c>
    </row>
    <row r="11" spans="1:10" ht="15.75" customHeight="1">
      <c r="A11" s="206"/>
      <c r="B11" s="208"/>
      <c r="C11" s="32"/>
      <c r="D11" s="29"/>
      <c r="E11" s="29"/>
      <c r="F11" s="29"/>
      <c r="G11" s="31"/>
      <c r="H11" s="31"/>
      <c r="I11" s="339"/>
      <c r="J11" s="339"/>
    </row>
    <row r="12" spans="1:10" ht="15.75" customHeight="1">
      <c r="A12" s="206"/>
      <c r="B12" s="208"/>
      <c r="C12" s="32"/>
      <c r="D12" s="29"/>
      <c r="E12" s="29"/>
      <c r="F12" s="29"/>
      <c r="G12" s="31"/>
      <c r="H12" s="31"/>
      <c r="I12" s="339"/>
      <c r="J12" s="339"/>
    </row>
    <row r="13" spans="1:10" ht="15.75" customHeight="1">
      <c r="A13" s="206"/>
      <c r="B13" s="207"/>
      <c r="C13" s="32"/>
      <c r="D13" s="29"/>
      <c r="E13" s="29"/>
      <c r="F13" s="29"/>
      <c r="G13" s="31"/>
      <c r="H13" s="31"/>
      <c r="I13" s="339"/>
      <c r="J13" s="339"/>
    </row>
    <row r="14" spans="1:10" ht="15.75" customHeight="1">
      <c r="A14" s="250"/>
      <c r="B14" s="251" t="s">
        <v>377</v>
      </c>
      <c r="C14" s="32" t="str">
        <f ca="1">IF(SUM(C15:C17)=0,"",SUM(C15:C17))</f>
        <v/>
      </c>
      <c r="D14" s="32" t="str">
        <f ca="1">IF(SUM(D15:D17)=0,"",SUM(D15:D17))</f>
        <v/>
      </c>
      <c r="E14" s="32" t="str">
        <f ca="1">IF(SUM(E15:E17)=0,"",SUM(E15:E17))</f>
        <v/>
      </c>
      <c r="F14" s="32" t="str">
        <f ca="1">IF(SUM(F15:F17)=0,"",SUM(F15:F17))</f>
        <v/>
      </c>
      <c r="G14" s="28" t="str">
        <f t="shared" ref="G14:H17" ca="1" si="3">IF(ISERROR(E14-C14),"",IF(C14=0,"",E14-C14))</f>
        <v/>
      </c>
      <c r="H14" s="28" t="str">
        <f t="shared" ca="1" si="3"/>
        <v/>
      </c>
      <c r="I14" s="339" t="str">
        <f t="shared" ca="1" si="1"/>
        <v/>
      </c>
      <c r="J14" s="339" t="str">
        <f t="shared" ca="1" si="2"/>
        <v/>
      </c>
    </row>
    <row r="15" spans="1:10" ht="15.75" customHeight="1">
      <c r="A15" s="206" t="s">
        <v>312</v>
      </c>
      <c r="B15" s="207" t="s">
        <v>378</v>
      </c>
      <c r="C15" s="32" t="str">
        <f ca="1">IF('4-8-4机器设备'!J25=0,"",'4-8-4机器设备'!J25)</f>
        <v/>
      </c>
      <c r="D15" s="32" t="str">
        <f ca="1">IF('4-8-4机器设备'!K25=0,"",'4-8-4机器设备'!K25)</f>
        <v/>
      </c>
      <c r="E15" s="32" t="str">
        <f ca="1">IF('4-8-4机器设备'!L25=0,"",'4-8-4机器设备'!L25)</f>
        <v/>
      </c>
      <c r="F15" s="29" t="str">
        <f ca="1">IF('4-8-4机器设备'!N25=0,"",'4-8-4机器设备'!N25)</f>
        <v/>
      </c>
      <c r="G15" s="28" t="str">
        <f t="shared" ca="1" si="3"/>
        <v/>
      </c>
      <c r="H15" s="28" t="str">
        <f t="shared" ca="1" si="3"/>
        <v/>
      </c>
      <c r="I15" s="339" t="str">
        <f t="shared" ca="1" si="1"/>
        <v/>
      </c>
      <c r="J15" s="339" t="str">
        <f t="shared" ca="1" si="2"/>
        <v/>
      </c>
    </row>
    <row r="16" spans="1:10" ht="15.75" customHeight="1">
      <c r="A16" s="206" t="s">
        <v>310</v>
      </c>
      <c r="B16" s="207" t="s">
        <v>379</v>
      </c>
      <c r="C16" s="32" t="str">
        <f ca="1">IF('4-8-5车辆'!J25=0,"",'4-8-5车辆'!J25)</f>
        <v/>
      </c>
      <c r="D16" s="32" t="str">
        <f ca="1">IF('4-8-5车辆'!K25=0,"",'4-8-5车辆'!K25)</f>
        <v/>
      </c>
      <c r="E16" s="32" t="str">
        <f ca="1">IF('4-8-5车辆'!L25=0,"",'4-8-5车辆'!L25)</f>
        <v/>
      </c>
      <c r="F16" s="29" t="str">
        <f ca="1">IF('4-8-5车辆'!N25=0,"",'4-8-5车辆'!N25)</f>
        <v/>
      </c>
      <c r="G16" s="28" t="str">
        <f t="shared" ca="1" si="3"/>
        <v/>
      </c>
      <c r="H16" s="28" t="str">
        <f t="shared" ca="1" si="3"/>
        <v/>
      </c>
      <c r="I16" s="339" t="str">
        <f t="shared" ca="1" si="1"/>
        <v/>
      </c>
      <c r="J16" s="339" t="str">
        <f t="shared" ca="1" si="2"/>
        <v/>
      </c>
    </row>
    <row r="17" spans="1:10" ht="15.75" customHeight="1">
      <c r="A17" s="206" t="s">
        <v>311</v>
      </c>
      <c r="B17" s="207" t="s">
        <v>380</v>
      </c>
      <c r="C17" s="32" t="str">
        <f ca="1">IF('4-8-6电子设备'!J25=0,"",'4-8-6电子设备'!J25)</f>
        <v/>
      </c>
      <c r="D17" s="32" t="str">
        <f ca="1">IF('4-8-6电子设备'!K25=0,"",'4-8-6电子设备'!K25)</f>
        <v/>
      </c>
      <c r="E17" s="32" t="str">
        <f ca="1">IF('4-8-6电子设备'!L25=0,"",'4-8-6电子设备'!L25)</f>
        <v/>
      </c>
      <c r="F17" s="29" t="str">
        <f ca="1">IF('4-8-6电子设备'!N25=0,"",'4-8-6电子设备'!N25)</f>
        <v/>
      </c>
      <c r="G17" s="28" t="str">
        <f t="shared" ca="1" si="3"/>
        <v/>
      </c>
      <c r="H17" s="28" t="str">
        <f t="shared" ca="1" si="3"/>
        <v/>
      </c>
      <c r="I17" s="339" t="str">
        <f t="shared" ca="1" si="1"/>
        <v/>
      </c>
      <c r="J17" s="339" t="str">
        <f t="shared" ca="1" si="2"/>
        <v/>
      </c>
    </row>
    <row r="18" spans="1:10" ht="15.75" customHeight="1">
      <c r="A18" s="206"/>
      <c r="B18" s="207"/>
      <c r="C18" s="32"/>
      <c r="D18" s="32"/>
      <c r="E18" s="32"/>
      <c r="F18" s="29"/>
      <c r="G18" s="28"/>
      <c r="H18" s="28"/>
      <c r="I18" s="339"/>
      <c r="J18" s="339"/>
    </row>
    <row r="19" spans="1:10" ht="15.75" customHeight="1">
      <c r="A19" s="206"/>
      <c r="B19" s="207"/>
      <c r="C19" s="32"/>
      <c r="D19" s="32"/>
      <c r="E19" s="32"/>
      <c r="F19" s="29"/>
      <c r="G19" s="28"/>
      <c r="H19" s="28"/>
      <c r="I19" s="339"/>
      <c r="J19" s="339"/>
    </row>
    <row r="20" spans="1:10" ht="15.75" customHeight="1">
      <c r="A20" s="206"/>
      <c r="B20" s="207"/>
      <c r="C20" s="32"/>
      <c r="D20" s="29"/>
      <c r="E20" s="29"/>
      <c r="F20" s="29"/>
      <c r="G20" s="31"/>
      <c r="H20" s="31"/>
      <c r="I20" s="339"/>
      <c r="J20" s="339"/>
    </row>
    <row r="21" spans="1:10" ht="15.75" customHeight="1">
      <c r="A21" s="206" t="s">
        <v>313</v>
      </c>
      <c r="B21" s="207" t="s">
        <v>381</v>
      </c>
      <c r="C21" s="32"/>
      <c r="D21" s="29" t="str">
        <f ca="1">IF('4-8-7土地'!L26=0,"",'4-8-7土地'!L26)</f>
        <v/>
      </c>
      <c r="E21" s="29"/>
      <c r="F21" s="29" t="str">
        <f ca="1">IF('4-8-7土地'!M26=0,"",'4-8-7土地'!M26)</f>
        <v/>
      </c>
      <c r="G21" s="28" t="str">
        <f>IF(ISERROR(E21-C21),"",IF(C21=0,"",E21-C21))</f>
        <v/>
      </c>
      <c r="H21" s="28" t="str">
        <f ca="1">IF(ISERROR(F21-D21),"",IF(D21=0,"",F21-D21))</f>
        <v/>
      </c>
      <c r="I21" s="339" t="str">
        <f t="shared" si="1"/>
        <v/>
      </c>
      <c r="J21" s="339" t="str">
        <f t="shared" ca="1" si="2"/>
        <v/>
      </c>
    </row>
    <row r="22" spans="1:10" ht="15.75" customHeight="1">
      <c r="A22" s="206"/>
      <c r="B22" s="207"/>
      <c r="C22" s="32"/>
      <c r="D22" s="29"/>
      <c r="E22" s="29"/>
      <c r="F22" s="29"/>
      <c r="G22" s="28"/>
      <c r="H22" s="28"/>
      <c r="I22" s="339"/>
      <c r="J22" s="339"/>
    </row>
    <row r="23" spans="1:10" ht="15.75" customHeight="1">
      <c r="A23" s="206"/>
      <c r="B23" s="207"/>
      <c r="C23" s="32"/>
      <c r="D23" s="29"/>
      <c r="E23" s="29"/>
      <c r="F23" s="29"/>
      <c r="G23" s="28"/>
      <c r="H23" s="28"/>
      <c r="I23" s="339"/>
      <c r="J23" s="339"/>
    </row>
    <row r="24" spans="1:10" ht="15.75" customHeight="1">
      <c r="A24" s="206"/>
      <c r="B24" s="207"/>
      <c r="C24" s="32"/>
      <c r="D24" s="29"/>
      <c r="E24" s="29"/>
      <c r="F24" s="29"/>
      <c r="G24" s="31"/>
      <c r="H24" s="31"/>
      <c r="I24" s="339"/>
      <c r="J24" s="339"/>
    </row>
    <row r="25" spans="1:10" ht="15.75" customHeight="1">
      <c r="A25" s="527" t="s">
        <v>537</v>
      </c>
      <c r="B25" s="528"/>
      <c r="C25" s="32" t="str">
        <f ca="1">IF(SUM(C7,C14,C21)=0,"",SUM(C7,C14,C21))</f>
        <v/>
      </c>
      <c r="D25" s="32" t="str">
        <f ca="1">IF(SUM(D7,D14,D21)=0,"",SUM(D7,D14,D21))</f>
        <v/>
      </c>
      <c r="E25" s="32" t="str">
        <f ca="1">IF(SUM(E7,E14,E21)=0,"",SUM(E7,E14,E21))</f>
        <v/>
      </c>
      <c r="F25" s="32" t="str">
        <f ca="1">IF(SUM(F7,F14,F21)=0,"",SUM(F7,F14,F21))</f>
        <v/>
      </c>
      <c r="G25" s="28" t="str">
        <f ca="1">IF(ISERROR(E25-C25),"",IF(C25=0,"",E25-C25))</f>
        <v/>
      </c>
      <c r="H25" s="28" t="str">
        <f ca="1">IF(ISERROR(F25-D25),"",IF(D25=0,"",F25-D25))</f>
        <v/>
      </c>
      <c r="I25" s="339" t="str">
        <f t="shared" ca="1" si="1"/>
        <v/>
      </c>
      <c r="J25" s="339" t="str">
        <f t="shared" ca="1" si="2"/>
        <v/>
      </c>
    </row>
    <row r="26" spans="1:10" ht="15.75" customHeight="1">
      <c r="A26" s="529" t="s">
        <v>382</v>
      </c>
      <c r="B26" s="530"/>
      <c r="C26" s="32" t="str">
        <f>IF('4-8-1房屋建筑物'!I26+'4-8-2构筑物'!I26+'4-8-3管道沟槽'!I26+'4-8-4机器设备'!J26+'4-8-5车辆'!J26+'4-8-6电子设备'!J26=0,"",'4-8-1房屋建筑物'!I26+'4-8-2构筑物'!I26+'4-8-3管道沟槽'!I26+'4-8-4机器设备'!J26+'4-8-5车辆'!J26+'4-8-6电子设备'!J26)</f>
        <v/>
      </c>
      <c r="D26" s="32" t="str">
        <f>IF('4-8-1房屋建筑物'!J26+'4-8-2构筑物'!J26+'4-8-3管道沟槽'!J26+'4-8-4机器设备'!K26+'4-8-5车辆'!K26+'4-8-6电子设备'!K26=0,"",'4-8-1房屋建筑物'!J26+'4-8-2构筑物'!J26+'4-8-3管道沟槽'!J26+'4-8-4机器设备'!K26+'4-8-5车辆'!K26+'4-8-6电子设备'!K26)</f>
        <v/>
      </c>
      <c r="E26" s="32" t="str">
        <f>IF('4-8-1房屋建筑物'!K26+'4-8-2构筑物'!K26+'4-8-3管道沟槽'!K26+'4-8-4机器设备'!L26+'4-8-5车辆'!L26+'4-8-6电子设备'!L26=0,"",'4-8-1房屋建筑物'!K26+'4-8-2构筑物'!K26+'4-8-3管道沟槽'!K26+'4-8-4机器设备'!L26+'4-8-5车辆'!L26+'4-8-6电子设备'!L26)</f>
        <v/>
      </c>
      <c r="F26" s="29" t="str">
        <f>IF('4-8-1房屋建筑物'!M26+'4-8-2构筑物'!M26+'4-8-3管道沟槽'!M26+'4-8-4机器设备'!N26+'4-8-5车辆'!N26+'4-8-6电子设备'!N26=0,"",'4-8-1房屋建筑物'!M26+'4-8-2构筑物'!M26+'4-8-3管道沟槽'!M26+'4-8-4机器设备'!N26+'4-8-5车辆'!N26+'4-8-6电子设备'!N26)</f>
        <v/>
      </c>
      <c r="G26" s="31"/>
      <c r="H26" s="31"/>
      <c r="I26" s="339"/>
      <c r="J26" s="339"/>
    </row>
    <row r="27" spans="1:10" ht="15.75" customHeight="1">
      <c r="A27" s="531" t="s">
        <v>49</v>
      </c>
      <c r="B27" s="532"/>
      <c r="C27" s="32" t="str">
        <f ca="1">IF(C26="",C25,C25-C26)</f>
        <v/>
      </c>
      <c r="D27" s="32" t="str">
        <f ca="1">IF(D26="",D25,D25-D26)</f>
        <v/>
      </c>
      <c r="E27" s="32" t="str">
        <f ca="1">IF(E26="",E25,E25-E26)</f>
        <v/>
      </c>
      <c r="F27" s="32" t="str">
        <f ca="1">IF(F26="",F25,F25-F26)</f>
        <v/>
      </c>
      <c r="G27" s="28" t="str">
        <f ca="1">IF(ISERROR(E27-C27),"",IF(C27=0,"",E27-C27))</f>
        <v/>
      </c>
      <c r="H27" s="28" t="str">
        <f ca="1">IF(ISERROR(F27-D27),"",IF(D27=0,"",F27-D27))</f>
        <v/>
      </c>
      <c r="I27" s="339" t="str">
        <f t="shared" ca="1" si="1"/>
        <v/>
      </c>
      <c r="J27" s="339" t="str">
        <f t="shared" ca="1" si="2"/>
        <v/>
      </c>
    </row>
    <row r="28" spans="1:10" ht="15.75" customHeight="1">
      <c r="E28" s="25"/>
      <c r="F28" s="25"/>
      <c r="G28" s="26"/>
      <c r="H28" s="26"/>
      <c r="I28" s="353"/>
      <c r="J28" s="353"/>
    </row>
    <row r="29" spans="1:10" ht="15.75" customHeight="1">
      <c r="A29" s="83"/>
    </row>
  </sheetData>
  <mergeCells count="13">
    <mergeCell ref="A25:B25"/>
    <mergeCell ref="A26:B26"/>
    <mergeCell ref="A27:B27"/>
    <mergeCell ref="A1:J1"/>
    <mergeCell ref="A5:A6"/>
    <mergeCell ref="B5:B6"/>
    <mergeCell ref="A2:J2"/>
    <mergeCell ref="C5:D5"/>
    <mergeCell ref="H3:J3"/>
    <mergeCell ref="G4:J4"/>
    <mergeCell ref="E5:F5"/>
    <mergeCell ref="G5:H5"/>
    <mergeCell ref="I5:J5"/>
  </mergeCells>
  <phoneticPr fontId="6" type="noConversion"/>
  <printOptions horizontalCentered="1" verticalCentered="1"/>
  <pageMargins left="0.82677165354330717" right="0.27559055118110237" top="0.70866141732283472" bottom="0.78740157480314965" header="1.3779527559055118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1104900</xdr:colOff>
                    <xdr:row>2</xdr:row>
                    <xdr:rowOff>0</xdr:rowOff>
                  </from>
                  <to>
                    <xdr:col>2</xdr:col>
                    <xdr:colOff>165100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D14B0-38B1-47CC-A652-CEC171CA58C9}">
  <sheetPr codeName="Sheet42">
    <pageSetUpPr fitToPage="1"/>
  </sheetPr>
  <dimension ref="A1:P47"/>
  <sheetViews>
    <sheetView workbookViewId="0">
      <pane ySplit="7" topLeftCell="A8" activePane="bottomLeft" state="frozen"/>
      <selection activeCell="F17" sqref="F17"/>
      <selection pane="bottomLeft" activeCell="K12" sqref="K12"/>
    </sheetView>
  </sheetViews>
  <sheetFormatPr baseColWidth="10" defaultColWidth="9" defaultRowHeight="15.75" customHeight="1"/>
  <cols>
    <col min="1" max="1" width="5" style="81" customWidth="1"/>
    <col min="2" max="2" width="7.1640625" style="81" customWidth="1"/>
    <col min="3" max="3" width="9" style="81"/>
    <col min="4" max="4" width="7" style="81" customWidth="1"/>
    <col min="5" max="5" width="5.5" style="81" customWidth="1"/>
    <col min="6" max="6" width="4.5" style="81" customWidth="1"/>
    <col min="7" max="7" width="11" style="81" customWidth="1"/>
    <col min="8" max="8" width="8" style="81" customWidth="1"/>
    <col min="9" max="11" width="10.1640625" style="81" customWidth="1"/>
    <col min="12" max="12" width="8.5" style="81" customWidth="1"/>
    <col min="13" max="13" width="10.1640625" style="81" customWidth="1"/>
    <col min="14" max="14" width="7" style="340" customWidth="1"/>
    <col min="15" max="15" width="7.6640625" style="81" customWidth="1"/>
    <col min="16" max="16" width="7.5" style="81" customWidth="1"/>
    <col min="17" max="16384" width="9" style="81"/>
  </cols>
  <sheetData>
    <row r="1" spans="1:16" s="80" customFormat="1" ht="30" customHeight="1">
      <c r="A1" s="374" t="s">
        <v>1005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</row>
    <row r="3" spans="1:16" ht="13.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131"/>
      <c r="O3" s="41"/>
      <c r="P3" s="41"/>
    </row>
    <row r="4" spans="1:16" ht="14.25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131"/>
      <c r="O4" s="37"/>
      <c r="P4" s="37"/>
    </row>
    <row r="5" spans="1:16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218"/>
      <c r="O5" s="42"/>
      <c r="P5" s="122"/>
    </row>
    <row r="6" spans="1:16" s="101" customFormat="1" ht="20.25" customHeight="1">
      <c r="A6" s="465" t="s">
        <v>7</v>
      </c>
      <c r="B6" s="465" t="s">
        <v>99</v>
      </c>
      <c r="C6" s="465" t="s">
        <v>100</v>
      </c>
      <c r="D6" s="467" t="s">
        <v>74</v>
      </c>
      <c r="E6" s="480" t="s">
        <v>126</v>
      </c>
      <c r="F6" s="521" t="s">
        <v>101</v>
      </c>
      <c r="G6" s="480" t="s">
        <v>433</v>
      </c>
      <c r="H6" s="480" t="s">
        <v>102</v>
      </c>
      <c r="I6" s="465" t="s">
        <v>117</v>
      </c>
      <c r="J6" s="466"/>
      <c r="K6" s="465" t="s">
        <v>0</v>
      </c>
      <c r="L6" s="466"/>
      <c r="M6" s="466"/>
      <c r="N6" s="538" t="s">
        <v>479</v>
      </c>
      <c r="O6" s="467" t="s">
        <v>98</v>
      </c>
      <c r="P6" s="480" t="s">
        <v>39</v>
      </c>
    </row>
    <row r="7" spans="1:16" s="101" customFormat="1" ht="25.5" customHeight="1">
      <c r="A7" s="466"/>
      <c r="B7" s="466"/>
      <c r="C7" s="466"/>
      <c r="D7" s="474"/>
      <c r="E7" s="466"/>
      <c r="F7" s="522"/>
      <c r="G7" s="466"/>
      <c r="H7" s="466"/>
      <c r="I7" s="124" t="s">
        <v>87</v>
      </c>
      <c r="J7" s="45" t="s">
        <v>88</v>
      </c>
      <c r="K7" s="45" t="s">
        <v>87</v>
      </c>
      <c r="L7" s="211" t="s">
        <v>481</v>
      </c>
      <c r="M7" s="45" t="s">
        <v>88</v>
      </c>
      <c r="N7" s="539"/>
      <c r="O7" s="468"/>
      <c r="P7" s="466"/>
    </row>
    <row r="8" spans="1:16" ht="15.75" customHeight="1">
      <c r="A8" s="8"/>
      <c r="B8" s="7"/>
      <c r="C8" s="7"/>
      <c r="D8" s="8"/>
      <c r="E8" s="146"/>
      <c r="F8" s="146"/>
      <c r="G8" s="5"/>
      <c r="H8" s="5" t="s">
        <v>37</v>
      </c>
      <c r="I8" s="6"/>
      <c r="J8" s="5"/>
      <c r="K8" s="5"/>
      <c r="L8" s="9"/>
      <c r="M8" s="5"/>
      <c r="N8" s="339" t="str">
        <f>IF(ISERROR(M8-J8),"",IF(M8=0,"",ROUND((M8-J8)*100/J8,2)))</f>
        <v/>
      </c>
      <c r="O8" s="31"/>
      <c r="P8" s="7"/>
    </row>
    <row r="9" spans="1:16" ht="15.75" customHeight="1">
      <c r="A9" s="8"/>
      <c r="B9" s="7"/>
      <c r="C9" s="7"/>
      <c r="D9" s="8"/>
      <c r="E9" s="146"/>
      <c r="F9" s="146"/>
      <c r="G9" s="5"/>
      <c r="H9" s="5" t="s">
        <v>37</v>
      </c>
      <c r="I9" s="6"/>
      <c r="J9" s="5"/>
      <c r="K9" s="5"/>
      <c r="L9" s="9"/>
      <c r="M9" s="5"/>
      <c r="N9" s="339" t="str">
        <f t="shared" ref="N9:N28" si="0">IF(ISERROR(M9-J9),"",IF(M9=0,"",ROUND((M9-J9)*100/J9,2)))</f>
        <v/>
      </c>
      <c r="O9" s="31"/>
      <c r="P9" s="7"/>
    </row>
    <row r="10" spans="1:16" ht="15.75" customHeight="1">
      <c r="A10" s="8"/>
      <c r="B10" s="7"/>
      <c r="C10" s="7"/>
      <c r="D10" s="8"/>
      <c r="E10" s="146"/>
      <c r="F10" s="146"/>
      <c r="G10" s="5"/>
      <c r="H10" s="5" t="s">
        <v>37</v>
      </c>
      <c r="I10" s="6"/>
      <c r="J10" s="5"/>
      <c r="K10" s="5"/>
      <c r="L10" s="9"/>
      <c r="M10" s="5"/>
      <c r="N10" s="339" t="str">
        <f t="shared" si="0"/>
        <v/>
      </c>
      <c r="O10" s="31"/>
      <c r="P10" s="7"/>
    </row>
    <row r="11" spans="1:16" ht="15.75" customHeight="1">
      <c r="A11" s="8"/>
      <c r="B11" s="7"/>
      <c r="C11" s="7"/>
      <c r="D11" s="8"/>
      <c r="E11" s="146"/>
      <c r="F11" s="146"/>
      <c r="G11" s="5"/>
      <c r="H11" s="5" t="s">
        <v>37</v>
      </c>
      <c r="I11" s="205"/>
      <c r="J11" s="5"/>
      <c r="K11" s="5"/>
      <c r="L11" s="9"/>
      <c r="M11" s="5"/>
      <c r="N11" s="339" t="str">
        <f t="shared" si="0"/>
        <v/>
      </c>
      <c r="O11" s="31"/>
      <c r="P11" s="7"/>
    </row>
    <row r="12" spans="1:16" ht="15.75" customHeight="1">
      <c r="A12" s="8"/>
      <c r="B12" s="7"/>
      <c r="C12" s="7"/>
      <c r="D12" s="8"/>
      <c r="E12" s="146"/>
      <c r="F12" s="146"/>
      <c r="G12" s="5"/>
      <c r="H12" s="5" t="s">
        <v>37</v>
      </c>
      <c r="I12" s="6"/>
      <c r="J12" s="5"/>
      <c r="K12" s="5"/>
      <c r="L12" s="9"/>
      <c r="M12" s="5"/>
      <c r="N12" s="339" t="str">
        <f t="shared" si="0"/>
        <v/>
      </c>
      <c r="O12" s="31"/>
      <c r="P12" s="7"/>
    </row>
    <row r="13" spans="1:16" ht="15.75" customHeight="1">
      <c r="A13" s="8"/>
      <c r="B13" s="7"/>
      <c r="C13" s="7"/>
      <c r="D13" s="8"/>
      <c r="E13" s="146"/>
      <c r="F13" s="146"/>
      <c r="G13" s="5"/>
      <c r="H13" s="5" t="s">
        <v>37</v>
      </c>
      <c r="I13" s="6"/>
      <c r="J13" s="5"/>
      <c r="K13" s="5"/>
      <c r="L13" s="9"/>
      <c r="M13" s="5"/>
      <c r="N13" s="339" t="str">
        <f t="shared" si="0"/>
        <v/>
      </c>
      <c r="O13" s="31"/>
      <c r="P13" s="7"/>
    </row>
    <row r="14" spans="1:16" ht="15.75" customHeight="1">
      <c r="A14" s="8"/>
      <c r="B14" s="7"/>
      <c r="C14" s="7"/>
      <c r="D14" s="8"/>
      <c r="E14" s="146"/>
      <c r="F14" s="146"/>
      <c r="G14" s="5"/>
      <c r="H14" s="5" t="s">
        <v>37</v>
      </c>
      <c r="I14" s="6"/>
      <c r="J14" s="5"/>
      <c r="K14" s="5"/>
      <c r="L14" s="9"/>
      <c r="M14" s="5"/>
      <c r="N14" s="339" t="str">
        <f t="shared" si="0"/>
        <v/>
      </c>
      <c r="O14" s="31"/>
      <c r="P14" s="7"/>
    </row>
    <row r="15" spans="1:16" ht="15.75" customHeight="1">
      <c r="A15" s="8"/>
      <c r="B15" s="7"/>
      <c r="C15" s="7"/>
      <c r="D15" s="8"/>
      <c r="E15" s="146"/>
      <c r="F15" s="146"/>
      <c r="G15" s="5"/>
      <c r="H15" s="5" t="s">
        <v>37</v>
      </c>
      <c r="I15" s="6"/>
      <c r="J15" s="5"/>
      <c r="K15" s="5"/>
      <c r="L15" s="9"/>
      <c r="M15" s="5"/>
      <c r="N15" s="339" t="str">
        <f t="shared" si="0"/>
        <v/>
      </c>
      <c r="O15" s="31"/>
      <c r="P15" s="7"/>
    </row>
    <row r="16" spans="1:16" ht="15.75" customHeight="1">
      <c r="A16" s="8"/>
      <c r="B16" s="7"/>
      <c r="C16" s="7"/>
      <c r="D16" s="8"/>
      <c r="E16" s="146"/>
      <c r="F16" s="146"/>
      <c r="G16" s="5"/>
      <c r="H16" s="5" t="s">
        <v>37</v>
      </c>
      <c r="I16" s="6"/>
      <c r="J16" s="5"/>
      <c r="K16" s="5"/>
      <c r="L16" s="9"/>
      <c r="M16" s="5"/>
      <c r="N16" s="339" t="str">
        <f t="shared" si="0"/>
        <v/>
      </c>
      <c r="O16" s="31"/>
      <c r="P16" s="7"/>
    </row>
    <row r="17" spans="1:16" ht="15.75" customHeight="1">
      <c r="A17" s="8"/>
      <c r="B17" s="7"/>
      <c r="C17" s="7"/>
      <c r="D17" s="8"/>
      <c r="E17" s="146"/>
      <c r="F17" s="146"/>
      <c r="G17" s="5"/>
      <c r="H17" s="5" t="s">
        <v>37</v>
      </c>
      <c r="I17" s="6"/>
      <c r="J17" s="5"/>
      <c r="K17" s="5"/>
      <c r="L17" s="9"/>
      <c r="M17" s="5"/>
      <c r="N17" s="339" t="str">
        <f t="shared" si="0"/>
        <v/>
      </c>
      <c r="O17" s="31"/>
      <c r="P17" s="7"/>
    </row>
    <row r="18" spans="1:16" ht="15.75" customHeight="1">
      <c r="A18" s="8"/>
      <c r="B18" s="7"/>
      <c r="C18" s="7"/>
      <c r="D18" s="8"/>
      <c r="E18" s="146"/>
      <c r="F18" s="146"/>
      <c r="G18" s="5"/>
      <c r="H18" s="5" t="s">
        <v>37</v>
      </c>
      <c r="I18" s="6"/>
      <c r="J18" s="5"/>
      <c r="K18" s="5"/>
      <c r="L18" s="9"/>
      <c r="M18" s="5"/>
      <c r="N18" s="339" t="str">
        <f t="shared" si="0"/>
        <v/>
      </c>
      <c r="O18" s="31"/>
      <c r="P18" s="7"/>
    </row>
    <row r="19" spans="1:16" ht="15.75" customHeight="1">
      <c r="A19" s="8"/>
      <c r="B19" s="7"/>
      <c r="C19" s="7"/>
      <c r="D19" s="8"/>
      <c r="E19" s="146"/>
      <c r="F19" s="146"/>
      <c r="G19" s="5"/>
      <c r="H19" s="5" t="s">
        <v>37</v>
      </c>
      <c r="I19" s="6"/>
      <c r="J19" s="5"/>
      <c r="K19" s="5"/>
      <c r="L19" s="9"/>
      <c r="M19" s="5"/>
      <c r="N19" s="339" t="str">
        <f t="shared" si="0"/>
        <v/>
      </c>
      <c r="O19" s="31"/>
      <c r="P19" s="7"/>
    </row>
    <row r="20" spans="1:16" ht="15.75" customHeight="1">
      <c r="A20" s="8"/>
      <c r="B20" s="7"/>
      <c r="C20" s="7"/>
      <c r="D20" s="8"/>
      <c r="E20" s="146"/>
      <c r="F20" s="146"/>
      <c r="G20" s="5"/>
      <c r="H20" s="5" t="s">
        <v>37</v>
      </c>
      <c r="I20" s="6"/>
      <c r="J20" s="5"/>
      <c r="K20" s="5"/>
      <c r="L20" s="9"/>
      <c r="M20" s="5"/>
      <c r="N20" s="339" t="str">
        <f t="shared" si="0"/>
        <v/>
      </c>
      <c r="O20" s="31"/>
      <c r="P20" s="7"/>
    </row>
    <row r="21" spans="1:16" ht="15.75" customHeight="1">
      <c r="A21" s="8"/>
      <c r="B21" s="7"/>
      <c r="C21" s="7"/>
      <c r="D21" s="8"/>
      <c r="E21" s="146"/>
      <c r="F21" s="146"/>
      <c r="G21" s="5"/>
      <c r="H21" s="5" t="s">
        <v>37</v>
      </c>
      <c r="I21" s="6"/>
      <c r="J21" s="5"/>
      <c r="K21" s="5"/>
      <c r="L21" s="9"/>
      <c r="M21" s="5"/>
      <c r="N21" s="339" t="str">
        <f t="shared" si="0"/>
        <v/>
      </c>
      <c r="O21" s="31"/>
      <c r="P21" s="7"/>
    </row>
    <row r="22" spans="1:16" ht="15.75" customHeight="1">
      <c r="A22" s="8"/>
      <c r="B22" s="7"/>
      <c r="C22" s="7"/>
      <c r="D22" s="8"/>
      <c r="E22" s="146"/>
      <c r="F22" s="146"/>
      <c r="G22" s="5"/>
      <c r="H22" s="5" t="s">
        <v>37</v>
      </c>
      <c r="I22" s="6"/>
      <c r="J22" s="5"/>
      <c r="K22" s="5"/>
      <c r="L22" s="9"/>
      <c r="M22" s="5"/>
      <c r="N22" s="339" t="str">
        <f t="shared" si="0"/>
        <v/>
      </c>
      <c r="O22" s="31"/>
      <c r="P22" s="7"/>
    </row>
    <row r="23" spans="1:16" ht="15.75" customHeight="1">
      <c r="A23" s="8"/>
      <c r="B23" s="7"/>
      <c r="C23" s="7"/>
      <c r="D23" s="8"/>
      <c r="E23" s="146"/>
      <c r="F23" s="146"/>
      <c r="G23" s="5"/>
      <c r="H23" s="5" t="s">
        <v>37</v>
      </c>
      <c r="I23" s="6"/>
      <c r="J23" s="5"/>
      <c r="K23" s="5"/>
      <c r="L23" s="9"/>
      <c r="M23" s="5"/>
      <c r="N23" s="339" t="str">
        <f t="shared" si="0"/>
        <v/>
      </c>
      <c r="O23" s="31"/>
      <c r="P23" s="7"/>
    </row>
    <row r="24" spans="1:16" ht="15.75" customHeight="1">
      <c r="A24" s="8"/>
      <c r="B24" s="7"/>
      <c r="C24" s="7"/>
      <c r="D24" s="8"/>
      <c r="E24" s="146"/>
      <c r="F24" s="146"/>
      <c r="G24" s="5"/>
      <c r="H24" s="5" t="s">
        <v>37</v>
      </c>
      <c r="I24" s="6"/>
      <c r="J24" s="5"/>
      <c r="K24" s="5"/>
      <c r="L24" s="9"/>
      <c r="M24" s="5"/>
      <c r="N24" s="339" t="str">
        <f t="shared" si="0"/>
        <v/>
      </c>
      <c r="O24" s="31"/>
      <c r="P24" s="7"/>
    </row>
    <row r="25" spans="1:16" ht="15.75" customHeight="1">
      <c r="A25" s="537" t="s">
        <v>535</v>
      </c>
      <c r="B25" s="382"/>
      <c r="C25" s="382"/>
      <c r="D25" s="237"/>
      <c r="E25" s="232"/>
      <c r="F25" s="232"/>
      <c r="G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",INDIRECT(CHAR(64+COLUMN())&amp;"1:"&amp;CHAR(64+COLUMN())&amp;ROW()-1))*2)</f>
        <v/>
      </c>
      <c r="H25" s="31"/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243"/>
      <c r="M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5" s="339" t="str">
        <f t="shared" ca="1" si="0"/>
        <v/>
      </c>
      <c r="O25" s="31"/>
      <c r="P25" s="234"/>
    </row>
    <row r="26" spans="1:16" ht="15.75" customHeight="1">
      <c r="A26" s="383" t="s">
        <v>469</v>
      </c>
      <c r="B26" s="517"/>
      <c r="C26" s="508"/>
      <c r="D26" s="235"/>
      <c r="E26" s="235"/>
      <c r="F26" s="235"/>
      <c r="G26" s="31"/>
      <c r="H26" s="31"/>
      <c r="I26" s="31"/>
      <c r="J26" s="31"/>
      <c r="K26" s="31"/>
      <c r="L26" s="30"/>
      <c r="M26" s="233"/>
      <c r="N26" s="339"/>
      <c r="O26" s="233"/>
      <c r="P26" s="30"/>
    </row>
    <row r="27" spans="1:16" ht="15.75" customHeight="1">
      <c r="A27" s="537" t="s">
        <v>535</v>
      </c>
      <c r="B27" s="382"/>
      <c r="C27" s="382"/>
      <c r="D27" s="237"/>
      <c r="E27" s="232"/>
      <c r="F27" s="232"/>
      <c r="G27" s="233"/>
      <c r="H27" s="31"/>
      <c r="I27" s="243" t="str">
        <f ca="1">IF(I26="",I25,I25-I26)</f>
        <v/>
      </c>
      <c r="J27" s="243" t="str">
        <f ca="1">IF(J26="",J25,J25-J26)</f>
        <v/>
      </c>
      <c r="K27" s="243" t="str">
        <f ca="1">IF(K26="",K25,K25-K26)</f>
        <v/>
      </c>
      <c r="L27" s="243"/>
      <c r="M27" s="243" t="str">
        <f ca="1">IF(M26="",M25,M25-M26)</f>
        <v/>
      </c>
      <c r="N27" s="339" t="str">
        <f t="shared" ca="1" si="0"/>
        <v/>
      </c>
      <c r="O27" s="31"/>
      <c r="P27" s="234"/>
    </row>
    <row r="28" spans="1:16" ht="15.75" hidden="1" customHeight="1">
      <c r="A28" s="8"/>
      <c r="B28" s="7"/>
      <c r="C28" s="7"/>
      <c r="D28" s="8"/>
      <c r="E28" s="146"/>
      <c r="F28" s="146"/>
      <c r="G28" s="5"/>
      <c r="H28" s="5"/>
      <c r="I28" s="6"/>
      <c r="J28" s="6"/>
      <c r="K28" s="6"/>
      <c r="L28" s="9"/>
      <c r="M28" s="5"/>
      <c r="N28" s="339" t="str">
        <f t="shared" si="0"/>
        <v/>
      </c>
      <c r="O28" s="31"/>
      <c r="P28" s="7"/>
    </row>
    <row r="29" spans="1:16" ht="15.75" hidden="1" customHeight="1">
      <c r="A29" s="8"/>
      <c r="B29" s="7"/>
      <c r="C29" s="7"/>
      <c r="D29" s="8"/>
      <c r="E29" s="146"/>
      <c r="F29" s="146"/>
      <c r="G29" s="5"/>
      <c r="H29" s="5" t="s">
        <v>37</v>
      </c>
      <c r="I29" s="6"/>
      <c r="J29" s="5"/>
      <c r="K29" s="5"/>
      <c r="L29" s="9"/>
      <c r="M29" s="5"/>
      <c r="N29" s="339" t="str">
        <f t="shared" ref="N29:N47" si="1">IF(ISERROR(M29-J29),"",IF(M29=0,"",ROUND((M29-J29)*100/J29,2)))</f>
        <v/>
      </c>
      <c r="O29" s="31"/>
      <c r="P29" s="7"/>
    </row>
    <row r="30" spans="1:16" ht="15.75" hidden="1" customHeight="1">
      <c r="A30" s="8"/>
      <c r="B30" s="7"/>
      <c r="C30" s="7"/>
      <c r="D30" s="8"/>
      <c r="E30" s="146"/>
      <c r="F30" s="146"/>
      <c r="G30" s="5"/>
      <c r="H30" s="5" t="s">
        <v>37</v>
      </c>
      <c r="I30" s="6"/>
      <c r="J30" s="5"/>
      <c r="K30" s="5"/>
      <c r="L30" s="9"/>
      <c r="M30" s="5"/>
      <c r="N30" s="339" t="str">
        <f t="shared" si="1"/>
        <v/>
      </c>
      <c r="O30" s="31"/>
      <c r="P30" s="7"/>
    </row>
    <row r="31" spans="1:16" ht="15.75" hidden="1" customHeight="1">
      <c r="A31" s="8"/>
      <c r="B31" s="7"/>
      <c r="C31" s="7"/>
      <c r="D31" s="8"/>
      <c r="E31" s="146"/>
      <c r="F31" s="146"/>
      <c r="G31" s="5"/>
      <c r="H31" s="5" t="s">
        <v>37</v>
      </c>
      <c r="I31" s="6"/>
      <c r="J31" s="5"/>
      <c r="K31" s="5"/>
      <c r="L31" s="9"/>
      <c r="M31" s="5"/>
      <c r="N31" s="339" t="str">
        <f t="shared" si="1"/>
        <v/>
      </c>
      <c r="O31" s="31"/>
      <c r="P31" s="7"/>
    </row>
    <row r="32" spans="1:16" ht="15.75" hidden="1" customHeight="1">
      <c r="A32" s="8"/>
      <c r="B32" s="7"/>
      <c r="C32" s="7"/>
      <c r="D32" s="8"/>
      <c r="E32" s="146"/>
      <c r="F32" s="146"/>
      <c r="G32" s="5"/>
      <c r="H32" s="5" t="s">
        <v>37</v>
      </c>
      <c r="I32" s="6"/>
      <c r="J32" s="5"/>
      <c r="K32" s="5"/>
      <c r="L32" s="9"/>
      <c r="M32" s="5"/>
      <c r="N32" s="339" t="str">
        <f t="shared" si="1"/>
        <v/>
      </c>
      <c r="O32" s="31"/>
      <c r="P32" s="7"/>
    </row>
    <row r="33" spans="1:16" ht="15.75" hidden="1" customHeight="1">
      <c r="A33" s="8"/>
      <c r="B33" s="7"/>
      <c r="C33" s="7"/>
      <c r="D33" s="8"/>
      <c r="E33" s="146"/>
      <c r="F33" s="146"/>
      <c r="G33" s="5"/>
      <c r="H33" s="5" t="s">
        <v>37</v>
      </c>
      <c r="I33" s="6"/>
      <c r="J33" s="5"/>
      <c r="K33" s="5"/>
      <c r="L33" s="9"/>
      <c r="M33" s="5"/>
      <c r="N33" s="339" t="str">
        <f t="shared" si="1"/>
        <v/>
      </c>
      <c r="O33" s="31"/>
      <c r="P33" s="7"/>
    </row>
    <row r="34" spans="1:16" ht="15.75" hidden="1" customHeight="1">
      <c r="A34" s="8"/>
      <c r="B34" s="7"/>
      <c r="C34" s="7"/>
      <c r="D34" s="8"/>
      <c r="E34" s="146"/>
      <c r="F34" s="146"/>
      <c r="G34" s="5"/>
      <c r="H34" s="5" t="s">
        <v>37</v>
      </c>
      <c r="I34" s="6"/>
      <c r="J34" s="5"/>
      <c r="K34" s="5"/>
      <c r="L34" s="9"/>
      <c r="M34" s="5"/>
      <c r="N34" s="339" t="str">
        <f t="shared" si="1"/>
        <v/>
      </c>
      <c r="O34" s="31"/>
      <c r="P34" s="7"/>
    </row>
    <row r="35" spans="1:16" ht="15.75" hidden="1" customHeight="1">
      <c r="A35" s="8"/>
      <c r="B35" s="7"/>
      <c r="C35" s="7"/>
      <c r="D35" s="8"/>
      <c r="E35" s="146"/>
      <c r="F35" s="146"/>
      <c r="G35" s="5"/>
      <c r="H35" s="5" t="s">
        <v>37</v>
      </c>
      <c r="I35" s="6"/>
      <c r="J35" s="5"/>
      <c r="K35" s="5"/>
      <c r="L35" s="9"/>
      <c r="M35" s="5"/>
      <c r="N35" s="339" t="str">
        <f t="shared" si="1"/>
        <v/>
      </c>
      <c r="O35" s="31"/>
      <c r="P35" s="7"/>
    </row>
    <row r="36" spans="1:16" ht="15.75" hidden="1" customHeight="1">
      <c r="A36" s="8"/>
      <c r="B36" s="7"/>
      <c r="C36" s="7"/>
      <c r="D36" s="8"/>
      <c r="E36" s="146"/>
      <c r="F36" s="146"/>
      <c r="G36" s="5"/>
      <c r="H36" s="5" t="s">
        <v>37</v>
      </c>
      <c r="I36" s="6"/>
      <c r="J36" s="5"/>
      <c r="K36" s="5"/>
      <c r="L36" s="9"/>
      <c r="M36" s="5"/>
      <c r="N36" s="339" t="str">
        <f t="shared" si="1"/>
        <v/>
      </c>
      <c r="O36" s="31"/>
      <c r="P36" s="7"/>
    </row>
    <row r="37" spans="1:16" ht="15.75" hidden="1" customHeight="1">
      <c r="A37" s="8"/>
      <c r="B37" s="7"/>
      <c r="C37" s="7"/>
      <c r="D37" s="8"/>
      <c r="E37" s="146"/>
      <c r="F37" s="146"/>
      <c r="G37" s="5"/>
      <c r="H37" s="5" t="s">
        <v>37</v>
      </c>
      <c r="I37" s="6"/>
      <c r="J37" s="5"/>
      <c r="K37" s="5"/>
      <c r="L37" s="9"/>
      <c r="M37" s="5"/>
      <c r="N37" s="339" t="str">
        <f t="shared" si="1"/>
        <v/>
      </c>
      <c r="O37" s="31"/>
      <c r="P37" s="7"/>
    </row>
    <row r="38" spans="1:16" ht="15.75" hidden="1" customHeight="1">
      <c r="A38" s="8"/>
      <c r="B38" s="7"/>
      <c r="C38" s="7"/>
      <c r="D38" s="8"/>
      <c r="E38" s="146"/>
      <c r="F38" s="146"/>
      <c r="G38" s="5"/>
      <c r="H38" s="5" t="s">
        <v>37</v>
      </c>
      <c r="I38" s="6"/>
      <c r="J38" s="5"/>
      <c r="K38" s="5"/>
      <c r="L38" s="9"/>
      <c r="M38" s="5"/>
      <c r="N38" s="339" t="str">
        <f t="shared" si="1"/>
        <v/>
      </c>
      <c r="O38" s="31"/>
      <c r="P38" s="7"/>
    </row>
    <row r="39" spans="1:16" ht="15.75" hidden="1" customHeight="1">
      <c r="A39" s="8"/>
      <c r="B39" s="7"/>
      <c r="C39" s="7"/>
      <c r="D39" s="8"/>
      <c r="E39" s="146"/>
      <c r="F39" s="146"/>
      <c r="G39" s="5"/>
      <c r="H39" s="5" t="s">
        <v>37</v>
      </c>
      <c r="I39" s="6"/>
      <c r="J39" s="5"/>
      <c r="K39" s="5"/>
      <c r="L39" s="9"/>
      <c r="M39" s="5"/>
      <c r="N39" s="339" t="str">
        <f t="shared" si="1"/>
        <v/>
      </c>
      <c r="O39" s="31"/>
      <c r="P39" s="7"/>
    </row>
    <row r="40" spans="1:16" ht="15.75" hidden="1" customHeight="1">
      <c r="A40" s="8"/>
      <c r="B40" s="7"/>
      <c r="C40" s="7"/>
      <c r="D40" s="8"/>
      <c r="E40" s="146"/>
      <c r="F40" s="146"/>
      <c r="G40" s="5"/>
      <c r="H40" s="5" t="s">
        <v>37</v>
      </c>
      <c r="I40" s="6"/>
      <c r="J40" s="5"/>
      <c r="K40" s="5"/>
      <c r="L40" s="9"/>
      <c r="M40" s="5"/>
      <c r="N40" s="339" t="str">
        <f t="shared" si="1"/>
        <v/>
      </c>
      <c r="O40" s="31"/>
      <c r="P40" s="7"/>
    </row>
    <row r="41" spans="1:16" ht="15.75" hidden="1" customHeight="1">
      <c r="A41" s="8"/>
      <c r="B41" s="7"/>
      <c r="C41" s="7"/>
      <c r="D41" s="8"/>
      <c r="E41" s="146"/>
      <c r="F41" s="146"/>
      <c r="G41" s="5"/>
      <c r="H41" s="5" t="s">
        <v>37</v>
      </c>
      <c r="I41" s="6"/>
      <c r="J41" s="5"/>
      <c r="K41" s="5"/>
      <c r="L41" s="9"/>
      <c r="M41" s="5"/>
      <c r="N41" s="339" t="str">
        <f t="shared" si="1"/>
        <v/>
      </c>
      <c r="O41" s="31"/>
      <c r="P41" s="7"/>
    </row>
    <row r="42" spans="1:16" ht="15.75" hidden="1" customHeight="1">
      <c r="A42" s="8"/>
      <c r="B42" s="7"/>
      <c r="C42" s="7"/>
      <c r="D42" s="8"/>
      <c r="E42" s="146"/>
      <c r="F42" s="146"/>
      <c r="G42" s="5"/>
      <c r="H42" s="5" t="s">
        <v>37</v>
      </c>
      <c r="I42" s="6"/>
      <c r="J42" s="5"/>
      <c r="K42" s="5"/>
      <c r="L42" s="9"/>
      <c r="M42" s="5"/>
      <c r="N42" s="339" t="str">
        <f t="shared" si="1"/>
        <v/>
      </c>
      <c r="O42" s="31"/>
      <c r="P42" s="7"/>
    </row>
    <row r="43" spans="1:16" ht="15.75" hidden="1" customHeight="1">
      <c r="A43" s="8"/>
      <c r="B43" s="7"/>
      <c r="C43" s="7"/>
      <c r="D43" s="8"/>
      <c r="E43" s="146"/>
      <c r="F43" s="146"/>
      <c r="G43" s="5"/>
      <c r="H43" s="5" t="s">
        <v>37</v>
      </c>
      <c r="I43" s="6"/>
      <c r="J43" s="5"/>
      <c r="K43" s="5"/>
      <c r="L43" s="9"/>
      <c r="M43" s="5"/>
      <c r="N43" s="339" t="str">
        <f t="shared" si="1"/>
        <v/>
      </c>
      <c r="O43" s="31"/>
      <c r="P43" s="7"/>
    </row>
    <row r="44" spans="1:16" ht="15.75" hidden="1" customHeight="1">
      <c r="A44" s="8"/>
      <c r="B44" s="7"/>
      <c r="C44" s="7"/>
      <c r="D44" s="8"/>
      <c r="E44" s="146"/>
      <c r="F44" s="146"/>
      <c r="G44" s="5"/>
      <c r="H44" s="5" t="s">
        <v>37</v>
      </c>
      <c r="I44" s="6"/>
      <c r="J44" s="5"/>
      <c r="K44" s="5"/>
      <c r="L44" s="9"/>
      <c r="M44" s="5"/>
      <c r="N44" s="339" t="str">
        <f t="shared" si="1"/>
        <v/>
      </c>
      <c r="O44" s="31"/>
      <c r="P44" s="7"/>
    </row>
    <row r="45" spans="1:16" ht="15.75" hidden="1" customHeight="1">
      <c r="A45" s="8"/>
      <c r="B45" s="7"/>
      <c r="C45" s="7"/>
      <c r="D45" s="8"/>
      <c r="E45" s="146"/>
      <c r="F45" s="146"/>
      <c r="G45" s="5"/>
      <c r="H45" s="5" t="s">
        <v>37</v>
      </c>
      <c r="I45" s="6"/>
      <c r="J45" s="5"/>
      <c r="K45" s="5"/>
      <c r="L45" s="9"/>
      <c r="M45" s="5"/>
      <c r="N45" s="339" t="str">
        <f t="shared" si="1"/>
        <v/>
      </c>
      <c r="O45" s="31"/>
      <c r="P45" s="7"/>
    </row>
    <row r="46" spans="1:16" ht="15.75" hidden="1" customHeight="1">
      <c r="A46" s="8"/>
      <c r="B46" s="7"/>
      <c r="C46" s="7"/>
      <c r="D46" s="8"/>
      <c r="E46" s="146"/>
      <c r="F46" s="146"/>
      <c r="G46" s="5"/>
      <c r="H46" s="5" t="s">
        <v>37</v>
      </c>
      <c r="I46" s="6"/>
      <c r="J46" s="5"/>
      <c r="K46" s="5"/>
      <c r="L46" s="9"/>
      <c r="M46" s="5"/>
      <c r="N46" s="339" t="str">
        <f t="shared" si="1"/>
        <v/>
      </c>
      <c r="O46" s="31"/>
      <c r="P46" s="7"/>
    </row>
    <row r="47" spans="1:16" ht="15.75" hidden="1" customHeight="1">
      <c r="A47" s="8"/>
      <c r="B47" s="7"/>
      <c r="C47" s="7"/>
      <c r="D47" s="8"/>
      <c r="E47" s="146"/>
      <c r="F47" s="146"/>
      <c r="G47" s="5"/>
      <c r="H47" s="5" t="s">
        <v>37</v>
      </c>
      <c r="I47" s="6"/>
      <c r="J47" s="5"/>
      <c r="K47" s="5"/>
      <c r="L47" s="9"/>
      <c r="M47" s="5"/>
      <c r="N47" s="339" t="str">
        <f t="shared" si="1"/>
        <v/>
      </c>
      <c r="O47" s="31"/>
      <c r="P47" s="7"/>
    </row>
  </sheetData>
  <mergeCells count="18">
    <mergeCell ref="G6:G7"/>
    <mergeCell ref="H6:H7"/>
    <mergeCell ref="A26:C26"/>
    <mergeCell ref="A25:C25"/>
    <mergeCell ref="A1:P1"/>
    <mergeCell ref="A27:C27"/>
    <mergeCell ref="A2:P2"/>
    <mergeCell ref="A6:A7"/>
    <mergeCell ref="B6:B7"/>
    <mergeCell ref="C6:C7"/>
    <mergeCell ref="D6:D7"/>
    <mergeCell ref="E6:E7"/>
    <mergeCell ref="P6:P7"/>
    <mergeCell ref="O6:O7"/>
    <mergeCell ref="K6:M6"/>
    <mergeCell ref="N6:N7"/>
    <mergeCell ref="I6:J6"/>
    <mergeCell ref="F6:F7"/>
  </mergeCells>
  <phoneticPr fontId="6" type="noConversion"/>
  <printOptions horizontalCentered="1" verticalCentered="1"/>
  <pageMargins left="0.74803149606299213" right="0.43307086614173229" top="0.15748031496062992" bottom="0.59055118110236227" header="1.6141732283464567" footer="1.1023622047244095"/>
  <pageSetup paperSize="9" scale="98" fitToHeight="0" orientation="landscape" blackAndWhite="1" horizontalDpi="1200" verticalDpi="1200" r:id="rId1"/>
  <headerFooter scaleWithDoc="0">
    <oddHeader>&amp;R&amp;"宋体,常规"&amp;10表4-8-1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2</xdr:col>
                    <xdr:colOff>457200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25400</xdr:colOff>
                    <xdr:row>2</xdr:row>
                    <xdr:rowOff>0</xdr:rowOff>
                  </from>
                  <to>
                    <xdr:col>5</xdr:col>
                    <xdr:colOff>101600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587DC-DF62-4DD8-8E2D-48A22E08A2F0}">
  <sheetPr codeName="Sheet43"/>
  <dimension ref="A1:S47"/>
  <sheetViews>
    <sheetView workbookViewId="0">
      <pane ySplit="7" topLeftCell="A8" activePane="bottomLeft" state="frozen"/>
      <selection activeCell="F17" sqref="F17"/>
      <selection pane="bottomLeft" activeCell="N3" sqref="N1:N65536"/>
    </sheetView>
  </sheetViews>
  <sheetFormatPr baseColWidth="10" defaultColWidth="9" defaultRowHeight="15.75" customHeight="1"/>
  <cols>
    <col min="1" max="1" width="5" style="81" customWidth="1"/>
    <col min="2" max="2" width="18" style="81" customWidth="1"/>
    <col min="3" max="3" width="5.6640625" style="81" customWidth="1"/>
    <col min="4" max="4" width="6" style="81" customWidth="1"/>
    <col min="5" max="5" width="4.5" style="81" customWidth="1"/>
    <col min="6" max="7" width="5.1640625" style="81" customWidth="1"/>
    <col min="8" max="8" width="7.6640625" style="81" customWidth="1"/>
    <col min="9" max="9" width="10.6640625" style="81" customWidth="1"/>
    <col min="10" max="10" width="10.5" style="81" customWidth="1"/>
    <col min="11" max="11" width="9.6640625" style="81" customWidth="1"/>
    <col min="12" max="12" width="7.6640625" style="81" customWidth="1"/>
    <col min="13" max="13" width="10" style="81" customWidth="1"/>
    <col min="14" max="14" width="7" style="340" customWidth="1"/>
    <col min="15" max="16" width="7.6640625" style="81" customWidth="1"/>
    <col min="17" max="16384" width="9" style="81"/>
  </cols>
  <sheetData>
    <row r="1" spans="1:19" s="80" customFormat="1" ht="30" customHeight="1">
      <c r="A1" s="374" t="s">
        <v>1006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190"/>
      <c r="R1" s="190"/>
      <c r="S1" s="190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  <c r="P2" s="378"/>
      <c r="Q2" s="189"/>
      <c r="R2" s="189"/>
      <c r="S2" s="189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218"/>
      <c r="O3" s="41"/>
      <c r="P3" s="41"/>
      <c r="Q3" s="189"/>
      <c r="R3" s="189"/>
      <c r="S3" s="189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132"/>
      <c r="O4" s="37"/>
      <c r="P4" s="37"/>
      <c r="Q4" s="189"/>
      <c r="R4" s="189"/>
      <c r="S4" s="189"/>
    </row>
    <row r="5" spans="1:19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168"/>
      <c r="N5" s="342"/>
      <c r="O5" s="168"/>
      <c r="P5" s="168"/>
    </row>
    <row r="6" spans="1:19" s="101" customFormat="1" ht="20.25" customHeight="1">
      <c r="A6" s="465" t="s">
        <v>7</v>
      </c>
      <c r="B6" s="466" t="s">
        <v>92</v>
      </c>
      <c r="C6" s="465" t="s">
        <v>74</v>
      </c>
      <c r="D6" s="480" t="s">
        <v>126</v>
      </c>
      <c r="E6" s="480" t="s">
        <v>129</v>
      </c>
      <c r="F6" s="480" t="s">
        <v>131</v>
      </c>
      <c r="G6" s="467" t="s">
        <v>84</v>
      </c>
      <c r="H6" s="480" t="s">
        <v>97</v>
      </c>
      <c r="I6" s="465" t="s">
        <v>117</v>
      </c>
      <c r="J6" s="466"/>
      <c r="K6" s="465" t="s">
        <v>0</v>
      </c>
      <c r="L6" s="466"/>
      <c r="M6" s="466"/>
      <c r="N6" s="538" t="s">
        <v>479</v>
      </c>
      <c r="O6" s="480" t="s">
        <v>98</v>
      </c>
      <c r="P6" s="480" t="s">
        <v>39</v>
      </c>
    </row>
    <row r="7" spans="1:19" s="101" customFormat="1" ht="25.5" customHeight="1">
      <c r="A7" s="466"/>
      <c r="B7" s="466"/>
      <c r="C7" s="466"/>
      <c r="D7" s="466"/>
      <c r="E7" s="466"/>
      <c r="F7" s="466"/>
      <c r="G7" s="468"/>
      <c r="H7" s="466"/>
      <c r="I7" s="124" t="s">
        <v>87</v>
      </c>
      <c r="J7" s="45" t="s">
        <v>88</v>
      </c>
      <c r="K7" s="45" t="s">
        <v>87</v>
      </c>
      <c r="L7" s="211" t="s">
        <v>481</v>
      </c>
      <c r="M7" s="45" t="s">
        <v>88</v>
      </c>
      <c r="N7" s="539"/>
      <c r="O7" s="466"/>
      <c r="P7" s="466"/>
    </row>
    <row r="8" spans="1:19" ht="15.75" customHeight="1">
      <c r="A8" s="8"/>
      <c r="B8" s="7"/>
      <c r="C8" s="8"/>
      <c r="D8" s="9"/>
      <c r="E8" s="146"/>
      <c r="F8" s="8"/>
      <c r="G8" s="8"/>
      <c r="H8" s="5"/>
      <c r="I8" s="6"/>
      <c r="J8" s="5"/>
      <c r="K8" s="5"/>
      <c r="L8" s="9"/>
      <c r="M8" s="5"/>
      <c r="N8" s="339" t="str">
        <f>IF(ISERROR(M8-J8),"",IF(M8=0,"",ROUND((M8-J8)*100/J8,2)))</f>
        <v/>
      </c>
      <c r="O8" s="31"/>
      <c r="P8" s="7"/>
    </row>
    <row r="9" spans="1:19" ht="15.75" customHeight="1">
      <c r="A9" s="8"/>
      <c r="B9" s="7"/>
      <c r="C9" s="8"/>
      <c r="D9" s="9"/>
      <c r="E9" s="146"/>
      <c r="F9" s="8"/>
      <c r="G9" s="8"/>
      <c r="H9" s="5"/>
      <c r="I9" s="6"/>
      <c r="J9" s="5"/>
      <c r="K9" s="5"/>
      <c r="L9" s="9"/>
      <c r="M9" s="5"/>
      <c r="N9" s="339" t="str">
        <f t="shared" ref="N9:N28" si="0">IF(ISERROR(M9-J9),"",IF(M9=0,"",ROUND((M9-J9)*100/J9,2)))</f>
        <v/>
      </c>
      <c r="O9" s="31"/>
      <c r="P9" s="7"/>
    </row>
    <row r="10" spans="1:19" ht="15.75" customHeight="1">
      <c r="A10" s="8"/>
      <c r="B10" s="7"/>
      <c r="C10" s="8"/>
      <c r="D10" s="9"/>
      <c r="E10" s="146"/>
      <c r="F10" s="8"/>
      <c r="G10" s="8"/>
      <c r="H10" s="5"/>
      <c r="I10" s="6"/>
      <c r="J10" s="5"/>
      <c r="K10" s="5"/>
      <c r="L10" s="9"/>
      <c r="M10" s="5"/>
      <c r="N10" s="339" t="str">
        <f t="shared" si="0"/>
        <v/>
      </c>
      <c r="O10" s="31"/>
      <c r="P10" s="7"/>
    </row>
    <row r="11" spans="1:19" ht="15.75" customHeight="1">
      <c r="A11" s="8"/>
      <c r="B11" s="7"/>
      <c r="C11" s="8"/>
      <c r="D11" s="9"/>
      <c r="E11" s="146"/>
      <c r="F11" s="8"/>
      <c r="G11" s="8"/>
      <c r="H11" s="5"/>
      <c r="I11" s="6"/>
      <c r="J11" s="5"/>
      <c r="K11" s="5"/>
      <c r="L11" s="9"/>
      <c r="M11" s="5"/>
      <c r="N11" s="339" t="str">
        <f t="shared" si="0"/>
        <v/>
      </c>
      <c r="O11" s="31"/>
      <c r="P11" s="7"/>
    </row>
    <row r="12" spans="1:19" ht="15.75" customHeight="1">
      <c r="A12" s="8"/>
      <c r="B12" s="7"/>
      <c r="C12" s="8"/>
      <c r="D12" s="9"/>
      <c r="E12" s="146"/>
      <c r="F12" s="8"/>
      <c r="G12" s="8"/>
      <c r="H12" s="5"/>
      <c r="I12" s="6"/>
      <c r="J12" s="5"/>
      <c r="K12" s="5"/>
      <c r="L12" s="9"/>
      <c r="M12" s="5"/>
      <c r="N12" s="339" t="str">
        <f t="shared" si="0"/>
        <v/>
      </c>
      <c r="O12" s="31"/>
      <c r="P12" s="7"/>
    </row>
    <row r="13" spans="1:19" ht="15.75" customHeight="1">
      <c r="A13" s="8"/>
      <c r="B13" s="7"/>
      <c r="C13" s="8"/>
      <c r="D13" s="9"/>
      <c r="E13" s="146"/>
      <c r="F13" s="8"/>
      <c r="G13" s="8"/>
      <c r="H13" s="5"/>
      <c r="I13" s="6"/>
      <c r="J13" s="5"/>
      <c r="K13" s="5"/>
      <c r="L13" s="9"/>
      <c r="M13" s="5"/>
      <c r="N13" s="339" t="str">
        <f t="shared" si="0"/>
        <v/>
      </c>
      <c r="O13" s="31"/>
      <c r="P13" s="7"/>
    </row>
    <row r="14" spans="1:19" ht="15.75" customHeight="1">
      <c r="A14" s="8"/>
      <c r="B14" s="7"/>
      <c r="C14" s="8"/>
      <c r="D14" s="9"/>
      <c r="E14" s="146"/>
      <c r="F14" s="8"/>
      <c r="G14" s="8"/>
      <c r="H14" s="5"/>
      <c r="I14" s="6"/>
      <c r="J14" s="5"/>
      <c r="K14" s="5"/>
      <c r="L14" s="9"/>
      <c r="M14" s="5"/>
      <c r="N14" s="339" t="str">
        <f t="shared" si="0"/>
        <v/>
      </c>
      <c r="O14" s="31"/>
      <c r="P14" s="7"/>
    </row>
    <row r="15" spans="1:19" ht="15.75" customHeight="1">
      <c r="A15" s="8"/>
      <c r="B15" s="7"/>
      <c r="C15" s="8"/>
      <c r="D15" s="9"/>
      <c r="E15" s="146"/>
      <c r="F15" s="8"/>
      <c r="G15" s="8"/>
      <c r="H15" s="5"/>
      <c r="I15" s="6"/>
      <c r="J15" s="5"/>
      <c r="K15" s="5"/>
      <c r="L15" s="9"/>
      <c r="M15" s="5"/>
      <c r="N15" s="339" t="str">
        <f t="shared" si="0"/>
        <v/>
      </c>
      <c r="O15" s="31"/>
      <c r="P15" s="7"/>
    </row>
    <row r="16" spans="1:19" ht="15.75" customHeight="1">
      <c r="A16" s="8"/>
      <c r="B16" s="7"/>
      <c r="C16" s="8"/>
      <c r="D16" s="9"/>
      <c r="E16" s="146"/>
      <c r="F16" s="8"/>
      <c r="G16" s="8"/>
      <c r="H16" s="5"/>
      <c r="I16" s="6"/>
      <c r="J16" s="5"/>
      <c r="K16" s="5"/>
      <c r="L16" s="9"/>
      <c r="M16" s="5"/>
      <c r="N16" s="339" t="str">
        <f t="shared" si="0"/>
        <v/>
      </c>
      <c r="O16" s="31"/>
      <c r="P16" s="7"/>
    </row>
    <row r="17" spans="1:16" ht="15.75" customHeight="1">
      <c r="A17" s="8"/>
      <c r="B17" s="7"/>
      <c r="C17" s="8"/>
      <c r="D17" s="9"/>
      <c r="E17" s="146"/>
      <c r="F17" s="8"/>
      <c r="G17" s="8"/>
      <c r="H17" s="5"/>
      <c r="I17" s="6"/>
      <c r="J17" s="5"/>
      <c r="K17" s="5"/>
      <c r="L17" s="9"/>
      <c r="M17" s="5"/>
      <c r="N17" s="339" t="str">
        <f t="shared" si="0"/>
        <v/>
      </c>
      <c r="O17" s="31"/>
      <c r="P17" s="7"/>
    </row>
    <row r="18" spans="1:16" ht="15.75" customHeight="1">
      <c r="A18" s="8"/>
      <c r="B18" s="7"/>
      <c r="C18" s="8"/>
      <c r="D18" s="9"/>
      <c r="E18" s="146"/>
      <c r="F18" s="8"/>
      <c r="G18" s="8"/>
      <c r="H18" s="5"/>
      <c r="I18" s="6"/>
      <c r="J18" s="5"/>
      <c r="K18" s="5"/>
      <c r="L18" s="9"/>
      <c r="M18" s="5"/>
      <c r="N18" s="339" t="str">
        <f t="shared" si="0"/>
        <v/>
      </c>
      <c r="O18" s="31"/>
      <c r="P18" s="7"/>
    </row>
    <row r="19" spans="1:16" ht="15.75" customHeight="1">
      <c r="A19" s="8"/>
      <c r="B19" s="7"/>
      <c r="C19" s="8"/>
      <c r="D19" s="9"/>
      <c r="E19" s="146"/>
      <c r="F19" s="8"/>
      <c r="G19" s="8"/>
      <c r="H19" s="5"/>
      <c r="I19" s="6"/>
      <c r="J19" s="5"/>
      <c r="K19" s="5"/>
      <c r="L19" s="9"/>
      <c r="M19" s="5"/>
      <c r="N19" s="339" t="str">
        <f t="shared" si="0"/>
        <v/>
      </c>
      <c r="O19" s="31"/>
      <c r="P19" s="7"/>
    </row>
    <row r="20" spans="1:16" ht="15.75" customHeight="1">
      <c r="A20" s="8"/>
      <c r="B20" s="7"/>
      <c r="C20" s="8"/>
      <c r="D20" s="9"/>
      <c r="E20" s="146"/>
      <c r="F20" s="8"/>
      <c r="G20" s="8"/>
      <c r="H20" s="5"/>
      <c r="I20" s="5"/>
      <c r="J20" s="5"/>
      <c r="K20" s="5"/>
      <c r="L20" s="9"/>
      <c r="M20" s="5"/>
      <c r="N20" s="339" t="str">
        <f t="shared" si="0"/>
        <v/>
      </c>
      <c r="O20" s="31"/>
      <c r="P20" s="7"/>
    </row>
    <row r="21" spans="1:16" ht="15.75" customHeight="1">
      <c r="A21" s="8"/>
      <c r="B21" s="7"/>
      <c r="C21" s="8"/>
      <c r="D21" s="9"/>
      <c r="E21" s="146"/>
      <c r="F21" s="8"/>
      <c r="G21" s="8"/>
      <c r="H21" s="5"/>
      <c r="I21" s="5"/>
      <c r="J21" s="5"/>
      <c r="K21" s="5"/>
      <c r="L21" s="9"/>
      <c r="M21" s="5"/>
      <c r="N21" s="339" t="str">
        <f t="shared" si="0"/>
        <v/>
      </c>
      <c r="O21" s="31"/>
      <c r="P21" s="7"/>
    </row>
    <row r="22" spans="1:16" ht="15.75" customHeight="1">
      <c r="A22" s="8"/>
      <c r="B22" s="7"/>
      <c r="C22" s="8"/>
      <c r="D22" s="9"/>
      <c r="E22" s="146"/>
      <c r="F22" s="8"/>
      <c r="G22" s="8"/>
      <c r="H22" s="5"/>
      <c r="I22" s="5"/>
      <c r="J22" s="5"/>
      <c r="K22" s="5"/>
      <c r="L22" s="9"/>
      <c r="M22" s="5"/>
      <c r="N22" s="339" t="str">
        <f t="shared" si="0"/>
        <v/>
      </c>
      <c r="O22" s="31"/>
      <c r="P22" s="7"/>
    </row>
    <row r="23" spans="1:16" ht="15.75" customHeight="1">
      <c r="A23" s="8"/>
      <c r="B23" s="7"/>
      <c r="C23" s="8"/>
      <c r="D23" s="9"/>
      <c r="E23" s="146"/>
      <c r="F23" s="8"/>
      <c r="G23" s="8"/>
      <c r="H23" s="5"/>
      <c r="I23" s="5"/>
      <c r="J23" s="5"/>
      <c r="K23" s="5"/>
      <c r="L23" s="9"/>
      <c r="M23" s="5"/>
      <c r="N23" s="339" t="str">
        <f t="shared" si="0"/>
        <v/>
      </c>
      <c r="O23" s="31"/>
      <c r="P23" s="7"/>
    </row>
    <row r="24" spans="1:16" ht="15.75" customHeight="1">
      <c r="A24" s="8"/>
      <c r="B24" s="7"/>
      <c r="C24" s="8"/>
      <c r="D24" s="9"/>
      <c r="E24" s="146"/>
      <c r="F24" s="8"/>
      <c r="G24" s="8"/>
      <c r="H24" s="5"/>
      <c r="I24" s="5"/>
      <c r="J24" s="5"/>
      <c r="K24" s="5"/>
      <c r="L24" s="9"/>
      <c r="M24" s="5"/>
      <c r="N24" s="339" t="str">
        <f t="shared" si="0"/>
        <v/>
      </c>
      <c r="O24" s="31"/>
      <c r="P24" s="7"/>
    </row>
    <row r="25" spans="1:16" ht="15.75" customHeight="1">
      <c r="A25" s="537" t="s">
        <v>535</v>
      </c>
      <c r="B25" s="382"/>
      <c r="C25" s="382"/>
      <c r="D25" s="249"/>
      <c r="E25" s="232"/>
      <c r="F25" s="232"/>
      <c r="G25" s="248"/>
      <c r="H25" s="31"/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1"/>
      <c r="M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5" s="339" t="str">
        <f t="shared" ca="1" si="0"/>
        <v/>
      </c>
      <c r="O25" s="31"/>
      <c r="P25" s="234"/>
    </row>
    <row r="26" spans="1:16" ht="15.75" customHeight="1">
      <c r="A26" s="383" t="s">
        <v>470</v>
      </c>
      <c r="B26" s="517"/>
      <c r="C26" s="508"/>
      <c r="D26" s="252"/>
      <c r="E26" s="235"/>
      <c r="F26" s="235"/>
      <c r="G26" s="235"/>
      <c r="H26" s="31"/>
      <c r="I26" s="31"/>
      <c r="J26" s="31"/>
      <c r="K26" s="31"/>
      <c r="L26" s="30"/>
      <c r="M26" s="233"/>
      <c r="N26" s="339"/>
      <c r="O26" s="233"/>
      <c r="P26" s="30"/>
    </row>
    <row r="27" spans="1:16" ht="15.75" customHeight="1">
      <c r="A27" s="537" t="s">
        <v>535</v>
      </c>
      <c r="B27" s="382"/>
      <c r="C27" s="382"/>
      <c r="D27" s="249"/>
      <c r="E27" s="232"/>
      <c r="F27" s="232"/>
      <c r="G27" s="30"/>
      <c r="H27" s="31"/>
      <c r="I27" s="31" t="str">
        <f ca="1">IF(I26="",I25,I25-I26)</f>
        <v/>
      </c>
      <c r="J27" s="31" t="str">
        <f ca="1">IF(J26="",J25,J25-J26)</f>
        <v/>
      </c>
      <c r="K27" s="31" t="str">
        <f ca="1">IF(K26="",K25,K25-K26)</f>
        <v/>
      </c>
      <c r="L27" s="31"/>
      <c r="M27" s="31" t="str">
        <f ca="1">IF(M26="",M25,M25-M26)</f>
        <v/>
      </c>
      <c r="N27" s="339" t="str">
        <f t="shared" ca="1" si="0"/>
        <v/>
      </c>
      <c r="O27" s="31"/>
      <c r="P27" s="234"/>
    </row>
    <row r="28" spans="1:16" ht="15.75" hidden="1" customHeight="1">
      <c r="A28" s="8"/>
      <c r="B28" s="7"/>
      <c r="C28" s="8"/>
      <c r="D28" s="9"/>
      <c r="E28" s="146"/>
      <c r="F28" s="8"/>
      <c r="G28" s="8"/>
      <c r="H28" s="5"/>
      <c r="I28" s="5"/>
      <c r="J28" s="5"/>
      <c r="K28" s="5"/>
      <c r="L28" s="9"/>
      <c r="M28" s="5"/>
      <c r="N28" s="339" t="str">
        <f t="shared" si="0"/>
        <v/>
      </c>
      <c r="O28" s="31"/>
      <c r="P28" s="7"/>
    </row>
    <row r="29" spans="1:16" ht="15.75" hidden="1" customHeight="1">
      <c r="A29" s="8"/>
      <c r="B29" s="7"/>
      <c r="C29" s="8"/>
      <c r="D29" s="9"/>
      <c r="E29" s="146"/>
      <c r="F29" s="8"/>
      <c r="G29" s="8"/>
      <c r="H29" s="5"/>
      <c r="I29" s="5"/>
      <c r="J29" s="5"/>
      <c r="K29" s="5"/>
      <c r="L29" s="9"/>
      <c r="M29" s="5"/>
      <c r="N29" s="339" t="str">
        <f t="shared" ref="N29:N47" si="1">IF(ISERROR(M29-J29),"",IF(M29=0,"",ROUND((M29-J29)*100/J29,2)))</f>
        <v/>
      </c>
      <c r="O29" s="31"/>
      <c r="P29" s="7"/>
    </row>
    <row r="30" spans="1:16" ht="15.75" hidden="1" customHeight="1">
      <c r="A30" s="8"/>
      <c r="B30" s="7"/>
      <c r="C30" s="8"/>
      <c r="D30" s="9"/>
      <c r="E30" s="146"/>
      <c r="F30" s="8"/>
      <c r="G30" s="8"/>
      <c r="H30" s="5"/>
      <c r="I30" s="5"/>
      <c r="J30" s="5"/>
      <c r="K30" s="5"/>
      <c r="L30" s="9"/>
      <c r="M30" s="5"/>
      <c r="N30" s="339" t="str">
        <f t="shared" si="1"/>
        <v/>
      </c>
      <c r="O30" s="31"/>
      <c r="P30" s="7"/>
    </row>
    <row r="31" spans="1:16" ht="15.75" hidden="1" customHeight="1">
      <c r="A31" s="8"/>
      <c r="B31" s="7"/>
      <c r="C31" s="8"/>
      <c r="D31" s="9"/>
      <c r="E31" s="146"/>
      <c r="F31" s="8"/>
      <c r="G31" s="8"/>
      <c r="H31" s="5"/>
      <c r="I31" s="5"/>
      <c r="J31" s="5"/>
      <c r="K31" s="5"/>
      <c r="L31" s="9"/>
      <c r="M31" s="5"/>
      <c r="N31" s="339" t="str">
        <f t="shared" si="1"/>
        <v/>
      </c>
      <c r="O31" s="31"/>
      <c r="P31" s="7"/>
    </row>
    <row r="32" spans="1:16" ht="15.75" hidden="1" customHeight="1">
      <c r="A32" s="8"/>
      <c r="B32" s="7"/>
      <c r="C32" s="8"/>
      <c r="D32" s="9"/>
      <c r="E32" s="146"/>
      <c r="F32" s="8"/>
      <c r="G32" s="8"/>
      <c r="H32" s="5"/>
      <c r="I32" s="5"/>
      <c r="J32" s="5"/>
      <c r="K32" s="5"/>
      <c r="L32" s="9"/>
      <c r="M32" s="5"/>
      <c r="N32" s="339" t="str">
        <f t="shared" si="1"/>
        <v/>
      </c>
      <c r="O32" s="31"/>
      <c r="P32" s="7"/>
    </row>
    <row r="33" spans="1:16" ht="15.75" hidden="1" customHeight="1">
      <c r="A33" s="8"/>
      <c r="B33" s="7"/>
      <c r="C33" s="8"/>
      <c r="D33" s="9"/>
      <c r="E33" s="146"/>
      <c r="F33" s="8"/>
      <c r="G33" s="8"/>
      <c r="H33" s="5"/>
      <c r="I33" s="5"/>
      <c r="J33" s="5"/>
      <c r="K33" s="5"/>
      <c r="L33" s="9"/>
      <c r="M33" s="5"/>
      <c r="N33" s="339" t="str">
        <f t="shared" si="1"/>
        <v/>
      </c>
      <c r="O33" s="31"/>
      <c r="P33" s="7"/>
    </row>
    <row r="34" spans="1:16" ht="15.75" hidden="1" customHeight="1">
      <c r="A34" s="8"/>
      <c r="B34" s="7"/>
      <c r="C34" s="8"/>
      <c r="D34" s="9"/>
      <c r="E34" s="146"/>
      <c r="F34" s="8"/>
      <c r="G34" s="8"/>
      <c r="H34" s="5"/>
      <c r="I34" s="5"/>
      <c r="J34" s="5"/>
      <c r="K34" s="5"/>
      <c r="L34" s="9"/>
      <c r="M34" s="5"/>
      <c r="N34" s="339" t="str">
        <f t="shared" si="1"/>
        <v/>
      </c>
      <c r="O34" s="31"/>
      <c r="P34" s="7"/>
    </row>
    <row r="35" spans="1:16" ht="15.75" hidden="1" customHeight="1">
      <c r="A35" s="8"/>
      <c r="B35" s="7"/>
      <c r="C35" s="8"/>
      <c r="D35" s="9"/>
      <c r="E35" s="146"/>
      <c r="F35" s="8"/>
      <c r="G35" s="8"/>
      <c r="H35" s="5"/>
      <c r="I35" s="5"/>
      <c r="J35" s="5"/>
      <c r="K35" s="5"/>
      <c r="L35" s="9"/>
      <c r="M35" s="5"/>
      <c r="N35" s="339" t="str">
        <f t="shared" si="1"/>
        <v/>
      </c>
      <c r="O35" s="31"/>
      <c r="P35" s="7"/>
    </row>
    <row r="36" spans="1:16" ht="15.75" hidden="1" customHeight="1">
      <c r="A36" s="8"/>
      <c r="B36" s="7"/>
      <c r="C36" s="8"/>
      <c r="D36" s="9"/>
      <c r="E36" s="146"/>
      <c r="F36" s="8"/>
      <c r="G36" s="8"/>
      <c r="H36" s="5"/>
      <c r="I36" s="5"/>
      <c r="J36" s="5"/>
      <c r="K36" s="5"/>
      <c r="L36" s="9"/>
      <c r="M36" s="5"/>
      <c r="N36" s="339" t="str">
        <f t="shared" si="1"/>
        <v/>
      </c>
      <c r="O36" s="31"/>
      <c r="P36" s="7"/>
    </row>
    <row r="37" spans="1:16" ht="15.75" hidden="1" customHeight="1">
      <c r="A37" s="8"/>
      <c r="B37" s="7"/>
      <c r="C37" s="8"/>
      <c r="D37" s="9"/>
      <c r="E37" s="146"/>
      <c r="F37" s="8"/>
      <c r="G37" s="8"/>
      <c r="H37" s="5"/>
      <c r="I37" s="5"/>
      <c r="J37" s="5"/>
      <c r="K37" s="5"/>
      <c r="L37" s="9"/>
      <c r="M37" s="5"/>
      <c r="N37" s="339" t="str">
        <f t="shared" si="1"/>
        <v/>
      </c>
      <c r="O37" s="31"/>
      <c r="P37" s="7"/>
    </row>
    <row r="38" spans="1:16" ht="15.75" hidden="1" customHeight="1">
      <c r="A38" s="8"/>
      <c r="B38" s="7"/>
      <c r="C38" s="8"/>
      <c r="D38" s="9"/>
      <c r="E38" s="146"/>
      <c r="F38" s="8"/>
      <c r="G38" s="8"/>
      <c r="H38" s="5"/>
      <c r="I38" s="5"/>
      <c r="J38" s="5"/>
      <c r="K38" s="5"/>
      <c r="L38" s="9"/>
      <c r="M38" s="5"/>
      <c r="N38" s="339" t="str">
        <f t="shared" si="1"/>
        <v/>
      </c>
      <c r="O38" s="31"/>
      <c r="P38" s="7"/>
    </row>
    <row r="39" spans="1:16" ht="15.75" hidden="1" customHeight="1">
      <c r="A39" s="8"/>
      <c r="B39" s="7"/>
      <c r="C39" s="8"/>
      <c r="D39" s="9"/>
      <c r="E39" s="146"/>
      <c r="F39" s="8"/>
      <c r="G39" s="8"/>
      <c r="H39" s="5"/>
      <c r="I39" s="5"/>
      <c r="J39" s="5"/>
      <c r="K39" s="5"/>
      <c r="L39" s="9"/>
      <c r="M39" s="5"/>
      <c r="N39" s="339" t="str">
        <f t="shared" si="1"/>
        <v/>
      </c>
      <c r="O39" s="31"/>
      <c r="P39" s="7"/>
    </row>
    <row r="40" spans="1:16" ht="15.75" hidden="1" customHeight="1">
      <c r="A40" s="8"/>
      <c r="B40" s="7"/>
      <c r="C40" s="8"/>
      <c r="D40" s="9"/>
      <c r="E40" s="146"/>
      <c r="F40" s="8"/>
      <c r="G40" s="8"/>
      <c r="H40" s="5"/>
      <c r="I40" s="5"/>
      <c r="J40" s="5"/>
      <c r="K40" s="5"/>
      <c r="L40" s="9"/>
      <c r="M40" s="5"/>
      <c r="N40" s="339" t="str">
        <f t="shared" si="1"/>
        <v/>
      </c>
      <c r="O40" s="31"/>
      <c r="P40" s="7"/>
    </row>
    <row r="41" spans="1:16" ht="15.75" hidden="1" customHeight="1">
      <c r="A41" s="8"/>
      <c r="B41" s="7"/>
      <c r="C41" s="8"/>
      <c r="D41" s="9"/>
      <c r="E41" s="146"/>
      <c r="F41" s="8"/>
      <c r="G41" s="8"/>
      <c r="H41" s="5"/>
      <c r="I41" s="5"/>
      <c r="J41" s="5"/>
      <c r="K41" s="5"/>
      <c r="L41" s="9"/>
      <c r="M41" s="5"/>
      <c r="N41" s="339" t="str">
        <f t="shared" si="1"/>
        <v/>
      </c>
      <c r="O41" s="31"/>
      <c r="P41" s="7"/>
    </row>
    <row r="42" spans="1:16" ht="15.75" hidden="1" customHeight="1">
      <c r="A42" s="8"/>
      <c r="B42" s="7"/>
      <c r="C42" s="8"/>
      <c r="D42" s="9"/>
      <c r="E42" s="146"/>
      <c r="F42" s="8"/>
      <c r="G42" s="8"/>
      <c r="H42" s="5"/>
      <c r="I42" s="5"/>
      <c r="J42" s="5"/>
      <c r="K42" s="5"/>
      <c r="L42" s="9"/>
      <c r="M42" s="5"/>
      <c r="N42" s="339" t="str">
        <f t="shared" si="1"/>
        <v/>
      </c>
      <c r="O42" s="31"/>
      <c r="P42" s="7"/>
    </row>
    <row r="43" spans="1:16" ht="15.75" hidden="1" customHeight="1">
      <c r="A43" s="8"/>
      <c r="B43" s="7"/>
      <c r="C43" s="8"/>
      <c r="D43" s="9"/>
      <c r="E43" s="146"/>
      <c r="F43" s="8"/>
      <c r="G43" s="8"/>
      <c r="H43" s="5"/>
      <c r="I43" s="5"/>
      <c r="J43" s="5"/>
      <c r="K43" s="5"/>
      <c r="L43" s="9"/>
      <c r="M43" s="5"/>
      <c r="N43" s="339" t="str">
        <f t="shared" si="1"/>
        <v/>
      </c>
      <c r="O43" s="31"/>
      <c r="P43" s="7"/>
    </row>
    <row r="44" spans="1:16" ht="15.75" hidden="1" customHeight="1">
      <c r="A44" s="8"/>
      <c r="B44" s="7"/>
      <c r="C44" s="8"/>
      <c r="D44" s="9"/>
      <c r="E44" s="146"/>
      <c r="F44" s="8"/>
      <c r="G44" s="8"/>
      <c r="H44" s="5"/>
      <c r="I44" s="5"/>
      <c r="J44" s="5"/>
      <c r="K44" s="5"/>
      <c r="L44" s="9"/>
      <c r="M44" s="5"/>
      <c r="N44" s="339" t="str">
        <f t="shared" si="1"/>
        <v/>
      </c>
      <c r="O44" s="31"/>
      <c r="P44" s="7"/>
    </row>
    <row r="45" spans="1:16" ht="15.75" hidden="1" customHeight="1">
      <c r="A45" s="8"/>
      <c r="B45" s="7"/>
      <c r="C45" s="8"/>
      <c r="D45" s="9"/>
      <c r="E45" s="146"/>
      <c r="F45" s="8"/>
      <c r="G45" s="8"/>
      <c r="H45" s="5"/>
      <c r="I45" s="5"/>
      <c r="J45" s="5"/>
      <c r="K45" s="5"/>
      <c r="L45" s="9"/>
      <c r="M45" s="5"/>
      <c r="N45" s="339" t="str">
        <f t="shared" si="1"/>
        <v/>
      </c>
      <c r="O45" s="31"/>
      <c r="P45" s="7"/>
    </row>
    <row r="46" spans="1:16" ht="15.75" hidden="1" customHeight="1">
      <c r="A46" s="8"/>
      <c r="B46" s="7"/>
      <c r="C46" s="8"/>
      <c r="D46" s="9"/>
      <c r="E46" s="146"/>
      <c r="F46" s="8"/>
      <c r="G46" s="8"/>
      <c r="H46" s="5"/>
      <c r="I46" s="5"/>
      <c r="J46" s="5"/>
      <c r="K46" s="5"/>
      <c r="L46" s="9"/>
      <c r="M46" s="5"/>
      <c r="N46" s="339" t="str">
        <f t="shared" si="1"/>
        <v/>
      </c>
      <c r="O46" s="31"/>
      <c r="P46" s="7"/>
    </row>
    <row r="47" spans="1:16" ht="15.75" hidden="1" customHeight="1">
      <c r="A47" s="8"/>
      <c r="B47" s="7"/>
      <c r="C47" s="8"/>
      <c r="D47" s="9"/>
      <c r="E47" s="146"/>
      <c r="F47" s="8"/>
      <c r="G47" s="8"/>
      <c r="H47" s="5"/>
      <c r="I47" s="5"/>
      <c r="J47" s="5"/>
      <c r="K47" s="5"/>
      <c r="L47" s="9"/>
      <c r="M47" s="5"/>
      <c r="N47" s="339" t="str">
        <f t="shared" si="1"/>
        <v/>
      </c>
      <c r="O47" s="31"/>
      <c r="P47" s="7"/>
    </row>
  </sheetData>
  <mergeCells count="18">
    <mergeCell ref="A1:P1"/>
    <mergeCell ref="B6:B7"/>
    <mergeCell ref="C6:C7"/>
    <mergeCell ref="N6:N7"/>
    <mergeCell ref="O6:O7"/>
    <mergeCell ref="A2:P2"/>
    <mergeCell ref="D6:D7"/>
    <mergeCell ref="G6:G7"/>
    <mergeCell ref="K6:M6"/>
    <mergeCell ref="I6:J6"/>
    <mergeCell ref="A27:C27"/>
    <mergeCell ref="P6:P7"/>
    <mergeCell ref="A6:A7"/>
    <mergeCell ref="F6:F7"/>
    <mergeCell ref="H6:H7"/>
    <mergeCell ref="E6:E7"/>
    <mergeCell ref="A26:C26"/>
    <mergeCell ref="A25:C25"/>
  </mergeCells>
  <phoneticPr fontId="6" type="noConversion"/>
  <printOptions horizontalCentered="1" verticalCentered="1"/>
  <pageMargins left="0.59055118110236227" right="0.43307086614173229" top="0.15748031496062992" bottom="0.55118110236220474" header="1.5748031496062993" footer="0.98425196850393704"/>
  <pageSetup paperSize="9" fitToWidth="0" fitToHeight="0" orientation="landscape" blackAndWhite="1" horizontalDpi="1200" verticalDpi="1200" r:id="rId1"/>
  <headerFooter scaleWithDoc="0">
    <oddHeader>&amp;R&amp;"宋体,常规"&amp;10表4-8-2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1016000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1257300</xdr:colOff>
                    <xdr:row>2</xdr:row>
                    <xdr:rowOff>0</xdr:rowOff>
                  </from>
                  <to>
                    <xdr:col>4</xdr:col>
                    <xdr:colOff>38100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E304-B307-4E7E-9752-565E1A8C2CE9}">
  <sheetPr codeName="Sheet44">
    <pageSetUpPr fitToPage="1"/>
  </sheetPr>
  <dimension ref="A1:Q47"/>
  <sheetViews>
    <sheetView workbookViewId="0">
      <pane ySplit="7" topLeftCell="A8" activePane="bottomLeft" state="frozen"/>
      <selection activeCell="F17" sqref="F17"/>
      <selection pane="bottomLeft" activeCell="N3" sqref="N1:N65536"/>
    </sheetView>
  </sheetViews>
  <sheetFormatPr baseColWidth="10" defaultColWidth="9" defaultRowHeight="15.75" customHeight="1"/>
  <cols>
    <col min="1" max="1" width="4.5" style="81" customWidth="1"/>
    <col min="2" max="2" width="10.6640625" style="81" customWidth="1"/>
    <col min="3" max="4" width="4.6640625" style="81" customWidth="1"/>
    <col min="5" max="5" width="15.6640625" style="81" customWidth="1"/>
    <col min="6" max="8" width="5" style="81" customWidth="1"/>
    <col min="9" max="10" width="10.1640625" style="81" customWidth="1"/>
    <col min="11" max="11" width="9.5" style="81" customWidth="1"/>
    <col min="12" max="12" width="8.1640625" style="81" customWidth="1"/>
    <col min="13" max="13" width="9.5" style="81" customWidth="1"/>
    <col min="14" max="14" width="6.6640625" style="340" customWidth="1"/>
    <col min="15" max="15" width="8" style="81" customWidth="1"/>
    <col min="16" max="16384" width="9" style="81"/>
  </cols>
  <sheetData>
    <row r="1" spans="1:15" s="80" customFormat="1" ht="30" customHeight="1">
      <c r="A1" s="374" t="s">
        <v>1007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</row>
    <row r="3" spans="1:15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131"/>
      <c r="O3" s="40"/>
    </row>
    <row r="4" spans="1:15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337"/>
      <c r="O4" s="37"/>
    </row>
    <row r="5" spans="1:15" ht="15.75" customHeight="1">
      <c r="A5" s="125" t="str">
        <f>'1-汇总表'!A4</f>
        <v>被评估单位：A有限公司</v>
      </c>
      <c r="B5" s="125"/>
      <c r="C5" s="125"/>
      <c r="D5" s="125"/>
      <c r="E5" s="125"/>
      <c r="F5" s="219"/>
      <c r="G5" s="219"/>
      <c r="H5" s="219"/>
      <c r="I5" s="42"/>
      <c r="J5" s="42"/>
      <c r="K5" s="42"/>
      <c r="L5" s="42"/>
      <c r="M5" s="42"/>
      <c r="N5" s="218"/>
      <c r="O5" s="122"/>
    </row>
    <row r="6" spans="1:15" s="101" customFormat="1" ht="20.25" customHeight="1">
      <c r="A6" s="465" t="s">
        <v>7</v>
      </c>
      <c r="B6" s="466" t="s">
        <v>92</v>
      </c>
      <c r="C6" s="480" t="s">
        <v>129</v>
      </c>
      <c r="D6" s="480" t="s">
        <v>130</v>
      </c>
      <c r="E6" s="480" t="s">
        <v>93</v>
      </c>
      <c r="F6" s="480" t="s">
        <v>94</v>
      </c>
      <c r="G6" s="480" t="s">
        <v>95</v>
      </c>
      <c r="H6" s="480" t="s">
        <v>96</v>
      </c>
      <c r="I6" s="540" t="s">
        <v>117</v>
      </c>
      <c r="J6" s="541"/>
      <c r="K6" s="465" t="s">
        <v>0</v>
      </c>
      <c r="L6" s="466"/>
      <c r="M6" s="466"/>
      <c r="N6" s="538" t="s">
        <v>479</v>
      </c>
      <c r="O6" s="480" t="s">
        <v>39</v>
      </c>
    </row>
    <row r="7" spans="1:15" s="101" customFormat="1" ht="25.5" customHeight="1">
      <c r="A7" s="466"/>
      <c r="B7" s="466"/>
      <c r="C7" s="466"/>
      <c r="D7" s="466"/>
      <c r="E7" s="466"/>
      <c r="F7" s="466"/>
      <c r="G7" s="466"/>
      <c r="H7" s="466"/>
      <c r="I7" s="124" t="s">
        <v>87</v>
      </c>
      <c r="J7" s="45" t="s">
        <v>88</v>
      </c>
      <c r="K7" s="45" t="s">
        <v>87</v>
      </c>
      <c r="L7" s="211" t="s">
        <v>481</v>
      </c>
      <c r="M7" s="45" t="s">
        <v>88</v>
      </c>
      <c r="N7" s="539"/>
      <c r="O7" s="466"/>
    </row>
    <row r="8" spans="1:15" ht="15.75" customHeight="1">
      <c r="A8" s="8"/>
      <c r="B8" s="7"/>
      <c r="C8" s="8"/>
      <c r="D8" s="8"/>
      <c r="E8" s="8"/>
      <c r="F8" s="8"/>
      <c r="G8" s="8"/>
      <c r="H8" s="9"/>
      <c r="I8" s="6"/>
      <c r="J8" s="5"/>
      <c r="K8" s="5"/>
      <c r="L8" s="9"/>
      <c r="M8" s="5"/>
      <c r="N8" s="339" t="str">
        <f>IF(ISERROR(M8-J8),"",IF(M8=0,"",ROUND((M8-J8)*100/J8,2)))</f>
        <v/>
      </c>
      <c r="O8" s="7"/>
    </row>
    <row r="9" spans="1:15" ht="15.75" customHeight="1">
      <c r="A9" s="8"/>
      <c r="B9" s="7"/>
      <c r="C9" s="8"/>
      <c r="D9" s="8"/>
      <c r="E9" s="8"/>
      <c r="F9" s="8"/>
      <c r="G9" s="8"/>
      <c r="H9" s="9"/>
      <c r="I9" s="6"/>
      <c r="J9" s="5"/>
      <c r="K9" s="5"/>
      <c r="L9" s="9"/>
      <c r="M9" s="5"/>
      <c r="N9" s="339" t="str">
        <f t="shared" ref="N9:N28" si="0">IF(ISERROR(M9-J9),"",IF(M9=0,"",ROUND((M9-J9)*100/J9,2)))</f>
        <v/>
      </c>
      <c r="O9" s="7"/>
    </row>
    <row r="10" spans="1:15" ht="15.75" customHeight="1">
      <c r="A10" s="8"/>
      <c r="B10" s="7"/>
      <c r="C10" s="8"/>
      <c r="D10" s="8"/>
      <c r="E10" s="8"/>
      <c r="F10" s="8"/>
      <c r="G10" s="8"/>
      <c r="H10" s="9"/>
      <c r="I10" s="6"/>
      <c r="J10" s="5"/>
      <c r="K10" s="5"/>
      <c r="L10" s="9"/>
      <c r="M10" s="5"/>
      <c r="N10" s="339" t="str">
        <f t="shared" si="0"/>
        <v/>
      </c>
      <c r="O10" s="7"/>
    </row>
    <row r="11" spans="1:15" ht="15.75" customHeight="1">
      <c r="A11" s="8"/>
      <c r="B11" s="7"/>
      <c r="C11" s="8"/>
      <c r="D11" s="8"/>
      <c r="E11" s="8"/>
      <c r="F11" s="8"/>
      <c r="G11" s="8"/>
      <c r="H11" s="9"/>
      <c r="I11" s="6"/>
      <c r="J11" s="5"/>
      <c r="K11" s="5"/>
      <c r="L11" s="9"/>
      <c r="M11" s="5"/>
      <c r="N11" s="339" t="str">
        <f t="shared" si="0"/>
        <v/>
      </c>
      <c r="O11" s="7"/>
    </row>
    <row r="12" spans="1:15" ht="15.75" customHeight="1">
      <c r="A12" s="8"/>
      <c r="B12" s="7"/>
      <c r="C12" s="8"/>
      <c r="D12" s="8"/>
      <c r="E12" s="8"/>
      <c r="F12" s="8"/>
      <c r="G12" s="8"/>
      <c r="H12" s="9"/>
      <c r="I12" s="6"/>
      <c r="J12" s="5"/>
      <c r="K12" s="5"/>
      <c r="L12" s="9"/>
      <c r="M12" s="5"/>
      <c r="N12" s="339" t="str">
        <f t="shared" si="0"/>
        <v/>
      </c>
      <c r="O12" s="7"/>
    </row>
    <row r="13" spans="1:15" ht="15.75" customHeight="1">
      <c r="A13" s="8"/>
      <c r="B13" s="7"/>
      <c r="C13" s="8"/>
      <c r="D13" s="8"/>
      <c r="E13" s="8"/>
      <c r="F13" s="8"/>
      <c r="G13" s="8"/>
      <c r="H13" s="9"/>
      <c r="I13" s="6"/>
      <c r="J13" s="5"/>
      <c r="K13" s="5"/>
      <c r="L13" s="9"/>
      <c r="M13" s="5"/>
      <c r="N13" s="339" t="str">
        <f t="shared" si="0"/>
        <v/>
      </c>
      <c r="O13" s="7"/>
    </row>
    <row r="14" spans="1:15" ht="15.75" customHeight="1">
      <c r="A14" s="8"/>
      <c r="B14" s="7"/>
      <c r="C14" s="8"/>
      <c r="D14" s="8"/>
      <c r="E14" s="8"/>
      <c r="F14" s="8"/>
      <c r="G14" s="8"/>
      <c r="H14" s="9"/>
      <c r="I14" s="6"/>
      <c r="J14" s="5"/>
      <c r="K14" s="5"/>
      <c r="L14" s="9"/>
      <c r="M14" s="5"/>
      <c r="N14" s="339" t="str">
        <f t="shared" si="0"/>
        <v/>
      </c>
      <c r="O14" s="7"/>
    </row>
    <row r="15" spans="1:15" ht="15.75" customHeight="1">
      <c r="A15" s="8"/>
      <c r="B15" s="7"/>
      <c r="C15" s="8"/>
      <c r="D15" s="8"/>
      <c r="E15" s="8"/>
      <c r="F15" s="8"/>
      <c r="G15" s="8"/>
      <c r="H15" s="9"/>
      <c r="I15" s="6"/>
      <c r="J15" s="5"/>
      <c r="K15" s="5"/>
      <c r="L15" s="9"/>
      <c r="M15" s="5"/>
      <c r="N15" s="339" t="str">
        <f t="shared" si="0"/>
        <v/>
      </c>
      <c r="O15" s="7"/>
    </row>
    <row r="16" spans="1:15" ht="15.75" customHeight="1">
      <c r="A16" s="8"/>
      <c r="B16" s="7"/>
      <c r="C16" s="8"/>
      <c r="D16" s="8"/>
      <c r="E16" s="8"/>
      <c r="F16" s="8"/>
      <c r="G16" s="8"/>
      <c r="H16" s="9"/>
      <c r="I16" s="6"/>
      <c r="J16" s="5"/>
      <c r="K16" s="5"/>
      <c r="L16" s="9"/>
      <c r="M16" s="5"/>
      <c r="N16" s="339" t="str">
        <f t="shared" si="0"/>
        <v/>
      </c>
      <c r="O16" s="7"/>
    </row>
    <row r="17" spans="1:17" ht="15.75" customHeight="1">
      <c r="A17" s="8"/>
      <c r="B17" s="7"/>
      <c r="C17" s="8"/>
      <c r="D17" s="8"/>
      <c r="E17" s="8"/>
      <c r="F17" s="8"/>
      <c r="G17" s="8"/>
      <c r="H17" s="9"/>
      <c r="I17" s="6"/>
      <c r="J17" s="5"/>
      <c r="K17" s="5"/>
      <c r="L17" s="9"/>
      <c r="M17" s="5"/>
      <c r="N17" s="339" t="str">
        <f t="shared" si="0"/>
        <v/>
      </c>
      <c r="O17" s="7"/>
    </row>
    <row r="18" spans="1:17" ht="15.75" customHeight="1">
      <c r="A18" s="8"/>
      <c r="B18" s="7"/>
      <c r="C18" s="8"/>
      <c r="D18" s="8"/>
      <c r="E18" s="8"/>
      <c r="F18" s="8"/>
      <c r="G18" s="8"/>
      <c r="H18" s="9"/>
      <c r="I18" s="6"/>
      <c r="J18" s="5"/>
      <c r="K18" s="5"/>
      <c r="L18" s="9"/>
      <c r="M18" s="5"/>
      <c r="N18" s="339" t="str">
        <f t="shared" si="0"/>
        <v/>
      </c>
      <c r="O18" s="7"/>
    </row>
    <row r="19" spans="1:17" ht="15.75" customHeight="1">
      <c r="A19" s="8"/>
      <c r="B19" s="7"/>
      <c r="C19" s="8"/>
      <c r="D19" s="8"/>
      <c r="E19" s="8"/>
      <c r="F19" s="8"/>
      <c r="G19" s="8"/>
      <c r="H19" s="9"/>
      <c r="I19" s="5"/>
      <c r="J19" s="5"/>
      <c r="K19" s="5"/>
      <c r="L19" s="9"/>
      <c r="M19" s="5"/>
      <c r="N19" s="339" t="str">
        <f t="shared" si="0"/>
        <v/>
      </c>
      <c r="O19" s="7"/>
      <c r="P19" s="141"/>
      <c r="Q19" s="141"/>
    </row>
    <row r="20" spans="1:17" ht="15.75" customHeight="1">
      <c r="A20" s="8"/>
      <c r="B20" s="7"/>
      <c r="C20" s="8"/>
      <c r="D20" s="8"/>
      <c r="E20" s="8"/>
      <c r="F20" s="8"/>
      <c r="G20" s="8"/>
      <c r="H20" s="9"/>
      <c r="I20" s="5"/>
      <c r="J20" s="5"/>
      <c r="K20" s="5"/>
      <c r="L20" s="9"/>
      <c r="M20" s="5"/>
      <c r="N20" s="339" t="str">
        <f t="shared" si="0"/>
        <v/>
      </c>
      <c r="O20" s="7"/>
      <c r="P20" s="141"/>
      <c r="Q20" s="141"/>
    </row>
    <row r="21" spans="1:17" ht="15.75" customHeight="1">
      <c r="A21" s="8"/>
      <c r="B21" s="7"/>
      <c r="C21" s="8"/>
      <c r="D21" s="8"/>
      <c r="E21" s="8"/>
      <c r="F21" s="8"/>
      <c r="G21" s="8"/>
      <c r="H21" s="9"/>
      <c r="I21" s="5"/>
      <c r="J21" s="5"/>
      <c r="K21" s="5"/>
      <c r="L21" s="9"/>
      <c r="M21" s="5"/>
      <c r="N21" s="339" t="str">
        <f t="shared" si="0"/>
        <v/>
      </c>
      <c r="O21" s="7"/>
      <c r="P21" s="141"/>
      <c r="Q21" s="141"/>
    </row>
    <row r="22" spans="1:17" ht="15.75" customHeight="1">
      <c r="A22" s="8"/>
      <c r="B22" s="7"/>
      <c r="C22" s="8"/>
      <c r="D22" s="8"/>
      <c r="E22" s="8"/>
      <c r="F22" s="8"/>
      <c r="G22" s="8"/>
      <c r="H22" s="9"/>
      <c r="I22" s="5"/>
      <c r="J22" s="5"/>
      <c r="K22" s="5"/>
      <c r="L22" s="9"/>
      <c r="M22" s="5"/>
      <c r="N22" s="339" t="str">
        <f t="shared" si="0"/>
        <v/>
      </c>
      <c r="O22" s="7"/>
      <c r="P22" s="141"/>
      <c r="Q22" s="141"/>
    </row>
    <row r="23" spans="1:17" ht="15.75" customHeight="1">
      <c r="A23" s="8"/>
      <c r="B23" s="7"/>
      <c r="C23" s="8"/>
      <c r="D23" s="8"/>
      <c r="E23" s="8"/>
      <c r="F23" s="8"/>
      <c r="G23" s="8"/>
      <c r="H23" s="9"/>
      <c r="I23" s="5"/>
      <c r="J23" s="5"/>
      <c r="K23" s="5"/>
      <c r="L23" s="9"/>
      <c r="M23" s="5"/>
      <c r="N23" s="339" t="str">
        <f t="shared" si="0"/>
        <v/>
      </c>
      <c r="O23" s="7"/>
      <c r="P23" s="141"/>
      <c r="Q23" s="141"/>
    </row>
    <row r="24" spans="1:17" ht="15.75" customHeight="1">
      <c r="A24" s="8"/>
      <c r="B24" s="7"/>
      <c r="C24" s="8"/>
      <c r="D24" s="8"/>
      <c r="E24" s="8"/>
      <c r="F24" s="8"/>
      <c r="G24" s="8"/>
      <c r="H24" s="9"/>
      <c r="I24" s="5"/>
      <c r="J24" s="5"/>
      <c r="K24" s="5"/>
      <c r="L24" s="9"/>
      <c r="M24" s="5"/>
      <c r="N24" s="339" t="str">
        <f t="shared" si="0"/>
        <v/>
      </c>
      <c r="O24" s="7"/>
      <c r="P24" s="141"/>
      <c r="Q24" s="141"/>
    </row>
    <row r="25" spans="1:17" ht="15.75" customHeight="1">
      <c r="A25" s="537" t="s">
        <v>535</v>
      </c>
      <c r="B25" s="382"/>
      <c r="C25" s="382"/>
      <c r="D25" s="237"/>
      <c r="E25" s="232"/>
      <c r="F25" s="232"/>
      <c r="G25" s="248"/>
      <c r="H25" s="252" t="s">
        <v>37</v>
      </c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1"/>
      <c r="M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5" s="339" t="str">
        <f t="shared" ca="1" si="0"/>
        <v/>
      </c>
      <c r="O25" s="253"/>
      <c r="P25" s="191"/>
      <c r="Q25" s="141"/>
    </row>
    <row r="26" spans="1:17" ht="15.75" customHeight="1">
      <c r="A26" s="382" t="s">
        <v>471</v>
      </c>
      <c r="B26" s="382"/>
      <c r="C26" s="382"/>
      <c r="D26" s="235"/>
      <c r="E26" s="235"/>
      <c r="F26" s="235"/>
      <c r="G26" s="235"/>
      <c r="H26" s="252"/>
      <c r="I26" s="31"/>
      <c r="J26" s="31"/>
      <c r="K26" s="31"/>
      <c r="L26" s="30"/>
      <c r="M26" s="233"/>
      <c r="N26" s="339"/>
      <c r="O26" s="234"/>
      <c r="P26" s="141"/>
      <c r="Q26" s="141"/>
    </row>
    <row r="27" spans="1:17" ht="15.75" customHeight="1">
      <c r="A27" s="537" t="s">
        <v>535</v>
      </c>
      <c r="B27" s="382"/>
      <c r="C27" s="382"/>
      <c r="D27" s="237"/>
      <c r="E27" s="232"/>
      <c r="F27" s="232"/>
      <c r="G27" s="30"/>
      <c r="H27" s="252"/>
      <c r="I27" s="31" t="str">
        <f ca="1">IF(I26="",I25,I25-I26)</f>
        <v/>
      </c>
      <c r="J27" s="31" t="str">
        <f ca="1">IF(J26="",J25,J25-J26)</f>
        <v/>
      </c>
      <c r="K27" s="31" t="str">
        <f ca="1">IF(K26="",K25,K25-K26)</f>
        <v/>
      </c>
      <c r="L27" s="31"/>
      <c r="M27" s="31" t="str">
        <f ca="1">IF(M26="",M25,M25-M26)</f>
        <v/>
      </c>
      <c r="N27" s="339" t="str">
        <f t="shared" ca="1" si="0"/>
        <v/>
      </c>
      <c r="O27" s="253"/>
      <c r="P27" s="191"/>
      <c r="Q27" s="141"/>
    </row>
    <row r="28" spans="1:17" ht="15.75" hidden="1" customHeight="1">
      <c r="A28" s="8"/>
      <c r="B28" s="7"/>
      <c r="C28" s="8"/>
      <c r="D28" s="8"/>
      <c r="E28" s="8"/>
      <c r="F28" s="8"/>
      <c r="G28" s="8"/>
      <c r="H28" s="9"/>
      <c r="I28" s="5"/>
      <c r="J28" s="5"/>
      <c r="K28" s="5"/>
      <c r="L28" s="9"/>
      <c r="M28" s="5"/>
      <c r="N28" s="339" t="str">
        <f t="shared" si="0"/>
        <v/>
      </c>
      <c r="O28" s="7"/>
      <c r="P28" s="141"/>
      <c r="Q28" s="141"/>
    </row>
    <row r="29" spans="1:17" ht="15.75" hidden="1" customHeight="1">
      <c r="A29" s="8"/>
      <c r="B29" s="7"/>
      <c r="C29" s="8"/>
      <c r="D29" s="8"/>
      <c r="E29" s="8"/>
      <c r="F29" s="8"/>
      <c r="G29" s="8"/>
      <c r="H29" s="9"/>
      <c r="I29" s="5"/>
      <c r="J29" s="5"/>
      <c r="K29" s="5"/>
      <c r="L29" s="9"/>
      <c r="M29" s="5"/>
      <c r="N29" s="339" t="str">
        <f t="shared" ref="N29:N47" si="1">IF(ISERROR(M29-J29),"",IF(M29=0,"",ROUND((M29-J29)*100/J29,2)))</f>
        <v/>
      </c>
      <c r="O29" s="7"/>
      <c r="P29" s="141"/>
      <c r="Q29" s="141"/>
    </row>
    <row r="30" spans="1:17" ht="15.75" hidden="1" customHeight="1">
      <c r="A30" s="8"/>
      <c r="B30" s="7"/>
      <c r="C30" s="8"/>
      <c r="D30" s="8"/>
      <c r="E30" s="8"/>
      <c r="F30" s="8"/>
      <c r="G30" s="8"/>
      <c r="H30" s="9"/>
      <c r="I30" s="5"/>
      <c r="J30" s="5"/>
      <c r="K30" s="5"/>
      <c r="L30" s="9"/>
      <c r="M30" s="5"/>
      <c r="N30" s="339" t="str">
        <f t="shared" si="1"/>
        <v/>
      </c>
      <c r="O30" s="7"/>
      <c r="P30" s="141"/>
      <c r="Q30" s="141"/>
    </row>
    <row r="31" spans="1:17" ht="15.75" hidden="1" customHeight="1">
      <c r="A31" s="8"/>
      <c r="B31" s="7"/>
      <c r="C31" s="8"/>
      <c r="D31" s="8"/>
      <c r="E31" s="8"/>
      <c r="F31" s="8"/>
      <c r="G31" s="8"/>
      <c r="H31" s="9"/>
      <c r="I31" s="5"/>
      <c r="J31" s="5"/>
      <c r="K31" s="5"/>
      <c r="L31" s="9"/>
      <c r="M31" s="5"/>
      <c r="N31" s="339" t="str">
        <f t="shared" si="1"/>
        <v/>
      </c>
      <c r="O31" s="7"/>
      <c r="P31" s="141"/>
      <c r="Q31" s="141"/>
    </row>
    <row r="32" spans="1:17" ht="15.75" hidden="1" customHeight="1">
      <c r="A32" s="8"/>
      <c r="B32" s="7"/>
      <c r="C32" s="8"/>
      <c r="D32" s="8"/>
      <c r="E32" s="8"/>
      <c r="F32" s="8"/>
      <c r="G32" s="8"/>
      <c r="H32" s="9"/>
      <c r="I32" s="5"/>
      <c r="J32" s="5"/>
      <c r="K32" s="5"/>
      <c r="L32" s="9"/>
      <c r="M32" s="5"/>
      <c r="N32" s="339" t="str">
        <f t="shared" si="1"/>
        <v/>
      </c>
      <c r="O32" s="7"/>
      <c r="P32" s="141"/>
      <c r="Q32" s="141"/>
    </row>
    <row r="33" spans="1:17" ht="15.75" hidden="1" customHeight="1">
      <c r="A33" s="8"/>
      <c r="B33" s="7"/>
      <c r="C33" s="8"/>
      <c r="D33" s="8"/>
      <c r="E33" s="8"/>
      <c r="F33" s="8"/>
      <c r="G33" s="8"/>
      <c r="H33" s="9"/>
      <c r="I33" s="5"/>
      <c r="J33" s="5"/>
      <c r="K33" s="5"/>
      <c r="L33" s="9"/>
      <c r="M33" s="5"/>
      <c r="N33" s="339" t="str">
        <f t="shared" si="1"/>
        <v/>
      </c>
      <c r="O33" s="7"/>
      <c r="P33" s="141"/>
      <c r="Q33" s="141"/>
    </row>
    <row r="34" spans="1:17" ht="15.75" hidden="1" customHeight="1">
      <c r="A34" s="8"/>
      <c r="B34" s="7"/>
      <c r="C34" s="8"/>
      <c r="D34" s="8"/>
      <c r="E34" s="8"/>
      <c r="F34" s="8"/>
      <c r="G34" s="8"/>
      <c r="H34" s="9"/>
      <c r="I34" s="5"/>
      <c r="J34" s="5"/>
      <c r="K34" s="5"/>
      <c r="L34" s="9"/>
      <c r="M34" s="5"/>
      <c r="N34" s="339" t="str">
        <f t="shared" si="1"/>
        <v/>
      </c>
      <c r="O34" s="7"/>
      <c r="P34" s="141"/>
      <c r="Q34" s="141"/>
    </row>
    <row r="35" spans="1:17" ht="15.75" hidden="1" customHeight="1">
      <c r="A35" s="8"/>
      <c r="B35" s="7"/>
      <c r="C35" s="8"/>
      <c r="D35" s="8"/>
      <c r="E35" s="8"/>
      <c r="F35" s="8"/>
      <c r="G35" s="8"/>
      <c r="H35" s="9"/>
      <c r="I35" s="5"/>
      <c r="J35" s="5"/>
      <c r="K35" s="5"/>
      <c r="L35" s="9"/>
      <c r="M35" s="5"/>
      <c r="N35" s="339" t="str">
        <f t="shared" si="1"/>
        <v/>
      </c>
      <c r="O35" s="7"/>
      <c r="P35" s="141"/>
      <c r="Q35" s="141"/>
    </row>
    <row r="36" spans="1:17" ht="15.75" hidden="1" customHeight="1">
      <c r="A36" s="8"/>
      <c r="B36" s="7"/>
      <c r="C36" s="8"/>
      <c r="D36" s="8"/>
      <c r="E36" s="8"/>
      <c r="F36" s="8"/>
      <c r="G36" s="8"/>
      <c r="H36" s="9"/>
      <c r="I36" s="5"/>
      <c r="J36" s="5"/>
      <c r="K36" s="5"/>
      <c r="L36" s="9"/>
      <c r="M36" s="5"/>
      <c r="N36" s="339" t="str">
        <f t="shared" si="1"/>
        <v/>
      </c>
      <c r="O36" s="7"/>
      <c r="P36" s="141"/>
      <c r="Q36" s="141"/>
    </row>
    <row r="37" spans="1:17" ht="15.75" hidden="1" customHeight="1">
      <c r="A37" s="8"/>
      <c r="B37" s="7"/>
      <c r="C37" s="8"/>
      <c r="D37" s="8"/>
      <c r="E37" s="8"/>
      <c r="F37" s="8"/>
      <c r="G37" s="8"/>
      <c r="H37" s="9"/>
      <c r="I37" s="5"/>
      <c r="J37" s="5"/>
      <c r="K37" s="5"/>
      <c r="L37" s="9"/>
      <c r="M37" s="5"/>
      <c r="N37" s="339" t="str">
        <f t="shared" si="1"/>
        <v/>
      </c>
      <c r="O37" s="7"/>
      <c r="P37" s="141"/>
      <c r="Q37" s="141"/>
    </row>
    <row r="38" spans="1:17" ht="15.75" hidden="1" customHeight="1">
      <c r="A38" s="8"/>
      <c r="B38" s="7"/>
      <c r="C38" s="8"/>
      <c r="D38" s="8"/>
      <c r="E38" s="8"/>
      <c r="F38" s="8"/>
      <c r="G38" s="8"/>
      <c r="H38" s="9"/>
      <c r="I38" s="5"/>
      <c r="J38" s="5"/>
      <c r="K38" s="5"/>
      <c r="L38" s="9"/>
      <c r="M38" s="5"/>
      <c r="N38" s="339" t="str">
        <f t="shared" si="1"/>
        <v/>
      </c>
      <c r="O38" s="7"/>
      <c r="P38" s="141"/>
      <c r="Q38" s="141"/>
    </row>
    <row r="39" spans="1:17" ht="15.75" hidden="1" customHeight="1">
      <c r="A39" s="8"/>
      <c r="B39" s="7"/>
      <c r="C39" s="8"/>
      <c r="D39" s="8"/>
      <c r="E39" s="8"/>
      <c r="F39" s="8"/>
      <c r="G39" s="8"/>
      <c r="H39" s="9"/>
      <c r="I39" s="5"/>
      <c r="J39" s="5"/>
      <c r="K39" s="5"/>
      <c r="L39" s="9"/>
      <c r="M39" s="5"/>
      <c r="N39" s="339" t="str">
        <f t="shared" si="1"/>
        <v/>
      </c>
      <c r="O39" s="7"/>
      <c r="P39" s="141"/>
      <c r="Q39" s="141"/>
    </row>
    <row r="40" spans="1:17" ht="15.75" hidden="1" customHeight="1">
      <c r="A40" s="8"/>
      <c r="B40" s="7"/>
      <c r="C40" s="8"/>
      <c r="D40" s="8"/>
      <c r="E40" s="8"/>
      <c r="F40" s="8"/>
      <c r="G40" s="8"/>
      <c r="H40" s="9"/>
      <c r="I40" s="5"/>
      <c r="J40" s="5"/>
      <c r="K40" s="5"/>
      <c r="L40" s="9"/>
      <c r="M40" s="5"/>
      <c r="N40" s="339" t="str">
        <f t="shared" si="1"/>
        <v/>
      </c>
      <c r="O40" s="7"/>
      <c r="P40" s="141"/>
      <c r="Q40" s="141"/>
    </row>
    <row r="41" spans="1:17" ht="15.75" hidden="1" customHeight="1">
      <c r="A41" s="8"/>
      <c r="B41" s="7"/>
      <c r="C41" s="8"/>
      <c r="D41" s="8"/>
      <c r="E41" s="8"/>
      <c r="F41" s="8"/>
      <c r="G41" s="8"/>
      <c r="H41" s="9"/>
      <c r="I41" s="5"/>
      <c r="J41" s="5"/>
      <c r="K41" s="5"/>
      <c r="L41" s="9"/>
      <c r="M41" s="5"/>
      <c r="N41" s="339" t="str">
        <f t="shared" si="1"/>
        <v/>
      </c>
      <c r="O41" s="7"/>
      <c r="P41" s="141"/>
      <c r="Q41" s="141"/>
    </row>
    <row r="42" spans="1:17" ht="15.75" hidden="1" customHeight="1">
      <c r="A42" s="8"/>
      <c r="B42" s="7"/>
      <c r="C42" s="8"/>
      <c r="D42" s="8"/>
      <c r="E42" s="8"/>
      <c r="F42" s="8"/>
      <c r="G42" s="8"/>
      <c r="H42" s="9"/>
      <c r="I42" s="5"/>
      <c r="J42" s="5"/>
      <c r="K42" s="5"/>
      <c r="L42" s="9"/>
      <c r="M42" s="5"/>
      <c r="N42" s="339" t="str">
        <f t="shared" si="1"/>
        <v/>
      </c>
      <c r="O42" s="7"/>
      <c r="P42" s="141"/>
      <c r="Q42" s="141"/>
    </row>
    <row r="43" spans="1:17" ht="15.75" hidden="1" customHeight="1">
      <c r="A43" s="8"/>
      <c r="B43" s="7"/>
      <c r="C43" s="8"/>
      <c r="D43" s="8"/>
      <c r="E43" s="8"/>
      <c r="F43" s="8"/>
      <c r="G43" s="8"/>
      <c r="H43" s="9"/>
      <c r="I43" s="5"/>
      <c r="J43" s="5"/>
      <c r="K43" s="5"/>
      <c r="L43" s="9"/>
      <c r="M43" s="5"/>
      <c r="N43" s="339" t="str">
        <f t="shared" si="1"/>
        <v/>
      </c>
      <c r="O43" s="7"/>
      <c r="P43" s="141"/>
      <c r="Q43" s="141"/>
    </row>
    <row r="44" spans="1:17" ht="15.75" hidden="1" customHeight="1">
      <c r="A44" s="8"/>
      <c r="B44" s="7"/>
      <c r="C44" s="8"/>
      <c r="D44" s="8"/>
      <c r="E44" s="8"/>
      <c r="F44" s="8"/>
      <c r="G44" s="8"/>
      <c r="H44" s="9"/>
      <c r="I44" s="5"/>
      <c r="J44" s="5"/>
      <c r="K44" s="5"/>
      <c r="L44" s="9"/>
      <c r="M44" s="5"/>
      <c r="N44" s="339" t="str">
        <f t="shared" si="1"/>
        <v/>
      </c>
      <c r="O44" s="7"/>
      <c r="P44" s="141"/>
      <c r="Q44" s="141"/>
    </row>
    <row r="45" spans="1:17" ht="15.75" hidden="1" customHeight="1">
      <c r="A45" s="8"/>
      <c r="B45" s="7"/>
      <c r="C45" s="8"/>
      <c r="D45" s="8"/>
      <c r="E45" s="8"/>
      <c r="F45" s="8"/>
      <c r="G45" s="8"/>
      <c r="H45" s="9"/>
      <c r="I45" s="5"/>
      <c r="J45" s="5"/>
      <c r="K45" s="5"/>
      <c r="L45" s="9"/>
      <c r="M45" s="5"/>
      <c r="N45" s="339" t="str">
        <f t="shared" si="1"/>
        <v/>
      </c>
      <c r="O45" s="7"/>
      <c r="P45" s="141"/>
      <c r="Q45" s="141"/>
    </row>
    <row r="46" spans="1:17" ht="15.75" hidden="1" customHeight="1">
      <c r="A46" s="8"/>
      <c r="B46" s="7"/>
      <c r="C46" s="8"/>
      <c r="D46" s="8"/>
      <c r="E46" s="8"/>
      <c r="F46" s="8"/>
      <c r="G46" s="8"/>
      <c r="H46" s="9"/>
      <c r="I46" s="5"/>
      <c r="J46" s="5"/>
      <c r="K46" s="5"/>
      <c r="L46" s="9"/>
      <c r="M46" s="5"/>
      <c r="N46" s="339" t="str">
        <f t="shared" si="1"/>
        <v/>
      </c>
      <c r="O46" s="7"/>
      <c r="P46" s="141"/>
      <c r="Q46" s="141"/>
    </row>
    <row r="47" spans="1:17" ht="15.75" hidden="1" customHeight="1">
      <c r="A47" s="8"/>
      <c r="B47" s="7"/>
      <c r="C47" s="8"/>
      <c r="D47" s="8"/>
      <c r="E47" s="8"/>
      <c r="F47" s="8"/>
      <c r="G47" s="8"/>
      <c r="H47" s="9"/>
      <c r="I47" s="5"/>
      <c r="J47" s="5"/>
      <c r="K47" s="5"/>
      <c r="L47" s="9"/>
      <c r="M47" s="5"/>
      <c r="N47" s="339" t="str">
        <f t="shared" si="1"/>
        <v/>
      </c>
      <c r="O47" s="7"/>
      <c r="P47" s="141"/>
      <c r="Q47" s="141"/>
    </row>
  </sheetData>
  <mergeCells count="17">
    <mergeCell ref="A1:O1"/>
    <mergeCell ref="O6:O7"/>
    <mergeCell ref="C6:C7"/>
    <mergeCell ref="D6:D7"/>
    <mergeCell ref="E6:E7"/>
    <mergeCell ref="A26:C26"/>
    <mergeCell ref="A25:C25"/>
    <mergeCell ref="A27:C27"/>
    <mergeCell ref="K6:M6"/>
    <mergeCell ref="A6:A7"/>
    <mergeCell ref="B6:B7"/>
    <mergeCell ref="I6:J6"/>
    <mergeCell ref="F6:F7"/>
    <mergeCell ref="G6:G7"/>
    <mergeCell ref="H6:H7"/>
    <mergeCell ref="A2:O2"/>
    <mergeCell ref="N6:N7"/>
  </mergeCells>
  <phoneticPr fontId="6" type="noConversion"/>
  <printOptions horizontalCentered="1" verticalCentered="1"/>
  <pageMargins left="1.1023622047244095" right="0.70866141732283472" top="0.51181102362204722" bottom="0.94488188976377963" header="1.5748031496062993" footer="0.98425196850393704"/>
  <pageSetup paperSize="9" fitToHeight="0" orientation="landscape" blackAndWhite="1" horizontalDpi="1200" verticalDpi="1200" r:id="rId1"/>
  <headerFooter scaleWithDoc="0">
    <oddHeader>&amp;R&amp;"宋体,常规"&amp;10表4-8-3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12700</xdr:colOff>
                    <xdr:row>2</xdr:row>
                    <xdr:rowOff>0</xdr:rowOff>
                  </from>
                  <to>
                    <xdr:col>2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127000</xdr:colOff>
                    <xdr:row>2</xdr:row>
                    <xdr:rowOff>0</xdr:rowOff>
                  </from>
                  <to>
                    <xdr:col>4</xdr:col>
                    <xdr:colOff>787400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17AB-83D7-4897-BC29-EF07E4B4719E}">
  <sheetPr codeName="Sheet45">
    <pageSetUpPr fitToPage="1"/>
  </sheetPr>
  <dimension ref="A1:P47"/>
  <sheetViews>
    <sheetView workbookViewId="0">
      <pane ySplit="7" topLeftCell="A8" activePane="bottomLeft" state="frozen"/>
      <selection activeCell="F17" sqref="F17"/>
      <selection pane="bottomLeft" activeCell="O3" sqref="O1:O65536"/>
    </sheetView>
  </sheetViews>
  <sheetFormatPr baseColWidth="10" defaultColWidth="9" defaultRowHeight="15.75" customHeight="1"/>
  <cols>
    <col min="1" max="1" width="4.5" style="81" customWidth="1"/>
    <col min="2" max="2" width="8" style="81" customWidth="1"/>
    <col min="3" max="3" width="12" style="81" customWidth="1"/>
    <col min="4" max="5" width="9" style="81"/>
    <col min="6" max="6" width="4.5" style="81" customWidth="1"/>
    <col min="7" max="7" width="5" style="81" customWidth="1"/>
    <col min="8" max="9" width="5.5" style="81" customWidth="1"/>
    <col min="10" max="11" width="9.6640625" style="81" customWidth="1"/>
    <col min="12" max="12" width="9.5" style="81" customWidth="1"/>
    <col min="13" max="13" width="7.6640625" style="81" customWidth="1"/>
    <col min="14" max="14" width="9.6640625" style="81" customWidth="1"/>
    <col min="15" max="15" width="6.6640625" style="340" customWidth="1"/>
    <col min="16" max="16" width="7.6640625" style="81" customWidth="1"/>
    <col min="17" max="16384" width="9" style="81"/>
  </cols>
  <sheetData>
    <row r="1" spans="1:16" s="80" customFormat="1" ht="30" customHeight="1">
      <c r="A1" s="374" t="s">
        <v>1008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  <c r="P2" s="378"/>
    </row>
    <row r="3" spans="1:16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41"/>
      <c r="O3" s="218"/>
      <c r="P3" s="41"/>
    </row>
    <row r="4" spans="1:16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85"/>
      <c r="O4" s="337"/>
      <c r="P4" s="37"/>
    </row>
    <row r="5" spans="1:16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168"/>
      <c r="N5" s="168"/>
      <c r="O5" s="342"/>
      <c r="P5" s="168"/>
    </row>
    <row r="6" spans="1:16" s="101" customFormat="1" ht="20.25" customHeight="1">
      <c r="A6" s="465" t="s">
        <v>7</v>
      </c>
      <c r="B6" s="465" t="s">
        <v>91</v>
      </c>
      <c r="C6" s="480" t="s">
        <v>82</v>
      </c>
      <c r="D6" s="480" t="s">
        <v>42</v>
      </c>
      <c r="E6" s="480" t="s">
        <v>83</v>
      </c>
      <c r="F6" s="480" t="s">
        <v>84</v>
      </c>
      <c r="G6" s="480" t="s">
        <v>43</v>
      </c>
      <c r="H6" s="480" t="s">
        <v>85</v>
      </c>
      <c r="I6" s="480" t="s">
        <v>86</v>
      </c>
      <c r="J6" s="540" t="s">
        <v>117</v>
      </c>
      <c r="K6" s="541"/>
      <c r="L6" s="465" t="s">
        <v>0</v>
      </c>
      <c r="M6" s="466"/>
      <c r="N6" s="466"/>
      <c r="O6" s="538" t="s">
        <v>479</v>
      </c>
      <c r="P6" s="480" t="s">
        <v>39</v>
      </c>
    </row>
    <row r="7" spans="1:16" s="101" customFormat="1" ht="25.5" customHeight="1">
      <c r="A7" s="466"/>
      <c r="B7" s="466"/>
      <c r="C7" s="466"/>
      <c r="D7" s="466"/>
      <c r="E7" s="466"/>
      <c r="F7" s="466"/>
      <c r="G7" s="466"/>
      <c r="H7" s="466"/>
      <c r="I7" s="466"/>
      <c r="J7" s="124" t="s">
        <v>87</v>
      </c>
      <c r="K7" s="45" t="s">
        <v>88</v>
      </c>
      <c r="L7" s="45" t="s">
        <v>87</v>
      </c>
      <c r="M7" s="211" t="s">
        <v>481</v>
      </c>
      <c r="N7" s="45" t="s">
        <v>88</v>
      </c>
      <c r="O7" s="539"/>
      <c r="P7" s="466"/>
    </row>
    <row r="8" spans="1:16" ht="15.75" customHeight="1">
      <c r="A8" s="8"/>
      <c r="B8" s="7"/>
      <c r="C8" s="7"/>
      <c r="D8" s="8"/>
      <c r="E8" s="7"/>
      <c r="F8" s="8"/>
      <c r="G8" s="8"/>
      <c r="H8" s="146"/>
      <c r="I8" s="146"/>
      <c r="J8" s="6"/>
      <c r="K8" s="5"/>
      <c r="L8" s="5"/>
      <c r="M8" s="5"/>
      <c r="N8" s="5"/>
      <c r="O8" s="339" t="str">
        <f>IF(ISERROR(N8-K8),"",IF(N8=0,"",ROUND((N8-K8)*100/K8,2)))</f>
        <v/>
      </c>
      <c r="P8" s="7"/>
    </row>
    <row r="9" spans="1:16" ht="15.75" customHeight="1">
      <c r="A9" s="8"/>
      <c r="B9" s="7"/>
      <c r="C9" s="7"/>
      <c r="D9" s="8"/>
      <c r="E9" s="7"/>
      <c r="F9" s="8"/>
      <c r="G9" s="8"/>
      <c r="H9" s="146"/>
      <c r="I9" s="146"/>
      <c r="J9" s="6"/>
      <c r="K9" s="5"/>
      <c r="L9" s="5"/>
      <c r="M9" s="5"/>
      <c r="N9" s="5"/>
      <c r="O9" s="339" t="str">
        <f t="shared" ref="O9:O28" si="0">IF(ISERROR(N9-K9),"",IF(N9=0,"",ROUND((N9-K9)*100/K9,2)))</f>
        <v/>
      </c>
      <c r="P9" s="7"/>
    </row>
    <row r="10" spans="1:16" ht="15.75" customHeight="1">
      <c r="A10" s="8"/>
      <c r="B10" s="7"/>
      <c r="C10" s="7"/>
      <c r="D10" s="8"/>
      <c r="E10" s="7"/>
      <c r="F10" s="8"/>
      <c r="G10" s="8"/>
      <c r="H10" s="146"/>
      <c r="I10" s="146"/>
      <c r="J10" s="6"/>
      <c r="K10" s="5"/>
      <c r="L10" s="5"/>
      <c r="M10" s="5"/>
      <c r="N10" s="5"/>
      <c r="O10" s="339" t="str">
        <f t="shared" si="0"/>
        <v/>
      </c>
      <c r="P10" s="7"/>
    </row>
    <row r="11" spans="1:16" ht="15.75" customHeight="1">
      <c r="A11" s="8"/>
      <c r="B11" s="7"/>
      <c r="C11" s="7"/>
      <c r="D11" s="8"/>
      <c r="E11" s="7"/>
      <c r="F11" s="8"/>
      <c r="G11" s="8"/>
      <c r="H11" s="146"/>
      <c r="I11" s="146"/>
      <c r="J11" s="6"/>
      <c r="K11" s="5"/>
      <c r="L11" s="5"/>
      <c r="M11" s="5"/>
      <c r="N11" s="5"/>
      <c r="O11" s="339" t="str">
        <f t="shared" si="0"/>
        <v/>
      </c>
      <c r="P11" s="7"/>
    </row>
    <row r="12" spans="1:16" ht="15.75" customHeight="1">
      <c r="A12" s="8"/>
      <c r="B12" s="7"/>
      <c r="C12" s="7"/>
      <c r="D12" s="8"/>
      <c r="E12" s="7"/>
      <c r="F12" s="8"/>
      <c r="G12" s="8"/>
      <c r="H12" s="146"/>
      <c r="I12" s="146"/>
      <c r="J12" s="6"/>
      <c r="K12" s="5"/>
      <c r="L12" s="5"/>
      <c r="M12" s="5"/>
      <c r="N12" s="5"/>
      <c r="O12" s="339" t="str">
        <f t="shared" si="0"/>
        <v/>
      </c>
      <c r="P12" s="7"/>
    </row>
    <row r="13" spans="1:16" ht="15.75" customHeight="1">
      <c r="A13" s="8"/>
      <c r="B13" s="7"/>
      <c r="C13" s="7"/>
      <c r="D13" s="8"/>
      <c r="E13" s="7"/>
      <c r="F13" s="8"/>
      <c r="G13" s="8"/>
      <c r="H13" s="146"/>
      <c r="I13" s="146"/>
      <c r="J13" s="6"/>
      <c r="K13" s="5"/>
      <c r="L13" s="5"/>
      <c r="M13" s="5"/>
      <c r="N13" s="5"/>
      <c r="O13" s="339" t="str">
        <f t="shared" si="0"/>
        <v/>
      </c>
      <c r="P13" s="7"/>
    </row>
    <row r="14" spans="1:16" ht="15.75" customHeight="1">
      <c r="A14" s="8"/>
      <c r="B14" s="7"/>
      <c r="C14" s="7"/>
      <c r="D14" s="8"/>
      <c r="E14" s="7"/>
      <c r="F14" s="8"/>
      <c r="G14" s="8"/>
      <c r="H14" s="146"/>
      <c r="I14" s="146"/>
      <c r="J14" s="6"/>
      <c r="K14" s="5"/>
      <c r="L14" s="5"/>
      <c r="M14" s="5"/>
      <c r="N14" s="5"/>
      <c r="O14" s="339" t="str">
        <f t="shared" si="0"/>
        <v/>
      </c>
      <c r="P14" s="7"/>
    </row>
    <row r="15" spans="1:16" ht="15.75" customHeight="1">
      <c r="A15" s="8"/>
      <c r="B15" s="7"/>
      <c r="C15" s="7"/>
      <c r="D15" s="8"/>
      <c r="E15" s="7"/>
      <c r="F15" s="8"/>
      <c r="G15" s="8"/>
      <c r="H15" s="146"/>
      <c r="I15" s="146"/>
      <c r="J15" s="6"/>
      <c r="K15" s="5"/>
      <c r="L15" s="5"/>
      <c r="M15" s="5"/>
      <c r="N15" s="5"/>
      <c r="O15" s="339" t="str">
        <f t="shared" si="0"/>
        <v/>
      </c>
      <c r="P15" s="7"/>
    </row>
    <row r="16" spans="1:16" ht="15.75" customHeight="1">
      <c r="A16" s="8"/>
      <c r="B16" s="7"/>
      <c r="C16" s="7"/>
      <c r="D16" s="8"/>
      <c r="E16" s="7"/>
      <c r="F16" s="8"/>
      <c r="G16" s="8"/>
      <c r="H16" s="146"/>
      <c r="I16" s="146"/>
      <c r="J16" s="6"/>
      <c r="K16" s="5"/>
      <c r="L16" s="5"/>
      <c r="M16" s="5"/>
      <c r="N16" s="5"/>
      <c r="O16" s="339" t="str">
        <f t="shared" si="0"/>
        <v/>
      </c>
      <c r="P16" s="7"/>
    </row>
    <row r="17" spans="1:16" ht="15.75" customHeight="1">
      <c r="A17" s="8"/>
      <c r="B17" s="7"/>
      <c r="C17" s="7"/>
      <c r="D17" s="8"/>
      <c r="E17" s="7"/>
      <c r="F17" s="8"/>
      <c r="G17" s="8"/>
      <c r="H17" s="146"/>
      <c r="I17" s="146"/>
      <c r="J17" s="6"/>
      <c r="K17" s="5"/>
      <c r="L17" s="5"/>
      <c r="M17" s="5"/>
      <c r="N17" s="5"/>
      <c r="O17" s="339" t="str">
        <f t="shared" si="0"/>
        <v/>
      </c>
      <c r="P17" s="7"/>
    </row>
    <row r="18" spans="1:16" ht="15.75" customHeight="1">
      <c r="A18" s="8"/>
      <c r="B18" s="7"/>
      <c r="C18" s="7"/>
      <c r="D18" s="8"/>
      <c r="E18" s="7"/>
      <c r="F18" s="8"/>
      <c r="G18" s="8"/>
      <c r="H18" s="146"/>
      <c r="I18" s="146"/>
      <c r="J18" s="6"/>
      <c r="K18" s="5"/>
      <c r="L18" s="5"/>
      <c r="M18" s="5"/>
      <c r="N18" s="5"/>
      <c r="O18" s="339" t="str">
        <f t="shared" si="0"/>
        <v/>
      </c>
      <c r="P18" s="7"/>
    </row>
    <row r="19" spans="1:16" ht="15.75" customHeight="1">
      <c r="A19" s="8"/>
      <c r="B19" s="7"/>
      <c r="C19" s="7"/>
      <c r="D19" s="8"/>
      <c r="E19" s="7"/>
      <c r="F19" s="8"/>
      <c r="G19" s="8"/>
      <c r="H19" s="146"/>
      <c r="I19" s="146"/>
      <c r="J19" s="6"/>
      <c r="K19" s="5"/>
      <c r="L19" s="5"/>
      <c r="M19" s="5"/>
      <c r="N19" s="5"/>
      <c r="O19" s="339" t="str">
        <f t="shared" si="0"/>
        <v/>
      </c>
      <c r="P19" s="7"/>
    </row>
    <row r="20" spans="1:16" ht="15.75" customHeight="1">
      <c r="A20" s="8"/>
      <c r="B20" s="7"/>
      <c r="C20" s="7"/>
      <c r="D20" s="8"/>
      <c r="E20" s="7"/>
      <c r="F20" s="8"/>
      <c r="G20" s="8"/>
      <c r="H20" s="146"/>
      <c r="I20" s="146"/>
      <c r="J20" s="6"/>
      <c r="K20" s="5"/>
      <c r="L20" s="5"/>
      <c r="M20" s="5"/>
      <c r="N20" s="5"/>
      <c r="O20" s="339" t="str">
        <f t="shared" si="0"/>
        <v/>
      </c>
      <c r="P20" s="7"/>
    </row>
    <row r="21" spans="1:16" ht="15.75" customHeight="1">
      <c r="A21" s="8"/>
      <c r="B21" s="7"/>
      <c r="C21" s="7"/>
      <c r="D21" s="8"/>
      <c r="E21" s="7"/>
      <c r="F21" s="8"/>
      <c r="G21" s="8"/>
      <c r="H21" s="146"/>
      <c r="I21" s="146"/>
      <c r="J21" s="5"/>
      <c r="K21" s="5"/>
      <c r="L21" s="5"/>
      <c r="M21" s="5"/>
      <c r="N21" s="5"/>
      <c r="O21" s="339" t="str">
        <f t="shared" si="0"/>
        <v/>
      </c>
      <c r="P21" s="7"/>
    </row>
    <row r="22" spans="1:16" ht="15.75" customHeight="1">
      <c r="A22" s="8"/>
      <c r="B22" s="7"/>
      <c r="C22" s="7"/>
      <c r="D22" s="8"/>
      <c r="E22" s="7"/>
      <c r="F22" s="8"/>
      <c r="G22" s="8"/>
      <c r="H22" s="146"/>
      <c r="I22" s="146"/>
      <c r="J22" s="5"/>
      <c r="K22" s="5"/>
      <c r="L22" s="5"/>
      <c r="M22" s="5"/>
      <c r="N22" s="5"/>
      <c r="O22" s="339" t="str">
        <f t="shared" si="0"/>
        <v/>
      </c>
      <c r="P22" s="7"/>
    </row>
    <row r="23" spans="1:16" ht="15.75" customHeight="1">
      <c r="A23" s="8"/>
      <c r="B23" s="7"/>
      <c r="C23" s="7"/>
      <c r="D23" s="8"/>
      <c r="E23" s="7"/>
      <c r="F23" s="8"/>
      <c r="G23" s="8"/>
      <c r="H23" s="146"/>
      <c r="I23" s="146"/>
      <c r="J23" s="5"/>
      <c r="K23" s="5"/>
      <c r="L23" s="5"/>
      <c r="M23" s="5"/>
      <c r="N23" s="5"/>
      <c r="O23" s="339" t="str">
        <f t="shared" si="0"/>
        <v/>
      </c>
      <c r="P23" s="7"/>
    </row>
    <row r="24" spans="1:16" ht="15.75" customHeight="1">
      <c r="A24" s="8"/>
      <c r="B24" s="7"/>
      <c r="C24" s="7"/>
      <c r="D24" s="8"/>
      <c r="E24" s="7"/>
      <c r="F24" s="8"/>
      <c r="G24" s="8"/>
      <c r="H24" s="146"/>
      <c r="I24" s="146"/>
      <c r="J24" s="5"/>
      <c r="K24" s="5"/>
      <c r="L24" s="5"/>
      <c r="M24" s="5"/>
      <c r="N24" s="5"/>
      <c r="O24" s="339" t="str">
        <f t="shared" si="0"/>
        <v/>
      </c>
      <c r="P24" s="7"/>
    </row>
    <row r="25" spans="1:16" ht="15.75" customHeight="1">
      <c r="A25" s="537" t="s">
        <v>535</v>
      </c>
      <c r="B25" s="382"/>
      <c r="C25" s="382"/>
      <c r="D25" s="237"/>
      <c r="E25" s="232"/>
      <c r="F25" s="232"/>
      <c r="G25" s="248"/>
      <c r="H25" s="235"/>
      <c r="I25" s="235"/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5" s="31"/>
      <c r="N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5" s="339" t="str">
        <f t="shared" ca="1" si="0"/>
        <v/>
      </c>
      <c r="P25" s="234"/>
    </row>
    <row r="26" spans="1:16" ht="15.75" customHeight="1">
      <c r="A26" s="382" t="s">
        <v>472</v>
      </c>
      <c r="B26" s="382"/>
      <c r="C26" s="382"/>
      <c r="D26" s="235"/>
      <c r="E26" s="235"/>
      <c r="F26" s="235"/>
      <c r="G26" s="235"/>
      <c r="H26" s="235"/>
      <c r="I26" s="235"/>
      <c r="J26" s="31"/>
      <c r="K26" s="31"/>
      <c r="L26" s="31"/>
      <c r="M26" s="30"/>
      <c r="N26" s="233"/>
      <c r="O26" s="339"/>
      <c r="P26" s="234"/>
    </row>
    <row r="27" spans="1:16" ht="15.75" customHeight="1">
      <c r="A27" s="537" t="s">
        <v>535</v>
      </c>
      <c r="B27" s="382"/>
      <c r="C27" s="382"/>
      <c r="D27" s="237"/>
      <c r="E27" s="232"/>
      <c r="F27" s="232"/>
      <c r="G27" s="30"/>
      <c r="H27" s="235"/>
      <c r="I27" s="235"/>
      <c r="J27" s="31" t="str">
        <f ca="1">IF(J26="",J25,J25-J26)</f>
        <v/>
      </c>
      <c r="K27" s="31" t="str">
        <f ca="1">IF(K26="",K25,K25-K26)</f>
        <v/>
      </c>
      <c r="L27" s="31" t="str">
        <f ca="1">IF(L26="",L25,L25-L26)</f>
        <v/>
      </c>
      <c r="M27" s="31"/>
      <c r="N27" s="31" t="str">
        <f ca="1">IF(N26="",N25,N25-N26)</f>
        <v/>
      </c>
      <c r="O27" s="339" t="str">
        <f t="shared" ca="1" si="0"/>
        <v/>
      </c>
      <c r="P27" s="234"/>
    </row>
    <row r="28" spans="1:16" ht="15.75" hidden="1" customHeight="1">
      <c r="A28" s="8"/>
      <c r="B28" s="7"/>
      <c r="C28" s="7"/>
      <c r="D28" s="8"/>
      <c r="E28" s="7"/>
      <c r="F28" s="8"/>
      <c r="G28" s="8"/>
      <c r="H28" s="146"/>
      <c r="I28" s="146"/>
      <c r="J28" s="5"/>
      <c r="K28" s="5"/>
      <c r="L28" s="5"/>
      <c r="M28" s="5"/>
      <c r="N28" s="5"/>
      <c r="O28" s="339" t="str">
        <f t="shared" si="0"/>
        <v/>
      </c>
      <c r="P28" s="7"/>
    </row>
    <row r="29" spans="1:16" ht="15.75" hidden="1" customHeight="1">
      <c r="A29" s="8"/>
      <c r="B29" s="7"/>
      <c r="C29" s="7"/>
      <c r="D29" s="8"/>
      <c r="E29" s="7"/>
      <c r="F29" s="8"/>
      <c r="G29" s="8"/>
      <c r="H29" s="146"/>
      <c r="I29" s="146"/>
      <c r="J29" s="5"/>
      <c r="K29" s="5"/>
      <c r="L29" s="5"/>
      <c r="M29" s="5"/>
      <c r="N29" s="5"/>
      <c r="O29" s="339" t="str">
        <f t="shared" ref="O29:O47" si="1">IF(ISERROR(N29-K29),"",IF(N29=0,"",ROUND((N29-K29)*100/K29,2)))</f>
        <v/>
      </c>
      <c r="P29" s="7"/>
    </row>
    <row r="30" spans="1:16" ht="15.75" hidden="1" customHeight="1">
      <c r="A30" s="8"/>
      <c r="B30" s="7"/>
      <c r="C30" s="7"/>
      <c r="D30" s="8"/>
      <c r="E30" s="7"/>
      <c r="F30" s="8"/>
      <c r="G30" s="8"/>
      <c r="H30" s="146"/>
      <c r="I30" s="146"/>
      <c r="J30" s="5"/>
      <c r="K30" s="5"/>
      <c r="L30" s="5"/>
      <c r="M30" s="5"/>
      <c r="N30" s="5"/>
      <c r="O30" s="339" t="str">
        <f t="shared" si="1"/>
        <v/>
      </c>
      <c r="P30" s="7"/>
    </row>
    <row r="31" spans="1:16" ht="15.75" hidden="1" customHeight="1">
      <c r="A31" s="8"/>
      <c r="B31" s="7"/>
      <c r="C31" s="7"/>
      <c r="D31" s="8"/>
      <c r="E31" s="7"/>
      <c r="F31" s="8"/>
      <c r="G31" s="8"/>
      <c r="H31" s="146"/>
      <c r="I31" s="146"/>
      <c r="J31" s="5"/>
      <c r="K31" s="5"/>
      <c r="L31" s="5"/>
      <c r="M31" s="5"/>
      <c r="N31" s="5"/>
      <c r="O31" s="339" t="str">
        <f t="shared" si="1"/>
        <v/>
      </c>
      <c r="P31" s="7"/>
    </row>
    <row r="32" spans="1:16" ht="15.75" hidden="1" customHeight="1">
      <c r="A32" s="8"/>
      <c r="B32" s="7"/>
      <c r="C32" s="7"/>
      <c r="D32" s="8"/>
      <c r="E32" s="7"/>
      <c r="F32" s="8"/>
      <c r="G32" s="8"/>
      <c r="H32" s="146"/>
      <c r="I32" s="146"/>
      <c r="J32" s="5"/>
      <c r="K32" s="5"/>
      <c r="L32" s="5"/>
      <c r="M32" s="5"/>
      <c r="N32" s="5"/>
      <c r="O32" s="339" t="str">
        <f t="shared" si="1"/>
        <v/>
      </c>
      <c r="P32" s="7"/>
    </row>
    <row r="33" spans="1:16" ht="15.75" hidden="1" customHeight="1">
      <c r="A33" s="8"/>
      <c r="B33" s="7"/>
      <c r="C33" s="7"/>
      <c r="D33" s="8"/>
      <c r="E33" s="7"/>
      <c r="F33" s="8"/>
      <c r="G33" s="8"/>
      <c r="H33" s="146"/>
      <c r="I33" s="146"/>
      <c r="J33" s="5"/>
      <c r="K33" s="5"/>
      <c r="L33" s="5"/>
      <c r="M33" s="5"/>
      <c r="N33" s="5"/>
      <c r="O33" s="339" t="str">
        <f t="shared" si="1"/>
        <v/>
      </c>
      <c r="P33" s="7"/>
    </row>
    <row r="34" spans="1:16" ht="15.75" hidden="1" customHeight="1">
      <c r="A34" s="8"/>
      <c r="B34" s="7"/>
      <c r="C34" s="7"/>
      <c r="D34" s="8"/>
      <c r="E34" s="7"/>
      <c r="F34" s="8"/>
      <c r="G34" s="8"/>
      <c r="H34" s="146"/>
      <c r="I34" s="146"/>
      <c r="J34" s="5"/>
      <c r="K34" s="5"/>
      <c r="L34" s="5"/>
      <c r="M34" s="5"/>
      <c r="N34" s="5"/>
      <c r="O34" s="339" t="str">
        <f t="shared" si="1"/>
        <v/>
      </c>
      <c r="P34" s="7"/>
    </row>
    <row r="35" spans="1:16" ht="15.75" hidden="1" customHeight="1">
      <c r="A35" s="8"/>
      <c r="B35" s="7"/>
      <c r="C35" s="7"/>
      <c r="D35" s="8"/>
      <c r="E35" s="7"/>
      <c r="F35" s="8"/>
      <c r="G35" s="8"/>
      <c r="H35" s="146"/>
      <c r="I35" s="146"/>
      <c r="J35" s="5"/>
      <c r="K35" s="5"/>
      <c r="L35" s="5"/>
      <c r="M35" s="5"/>
      <c r="N35" s="5"/>
      <c r="O35" s="339" t="str">
        <f t="shared" si="1"/>
        <v/>
      </c>
      <c r="P35" s="7"/>
    </row>
    <row r="36" spans="1:16" ht="15.75" hidden="1" customHeight="1">
      <c r="A36" s="8"/>
      <c r="B36" s="7"/>
      <c r="C36" s="7"/>
      <c r="D36" s="8"/>
      <c r="E36" s="7"/>
      <c r="F36" s="8"/>
      <c r="G36" s="8"/>
      <c r="H36" s="146"/>
      <c r="I36" s="146"/>
      <c r="J36" s="5"/>
      <c r="K36" s="5"/>
      <c r="L36" s="5"/>
      <c r="M36" s="5"/>
      <c r="N36" s="5"/>
      <c r="O36" s="339" t="str">
        <f t="shared" si="1"/>
        <v/>
      </c>
      <c r="P36" s="7"/>
    </row>
    <row r="37" spans="1:16" ht="15.75" hidden="1" customHeight="1">
      <c r="A37" s="8"/>
      <c r="B37" s="7"/>
      <c r="C37" s="7"/>
      <c r="D37" s="8"/>
      <c r="E37" s="7"/>
      <c r="F37" s="8"/>
      <c r="G37" s="8"/>
      <c r="H37" s="146"/>
      <c r="I37" s="146"/>
      <c r="J37" s="5"/>
      <c r="K37" s="5"/>
      <c r="L37" s="5"/>
      <c r="M37" s="5"/>
      <c r="N37" s="5"/>
      <c r="O37" s="339" t="str">
        <f t="shared" si="1"/>
        <v/>
      </c>
      <c r="P37" s="7"/>
    </row>
    <row r="38" spans="1:16" ht="15.75" hidden="1" customHeight="1">
      <c r="A38" s="8"/>
      <c r="B38" s="7"/>
      <c r="C38" s="7"/>
      <c r="D38" s="8"/>
      <c r="E38" s="7"/>
      <c r="F38" s="8"/>
      <c r="G38" s="8"/>
      <c r="H38" s="146"/>
      <c r="I38" s="146"/>
      <c r="J38" s="5"/>
      <c r="K38" s="5"/>
      <c r="L38" s="5"/>
      <c r="M38" s="5"/>
      <c r="N38" s="5"/>
      <c r="O38" s="339" t="str">
        <f t="shared" si="1"/>
        <v/>
      </c>
      <c r="P38" s="7"/>
    </row>
    <row r="39" spans="1:16" ht="15.75" hidden="1" customHeight="1">
      <c r="A39" s="8"/>
      <c r="B39" s="7"/>
      <c r="C39" s="7"/>
      <c r="D39" s="8"/>
      <c r="E39" s="7"/>
      <c r="F39" s="8"/>
      <c r="G39" s="8"/>
      <c r="H39" s="146"/>
      <c r="I39" s="146"/>
      <c r="J39" s="5"/>
      <c r="K39" s="5"/>
      <c r="L39" s="5"/>
      <c r="M39" s="5"/>
      <c r="N39" s="5"/>
      <c r="O39" s="339" t="str">
        <f t="shared" si="1"/>
        <v/>
      </c>
      <c r="P39" s="7"/>
    </row>
    <row r="40" spans="1:16" ht="15.75" hidden="1" customHeight="1">
      <c r="A40" s="8"/>
      <c r="B40" s="7"/>
      <c r="C40" s="7"/>
      <c r="D40" s="8"/>
      <c r="E40" s="7"/>
      <c r="F40" s="8"/>
      <c r="G40" s="8"/>
      <c r="H40" s="146"/>
      <c r="I40" s="146"/>
      <c r="J40" s="5"/>
      <c r="K40" s="5"/>
      <c r="L40" s="5"/>
      <c r="M40" s="5"/>
      <c r="N40" s="5"/>
      <c r="O40" s="339" t="str">
        <f t="shared" si="1"/>
        <v/>
      </c>
      <c r="P40" s="7"/>
    </row>
    <row r="41" spans="1:16" ht="15.75" hidden="1" customHeight="1">
      <c r="A41" s="8"/>
      <c r="B41" s="7"/>
      <c r="C41" s="7"/>
      <c r="D41" s="8"/>
      <c r="E41" s="7"/>
      <c r="F41" s="8"/>
      <c r="G41" s="8"/>
      <c r="H41" s="146"/>
      <c r="I41" s="146"/>
      <c r="J41" s="5"/>
      <c r="K41" s="5"/>
      <c r="L41" s="5"/>
      <c r="M41" s="5"/>
      <c r="N41" s="5"/>
      <c r="O41" s="339" t="str">
        <f t="shared" si="1"/>
        <v/>
      </c>
      <c r="P41" s="7"/>
    </row>
    <row r="42" spans="1:16" ht="15.75" hidden="1" customHeight="1">
      <c r="A42" s="8"/>
      <c r="B42" s="7"/>
      <c r="C42" s="7"/>
      <c r="D42" s="8"/>
      <c r="E42" s="7"/>
      <c r="F42" s="8"/>
      <c r="G42" s="8"/>
      <c r="H42" s="146"/>
      <c r="I42" s="146"/>
      <c r="J42" s="5"/>
      <c r="K42" s="5"/>
      <c r="L42" s="5"/>
      <c r="M42" s="5"/>
      <c r="N42" s="5"/>
      <c r="O42" s="339" t="str">
        <f t="shared" si="1"/>
        <v/>
      </c>
      <c r="P42" s="7"/>
    </row>
    <row r="43" spans="1:16" ht="15.75" hidden="1" customHeight="1">
      <c r="A43" s="8"/>
      <c r="B43" s="7"/>
      <c r="C43" s="7"/>
      <c r="D43" s="8"/>
      <c r="E43" s="7"/>
      <c r="F43" s="8"/>
      <c r="G43" s="8"/>
      <c r="H43" s="146"/>
      <c r="I43" s="146"/>
      <c r="J43" s="5"/>
      <c r="K43" s="5"/>
      <c r="L43" s="5"/>
      <c r="M43" s="5"/>
      <c r="N43" s="5"/>
      <c r="O43" s="339" t="str">
        <f t="shared" si="1"/>
        <v/>
      </c>
      <c r="P43" s="7"/>
    </row>
    <row r="44" spans="1:16" ht="15.75" hidden="1" customHeight="1">
      <c r="A44" s="8"/>
      <c r="B44" s="7"/>
      <c r="C44" s="7"/>
      <c r="D44" s="8"/>
      <c r="E44" s="7"/>
      <c r="F44" s="8"/>
      <c r="G44" s="8"/>
      <c r="H44" s="146"/>
      <c r="I44" s="146"/>
      <c r="J44" s="5"/>
      <c r="K44" s="5"/>
      <c r="L44" s="5"/>
      <c r="M44" s="5"/>
      <c r="N44" s="5"/>
      <c r="O44" s="339" t="str">
        <f t="shared" si="1"/>
        <v/>
      </c>
      <c r="P44" s="7"/>
    </row>
    <row r="45" spans="1:16" ht="15.75" hidden="1" customHeight="1">
      <c r="A45" s="8"/>
      <c r="B45" s="7"/>
      <c r="C45" s="7"/>
      <c r="D45" s="8"/>
      <c r="E45" s="7"/>
      <c r="F45" s="8"/>
      <c r="G45" s="8"/>
      <c r="H45" s="146"/>
      <c r="I45" s="146"/>
      <c r="J45" s="5"/>
      <c r="K45" s="5"/>
      <c r="L45" s="5"/>
      <c r="M45" s="5"/>
      <c r="N45" s="5"/>
      <c r="O45" s="339" t="str">
        <f t="shared" si="1"/>
        <v/>
      </c>
      <c r="P45" s="7"/>
    </row>
    <row r="46" spans="1:16" ht="15.75" hidden="1" customHeight="1">
      <c r="A46" s="8"/>
      <c r="B46" s="7"/>
      <c r="C46" s="7"/>
      <c r="D46" s="8"/>
      <c r="E46" s="7"/>
      <c r="F46" s="8"/>
      <c r="G46" s="8"/>
      <c r="H46" s="146"/>
      <c r="I46" s="146"/>
      <c r="J46" s="5"/>
      <c r="K46" s="5"/>
      <c r="L46" s="5"/>
      <c r="M46" s="5"/>
      <c r="N46" s="5"/>
      <c r="O46" s="339" t="str">
        <f t="shared" si="1"/>
        <v/>
      </c>
      <c r="P46" s="7"/>
    </row>
    <row r="47" spans="1:16" ht="15.75" hidden="1" customHeight="1">
      <c r="A47" s="8"/>
      <c r="B47" s="7"/>
      <c r="C47" s="7"/>
      <c r="D47" s="8"/>
      <c r="E47" s="7"/>
      <c r="F47" s="8"/>
      <c r="G47" s="8"/>
      <c r="H47" s="146"/>
      <c r="I47" s="146"/>
      <c r="J47" s="5"/>
      <c r="K47" s="5"/>
      <c r="L47" s="5"/>
      <c r="M47" s="5"/>
      <c r="N47" s="5"/>
      <c r="O47" s="339" t="str">
        <f t="shared" si="1"/>
        <v/>
      </c>
      <c r="P47" s="7"/>
    </row>
  </sheetData>
  <mergeCells count="18">
    <mergeCell ref="A27:C27"/>
    <mergeCell ref="B6:B7"/>
    <mergeCell ref="P6:P7"/>
    <mergeCell ref="D6:D7"/>
    <mergeCell ref="J6:K6"/>
    <mergeCell ref="I6:I7"/>
    <mergeCell ref="A6:A7"/>
    <mergeCell ref="H6:H7"/>
    <mergeCell ref="A26:C26"/>
    <mergeCell ref="A25:C25"/>
    <mergeCell ref="A1:P1"/>
    <mergeCell ref="L6:N6"/>
    <mergeCell ref="O6:O7"/>
    <mergeCell ref="E6:E7"/>
    <mergeCell ref="F6:F7"/>
    <mergeCell ref="G6:G7"/>
    <mergeCell ref="C6:C7"/>
    <mergeCell ref="A2:P2"/>
  </mergeCells>
  <phoneticPr fontId="6" type="noConversion"/>
  <printOptions horizontalCentered="1" verticalCentered="1"/>
  <pageMargins left="0.86614173228346458" right="0.47244094488188981" top="0.19685039370078741" bottom="0.6692913385826772" header="1.5354330708661419" footer="1.0629921259842521"/>
  <pageSetup paperSize="9" fitToHeight="0" orientation="landscape" blackAndWhite="1" horizontalDpi="1200" verticalDpi="1200" r:id="rId1"/>
  <headerFooter scaleWithDoc="0">
    <oddHeader>&amp;R&amp;"宋体,常规"&amp;10表4-8-4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2</xdr:col>
                    <xdr:colOff>444500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698500</xdr:colOff>
                    <xdr:row>2</xdr:row>
                    <xdr:rowOff>0</xdr:rowOff>
                  </from>
                  <to>
                    <xdr:col>4</xdr:col>
                    <xdr:colOff>127000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2855C-B1E8-49F3-BD93-241DC1CA2936}">
  <sheetPr codeName="Sheet46">
    <pageSetUpPr fitToPage="1"/>
  </sheetPr>
  <dimension ref="A1:P47"/>
  <sheetViews>
    <sheetView workbookViewId="0">
      <pane ySplit="7" topLeftCell="A18" activePane="bottomLeft" state="frozen"/>
      <selection activeCell="F17" sqref="F17"/>
      <selection pane="bottomLeft" activeCell="O3" sqref="O1:O65536"/>
    </sheetView>
  </sheetViews>
  <sheetFormatPr baseColWidth="10" defaultColWidth="9" defaultRowHeight="15.75" customHeight="1"/>
  <cols>
    <col min="1" max="1" width="4.1640625" style="81" customWidth="1"/>
    <col min="2" max="2" width="7.6640625" style="81" customWidth="1"/>
    <col min="3" max="3" width="12.5" style="81" customWidth="1"/>
    <col min="4" max="4" width="7.5" style="81" customWidth="1"/>
    <col min="5" max="6" width="4.5" style="81" customWidth="1"/>
    <col min="7" max="8" width="5.6640625" style="81" customWidth="1"/>
    <col min="9" max="9" width="7.6640625" style="81" customWidth="1"/>
    <col min="10" max="11" width="9.6640625" style="81" customWidth="1"/>
    <col min="12" max="12" width="9.1640625" style="81" customWidth="1"/>
    <col min="13" max="13" width="8.6640625" style="81" customWidth="1"/>
    <col min="14" max="14" width="9.5" style="81" customWidth="1"/>
    <col min="15" max="15" width="6.6640625" style="340" customWidth="1"/>
    <col min="16" max="16" width="7.5" style="81" customWidth="1"/>
    <col min="17" max="16384" width="9" style="81"/>
  </cols>
  <sheetData>
    <row r="1" spans="1:16" s="80" customFormat="1" ht="30" customHeight="1">
      <c r="A1" s="374" t="s">
        <v>1009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  <c r="P2" s="378"/>
    </row>
    <row r="3" spans="1:16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171"/>
      <c r="O3" s="131"/>
      <c r="P3" s="40"/>
    </row>
    <row r="4" spans="1:16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171"/>
      <c r="O4" s="337"/>
      <c r="P4" s="37"/>
    </row>
    <row r="5" spans="1:16" ht="15.75" customHeight="1">
      <c r="A5" s="125" t="str">
        <f>'1-汇总表'!A4</f>
        <v>被评估单位：A有限公司</v>
      </c>
      <c r="B5" s="125"/>
      <c r="C5" s="125"/>
      <c r="D5" s="125"/>
      <c r="E5" s="125"/>
      <c r="F5" s="125"/>
      <c r="G5" s="125"/>
      <c r="H5" s="125"/>
      <c r="I5" s="125"/>
      <c r="J5" s="42"/>
      <c r="K5" s="42"/>
      <c r="L5" s="42"/>
      <c r="M5" s="42"/>
      <c r="N5" s="42"/>
      <c r="O5" s="218"/>
      <c r="P5" s="122"/>
    </row>
    <row r="6" spans="1:16" s="101" customFormat="1" ht="20.25" customHeight="1">
      <c r="A6" s="465" t="s">
        <v>7</v>
      </c>
      <c r="B6" s="465" t="s">
        <v>89</v>
      </c>
      <c r="C6" s="480" t="s">
        <v>125</v>
      </c>
      <c r="D6" s="480" t="s">
        <v>83</v>
      </c>
      <c r="E6" s="480" t="s">
        <v>84</v>
      </c>
      <c r="F6" s="480" t="s">
        <v>43</v>
      </c>
      <c r="G6" s="542" t="s">
        <v>540</v>
      </c>
      <c r="H6" s="542" t="s">
        <v>541</v>
      </c>
      <c r="I6" s="480" t="s">
        <v>90</v>
      </c>
      <c r="J6" s="540" t="s">
        <v>117</v>
      </c>
      <c r="K6" s="541"/>
      <c r="L6" s="465" t="s">
        <v>0</v>
      </c>
      <c r="M6" s="466"/>
      <c r="N6" s="466"/>
      <c r="O6" s="538" t="s">
        <v>479</v>
      </c>
      <c r="P6" s="480" t="s">
        <v>39</v>
      </c>
    </row>
    <row r="7" spans="1:16" s="101" customFormat="1" ht="25.5" customHeight="1">
      <c r="A7" s="466"/>
      <c r="B7" s="466"/>
      <c r="C7" s="466"/>
      <c r="D7" s="466"/>
      <c r="E7" s="466"/>
      <c r="F7" s="466"/>
      <c r="G7" s="466"/>
      <c r="H7" s="466"/>
      <c r="I7" s="466"/>
      <c r="J7" s="124" t="s">
        <v>87</v>
      </c>
      <c r="K7" s="45" t="s">
        <v>88</v>
      </c>
      <c r="L7" s="45" t="s">
        <v>87</v>
      </c>
      <c r="M7" s="211" t="s">
        <v>481</v>
      </c>
      <c r="N7" s="45" t="s">
        <v>88</v>
      </c>
      <c r="O7" s="539"/>
      <c r="P7" s="466"/>
    </row>
    <row r="8" spans="1:16" ht="15.75" customHeight="1">
      <c r="A8" s="8"/>
      <c r="B8" s="8"/>
      <c r="C8" s="7"/>
      <c r="D8" s="7"/>
      <c r="E8" s="8"/>
      <c r="F8" s="8"/>
      <c r="G8" s="146"/>
      <c r="H8" s="146"/>
      <c r="I8" s="144"/>
      <c r="J8" s="5"/>
      <c r="K8" s="5"/>
      <c r="L8" s="5"/>
      <c r="M8" s="9"/>
      <c r="N8" s="5"/>
      <c r="O8" s="339" t="str">
        <f>IF(ISERROR(N8-K8),"",IF(N8=0,"",ROUND((N8-K8)*100/K8,2)))</f>
        <v/>
      </c>
      <c r="P8" s="7"/>
    </row>
    <row r="9" spans="1:16" ht="15.75" customHeight="1">
      <c r="A9" s="8"/>
      <c r="B9" s="8"/>
      <c r="C9" s="7"/>
      <c r="D9" s="7"/>
      <c r="E9" s="8"/>
      <c r="F9" s="8"/>
      <c r="G9" s="146"/>
      <c r="H9" s="146"/>
      <c r="I9" s="144"/>
      <c r="J9" s="5"/>
      <c r="K9" s="5"/>
      <c r="L9" s="5"/>
      <c r="M9" s="9"/>
      <c r="N9" s="5"/>
      <c r="O9" s="339" t="str">
        <f t="shared" ref="O9:O28" si="0">IF(ISERROR(N9-K9),"",IF(N9=0,"",ROUND((N9-K9)*100/K9,2)))</f>
        <v/>
      </c>
      <c r="P9" s="7"/>
    </row>
    <row r="10" spans="1:16" ht="15.75" customHeight="1">
      <c r="A10" s="8"/>
      <c r="B10" s="8"/>
      <c r="C10" s="7"/>
      <c r="D10" s="7"/>
      <c r="E10" s="8"/>
      <c r="F10" s="8"/>
      <c r="G10" s="146"/>
      <c r="H10" s="146"/>
      <c r="I10" s="144"/>
      <c r="J10" s="5"/>
      <c r="K10" s="5"/>
      <c r="L10" s="5"/>
      <c r="M10" s="9"/>
      <c r="N10" s="5"/>
      <c r="O10" s="339" t="str">
        <f t="shared" si="0"/>
        <v/>
      </c>
      <c r="P10" s="7"/>
    </row>
    <row r="11" spans="1:16" ht="15.75" customHeight="1">
      <c r="A11" s="8"/>
      <c r="B11" s="8"/>
      <c r="C11" s="7"/>
      <c r="D11" s="7"/>
      <c r="E11" s="8"/>
      <c r="F11" s="8"/>
      <c r="G11" s="146"/>
      <c r="H11" s="146"/>
      <c r="I11" s="144"/>
      <c r="J11" s="5"/>
      <c r="K11" s="5"/>
      <c r="L11" s="5"/>
      <c r="M11" s="9"/>
      <c r="N11" s="5"/>
      <c r="O11" s="339" t="str">
        <f t="shared" si="0"/>
        <v/>
      </c>
      <c r="P11" s="7"/>
    </row>
    <row r="12" spans="1:16" ht="15.75" customHeight="1">
      <c r="A12" s="8"/>
      <c r="B12" s="8"/>
      <c r="C12" s="7"/>
      <c r="D12" s="7"/>
      <c r="E12" s="8"/>
      <c r="F12" s="8"/>
      <c r="G12" s="146"/>
      <c r="H12" s="146"/>
      <c r="I12" s="144"/>
      <c r="J12" s="5"/>
      <c r="K12" s="5"/>
      <c r="L12" s="5"/>
      <c r="M12" s="9"/>
      <c r="N12" s="5"/>
      <c r="O12" s="339" t="str">
        <f t="shared" si="0"/>
        <v/>
      </c>
      <c r="P12" s="7"/>
    </row>
    <row r="13" spans="1:16" ht="15.75" customHeight="1">
      <c r="A13" s="8"/>
      <c r="B13" s="8"/>
      <c r="C13" s="7"/>
      <c r="D13" s="7"/>
      <c r="E13" s="8"/>
      <c r="F13" s="8"/>
      <c r="G13" s="146"/>
      <c r="H13" s="146"/>
      <c r="I13" s="144"/>
      <c r="J13" s="5"/>
      <c r="K13" s="5"/>
      <c r="L13" s="5"/>
      <c r="M13" s="9"/>
      <c r="N13" s="5"/>
      <c r="O13" s="339" t="str">
        <f t="shared" si="0"/>
        <v/>
      </c>
      <c r="P13" s="7"/>
    </row>
    <row r="14" spans="1:16" ht="15.75" customHeight="1">
      <c r="A14" s="8"/>
      <c r="B14" s="8"/>
      <c r="C14" s="7"/>
      <c r="D14" s="7"/>
      <c r="E14" s="8"/>
      <c r="F14" s="8"/>
      <c r="G14" s="146"/>
      <c r="H14" s="146"/>
      <c r="I14" s="144"/>
      <c r="J14" s="5"/>
      <c r="K14" s="5"/>
      <c r="L14" s="5"/>
      <c r="M14" s="9"/>
      <c r="N14" s="5"/>
      <c r="O14" s="339" t="str">
        <f t="shared" si="0"/>
        <v/>
      </c>
      <c r="P14" s="7"/>
    </row>
    <row r="15" spans="1:16" ht="15.75" customHeight="1">
      <c r="A15" s="8"/>
      <c r="B15" s="8"/>
      <c r="C15" s="7"/>
      <c r="D15" s="7"/>
      <c r="E15" s="8"/>
      <c r="F15" s="8"/>
      <c r="G15" s="146"/>
      <c r="H15" s="146"/>
      <c r="I15" s="144"/>
      <c r="J15" s="5"/>
      <c r="K15" s="5"/>
      <c r="L15" s="5"/>
      <c r="M15" s="9"/>
      <c r="N15" s="5"/>
      <c r="O15" s="339" t="str">
        <f t="shared" si="0"/>
        <v/>
      </c>
      <c r="P15" s="7"/>
    </row>
    <row r="16" spans="1:16" ht="15.75" customHeight="1">
      <c r="A16" s="8"/>
      <c r="B16" s="8"/>
      <c r="C16" s="7"/>
      <c r="D16" s="7"/>
      <c r="E16" s="8"/>
      <c r="F16" s="8"/>
      <c r="G16" s="146"/>
      <c r="H16" s="146"/>
      <c r="I16" s="144"/>
      <c r="J16" s="5"/>
      <c r="K16" s="5"/>
      <c r="L16" s="5"/>
      <c r="M16" s="9"/>
      <c r="N16" s="5"/>
      <c r="O16" s="339" t="str">
        <f t="shared" si="0"/>
        <v/>
      </c>
      <c r="P16" s="7"/>
    </row>
    <row r="17" spans="1:16" ht="15.75" customHeight="1">
      <c r="A17" s="8"/>
      <c r="B17" s="8"/>
      <c r="C17" s="7"/>
      <c r="D17" s="7"/>
      <c r="E17" s="8"/>
      <c r="F17" s="8"/>
      <c r="G17" s="146"/>
      <c r="H17" s="146"/>
      <c r="I17" s="144"/>
      <c r="J17" s="5"/>
      <c r="K17" s="5"/>
      <c r="L17" s="5"/>
      <c r="M17" s="9"/>
      <c r="N17" s="5"/>
      <c r="O17" s="339" t="str">
        <f t="shared" si="0"/>
        <v/>
      </c>
      <c r="P17" s="7"/>
    </row>
    <row r="18" spans="1:16" ht="15.75" customHeight="1">
      <c r="A18" s="8"/>
      <c r="B18" s="8"/>
      <c r="C18" s="7"/>
      <c r="D18" s="7"/>
      <c r="E18" s="8"/>
      <c r="F18" s="8"/>
      <c r="G18" s="146"/>
      <c r="H18" s="146"/>
      <c r="I18" s="144"/>
      <c r="J18" s="5"/>
      <c r="K18" s="5"/>
      <c r="L18" s="5"/>
      <c r="M18" s="9"/>
      <c r="N18" s="5"/>
      <c r="O18" s="339" t="str">
        <f t="shared" si="0"/>
        <v/>
      </c>
      <c r="P18" s="7"/>
    </row>
    <row r="19" spans="1:16" ht="15.75" customHeight="1">
      <c r="A19" s="8"/>
      <c r="B19" s="8"/>
      <c r="C19" s="7"/>
      <c r="D19" s="7"/>
      <c r="E19" s="8"/>
      <c r="F19" s="8"/>
      <c r="G19" s="146"/>
      <c r="H19" s="146"/>
      <c r="I19" s="144"/>
      <c r="J19" s="5"/>
      <c r="K19" s="5"/>
      <c r="L19" s="5"/>
      <c r="M19" s="9"/>
      <c r="N19" s="5"/>
      <c r="O19" s="339" t="str">
        <f t="shared" si="0"/>
        <v/>
      </c>
      <c r="P19" s="7"/>
    </row>
    <row r="20" spans="1:16" ht="15.75" customHeight="1">
      <c r="A20" s="8"/>
      <c r="B20" s="8"/>
      <c r="C20" s="7"/>
      <c r="D20" s="7"/>
      <c r="E20" s="8"/>
      <c r="F20" s="8"/>
      <c r="G20" s="146"/>
      <c r="H20" s="146"/>
      <c r="I20" s="144"/>
      <c r="J20" s="5"/>
      <c r="K20" s="5"/>
      <c r="L20" s="5"/>
      <c r="M20" s="9"/>
      <c r="N20" s="5"/>
      <c r="O20" s="339" t="str">
        <f t="shared" si="0"/>
        <v/>
      </c>
      <c r="P20" s="7"/>
    </row>
    <row r="21" spans="1:16" ht="15.75" customHeight="1">
      <c r="A21" s="8"/>
      <c r="B21" s="8"/>
      <c r="C21" s="7"/>
      <c r="D21" s="7"/>
      <c r="E21" s="8"/>
      <c r="F21" s="8"/>
      <c r="G21" s="146"/>
      <c r="H21" s="146"/>
      <c r="I21" s="144"/>
      <c r="J21" s="5"/>
      <c r="K21" s="5"/>
      <c r="L21" s="5"/>
      <c r="M21" s="9"/>
      <c r="N21" s="5"/>
      <c r="O21" s="339" t="str">
        <f t="shared" si="0"/>
        <v/>
      </c>
      <c r="P21" s="7"/>
    </row>
    <row r="22" spans="1:16" ht="15.75" customHeight="1">
      <c r="A22" s="8"/>
      <c r="B22" s="8"/>
      <c r="C22" s="7"/>
      <c r="D22" s="7"/>
      <c r="E22" s="8"/>
      <c r="F22" s="8"/>
      <c r="G22" s="146"/>
      <c r="H22" s="146"/>
      <c r="I22" s="144"/>
      <c r="J22" s="5"/>
      <c r="K22" s="5"/>
      <c r="L22" s="5"/>
      <c r="M22" s="9"/>
      <c r="N22" s="5"/>
      <c r="O22" s="339" t="str">
        <f t="shared" si="0"/>
        <v/>
      </c>
      <c r="P22" s="7"/>
    </row>
    <row r="23" spans="1:16" ht="15.75" customHeight="1">
      <c r="A23" s="8"/>
      <c r="B23" s="8"/>
      <c r="C23" s="7"/>
      <c r="D23" s="7"/>
      <c r="E23" s="8"/>
      <c r="F23" s="8"/>
      <c r="G23" s="146"/>
      <c r="H23" s="146"/>
      <c r="I23" s="144"/>
      <c r="J23" s="5"/>
      <c r="K23" s="5"/>
      <c r="L23" s="5"/>
      <c r="M23" s="9"/>
      <c r="N23" s="5"/>
      <c r="O23" s="339" t="str">
        <f t="shared" si="0"/>
        <v/>
      </c>
      <c r="P23" s="7"/>
    </row>
    <row r="24" spans="1:16" ht="15.75" customHeight="1">
      <c r="A24" s="8"/>
      <c r="B24" s="8"/>
      <c r="C24" s="7"/>
      <c r="D24" s="7"/>
      <c r="E24" s="8"/>
      <c r="F24" s="8"/>
      <c r="G24" s="146"/>
      <c r="H24" s="146"/>
      <c r="I24" s="144"/>
      <c r="J24" s="5"/>
      <c r="K24" s="5"/>
      <c r="L24" s="5"/>
      <c r="M24" s="9"/>
      <c r="N24" s="5"/>
      <c r="O24" s="339" t="str">
        <f t="shared" si="0"/>
        <v/>
      </c>
      <c r="P24" s="7"/>
    </row>
    <row r="25" spans="1:16" ht="15.75" customHeight="1">
      <c r="A25" s="537" t="s">
        <v>535</v>
      </c>
      <c r="B25" s="382"/>
      <c r="C25" s="382"/>
      <c r="D25" s="237"/>
      <c r="E25" s="232"/>
      <c r="F25" s="232"/>
      <c r="G25" s="248"/>
      <c r="H25" s="235" t="s">
        <v>37</v>
      </c>
      <c r="I25" s="235"/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5" s="31"/>
      <c r="N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5" s="339" t="str">
        <f t="shared" ca="1" si="0"/>
        <v/>
      </c>
      <c r="P25" s="234"/>
    </row>
    <row r="26" spans="1:16" ht="15.75" customHeight="1">
      <c r="A26" s="383" t="s">
        <v>473</v>
      </c>
      <c r="B26" s="380"/>
      <c r="C26" s="543"/>
      <c r="D26" s="235"/>
      <c r="E26" s="235"/>
      <c r="F26" s="235"/>
      <c r="G26" s="235"/>
      <c r="H26" s="235"/>
      <c r="I26" s="235"/>
      <c r="J26" s="31"/>
      <c r="K26" s="31"/>
      <c r="L26" s="31"/>
      <c r="M26" s="30"/>
      <c r="N26" s="233"/>
      <c r="O26" s="339"/>
      <c r="P26" s="234"/>
    </row>
    <row r="27" spans="1:16" ht="15.75" customHeight="1">
      <c r="A27" s="537" t="s">
        <v>535</v>
      </c>
      <c r="B27" s="382"/>
      <c r="C27" s="382"/>
      <c r="D27" s="237"/>
      <c r="E27" s="232"/>
      <c r="F27" s="232"/>
      <c r="G27" s="30"/>
      <c r="H27" s="235"/>
      <c r="I27" s="235"/>
      <c r="J27" s="31" t="str">
        <f ca="1">IF(J26="",J25,J25-J26)</f>
        <v/>
      </c>
      <c r="K27" s="31" t="str">
        <f ca="1">IF(K26="",K25,K25-K26)</f>
        <v/>
      </c>
      <c r="L27" s="31" t="str">
        <f ca="1">IF(L26="",L25,L25-L26)</f>
        <v/>
      </c>
      <c r="M27" s="31"/>
      <c r="N27" s="31" t="str">
        <f ca="1">IF(N26="",N25,N25-N26)</f>
        <v/>
      </c>
      <c r="O27" s="339" t="str">
        <f t="shared" ca="1" si="0"/>
        <v/>
      </c>
      <c r="P27" s="234"/>
    </row>
    <row r="28" spans="1:16" ht="15.75" hidden="1" customHeight="1">
      <c r="A28" s="8"/>
      <c r="B28" s="8"/>
      <c r="C28" s="7"/>
      <c r="D28" s="7"/>
      <c r="E28" s="8"/>
      <c r="F28" s="8"/>
      <c r="G28" s="146"/>
      <c r="H28" s="146"/>
      <c r="I28" s="144"/>
      <c r="J28" s="5"/>
      <c r="K28" s="5"/>
      <c r="L28" s="5"/>
      <c r="M28" s="9"/>
      <c r="N28" s="5"/>
      <c r="O28" s="339" t="str">
        <f t="shared" si="0"/>
        <v/>
      </c>
      <c r="P28" s="7"/>
    </row>
    <row r="29" spans="1:16" ht="15.75" hidden="1" customHeight="1">
      <c r="A29" s="8"/>
      <c r="B29" s="8"/>
      <c r="C29" s="7"/>
      <c r="D29" s="7"/>
      <c r="E29" s="8"/>
      <c r="F29" s="8"/>
      <c r="G29" s="146"/>
      <c r="H29" s="146"/>
      <c r="I29" s="144"/>
      <c r="J29" s="5"/>
      <c r="K29" s="5"/>
      <c r="L29" s="5"/>
      <c r="M29" s="9"/>
      <c r="N29" s="5"/>
      <c r="O29" s="339" t="str">
        <f t="shared" ref="O29:O47" si="1">IF(ISERROR(N29-K29),"",IF(N29=0,"",ROUND((N29-K29)*100/K29,2)))</f>
        <v/>
      </c>
      <c r="P29" s="7"/>
    </row>
    <row r="30" spans="1:16" ht="15.75" hidden="1" customHeight="1">
      <c r="A30" s="8"/>
      <c r="B30" s="8"/>
      <c r="C30" s="7"/>
      <c r="D30" s="7"/>
      <c r="E30" s="8"/>
      <c r="F30" s="8"/>
      <c r="G30" s="146"/>
      <c r="H30" s="146"/>
      <c r="I30" s="144"/>
      <c r="J30" s="5"/>
      <c r="K30" s="5"/>
      <c r="L30" s="5"/>
      <c r="M30" s="9"/>
      <c r="N30" s="5"/>
      <c r="O30" s="339" t="str">
        <f t="shared" si="1"/>
        <v/>
      </c>
      <c r="P30" s="7"/>
    </row>
    <row r="31" spans="1:16" ht="15.75" hidden="1" customHeight="1">
      <c r="A31" s="8"/>
      <c r="B31" s="8"/>
      <c r="C31" s="7"/>
      <c r="D31" s="7"/>
      <c r="E31" s="8"/>
      <c r="F31" s="8"/>
      <c r="G31" s="146"/>
      <c r="H31" s="146"/>
      <c r="I31" s="144"/>
      <c r="J31" s="5"/>
      <c r="K31" s="5"/>
      <c r="L31" s="5"/>
      <c r="M31" s="9"/>
      <c r="N31" s="5"/>
      <c r="O31" s="339" t="str">
        <f t="shared" si="1"/>
        <v/>
      </c>
      <c r="P31" s="7"/>
    </row>
    <row r="32" spans="1:16" ht="15.75" hidden="1" customHeight="1">
      <c r="A32" s="8"/>
      <c r="B32" s="8"/>
      <c r="C32" s="7"/>
      <c r="D32" s="7"/>
      <c r="E32" s="8"/>
      <c r="F32" s="8"/>
      <c r="G32" s="146"/>
      <c r="H32" s="146"/>
      <c r="I32" s="144"/>
      <c r="J32" s="5"/>
      <c r="K32" s="5"/>
      <c r="L32" s="5"/>
      <c r="M32" s="9"/>
      <c r="N32" s="5"/>
      <c r="O32" s="339" t="str">
        <f t="shared" si="1"/>
        <v/>
      </c>
      <c r="P32" s="7"/>
    </row>
    <row r="33" spans="1:16" ht="15.75" hidden="1" customHeight="1">
      <c r="A33" s="8"/>
      <c r="B33" s="8"/>
      <c r="C33" s="7"/>
      <c r="D33" s="7"/>
      <c r="E33" s="8"/>
      <c r="F33" s="8"/>
      <c r="G33" s="146"/>
      <c r="H33" s="146"/>
      <c r="I33" s="144"/>
      <c r="J33" s="5"/>
      <c r="K33" s="5"/>
      <c r="L33" s="5"/>
      <c r="M33" s="9"/>
      <c r="N33" s="5"/>
      <c r="O33" s="339" t="str">
        <f t="shared" si="1"/>
        <v/>
      </c>
      <c r="P33" s="7"/>
    </row>
    <row r="34" spans="1:16" ht="15.75" hidden="1" customHeight="1">
      <c r="A34" s="8"/>
      <c r="B34" s="8"/>
      <c r="C34" s="7"/>
      <c r="D34" s="7"/>
      <c r="E34" s="8"/>
      <c r="F34" s="8"/>
      <c r="G34" s="146"/>
      <c r="H34" s="146"/>
      <c r="I34" s="144"/>
      <c r="J34" s="5"/>
      <c r="K34" s="5"/>
      <c r="L34" s="5"/>
      <c r="M34" s="9"/>
      <c r="N34" s="5"/>
      <c r="O34" s="339" t="str">
        <f t="shared" si="1"/>
        <v/>
      </c>
      <c r="P34" s="7"/>
    </row>
    <row r="35" spans="1:16" ht="15.75" hidden="1" customHeight="1">
      <c r="A35" s="8"/>
      <c r="B35" s="8"/>
      <c r="C35" s="7"/>
      <c r="D35" s="7"/>
      <c r="E35" s="8"/>
      <c r="F35" s="8"/>
      <c r="G35" s="146"/>
      <c r="H35" s="146"/>
      <c r="I35" s="144"/>
      <c r="J35" s="5"/>
      <c r="K35" s="5"/>
      <c r="L35" s="5"/>
      <c r="M35" s="9"/>
      <c r="N35" s="5"/>
      <c r="O35" s="339" t="str">
        <f t="shared" si="1"/>
        <v/>
      </c>
      <c r="P35" s="7"/>
    </row>
    <row r="36" spans="1:16" ht="15.75" hidden="1" customHeight="1">
      <c r="A36" s="8"/>
      <c r="B36" s="8"/>
      <c r="C36" s="7"/>
      <c r="D36" s="7"/>
      <c r="E36" s="8"/>
      <c r="F36" s="8"/>
      <c r="G36" s="146"/>
      <c r="H36" s="146"/>
      <c r="I36" s="144"/>
      <c r="J36" s="5"/>
      <c r="K36" s="5"/>
      <c r="L36" s="5"/>
      <c r="M36" s="9"/>
      <c r="N36" s="5"/>
      <c r="O36" s="339" t="str">
        <f t="shared" si="1"/>
        <v/>
      </c>
      <c r="P36" s="7"/>
    </row>
    <row r="37" spans="1:16" ht="15.75" hidden="1" customHeight="1">
      <c r="A37" s="8"/>
      <c r="B37" s="8"/>
      <c r="C37" s="7"/>
      <c r="D37" s="7"/>
      <c r="E37" s="8"/>
      <c r="F37" s="8"/>
      <c r="G37" s="146"/>
      <c r="H37" s="146"/>
      <c r="I37" s="144"/>
      <c r="J37" s="5"/>
      <c r="K37" s="5"/>
      <c r="L37" s="5"/>
      <c r="M37" s="9"/>
      <c r="N37" s="5"/>
      <c r="O37" s="339" t="str">
        <f t="shared" si="1"/>
        <v/>
      </c>
      <c r="P37" s="7"/>
    </row>
    <row r="38" spans="1:16" ht="15.75" hidden="1" customHeight="1">
      <c r="A38" s="8"/>
      <c r="B38" s="8"/>
      <c r="C38" s="7"/>
      <c r="D38" s="7"/>
      <c r="E38" s="8"/>
      <c r="F38" s="8"/>
      <c r="G38" s="146"/>
      <c r="H38" s="146"/>
      <c r="I38" s="144"/>
      <c r="J38" s="5"/>
      <c r="K38" s="5"/>
      <c r="L38" s="5"/>
      <c r="M38" s="9"/>
      <c r="N38" s="5"/>
      <c r="O38" s="339" t="str">
        <f t="shared" si="1"/>
        <v/>
      </c>
      <c r="P38" s="7"/>
    </row>
    <row r="39" spans="1:16" ht="15.75" hidden="1" customHeight="1">
      <c r="A39" s="8"/>
      <c r="B39" s="8"/>
      <c r="C39" s="7"/>
      <c r="D39" s="7"/>
      <c r="E39" s="8"/>
      <c r="F39" s="8"/>
      <c r="G39" s="146"/>
      <c r="H39" s="146"/>
      <c r="I39" s="144"/>
      <c r="J39" s="5"/>
      <c r="K39" s="5"/>
      <c r="L39" s="5"/>
      <c r="M39" s="9"/>
      <c r="N39" s="5"/>
      <c r="O39" s="339" t="str">
        <f t="shared" si="1"/>
        <v/>
      </c>
      <c r="P39" s="7"/>
    </row>
    <row r="40" spans="1:16" ht="15.75" hidden="1" customHeight="1">
      <c r="A40" s="8"/>
      <c r="B40" s="8"/>
      <c r="C40" s="7"/>
      <c r="D40" s="7"/>
      <c r="E40" s="8"/>
      <c r="F40" s="8"/>
      <c r="G40" s="146"/>
      <c r="H40" s="146"/>
      <c r="I40" s="144"/>
      <c r="J40" s="5"/>
      <c r="K40" s="5"/>
      <c r="L40" s="5"/>
      <c r="M40" s="9"/>
      <c r="N40" s="5"/>
      <c r="O40" s="339" t="str">
        <f t="shared" si="1"/>
        <v/>
      </c>
      <c r="P40" s="7"/>
    </row>
    <row r="41" spans="1:16" ht="15.75" hidden="1" customHeight="1">
      <c r="A41" s="8"/>
      <c r="B41" s="8"/>
      <c r="C41" s="7"/>
      <c r="D41" s="7"/>
      <c r="E41" s="8"/>
      <c r="F41" s="8"/>
      <c r="G41" s="146"/>
      <c r="H41" s="146"/>
      <c r="I41" s="144"/>
      <c r="J41" s="5"/>
      <c r="K41" s="5"/>
      <c r="L41" s="5"/>
      <c r="M41" s="9"/>
      <c r="N41" s="5"/>
      <c r="O41" s="339" t="str">
        <f t="shared" si="1"/>
        <v/>
      </c>
      <c r="P41" s="7"/>
    </row>
    <row r="42" spans="1:16" ht="15.75" hidden="1" customHeight="1">
      <c r="A42" s="8"/>
      <c r="B42" s="8"/>
      <c r="C42" s="7"/>
      <c r="D42" s="7"/>
      <c r="E42" s="8"/>
      <c r="F42" s="8"/>
      <c r="G42" s="146"/>
      <c r="H42" s="146"/>
      <c r="I42" s="144"/>
      <c r="J42" s="5"/>
      <c r="K42" s="5"/>
      <c r="L42" s="5"/>
      <c r="M42" s="9"/>
      <c r="N42" s="5"/>
      <c r="O42" s="339" t="str">
        <f t="shared" si="1"/>
        <v/>
      </c>
      <c r="P42" s="7"/>
    </row>
    <row r="43" spans="1:16" ht="15.75" hidden="1" customHeight="1">
      <c r="A43" s="8"/>
      <c r="B43" s="8"/>
      <c r="C43" s="7"/>
      <c r="D43" s="7"/>
      <c r="E43" s="8"/>
      <c r="F43" s="8"/>
      <c r="G43" s="146"/>
      <c r="H43" s="146"/>
      <c r="I43" s="144"/>
      <c r="J43" s="5"/>
      <c r="K43" s="5"/>
      <c r="L43" s="5"/>
      <c r="M43" s="9"/>
      <c r="N43" s="5"/>
      <c r="O43" s="339" t="str">
        <f t="shared" si="1"/>
        <v/>
      </c>
      <c r="P43" s="7"/>
    </row>
    <row r="44" spans="1:16" ht="15.75" hidden="1" customHeight="1">
      <c r="A44" s="8"/>
      <c r="B44" s="8"/>
      <c r="C44" s="7"/>
      <c r="D44" s="7"/>
      <c r="E44" s="8"/>
      <c r="F44" s="8"/>
      <c r="G44" s="146"/>
      <c r="H44" s="146"/>
      <c r="I44" s="144"/>
      <c r="J44" s="5"/>
      <c r="K44" s="5"/>
      <c r="L44" s="5"/>
      <c r="M44" s="9"/>
      <c r="N44" s="5"/>
      <c r="O44" s="339" t="str">
        <f t="shared" si="1"/>
        <v/>
      </c>
      <c r="P44" s="7"/>
    </row>
    <row r="45" spans="1:16" ht="15.75" hidden="1" customHeight="1">
      <c r="A45" s="8"/>
      <c r="B45" s="8"/>
      <c r="C45" s="7"/>
      <c r="D45" s="7"/>
      <c r="E45" s="8"/>
      <c r="F45" s="8"/>
      <c r="G45" s="146"/>
      <c r="H45" s="146"/>
      <c r="I45" s="144"/>
      <c r="J45" s="5"/>
      <c r="K45" s="5"/>
      <c r="L45" s="5"/>
      <c r="M45" s="9"/>
      <c r="N45" s="5"/>
      <c r="O45" s="339" t="str">
        <f t="shared" si="1"/>
        <v/>
      </c>
      <c r="P45" s="7"/>
    </row>
    <row r="46" spans="1:16" ht="15.75" hidden="1" customHeight="1">
      <c r="A46" s="8"/>
      <c r="B46" s="8"/>
      <c r="C46" s="7"/>
      <c r="D46" s="7"/>
      <c r="E46" s="8"/>
      <c r="F46" s="8"/>
      <c r="G46" s="146"/>
      <c r="H46" s="146"/>
      <c r="I46" s="144"/>
      <c r="J46" s="5"/>
      <c r="K46" s="5"/>
      <c r="L46" s="5"/>
      <c r="M46" s="9"/>
      <c r="N46" s="5"/>
      <c r="O46" s="339" t="str">
        <f t="shared" si="1"/>
        <v/>
      </c>
      <c r="P46" s="7"/>
    </row>
    <row r="47" spans="1:16" ht="15.75" hidden="1" customHeight="1">
      <c r="A47" s="8"/>
      <c r="B47" s="8"/>
      <c r="C47" s="7"/>
      <c r="D47" s="7"/>
      <c r="E47" s="8"/>
      <c r="F47" s="8"/>
      <c r="G47" s="146"/>
      <c r="H47" s="146"/>
      <c r="I47" s="144"/>
      <c r="J47" s="5"/>
      <c r="K47" s="5"/>
      <c r="L47" s="5"/>
      <c r="M47" s="9"/>
      <c r="N47" s="5"/>
      <c r="O47" s="339" t="str">
        <f t="shared" si="1"/>
        <v/>
      </c>
      <c r="P47" s="7"/>
    </row>
  </sheetData>
  <mergeCells count="18">
    <mergeCell ref="A1:P1"/>
    <mergeCell ref="L6:N6"/>
    <mergeCell ref="O6:O7"/>
    <mergeCell ref="P6:P7"/>
    <mergeCell ref="H6:H7"/>
    <mergeCell ref="C6:C7"/>
    <mergeCell ref="A2:P2"/>
    <mergeCell ref="A6:A7"/>
    <mergeCell ref="I6:I7"/>
    <mergeCell ref="J6:K6"/>
    <mergeCell ref="D6:D7"/>
    <mergeCell ref="G6:G7"/>
    <mergeCell ref="A27:C27"/>
    <mergeCell ref="E6:E7"/>
    <mergeCell ref="B6:B7"/>
    <mergeCell ref="F6:F7"/>
    <mergeCell ref="A25:C25"/>
    <mergeCell ref="A26:C26"/>
  </mergeCells>
  <phoneticPr fontId="6" type="noConversion"/>
  <printOptions horizontalCentered="1" verticalCentered="1"/>
  <pageMargins left="0.94488188976377963" right="0.6692913385826772" top="0.15748031496062992" bottom="0.70866141732283472" header="1.4960629921259843" footer="1.0629921259842521"/>
  <pageSetup paperSize="9" fitToHeight="0" orientation="landscape" blackAndWhite="1" horizontalDpi="1200" verticalDpi="1200" r:id="rId1"/>
  <headerFooter scaleWithDoc="0">
    <oddHeader>&amp;R&amp;"宋体,常规"&amp;10表4-8-5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2</xdr:col>
                    <xdr:colOff>469900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723900</xdr:colOff>
                    <xdr:row>2</xdr:row>
                    <xdr:rowOff>0</xdr:rowOff>
                  </from>
                  <to>
                    <xdr:col>4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78F73-21C8-41FD-9B28-4245AECCA861}">
  <sheetPr codeName="Sheet47">
    <pageSetUpPr fitToPage="1"/>
  </sheetPr>
  <dimension ref="A1:P47"/>
  <sheetViews>
    <sheetView workbookViewId="0">
      <pane ySplit="7" topLeftCell="A8" activePane="bottomLeft" state="frozen"/>
      <selection activeCell="F17" sqref="F17"/>
      <selection pane="bottomLeft" activeCell="O3" sqref="O1:O65536"/>
    </sheetView>
  </sheetViews>
  <sheetFormatPr baseColWidth="10" defaultColWidth="9" defaultRowHeight="15.75" customHeight="1"/>
  <cols>
    <col min="1" max="1" width="6.1640625" style="81" customWidth="1"/>
    <col min="2" max="2" width="6.6640625" style="81" customWidth="1"/>
    <col min="3" max="3" width="11.5" style="81" customWidth="1"/>
    <col min="4" max="4" width="9.5" style="81" customWidth="1"/>
    <col min="5" max="5" width="10.5" style="81" customWidth="1"/>
    <col min="6" max="6" width="4.1640625" style="81" customWidth="1"/>
    <col min="7" max="7" width="4.6640625" style="81" customWidth="1"/>
    <col min="8" max="9" width="5.6640625" style="81" customWidth="1"/>
    <col min="10" max="11" width="10.1640625" style="81" customWidth="1"/>
    <col min="12" max="12" width="10.6640625" style="81" customWidth="1"/>
    <col min="13" max="13" width="6.6640625" style="81" customWidth="1"/>
    <col min="14" max="14" width="10.5" style="81" customWidth="1"/>
    <col min="15" max="15" width="5.6640625" style="340" customWidth="1"/>
    <col min="16" max="16" width="8" style="81" customWidth="1"/>
    <col min="17" max="16384" width="9" style="81"/>
  </cols>
  <sheetData>
    <row r="1" spans="1:16" s="80" customFormat="1" ht="30" customHeight="1">
      <c r="A1" s="374" t="s">
        <v>1010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  <c r="O2" s="378"/>
      <c r="P2" s="378"/>
    </row>
    <row r="3" spans="1:16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71"/>
      <c r="N3" s="171"/>
      <c r="O3" s="131"/>
      <c r="P3" s="40"/>
    </row>
    <row r="4" spans="1:16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171"/>
      <c r="N4" s="171"/>
      <c r="O4" s="337"/>
      <c r="P4" s="37"/>
    </row>
    <row r="5" spans="1:16" ht="15.75" customHeight="1">
      <c r="A5" s="125" t="str">
        <f>'1-汇总表'!A4</f>
        <v>被评估单位：A有限公司</v>
      </c>
      <c r="B5" s="125"/>
      <c r="C5" s="125"/>
      <c r="D5" s="125"/>
      <c r="E5" s="125"/>
      <c r="F5" s="42"/>
      <c r="G5" s="42"/>
      <c r="H5" s="42"/>
      <c r="I5" s="42"/>
      <c r="J5" s="42"/>
      <c r="K5" s="42"/>
      <c r="L5" s="42"/>
      <c r="M5" s="42"/>
      <c r="N5" s="42"/>
      <c r="O5" s="218"/>
      <c r="P5" s="122"/>
    </row>
    <row r="6" spans="1:16" s="101" customFormat="1" ht="20.25" customHeight="1">
      <c r="A6" s="465" t="s">
        <v>7</v>
      </c>
      <c r="B6" s="480" t="s">
        <v>124</v>
      </c>
      <c r="C6" s="480" t="s">
        <v>82</v>
      </c>
      <c r="D6" s="480" t="s">
        <v>42</v>
      </c>
      <c r="E6" s="480" t="s">
        <v>83</v>
      </c>
      <c r="F6" s="480" t="s">
        <v>84</v>
      </c>
      <c r="G6" s="480" t="s">
        <v>43</v>
      </c>
      <c r="H6" s="480" t="s">
        <v>85</v>
      </c>
      <c r="I6" s="480" t="s">
        <v>86</v>
      </c>
      <c r="J6" s="540" t="s">
        <v>117</v>
      </c>
      <c r="K6" s="541"/>
      <c r="L6" s="465" t="s">
        <v>0</v>
      </c>
      <c r="M6" s="466"/>
      <c r="N6" s="466"/>
      <c r="O6" s="538" t="s">
        <v>479</v>
      </c>
      <c r="P6" s="480" t="s">
        <v>39</v>
      </c>
    </row>
    <row r="7" spans="1:16" s="101" customFormat="1" ht="25.5" customHeight="1">
      <c r="A7" s="466"/>
      <c r="B7" s="466"/>
      <c r="C7" s="466"/>
      <c r="D7" s="466"/>
      <c r="E7" s="466"/>
      <c r="F7" s="466"/>
      <c r="G7" s="466"/>
      <c r="H7" s="466"/>
      <c r="I7" s="466"/>
      <c r="J7" s="124" t="s">
        <v>87</v>
      </c>
      <c r="K7" s="45" t="s">
        <v>88</v>
      </c>
      <c r="L7" s="45" t="s">
        <v>87</v>
      </c>
      <c r="M7" s="211" t="s">
        <v>481</v>
      </c>
      <c r="N7" s="45" t="s">
        <v>88</v>
      </c>
      <c r="O7" s="539"/>
      <c r="P7" s="466"/>
    </row>
    <row r="8" spans="1:16" ht="15.75" customHeight="1">
      <c r="A8" s="8"/>
      <c r="B8" s="8"/>
      <c r="C8" s="7"/>
      <c r="D8" s="7"/>
      <c r="E8" s="7"/>
      <c r="F8" s="8"/>
      <c r="G8" s="8"/>
      <c r="H8" s="146"/>
      <c r="I8" s="146"/>
      <c r="J8" s="6"/>
      <c r="K8" s="5"/>
      <c r="L8" s="5"/>
      <c r="M8" s="204"/>
      <c r="N8" s="5"/>
      <c r="O8" s="339" t="str">
        <f>IF(ISERROR(N8-K8),"",IF(N8=0,"",ROUND((N8-K8)*100/K8,2)))</f>
        <v/>
      </c>
      <c r="P8" s="7"/>
    </row>
    <row r="9" spans="1:16" ht="15.75" customHeight="1">
      <c r="A9" s="8"/>
      <c r="B9" s="8"/>
      <c r="C9" s="7"/>
      <c r="D9" s="7"/>
      <c r="E9" s="7"/>
      <c r="F9" s="8"/>
      <c r="G9" s="8"/>
      <c r="H9" s="146"/>
      <c r="I9" s="146"/>
      <c r="J9" s="6"/>
      <c r="K9" s="5"/>
      <c r="L9" s="5"/>
      <c r="M9" s="204"/>
      <c r="N9" s="5"/>
      <c r="O9" s="339" t="str">
        <f t="shared" ref="O9:O28" si="0">IF(ISERROR(N9-K9),"",IF(N9=0,"",ROUND((N9-K9)*100/K9,2)))</f>
        <v/>
      </c>
      <c r="P9" s="7"/>
    </row>
    <row r="10" spans="1:16" ht="15.75" customHeight="1">
      <c r="A10" s="8"/>
      <c r="B10" s="8"/>
      <c r="C10" s="7"/>
      <c r="D10" s="7"/>
      <c r="E10" s="7"/>
      <c r="F10" s="8"/>
      <c r="G10" s="8"/>
      <c r="H10" s="146"/>
      <c r="I10" s="146"/>
      <c r="J10" s="6"/>
      <c r="K10" s="5"/>
      <c r="L10" s="5"/>
      <c r="M10" s="204"/>
      <c r="N10" s="5"/>
      <c r="O10" s="339" t="str">
        <f t="shared" si="0"/>
        <v/>
      </c>
      <c r="P10" s="7"/>
    </row>
    <row r="11" spans="1:16" ht="15.75" customHeight="1">
      <c r="A11" s="8"/>
      <c r="B11" s="8"/>
      <c r="C11" s="7"/>
      <c r="D11" s="7"/>
      <c r="E11" s="7"/>
      <c r="F11" s="8"/>
      <c r="G11" s="8"/>
      <c r="H11" s="146"/>
      <c r="I11" s="146"/>
      <c r="J11" s="6"/>
      <c r="K11" s="5"/>
      <c r="L11" s="5"/>
      <c r="M11" s="204"/>
      <c r="N11" s="5"/>
      <c r="O11" s="339" t="str">
        <f t="shared" si="0"/>
        <v/>
      </c>
      <c r="P11" s="7"/>
    </row>
    <row r="12" spans="1:16" ht="15.75" customHeight="1">
      <c r="A12" s="8"/>
      <c r="B12" s="8"/>
      <c r="C12" s="7"/>
      <c r="D12" s="7"/>
      <c r="E12" s="7"/>
      <c r="F12" s="8"/>
      <c r="G12" s="8"/>
      <c r="H12" s="146"/>
      <c r="I12" s="146"/>
      <c r="J12" s="6"/>
      <c r="K12" s="5"/>
      <c r="L12" s="5"/>
      <c r="M12" s="204"/>
      <c r="N12" s="5"/>
      <c r="O12" s="339" t="str">
        <f t="shared" si="0"/>
        <v/>
      </c>
      <c r="P12" s="7"/>
    </row>
    <row r="13" spans="1:16" ht="15.75" customHeight="1">
      <c r="A13" s="8"/>
      <c r="B13" s="8"/>
      <c r="C13" s="7"/>
      <c r="D13" s="7"/>
      <c r="E13" s="7"/>
      <c r="F13" s="8"/>
      <c r="G13" s="8"/>
      <c r="H13" s="146"/>
      <c r="I13" s="146"/>
      <c r="J13" s="6"/>
      <c r="K13" s="5"/>
      <c r="L13" s="5"/>
      <c r="M13" s="204"/>
      <c r="N13" s="5"/>
      <c r="O13" s="339" t="str">
        <f t="shared" si="0"/>
        <v/>
      </c>
      <c r="P13" s="7"/>
    </row>
    <row r="14" spans="1:16" ht="15.75" customHeight="1">
      <c r="A14" s="8"/>
      <c r="B14" s="8"/>
      <c r="C14" s="7"/>
      <c r="D14" s="7"/>
      <c r="E14" s="7"/>
      <c r="F14" s="8"/>
      <c r="G14" s="8"/>
      <c r="H14" s="146"/>
      <c r="I14" s="146"/>
      <c r="J14" s="6"/>
      <c r="K14" s="5"/>
      <c r="L14" s="5"/>
      <c r="M14" s="204"/>
      <c r="N14" s="5"/>
      <c r="O14" s="339" t="str">
        <f t="shared" si="0"/>
        <v/>
      </c>
      <c r="P14" s="7"/>
    </row>
    <row r="15" spans="1:16" ht="15.75" customHeight="1">
      <c r="A15" s="8"/>
      <c r="B15" s="8"/>
      <c r="C15" s="7"/>
      <c r="D15" s="7"/>
      <c r="E15" s="7"/>
      <c r="F15" s="8"/>
      <c r="G15" s="8"/>
      <c r="H15" s="146"/>
      <c r="I15" s="146"/>
      <c r="J15" s="6"/>
      <c r="K15" s="5"/>
      <c r="L15" s="5"/>
      <c r="M15" s="204"/>
      <c r="N15" s="5"/>
      <c r="O15" s="339" t="str">
        <f t="shared" si="0"/>
        <v/>
      </c>
      <c r="P15" s="7"/>
    </row>
    <row r="16" spans="1:16" ht="15.75" customHeight="1">
      <c r="A16" s="8"/>
      <c r="B16" s="8"/>
      <c r="C16" s="7"/>
      <c r="D16" s="7"/>
      <c r="E16" s="7"/>
      <c r="F16" s="8"/>
      <c r="G16" s="8"/>
      <c r="H16" s="146"/>
      <c r="I16" s="146"/>
      <c r="J16" s="6"/>
      <c r="K16" s="5"/>
      <c r="L16" s="5"/>
      <c r="M16" s="204"/>
      <c r="N16" s="5"/>
      <c r="O16" s="339" t="str">
        <f t="shared" si="0"/>
        <v/>
      </c>
      <c r="P16" s="7"/>
    </row>
    <row r="17" spans="1:16" ht="15.75" customHeight="1">
      <c r="A17" s="8"/>
      <c r="B17" s="8"/>
      <c r="C17" s="7"/>
      <c r="D17" s="7"/>
      <c r="E17" s="7"/>
      <c r="F17" s="8"/>
      <c r="G17" s="8"/>
      <c r="H17" s="146"/>
      <c r="I17" s="146"/>
      <c r="J17" s="5"/>
      <c r="K17" s="5"/>
      <c r="L17" s="5"/>
      <c r="M17" s="204"/>
      <c r="N17" s="5"/>
      <c r="O17" s="339" t="str">
        <f t="shared" si="0"/>
        <v/>
      </c>
      <c r="P17" s="7"/>
    </row>
    <row r="18" spans="1:16" ht="15.75" customHeight="1">
      <c r="A18" s="8"/>
      <c r="B18" s="8"/>
      <c r="C18" s="7"/>
      <c r="D18" s="7"/>
      <c r="E18" s="7"/>
      <c r="F18" s="8"/>
      <c r="G18" s="8"/>
      <c r="H18" s="146"/>
      <c r="I18" s="146"/>
      <c r="J18" s="5"/>
      <c r="K18" s="5"/>
      <c r="L18" s="5"/>
      <c r="M18" s="204"/>
      <c r="N18" s="5"/>
      <c r="O18" s="339" t="str">
        <f t="shared" si="0"/>
        <v/>
      </c>
      <c r="P18" s="7"/>
    </row>
    <row r="19" spans="1:16" ht="15.75" customHeight="1">
      <c r="A19" s="8"/>
      <c r="B19" s="8"/>
      <c r="C19" s="7"/>
      <c r="D19" s="7"/>
      <c r="E19" s="7"/>
      <c r="F19" s="8"/>
      <c r="G19" s="8"/>
      <c r="H19" s="146"/>
      <c r="I19" s="146"/>
      <c r="J19" s="5"/>
      <c r="K19" s="5"/>
      <c r="L19" s="5"/>
      <c r="M19" s="204"/>
      <c r="N19" s="5"/>
      <c r="O19" s="339" t="str">
        <f t="shared" si="0"/>
        <v/>
      </c>
      <c r="P19" s="7"/>
    </row>
    <row r="20" spans="1:16" ht="15.75" customHeight="1">
      <c r="A20" s="8"/>
      <c r="B20" s="8"/>
      <c r="C20" s="7"/>
      <c r="D20" s="7"/>
      <c r="E20" s="7"/>
      <c r="F20" s="8"/>
      <c r="G20" s="8"/>
      <c r="H20" s="146"/>
      <c r="I20" s="146"/>
      <c r="J20" s="5"/>
      <c r="K20" s="5"/>
      <c r="L20" s="5"/>
      <c r="M20" s="204"/>
      <c r="N20" s="5"/>
      <c r="O20" s="339" t="str">
        <f t="shared" si="0"/>
        <v/>
      </c>
      <c r="P20" s="7"/>
    </row>
    <row r="21" spans="1:16" ht="15.75" customHeight="1">
      <c r="A21" s="8"/>
      <c r="B21" s="8"/>
      <c r="C21" s="7"/>
      <c r="D21" s="7"/>
      <c r="E21" s="7"/>
      <c r="F21" s="8"/>
      <c r="G21" s="8"/>
      <c r="H21" s="146"/>
      <c r="I21" s="146"/>
      <c r="J21" s="5"/>
      <c r="K21" s="5"/>
      <c r="L21" s="5"/>
      <c r="M21" s="204"/>
      <c r="N21" s="5"/>
      <c r="O21" s="339" t="str">
        <f t="shared" si="0"/>
        <v/>
      </c>
      <c r="P21" s="7"/>
    </row>
    <row r="22" spans="1:16" ht="15.75" customHeight="1">
      <c r="A22" s="8"/>
      <c r="B22" s="8"/>
      <c r="C22" s="7"/>
      <c r="D22" s="7"/>
      <c r="E22" s="7"/>
      <c r="F22" s="8"/>
      <c r="G22" s="8"/>
      <c r="H22" s="146"/>
      <c r="I22" s="146"/>
      <c r="J22" s="5"/>
      <c r="K22" s="5"/>
      <c r="L22" s="5"/>
      <c r="M22" s="204"/>
      <c r="N22" s="5"/>
      <c r="O22" s="339" t="str">
        <f t="shared" si="0"/>
        <v/>
      </c>
      <c r="P22" s="7"/>
    </row>
    <row r="23" spans="1:16" ht="15.75" customHeight="1">
      <c r="A23" s="8"/>
      <c r="B23" s="8"/>
      <c r="C23" s="7"/>
      <c r="D23" s="7"/>
      <c r="E23" s="7"/>
      <c r="F23" s="8"/>
      <c r="G23" s="8"/>
      <c r="H23" s="146"/>
      <c r="I23" s="146"/>
      <c r="J23" s="5"/>
      <c r="K23" s="5"/>
      <c r="L23" s="5"/>
      <c r="M23" s="204"/>
      <c r="N23" s="5"/>
      <c r="O23" s="339" t="str">
        <f t="shared" si="0"/>
        <v/>
      </c>
      <c r="P23" s="7"/>
    </row>
    <row r="24" spans="1:16" ht="15.75" customHeight="1">
      <c r="A24" s="8"/>
      <c r="B24" s="8"/>
      <c r="C24" s="7"/>
      <c r="D24" s="7"/>
      <c r="E24" s="7"/>
      <c r="F24" s="8"/>
      <c r="G24" s="8"/>
      <c r="H24" s="146"/>
      <c r="I24" s="146"/>
      <c r="J24" s="5"/>
      <c r="K24" s="5"/>
      <c r="L24" s="5"/>
      <c r="M24" s="204"/>
      <c r="N24" s="5"/>
      <c r="O24" s="339" t="str">
        <f t="shared" si="0"/>
        <v/>
      </c>
      <c r="P24" s="7"/>
    </row>
    <row r="25" spans="1:16" ht="15.75" customHeight="1">
      <c r="A25" s="537" t="s">
        <v>535</v>
      </c>
      <c r="B25" s="382"/>
      <c r="C25" s="382"/>
      <c r="D25" s="237"/>
      <c r="E25" s="232"/>
      <c r="F25" s="232"/>
      <c r="G25" s="248"/>
      <c r="H25" s="235"/>
      <c r="I25" s="235"/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5" s="31"/>
      <c r="N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O25" s="339" t="str">
        <f t="shared" ca="1" si="0"/>
        <v/>
      </c>
      <c r="P25" s="234"/>
    </row>
    <row r="26" spans="1:16" ht="15.75" customHeight="1">
      <c r="A26" s="382" t="s">
        <v>474</v>
      </c>
      <c r="B26" s="382"/>
      <c r="C26" s="382"/>
      <c r="D26" s="235"/>
      <c r="E26" s="235"/>
      <c r="F26" s="235"/>
      <c r="G26" s="235"/>
      <c r="H26" s="235"/>
      <c r="I26" s="235"/>
      <c r="J26" s="31"/>
      <c r="K26" s="31"/>
      <c r="L26" s="31"/>
      <c r="M26" s="30"/>
      <c r="N26" s="233"/>
      <c r="O26" s="339"/>
      <c r="P26" s="234"/>
    </row>
    <row r="27" spans="1:16" ht="15.75" customHeight="1">
      <c r="A27" s="537" t="s">
        <v>535</v>
      </c>
      <c r="B27" s="382"/>
      <c r="C27" s="382"/>
      <c r="D27" s="237"/>
      <c r="E27" s="232"/>
      <c r="F27" s="232"/>
      <c r="G27" s="30"/>
      <c r="H27" s="235"/>
      <c r="I27" s="235"/>
      <c r="J27" s="31" t="str">
        <f ca="1">IF(J26="",J25,J25-J26)</f>
        <v/>
      </c>
      <c r="K27" s="31" t="str">
        <f ca="1">IF(K26="",K25,K25-K26)</f>
        <v/>
      </c>
      <c r="L27" s="31" t="str">
        <f ca="1">IF(L26="",L25,L25-L26)</f>
        <v/>
      </c>
      <c r="M27" s="31"/>
      <c r="N27" s="31" t="str">
        <f ca="1">IF(N26="",N25,N25-N26)</f>
        <v/>
      </c>
      <c r="O27" s="339" t="str">
        <f t="shared" ca="1" si="0"/>
        <v/>
      </c>
      <c r="P27" s="234"/>
    </row>
    <row r="28" spans="1:16" ht="15.75" hidden="1" customHeight="1">
      <c r="A28" s="8"/>
      <c r="B28" s="8"/>
      <c r="C28" s="7"/>
      <c r="D28" s="7"/>
      <c r="E28" s="7"/>
      <c r="F28" s="8"/>
      <c r="G28" s="8"/>
      <c r="H28" s="146"/>
      <c r="I28" s="146"/>
      <c r="J28" s="5"/>
      <c r="K28" s="5"/>
      <c r="L28" s="5"/>
      <c r="M28" s="204"/>
      <c r="N28" s="5"/>
      <c r="O28" s="339" t="str">
        <f t="shared" si="0"/>
        <v/>
      </c>
      <c r="P28" s="7"/>
    </row>
    <row r="29" spans="1:16" ht="15.75" hidden="1" customHeight="1">
      <c r="A29" s="8"/>
      <c r="B29" s="8"/>
      <c r="C29" s="7"/>
      <c r="D29" s="7"/>
      <c r="E29" s="7"/>
      <c r="F29" s="8"/>
      <c r="G29" s="8"/>
      <c r="H29" s="146"/>
      <c r="I29" s="146"/>
      <c r="J29" s="5"/>
      <c r="K29" s="5"/>
      <c r="L29" s="5"/>
      <c r="M29" s="204"/>
      <c r="N29" s="5"/>
      <c r="O29" s="339" t="str">
        <f t="shared" ref="O29:O47" si="1">IF(ISERROR(N29-K29),"",IF(N29=0,"",ROUND((N29-K29)*100/K29,2)))</f>
        <v/>
      </c>
      <c r="P29" s="7"/>
    </row>
    <row r="30" spans="1:16" ht="15.75" hidden="1" customHeight="1">
      <c r="A30" s="8"/>
      <c r="B30" s="8"/>
      <c r="C30" s="7"/>
      <c r="D30" s="7"/>
      <c r="E30" s="7"/>
      <c r="F30" s="8"/>
      <c r="G30" s="8"/>
      <c r="H30" s="146"/>
      <c r="I30" s="146"/>
      <c r="J30" s="5"/>
      <c r="K30" s="5"/>
      <c r="L30" s="5"/>
      <c r="M30" s="204"/>
      <c r="N30" s="5"/>
      <c r="O30" s="339" t="str">
        <f t="shared" si="1"/>
        <v/>
      </c>
      <c r="P30" s="7"/>
    </row>
    <row r="31" spans="1:16" ht="15.75" hidden="1" customHeight="1">
      <c r="A31" s="8"/>
      <c r="B31" s="8"/>
      <c r="C31" s="7"/>
      <c r="D31" s="7"/>
      <c r="E31" s="7"/>
      <c r="F31" s="8"/>
      <c r="G31" s="8"/>
      <c r="H31" s="146"/>
      <c r="I31" s="146"/>
      <c r="J31" s="5"/>
      <c r="K31" s="5"/>
      <c r="L31" s="5"/>
      <c r="M31" s="204"/>
      <c r="N31" s="5"/>
      <c r="O31" s="339" t="str">
        <f t="shared" si="1"/>
        <v/>
      </c>
      <c r="P31" s="7"/>
    </row>
    <row r="32" spans="1:16" ht="15.75" hidden="1" customHeight="1">
      <c r="A32" s="8"/>
      <c r="B32" s="8"/>
      <c r="C32" s="7"/>
      <c r="D32" s="7"/>
      <c r="E32" s="7"/>
      <c r="F32" s="8"/>
      <c r="G32" s="8"/>
      <c r="H32" s="146"/>
      <c r="I32" s="146"/>
      <c r="J32" s="5"/>
      <c r="K32" s="5"/>
      <c r="L32" s="5"/>
      <c r="M32" s="204"/>
      <c r="N32" s="5"/>
      <c r="O32" s="339" t="str">
        <f t="shared" si="1"/>
        <v/>
      </c>
      <c r="P32" s="7"/>
    </row>
    <row r="33" spans="1:16" ht="15.75" hidden="1" customHeight="1">
      <c r="A33" s="8"/>
      <c r="B33" s="8"/>
      <c r="C33" s="7"/>
      <c r="D33" s="7"/>
      <c r="E33" s="7"/>
      <c r="F33" s="8"/>
      <c r="G33" s="8"/>
      <c r="H33" s="146"/>
      <c r="I33" s="146"/>
      <c r="J33" s="5"/>
      <c r="K33" s="5"/>
      <c r="L33" s="5"/>
      <c r="M33" s="204"/>
      <c r="N33" s="5"/>
      <c r="O33" s="339" t="str">
        <f t="shared" si="1"/>
        <v/>
      </c>
      <c r="P33" s="7"/>
    </row>
    <row r="34" spans="1:16" ht="15.75" hidden="1" customHeight="1">
      <c r="A34" s="8"/>
      <c r="B34" s="8"/>
      <c r="C34" s="7"/>
      <c r="D34" s="7"/>
      <c r="E34" s="7"/>
      <c r="F34" s="8"/>
      <c r="G34" s="8"/>
      <c r="H34" s="146"/>
      <c r="I34" s="146"/>
      <c r="J34" s="5"/>
      <c r="K34" s="5"/>
      <c r="L34" s="5"/>
      <c r="M34" s="204"/>
      <c r="N34" s="5"/>
      <c r="O34" s="339" t="str">
        <f t="shared" si="1"/>
        <v/>
      </c>
      <c r="P34" s="7"/>
    </row>
    <row r="35" spans="1:16" ht="15.75" hidden="1" customHeight="1">
      <c r="A35" s="8"/>
      <c r="B35" s="8"/>
      <c r="C35" s="7"/>
      <c r="D35" s="7"/>
      <c r="E35" s="7"/>
      <c r="F35" s="8"/>
      <c r="G35" s="8"/>
      <c r="H35" s="146"/>
      <c r="I35" s="146"/>
      <c r="J35" s="5"/>
      <c r="K35" s="5"/>
      <c r="L35" s="5"/>
      <c r="M35" s="204"/>
      <c r="N35" s="5"/>
      <c r="O35" s="339" t="str">
        <f t="shared" si="1"/>
        <v/>
      </c>
      <c r="P35" s="7"/>
    </row>
    <row r="36" spans="1:16" ht="15.75" hidden="1" customHeight="1">
      <c r="A36" s="8"/>
      <c r="B36" s="8"/>
      <c r="C36" s="7"/>
      <c r="D36" s="7"/>
      <c r="E36" s="7"/>
      <c r="F36" s="8"/>
      <c r="G36" s="8"/>
      <c r="H36" s="146"/>
      <c r="I36" s="146"/>
      <c r="J36" s="5"/>
      <c r="K36" s="5"/>
      <c r="L36" s="5"/>
      <c r="M36" s="204"/>
      <c r="N36" s="5"/>
      <c r="O36" s="339" t="str">
        <f t="shared" si="1"/>
        <v/>
      </c>
      <c r="P36" s="7"/>
    </row>
    <row r="37" spans="1:16" ht="15.75" hidden="1" customHeight="1">
      <c r="A37" s="8"/>
      <c r="B37" s="8"/>
      <c r="C37" s="7"/>
      <c r="D37" s="7"/>
      <c r="E37" s="7"/>
      <c r="F37" s="8"/>
      <c r="G37" s="8"/>
      <c r="H37" s="146"/>
      <c r="I37" s="146"/>
      <c r="J37" s="5"/>
      <c r="K37" s="5"/>
      <c r="L37" s="5"/>
      <c r="M37" s="204"/>
      <c r="N37" s="5"/>
      <c r="O37" s="339" t="str">
        <f t="shared" si="1"/>
        <v/>
      </c>
      <c r="P37" s="7"/>
    </row>
    <row r="38" spans="1:16" ht="15.75" hidden="1" customHeight="1">
      <c r="A38" s="8"/>
      <c r="B38" s="8"/>
      <c r="C38" s="7"/>
      <c r="D38" s="7"/>
      <c r="E38" s="7"/>
      <c r="F38" s="8"/>
      <c r="G38" s="8"/>
      <c r="H38" s="146"/>
      <c r="I38" s="146"/>
      <c r="J38" s="5"/>
      <c r="K38" s="5"/>
      <c r="L38" s="5"/>
      <c r="M38" s="204"/>
      <c r="N38" s="5"/>
      <c r="O38" s="339" t="str">
        <f t="shared" si="1"/>
        <v/>
      </c>
      <c r="P38" s="7"/>
    </row>
    <row r="39" spans="1:16" ht="15.75" hidden="1" customHeight="1">
      <c r="A39" s="8"/>
      <c r="B39" s="8"/>
      <c r="C39" s="7"/>
      <c r="D39" s="7"/>
      <c r="E39" s="7"/>
      <c r="F39" s="8"/>
      <c r="G39" s="8"/>
      <c r="H39" s="146"/>
      <c r="I39" s="146"/>
      <c r="J39" s="5"/>
      <c r="K39" s="5"/>
      <c r="L39" s="5"/>
      <c r="M39" s="204"/>
      <c r="N39" s="5"/>
      <c r="O39" s="339" t="str">
        <f t="shared" si="1"/>
        <v/>
      </c>
      <c r="P39" s="7"/>
    </row>
    <row r="40" spans="1:16" ht="15.75" hidden="1" customHeight="1">
      <c r="A40" s="8"/>
      <c r="B40" s="8"/>
      <c r="C40" s="7"/>
      <c r="D40" s="7"/>
      <c r="E40" s="7"/>
      <c r="F40" s="8"/>
      <c r="G40" s="8"/>
      <c r="H40" s="146"/>
      <c r="I40" s="146"/>
      <c r="J40" s="5"/>
      <c r="K40" s="5"/>
      <c r="L40" s="5"/>
      <c r="M40" s="204"/>
      <c r="N40" s="5"/>
      <c r="O40" s="339" t="str">
        <f t="shared" si="1"/>
        <v/>
      </c>
      <c r="P40" s="7"/>
    </row>
    <row r="41" spans="1:16" ht="15.75" hidden="1" customHeight="1">
      <c r="A41" s="8"/>
      <c r="B41" s="8"/>
      <c r="C41" s="7"/>
      <c r="D41" s="7"/>
      <c r="E41" s="7"/>
      <c r="F41" s="8"/>
      <c r="G41" s="8"/>
      <c r="H41" s="146"/>
      <c r="I41" s="146"/>
      <c r="J41" s="5"/>
      <c r="K41" s="5"/>
      <c r="L41" s="5"/>
      <c r="M41" s="204"/>
      <c r="N41" s="5"/>
      <c r="O41" s="339" t="str">
        <f t="shared" si="1"/>
        <v/>
      </c>
      <c r="P41" s="7"/>
    </row>
    <row r="42" spans="1:16" ht="15.75" hidden="1" customHeight="1">
      <c r="A42" s="8"/>
      <c r="B42" s="8"/>
      <c r="C42" s="7"/>
      <c r="D42" s="7"/>
      <c r="E42" s="7"/>
      <c r="F42" s="8"/>
      <c r="G42" s="8"/>
      <c r="H42" s="146"/>
      <c r="I42" s="146"/>
      <c r="J42" s="5"/>
      <c r="K42" s="5"/>
      <c r="L42" s="5"/>
      <c r="M42" s="204"/>
      <c r="N42" s="5"/>
      <c r="O42" s="339" t="str">
        <f t="shared" si="1"/>
        <v/>
      </c>
      <c r="P42" s="7"/>
    </row>
    <row r="43" spans="1:16" ht="15.75" hidden="1" customHeight="1">
      <c r="A43" s="8"/>
      <c r="B43" s="8"/>
      <c r="C43" s="7"/>
      <c r="D43" s="7"/>
      <c r="E43" s="7"/>
      <c r="F43" s="8"/>
      <c r="G43" s="8"/>
      <c r="H43" s="146"/>
      <c r="I43" s="146"/>
      <c r="J43" s="5"/>
      <c r="K43" s="5"/>
      <c r="L43" s="5"/>
      <c r="M43" s="204"/>
      <c r="N43" s="5"/>
      <c r="O43" s="339" t="str">
        <f t="shared" si="1"/>
        <v/>
      </c>
      <c r="P43" s="7"/>
    </row>
    <row r="44" spans="1:16" ht="15.75" hidden="1" customHeight="1">
      <c r="A44" s="8"/>
      <c r="B44" s="8"/>
      <c r="C44" s="7"/>
      <c r="D44" s="7"/>
      <c r="E44" s="7"/>
      <c r="F44" s="8"/>
      <c r="G44" s="8"/>
      <c r="H44" s="146"/>
      <c r="I44" s="146"/>
      <c r="J44" s="5"/>
      <c r="K44" s="5"/>
      <c r="L44" s="5"/>
      <c r="M44" s="204"/>
      <c r="N44" s="5"/>
      <c r="O44" s="339" t="str">
        <f t="shared" si="1"/>
        <v/>
      </c>
      <c r="P44" s="7"/>
    </row>
    <row r="45" spans="1:16" ht="15.75" hidden="1" customHeight="1">
      <c r="A45" s="8"/>
      <c r="B45" s="8"/>
      <c r="C45" s="7"/>
      <c r="D45" s="7"/>
      <c r="E45" s="7"/>
      <c r="F45" s="8"/>
      <c r="G45" s="8"/>
      <c r="H45" s="146"/>
      <c r="I45" s="146"/>
      <c r="J45" s="5"/>
      <c r="K45" s="5"/>
      <c r="L45" s="5"/>
      <c r="M45" s="204"/>
      <c r="N45" s="5"/>
      <c r="O45" s="339" t="str">
        <f t="shared" si="1"/>
        <v/>
      </c>
      <c r="P45" s="7"/>
    </row>
    <row r="46" spans="1:16" ht="15.75" hidden="1" customHeight="1">
      <c r="A46" s="8"/>
      <c r="B46" s="8"/>
      <c r="C46" s="7"/>
      <c r="D46" s="7"/>
      <c r="E46" s="7"/>
      <c r="F46" s="8"/>
      <c r="G46" s="8"/>
      <c r="H46" s="146"/>
      <c r="I46" s="146"/>
      <c r="J46" s="5"/>
      <c r="K46" s="5"/>
      <c r="L46" s="5"/>
      <c r="M46" s="204"/>
      <c r="N46" s="5"/>
      <c r="O46" s="339" t="str">
        <f t="shared" si="1"/>
        <v/>
      </c>
      <c r="P46" s="7"/>
    </row>
    <row r="47" spans="1:16" ht="15.75" hidden="1" customHeight="1">
      <c r="A47" s="8"/>
      <c r="B47" s="8"/>
      <c r="C47" s="7"/>
      <c r="D47" s="7"/>
      <c r="E47" s="7"/>
      <c r="F47" s="8"/>
      <c r="G47" s="8"/>
      <c r="H47" s="146"/>
      <c r="I47" s="146"/>
      <c r="J47" s="5"/>
      <c r="K47" s="5"/>
      <c r="L47" s="5"/>
      <c r="M47" s="204"/>
      <c r="N47" s="5"/>
      <c r="O47" s="339" t="str">
        <f t="shared" si="1"/>
        <v/>
      </c>
      <c r="P47" s="7"/>
    </row>
  </sheetData>
  <mergeCells count="18">
    <mergeCell ref="A27:C27"/>
    <mergeCell ref="H6:H7"/>
    <mergeCell ref="D6:D7"/>
    <mergeCell ref="J6:K6"/>
    <mergeCell ref="A1:P1"/>
    <mergeCell ref="L6:N6"/>
    <mergeCell ref="O6:O7"/>
    <mergeCell ref="E6:E7"/>
    <mergeCell ref="F6:F7"/>
    <mergeCell ref="G6:G7"/>
    <mergeCell ref="A25:C25"/>
    <mergeCell ref="A26:C26"/>
    <mergeCell ref="A6:A7"/>
    <mergeCell ref="I6:I7"/>
    <mergeCell ref="A2:P2"/>
    <mergeCell ref="P6:P7"/>
    <mergeCell ref="C6:C7"/>
    <mergeCell ref="B6:B7"/>
  </mergeCells>
  <phoneticPr fontId="6" type="noConversion"/>
  <printOptions horizontalCentered="1" verticalCentered="1"/>
  <pageMargins left="0.70866141732283472" right="0.43307086614173229" top="0.19685039370078741" bottom="0.94488188976377963" header="1.4173228346456694" footer="1.1811023622047245"/>
  <pageSetup paperSize="9" fitToHeight="0" orientation="landscape" blackAndWhite="1" horizontalDpi="1200" verticalDpi="1200" r:id="rId1"/>
  <headerFooter scaleWithDoc="0">
    <oddHeader>&amp;R&amp;"宋体,常规"&amp;10表4-8-6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2</xdr:col>
                    <xdr:colOff>406400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673100</xdr:colOff>
                    <xdr:row>2</xdr:row>
                    <xdr:rowOff>0</xdr:rowOff>
                  </from>
                  <to>
                    <xdr:col>4</xdr:col>
                    <xdr:colOff>101600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24B66-4DEA-4626-BDFA-9514C507FFC6}">
  <sheetPr codeName="Sheet69">
    <pageSetUpPr fitToPage="1"/>
  </sheetPr>
  <dimension ref="A1:P46"/>
  <sheetViews>
    <sheetView workbookViewId="0">
      <pane ySplit="6" topLeftCell="A16" activePane="bottomLeft" state="frozen"/>
      <selection activeCell="F17" sqref="F17"/>
      <selection pane="bottomLeft" activeCell="L19" sqref="L19"/>
    </sheetView>
  </sheetViews>
  <sheetFormatPr baseColWidth="10" defaultColWidth="9" defaultRowHeight="15.75" customHeight="1"/>
  <cols>
    <col min="1" max="1" width="4" style="81" customWidth="1"/>
    <col min="2" max="2" width="8.1640625" style="81" customWidth="1"/>
    <col min="3" max="3" width="9.5" style="81" customWidth="1"/>
    <col min="4" max="4" width="8.6640625" style="81" customWidth="1"/>
    <col min="5" max="7" width="5.5" style="81" customWidth="1"/>
    <col min="8" max="9" width="5.1640625" style="81" customWidth="1"/>
    <col min="10" max="10" width="8.6640625" style="81" customWidth="1"/>
    <col min="11" max="13" width="12" style="81" customWidth="1"/>
    <col min="14" max="14" width="8" style="135" customWidth="1"/>
    <col min="15" max="15" width="9.6640625" style="340" customWidth="1"/>
    <col min="16" max="16" width="5.1640625" style="81" customWidth="1"/>
    <col min="17" max="16384" width="9" style="81"/>
  </cols>
  <sheetData>
    <row r="1" spans="1:16" s="80" customFormat="1" ht="30" customHeight="1">
      <c r="A1" s="374" t="s">
        <v>1011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8"/>
      <c r="K2" s="378"/>
      <c r="L2" s="378"/>
      <c r="M2" s="378"/>
      <c r="N2" s="378"/>
      <c r="O2" s="378"/>
      <c r="P2" s="378"/>
    </row>
    <row r="3" spans="1:16" ht="14.25" customHeight="1">
      <c r="A3" s="40"/>
      <c r="B3" s="40"/>
      <c r="C3" s="40"/>
      <c r="D3" s="40"/>
      <c r="E3" s="40"/>
      <c r="F3" s="40"/>
      <c r="G3" s="40"/>
      <c r="H3" s="40"/>
      <c r="I3" s="40"/>
      <c r="J3" s="171"/>
      <c r="K3" s="171"/>
      <c r="L3" s="171"/>
      <c r="M3" s="171"/>
      <c r="N3" s="172"/>
      <c r="O3" s="218"/>
      <c r="P3" s="177"/>
    </row>
    <row r="4" spans="1:16" ht="13.5" customHeight="1">
      <c r="A4" s="40"/>
      <c r="B4" s="40"/>
      <c r="C4" s="40"/>
      <c r="D4" s="40"/>
      <c r="E4" s="40"/>
      <c r="F4" s="40"/>
      <c r="G4" s="40"/>
      <c r="H4" s="40"/>
      <c r="I4" s="40"/>
      <c r="J4" s="171"/>
      <c r="K4" s="171"/>
      <c r="L4" s="171"/>
      <c r="M4" s="171"/>
      <c r="N4" s="172"/>
      <c r="O4" s="337"/>
      <c r="P4" s="37"/>
    </row>
    <row r="5" spans="1:16" ht="15.75" customHeight="1">
      <c r="A5" s="125" t="str">
        <f>'1-汇总表'!A4</f>
        <v>被评估单位：A有限公司</v>
      </c>
      <c r="B5" s="125"/>
      <c r="C5" s="125"/>
      <c r="D5" s="125"/>
      <c r="E5" s="42"/>
      <c r="F5" s="42"/>
      <c r="G5" s="42"/>
      <c r="H5" s="42"/>
      <c r="I5" s="42"/>
      <c r="J5" s="42"/>
      <c r="K5" s="42"/>
      <c r="L5" s="42"/>
      <c r="M5" s="42"/>
      <c r="N5" s="173"/>
      <c r="O5" s="218"/>
      <c r="P5" s="122"/>
    </row>
    <row r="6" spans="1:16" s="189" customFormat="1" ht="27.75" customHeight="1">
      <c r="A6" s="212" t="s">
        <v>7</v>
      </c>
      <c r="B6" s="212" t="s">
        <v>63</v>
      </c>
      <c r="C6" s="212" t="s">
        <v>40</v>
      </c>
      <c r="D6" s="212" t="s">
        <v>64</v>
      </c>
      <c r="E6" s="212" t="s">
        <v>61</v>
      </c>
      <c r="F6" s="212" t="s">
        <v>65</v>
      </c>
      <c r="G6" s="212" t="s">
        <v>459</v>
      </c>
      <c r="H6" s="212" t="s">
        <v>66</v>
      </c>
      <c r="I6" s="212" t="s">
        <v>67</v>
      </c>
      <c r="J6" s="212" t="s">
        <v>68</v>
      </c>
      <c r="K6" s="212" t="s">
        <v>133</v>
      </c>
      <c r="L6" s="212" t="s">
        <v>117</v>
      </c>
      <c r="M6" s="212" t="s">
        <v>0</v>
      </c>
      <c r="N6" s="216" t="s">
        <v>1</v>
      </c>
      <c r="O6" s="357" t="s">
        <v>479</v>
      </c>
      <c r="P6" s="212" t="s">
        <v>39</v>
      </c>
    </row>
    <row r="7" spans="1:16" ht="15.75" customHeight="1">
      <c r="A7" s="8"/>
      <c r="B7" s="8"/>
      <c r="C7" s="7"/>
      <c r="D7" s="7"/>
      <c r="E7" s="146"/>
      <c r="F7" s="8"/>
      <c r="G7" s="8"/>
      <c r="H7" s="8"/>
      <c r="I7" s="8"/>
      <c r="J7" s="5"/>
      <c r="K7" s="5"/>
      <c r="L7" s="5"/>
      <c r="M7" s="5"/>
      <c r="N7" s="28" t="str">
        <f>IF(ISERROR(M7-L7),"",IF(M7=0,"",M7-L7))</f>
        <v/>
      </c>
      <c r="O7" s="339" t="str">
        <f>IF(ISERROR(M7-L7),"",IF(M7=0,"",IF(N7="",0,ROUND(N7*100/L7,2))))</f>
        <v/>
      </c>
      <c r="P7" s="7"/>
    </row>
    <row r="8" spans="1:16" ht="15.75" customHeight="1">
      <c r="A8" s="8"/>
      <c r="B8" s="8"/>
      <c r="C8" s="7"/>
      <c r="D8" s="7"/>
      <c r="E8" s="146"/>
      <c r="F8" s="8"/>
      <c r="G8" s="8"/>
      <c r="H8" s="8"/>
      <c r="I8" s="8"/>
      <c r="J8" s="5"/>
      <c r="K8" s="148"/>
      <c r="L8" s="148"/>
      <c r="M8" s="148"/>
      <c r="N8" s="28" t="str">
        <f t="shared" ref="N8:N26" si="0">IF(ISERROR(M8-L8),"",IF(M8=0,"",M8-L8))</f>
        <v/>
      </c>
      <c r="O8" s="339" t="str">
        <f t="shared" ref="O8:O26" si="1">IF(ISERROR(M8-L8),"",IF(M8=0,"",IF(N8="",0,ROUND(N8*100/L8,2))))</f>
        <v/>
      </c>
      <c r="P8" s="7"/>
    </row>
    <row r="9" spans="1:16" ht="15.75" customHeight="1">
      <c r="A9" s="8"/>
      <c r="B9" s="8"/>
      <c r="C9" s="7"/>
      <c r="D9" s="7"/>
      <c r="E9" s="146"/>
      <c r="F9" s="8"/>
      <c r="G9" s="8"/>
      <c r="H9" s="8"/>
      <c r="I9" s="8"/>
      <c r="J9" s="5"/>
      <c r="K9" s="5"/>
      <c r="L9" s="5"/>
      <c r="M9" s="5"/>
      <c r="N9" s="28" t="str">
        <f t="shared" si="0"/>
        <v/>
      </c>
      <c r="O9" s="339" t="str">
        <f t="shared" si="1"/>
        <v/>
      </c>
      <c r="P9" s="7"/>
    </row>
    <row r="10" spans="1:16" ht="15.75" customHeight="1">
      <c r="A10" s="8"/>
      <c r="B10" s="8"/>
      <c r="C10" s="7"/>
      <c r="D10" s="7"/>
      <c r="E10" s="146"/>
      <c r="F10" s="8"/>
      <c r="G10" s="8"/>
      <c r="H10" s="8"/>
      <c r="I10" s="8"/>
      <c r="J10" s="5"/>
      <c r="K10" s="5"/>
      <c r="L10" s="5"/>
      <c r="M10" s="5"/>
      <c r="N10" s="28" t="str">
        <f t="shared" si="0"/>
        <v/>
      </c>
      <c r="O10" s="339" t="str">
        <f t="shared" si="1"/>
        <v/>
      </c>
      <c r="P10" s="7"/>
    </row>
    <row r="11" spans="1:16" ht="15.75" customHeight="1">
      <c r="A11" s="8"/>
      <c r="B11" s="8"/>
      <c r="C11" s="7"/>
      <c r="D11" s="7"/>
      <c r="E11" s="146"/>
      <c r="F11" s="8"/>
      <c r="G11" s="8"/>
      <c r="H11" s="8"/>
      <c r="I11" s="8"/>
      <c r="J11" s="5"/>
      <c r="K11" s="5"/>
      <c r="L11" s="5"/>
      <c r="M11" s="5"/>
      <c r="N11" s="28" t="str">
        <f t="shared" si="0"/>
        <v/>
      </c>
      <c r="O11" s="339" t="str">
        <f t="shared" si="1"/>
        <v/>
      </c>
      <c r="P11" s="7"/>
    </row>
    <row r="12" spans="1:16" ht="15.75" customHeight="1">
      <c r="A12" s="8"/>
      <c r="B12" s="8"/>
      <c r="C12" s="7"/>
      <c r="D12" s="7"/>
      <c r="E12" s="146"/>
      <c r="F12" s="8"/>
      <c r="G12" s="8"/>
      <c r="H12" s="8"/>
      <c r="I12" s="8"/>
      <c r="J12" s="5"/>
      <c r="K12" s="5"/>
      <c r="L12" s="5"/>
      <c r="M12" s="5"/>
      <c r="N12" s="28" t="str">
        <f t="shared" si="0"/>
        <v/>
      </c>
      <c r="O12" s="339" t="str">
        <f t="shared" si="1"/>
        <v/>
      </c>
      <c r="P12" s="7"/>
    </row>
    <row r="13" spans="1:16" ht="15.75" customHeight="1">
      <c r="A13" s="8"/>
      <c r="B13" s="8"/>
      <c r="C13" s="7"/>
      <c r="D13" s="7"/>
      <c r="E13" s="146"/>
      <c r="F13" s="8"/>
      <c r="G13" s="8"/>
      <c r="H13" s="8"/>
      <c r="I13" s="8"/>
      <c r="J13" s="5"/>
      <c r="K13" s="5"/>
      <c r="L13" s="5"/>
      <c r="M13" s="5"/>
      <c r="N13" s="28" t="str">
        <f t="shared" si="0"/>
        <v/>
      </c>
      <c r="O13" s="339" t="str">
        <f t="shared" si="1"/>
        <v/>
      </c>
      <c r="P13" s="7"/>
    </row>
    <row r="14" spans="1:16" ht="15.75" customHeight="1">
      <c r="A14" s="8"/>
      <c r="B14" s="8"/>
      <c r="C14" s="7"/>
      <c r="D14" s="7"/>
      <c r="E14" s="146"/>
      <c r="F14" s="8"/>
      <c r="G14" s="8"/>
      <c r="H14" s="8"/>
      <c r="I14" s="8"/>
      <c r="J14" s="5"/>
      <c r="K14" s="5"/>
      <c r="L14" s="5"/>
      <c r="M14" s="5"/>
      <c r="N14" s="28" t="str">
        <f t="shared" si="0"/>
        <v/>
      </c>
      <c r="O14" s="339" t="str">
        <f t="shared" si="1"/>
        <v/>
      </c>
      <c r="P14" s="7"/>
    </row>
    <row r="15" spans="1:16" ht="15.75" customHeight="1">
      <c r="A15" s="8"/>
      <c r="B15" s="8"/>
      <c r="C15" s="7"/>
      <c r="D15" s="7"/>
      <c r="E15" s="146"/>
      <c r="F15" s="8"/>
      <c r="G15" s="8"/>
      <c r="H15" s="8"/>
      <c r="I15" s="8"/>
      <c r="J15" s="5"/>
      <c r="K15" s="5"/>
      <c r="L15" s="5"/>
      <c r="M15" s="5"/>
      <c r="N15" s="28" t="str">
        <f t="shared" si="0"/>
        <v/>
      </c>
      <c r="O15" s="339" t="str">
        <f t="shared" si="1"/>
        <v/>
      </c>
      <c r="P15" s="7"/>
    </row>
    <row r="16" spans="1:16" ht="15.75" customHeight="1">
      <c r="A16" s="8"/>
      <c r="B16" s="8"/>
      <c r="C16" s="7"/>
      <c r="D16" s="7"/>
      <c r="E16" s="146"/>
      <c r="F16" s="8"/>
      <c r="G16" s="8"/>
      <c r="H16" s="8"/>
      <c r="I16" s="8"/>
      <c r="J16" s="5"/>
      <c r="K16" s="5"/>
      <c r="L16" s="5"/>
      <c r="M16" s="5"/>
      <c r="N16" s="28" t="str">
        <f t="shared" si="0"/>
        <v/>
      </c>
      <c r="O16" s="339" t="str">
        <f t="shared" si="1"/>
        <v/>
      </c>
      <c r="P16" s="7"/>
    </row>
    <row r="17" spans="1:16" ht="15.75" customHeight="1">
      <c r="A17" s="8"/>
      <c r="B17" s="8"/>
      <c r="C17" s="7"/>
      <c r="D17" s="7"/>
      <c r="E17" s="146"/>
      <c r="F17" s="8"/>
      <c r="G17" s="8"/>
      <c r="H17" s="8"/>
      <c r="I17" s="8"/>
      <c r="J17" s="5"/>
      <c r="K17" s="5"/>
      <c r="L17" s="5"/>
      <c r="M17" s="5"/>
      <c r="N17" s="28" t="str">
        <f t="shared" si="0"/>
        <v/>
      </c>
      <c r="O17" s="339" t="str">
        <f t="shared" si="1"/>
        <v/>
      </c>
      <c r="P17" s="7"/>
    </row>
    <row r="18" spans="1:16" ht="15.75" customHeight="1">
      <c r="A18" s="8"/>
      <c r="B18" s="8"/>
      <c r="C18" s="7"/>
      <c r="D18" s="7"/>
      <c r="E18" s="146"/>
      <c r="F18" s="8"/>
      <c r="G18" s="8"/>
      <c r="H18" s="8"/>
      <c r="I18" s="8"/>
      <c r="J18" s="5"/>
      <c r="K18" s="5"/>
      <c r="L18" s="5"/>
      <c r="M18" s="5"/>
      <c r="N18" s="28" t="str">
        <f t="shared" si="0"/>
        <v/>
      </c>
      <c r="O18" s="339" t="str">
        <f t="shared" si="1"/>
        <v/>
      </c>
      <c r="P18" s="7"/>
    </row>
    <row r="19" spans="1:16" ht="15.75" customHeight="1">
      <c r="A19" s="8"/>
      <c r="B19" s="8"/>
      <c r="C19" s="7"/>
      <c r="D19" s="7"/>
      <c r="E19" s="146"/>
      <c r="F19" s="8"/>
      <c r="G19" s="8"/>
      <c r="H19" s="8"/>
      <c r="I19" s="8"/>
      <c r="J19" s="5"/>
      <c r="K19" s="5"/>
      <c r="L19" s="5"/>
      <c r="M19" s="5"/>
      <c r="N19" s="28" t="str">
        <f t="shared" si="0"/>
        <v/>
      </c>
      <c r="O19" s="339" t="str">
        <f t="shared" si="1"/>
        <v/>
      </c>
      <c r="P19" s="7"/>
    </row>
    <row r="20" spans="1:16" ht="15.75" customHeight="1">
      <c r="A20" s="8"/>
      <c r="B20" s="8"/>
      <c r="C20" s="7"/>
      <c r="D20" s="7"/>
      <c r="E20" s="146"/>
      <c r="F20" s="8"/>
      <c r="G20" s="8"/>
      <c r="H20" s="8"/>
      <c r="I20" s="8"/>
      <c r="J20" s="5"/>
      <c r="K20" s="5"/>
      <c r="L20" s="5"/>
      <c r="M20" s="5"/>
      <c r="N20" s="28" t="str">
        <f t="shared" si="0"/>
        <v/>
      </c>
      <c r="O20" s="339" t="str">
        <f t="shared" si="1"/>
        <v/>
      </c>
      <c r="P20" s="7"/>
    </row>
    <row r="21" spans="1:16" ht="15.75" customHeight="1">
      <c r="A21" s="8"/>
      <c r="B21" s="8"/>
      <c r="C21" s="7"/>
      <c r="D21" s="7"/>
      <c r="E21" s="146"/>
      <c r="F21" s="8"/>
      <c r="G21" s="8"/>
      <c r="H21" s="8"/>
      <c r="I21" s="8"/>
      <c r="J21" s="5"/>
      <c r="K21" s="5"/>
      <c r="L21" s="5"/>
      <c r="M21" s="5"/>
      <c r="N21" s="28" t="str">
        <f t="shared" si="0"/>
        <v/>
      </c>
      <c r="O21" s="339" t="str">
        <f t="shared" si="1"/>
        <v/>
      </c>
      <c r="P21" s="7"/>
    </row>
    <row r="22" spans="1:16" ht="15.75" customHeight="1">
      <c r="A22" s="8"/>
      <c r="B22" s="8"/>
      <c r="C22" s="7"/>
      <c r="D22" s="7"/>
      <c r="E22" s="146"/>
      <c r="F22" s="8"/>
      <c r="G22" s="8"/>
      <c r="H22" s="8"/>
      <c r="I22" s="8"/>
      <c r="J22" s="5"/>
      <c r="K22" s="5"/>
      <c r="L22" s="5"/>
      <c r="M22" s="5"/>
      <c r="N22" s="28" t="str">
        <f t="shared" si="0"/>
        <v/>
      </c>
      <c r="O22" s="339" t="str">
        <f t="shared" si="1"/>
        <v/>
      </c>
      <c r="P22" s="7"/>
    </row>
    <row r="23" spans="1:16" ht="15.75" customHeight="1">
      <c r="A23" s="8"/>
      <c r="B23" s="8"/>
      <c r="C23" s="7"/>
      <c r="D23" s="7"/>
      <c r="E23" s="146"/>
      <c r="F23" s="8"/>
      <c r="G23" s="8"/>
      <c r="H23" s="8"/>
      <c r="I23" s="8"/>
      <c r="J23" s="5"/>
      <c r="K23" s="5"/>
      <c r="L23" s="5"/>
      <c r="M23" s="5"/>
      <c r="N23" s="28" t="str">
        <f t="shared" si="0"/>
        <v/>
      </c>
      <c r="O23" s="339" t="str">
        <f t="shared" si="1"/>
        <v/>
      </c>
      <c r="P23" s="7"/>
    </row>
    <row r="24" spans="1:16" ht="15.75" customHeight="1">
      <c r="A24" s="8"/>
      <c r="B24" s="8"/>
      <c r="C24" s="7"/>
      <c r="D24" s="7"/>
      <c r="E24" s="146"/>
      <c r="F24" s="8"/>
      <c r="G24" s="8"/>
      <c r="H24" s="8"/>
      <c r="I24" s="8"/>
      <c r="J24" s="5"/>
      <c r="K24" s="5"/>
      <c r="L24" s="5"/>
      <c r="M24" s="5"/>
      <c r="N24" s="28" t="str">
        <f t="shared" si="0"/>
        <v/>
      </c>
      <c r="O24" s="339" t="str">
        <f t="shared" si="1"/>
        <v/>
      </c>
      <c r="P24" s="7"/>
    </row>
    <row r="25" spans="1:16" ht="15.75" customHeight="1">
      <c r="A25" s="8"/>
      <c r="B25" s="8"/>
      <c r="C25" s="7"/>
      <c r="D25" s="7"/>
      <c r="E25" s="146"/>
      <c r="F25" s="8"/>
      <c r="G25" s="8"/>
      <c r="H25" s="8"/>
      <c r="I25" s="8"/>
      <c r="J25" s="5"/>
      <c r="K25" s="5"/>
      <c r="L25" s="5"/>
      <c r="M25" s="5"/>
      <c r="N25" s="28" t="str">
        <f t="shared" si="0"/>
        <v/>
      </c>
      <c r="O25" s="339" t="str">
        <f t="shared" si="1"/>
        <v/>
      </c>
      <c r="P25" s="7"/>
    </row>
    <row r="26" spans="1:16" ht="15.75" customHeight="1">
      <c r="A26" s="537" t="s">
        <v>535</v>
      </c>
      <c r="B26" s="382"/>
      <c r="C26" s="382"/>
      <c r="D26" s="234"/>
      <c r="E26" s="232"/>
      <c r="F26" s="237"/>
      <c r="G26" s="237"/>
      <c r="H26" s="237"/>
      <c r="I26" s="237"/>
      <c r="J26" s="31"/>
      <c r="K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6" s="28" t="str">
        <f t="shared" ca="1" si="0"/>
        <v/>
      </c>
      <c r="O26" s="339" t="str">
        <f t="shared" ca="1" si="1"/>
        <v/>
      </c>
      <c r="P26" s="234"/>
    </row>
    <row r="27" spans="1:16" s="141" customFormat="1" ht="15.75" hidden="1" customHeight="1">
      <c r="A27" s="8"/>
      <c r="B27" s="8"/>
      <c r="C27" s="7"/>
      <c r="D27" s="7"/>
      <c r="E27" s="146"/>
      <c r="F27" s="8"/>
      <c r="G27" s="8"/>
      <c r="H27" s="8"/>
      <c r="I27" s="8"/>
      <c r="J27" s="5"/>
      <c r="K27" s="5"/>
      <c r="L27" s="5"/>
      <c r="M27" s="5"/>
      <c r="N27" s="28" t="str">
        <f>IF(ISERROR(M27-L27),"",IF(M27=0,"",M27-L27))</f>
        <v/>
      </c>
      <c r="O27" s="339" t="str">
        <f>IF(ISERROR(M27-L27),"",IF(M27=0,"",IF(N27="",0,ROUND(N27*100/L27,2))))</f>
        <v/>
      </c>
      <c r="P27" s="7"/>
    </row>
    <row r="28" spans="1:16" ht="15.75" hidden="1" customHeight="1">
      <c r="A28" s="8"/>
      <c r="B28" s="8"/>
      <c r="C28" s="7"/>
      <c r="D28" s="7"/>
      <c r="E28" s="146"/>
      <c r="F28" s="8"/>
      <c r="G28" s="8"/>
      <c r="H28" s="8"/>
      <c r="I28" s="8"/>
      <c r="J28" s="5"/>
      <c r="K28" s="5"/>
      <c r="L28" s="5"/>
      <c r="M28" s="5"/>
      <c r="N28" s="28" t="str">
        <f t="shared" ref="N28:N46" si="2">IF(ISERROR(M28-L28),"",IF(M28=0,"",M28-L28))</f>
        <v/>
      </c>
      <c r="O28" s="339" t="str">
        <f t="shared" ref="O28:O46" si="3">IF(ISERROR(M28-L28),"",IF(M28=0,"",IF(N28="",0,ROUND(N28*100/L28,2))))</f>
        <v/>
      </c>
      <c r="P28" s="7"/>
    </row>
    <row r="29" spans="1:16" ht="15.75" hidden="1" customHeight="1">
      <c r="A29" s="8"/>
      <c r="B29" s="8"/>
      <c r="C29" s="7"/>
      <c r="D29" s="7"/>
      <c r="E29" s="146"/>
      <c r="F29" s="8"/>
      <c r="G29" s="8"/>
      <c r="H29" s="8"/>
      <c r="I29" s="8"/>
      <c r="J29" s="5"/>
      <c r="K29" s="5"/>
      <c r="L29" s="5"/>
      <c r="M29" s="5"/>
      <c r="N29" s="28" t="str">
        <f t="shared" si="2"/>
        <v/>
      </c>
      <c r="O29" s="339" t="str">
        <f t="shared" si="3"/>
        <v/>
      </c>
      <c r="P29" s="7"/>
    </row>
    <row r="30" spans="1:16" ht="15.75" hidden="1" customHeight="1">
      <c r="A30" s="8"/>
      <c r="B30" s="8"/>
      <c r="C30" s="7"/>
      <c r="D30" s="7"/>
      <c r="E30" s="146"/>
      <c r="F30" s="8"/>
      <c r="G30" s="8"/>
      <c r="H30" s="8"/>
      <c r="I30" s="8"/>
      <c r="J30" s="5"/>
      <c r="K30" s="5"/>
      <c r="L30" s="5"/>
      <c r="M30" s="5"/>
      <c r="N30" s="28" t="str">
        <f t="shared" si="2"/>
        <v/>
      </c>
      <c r="O30" s="339" t="str">
        <f t="shared" si="3"/>
        <v/>
      </c>
      <c r="P30" s="7"/>
    </row>
    <row r="31" spans="1:16" ht="15.75" hidden="1" customHeight="1">
      <c r="A31" s="8"/>
      <c r="B31" s="8"/>
      <c r="C31" s="7"/>
      <c r="D31" s="7"/>
      <c r="E31" s="146"/>
      <c r="F31" s="8"/>
      <c r="G31" s="8"/>
      <c r="H31" s="8"/>
      <c r="I31" s="8"/>
      <c r="J31" s="5"/>
      <c r="K31" s="5"/>
      <c r="L31" s="5"/>
      <c r="M31" s="5"/>
      <c r="N31" s="28" t="str">
        <f t="shared" si="2"/>
        <v/>
      </c>
      <c r="O31" s="339" t="str">
        <f t="shared" si="3"/>
        <v/>
      </c>
      <c r="P31" s="7"/>
    </row>
    <row r="32" spans="1:16" ht="15.75" hidden="1" customHeight="1">
      <c r="A32" s="8"/>
      <c r="B32" s="8"/>
      <c r="C32" s="7"/>
      <c r="D32" s="7"/>
      <c r="E32" s="146"/>
      <c r="F32" s="8"/>
      <c r="G32" s="8"/>
      <c r="H32" s="8"/>
      <c r="I32" s="8"/>
      <c r="J32" s="5"/>
      <c r="K32" s="5"/>
      <c r="L32" s="5"/>
      <c r="M32" s="5"/>
      <c r="N32" s="28" t="str">
        <f t="shared" si="2"/>
        <v/>
      </c>
      <c r="O32" s="339" t="str">
        <f t="shared" si="3"/>
        <v/>
      </c>
      <c r="P32" s="7"/>
    </row>
    <row r="33" spans="1:16" ht="15.75" hidden="1" customHeight="1">
      <c r="A33" s="8"/>
      <c r="B33" s="8"/>
      <c r="C33" s="7"/>
      <c r="D33" s="7"/>
      <c r="E33" s="146"/>
      <c r="F33" s="8"/>
      <c r="G33" s="8"/>
      <c r="H33" s="8"/>
      <c r="I33" s="8"/>
      <c r="J33" s="5"/>
      <c r="K33" s="5"/>
      <c r="L33" s="5"/>
      <c r="M33" s="5"/>
      <c r="N33" s="28" t="str">
        <f t="shared" si="2"/>
        <v/>
      </c>
      <c r="O33" s="339" t="str">
        <f t="shared" si="3"/>
        <v/>
      </c>
      <c r="P33" s="7"/>
    </row>
    <row r="34" spans="1:16" ht="15.75" hidden="1" customHeight="1">
      <c r="A34" s="8"/>
      <c r="B34" s="8"/>
      <c r="C34" s="7"/>
      <c r="D34" s="7"/>
      <c r="E34" s="146"/>
      <c r="F34" s="8"/>
      <c r="G34" s="8"/>
      <c r="H34" s="8"/>
      <c r="I34" s="8"/>
      <c r="J34" s="5"/>
      <c r="K34" s="5"/>
      <c r="L34" s="5"/>
      <c r="M34" s="5"/>
      <c r="N34" s="28" t="str">
        <f t="shared" si="2"/>
        <v/>
      </c>
      <c r="O34" s="339" t="str">
        <f t="shared" si="3"/>
        <v/>
      </c>
      <c r="P34" s="7"/>
    </row>
    <row r="35" spans="1:16" ht="15.75" hidden="1" customHeight="1">
      <c r="A35" s="8"/>
      <c r="B35" s="8"/>
      <c r="C35" s="7"/>
      <c r="D35" s="7"/>
      <c r="E35" s="146"/>
      <c r="F35" s="8"/>
      <c r="G35" s="8"/>
      <c r="H35" s="8"/>
      <c r="I35" s="8"/>
      <c r="J35" s="5"/>
      <c r="K35" s="5"/>
      <c r="L35" s="5"/>
      <c r="M35" s="5"/>
      <c r="N35" s="28" t="str">
        <f t="shared" si="2"/>
        <v/>
      </c>
      <c r="O35" s="339" t="str">
        <f t="shared" si="3"/>
        <v/>
      </c>
      <c r="P35" s="7"/>
    </row>
    <row r="36" spans="1:16" ht="15.75" hidden="1" customHeight="1">
      <c r="A36" s="8"/>
      <c r="B36" s="8"/>
      <c r="C36" s="7"/>
      <c r="D36" s="7"/>
      <c r="E36" s="146"/>
      <c r="F36" s="8"/>
      <c r="G36" s="8"/>
      <c r="H36" s="8"/>
      <c r="I36" s="8"/>
      <c r="J36" s="5"/>
      <c r="K36" s="5"/>
      <c r="L36" s="5"/>
      <c r="M36" s="5"/>
      <c r="N36" s="28" t="str">
        <f t="shared" si="2"/>
        <v/>
      </c>
      <c r="O36" s="339" t="str">
        <f t="shared" si="3"/>
        <v/>
      </c>
      <c r="P36" s="7"/>
    </row>
    <row r="37" spans="1:16" ht="15.75" hidden="1" customHeight="1">
      <c r="A37" s="8"/>
      <c r="B37" s="8"/>
      <c r="C37" s="7"/>
      <c r="D37" s="7"/>
      <c r="E37" s="146"/>
      <c r="F37" s="8"/>
      <c r="G37" s="8"/>
      <c r="H37" s="8"/>
      <c r="I37" s="8"/>
      <c r="J37" s="5"/>
      <c r="K37" s="5"/>
      <c r="L37" s="5"/>
      <c r="M37" s="5"/>
      <c r="N37" s="28" t="str">
        <f t="shared" si="2"/>
        <v/>
      </c>
      <c r="O37" s="339" t="str">
        <f t="shared" si="3"/>
        <v/>
      </c>
      <c r="P37" s="7"/>
    </row>
    <row r="38" spans="1:16" ht="15.75" hidden="1" customHeight="1">
      <c r="A38" s="8"/>
      <c r="B38" s="8"/>
      <c r="C38" s="7"/>
      <c r="D38" s="7"/>
      <c r="E38" s="146"/>
      <c r="F38" s="8"/>
      <c r="G38" s="8"/>
      <c r="H38" s="8"/>
      <c r="I38" s="8"/>
      <c r="J38" s="5"/>
      <c r="K38" s="5"/>
      <c r="L38" s="5"/>
      <c r="M38" s="5"/>
      <c r="N38" s="28" t="str">
        <f t="shared" si="2"/>
        <v/>
      </c>
      <c r="O38" s="339" t="str">
        <f t="shared" si="3"/>
        <v/>
      </c>
      <c r="P38" s="7"/>
    </row>
    <row r="39" spans="1:16" ht="15.75" hidden="1" customHeight="1">
      <c r="A39" s="8"/>
      <c r="B39" s="8"/>
      <c r="C39" s="7"/>
      <c r="D39" s="7"/>
      <c r="E39" s="146"/>
      <c r="F39" s="8"/>
      <c r="G39" s="8"/>
      <c r="H39" s="8"/>
      <c r="I39" s="8"/>
      <c r="J39" s="5"/>
      <c r="K39" s="5"/>
      <c r="L39" s="5"/>
      <c r="M39" s="5"/>
      <c r="N39" s="28" t="str">
        <f t="shared" si="2"/>
        <v/>
      </c>
      <c r="O39" s="339" t="str">
        <f t="shared" si="3"/>
        <v/>
      </c>
      <c r="P39" s="7"/>
    </row>
    <row r="40" spans="1:16" ht="15.75" hidden="1" customHeight="1">
      <c r="A40" s="8"/>
      <c r="B40" s="8"/>
      <c r="C40" s="7"/>
      <c r="D40" s="7"/>
      <c r="E40" s="146"/>
      <c r="F40" s="8"/>
      <c r="G40" s="8"/>
      <c r="H40" s="8"/>
      <c r="I40" s="8"/>
      <c r="J40" s="5"/>
      <c r="K40" s="5"/>
      <c r="L40" s="5"/>
      <c r="M40" s="5"/>
      <c r="N40" s="28" t="str">
        <f t="shared" si="2"/>
        <v/>
      </c>
      <c r="O40" s="339" t="str">
        <f t="shared" si="3"/>
        <v/>
      </c>
      <c r="P40" s="7"/>
    </row>
    <row r="41" spans="1:16" ht="15.75" hidden="1" customHeight="1">
      <c r="A41" s="8"/>
      <c r="B41" s="8"/>
      <c r="C41" s="7"/>
      <c r="D41" s="7"/>
      <c r="E41" s="146"/>
      <c r="F41" s="8"/>
      <c r="G41" s="8"/>
      <c r="H41" s="8"/>
      <c r="I41" s="8"/>
      <c r="J41" s="5"/>
      <c r="K41" s="5"/>
      <c r="L41" s="5"/>
      <c r="M41" s="5"/>
      <c r="N41" s="28" t="str">
        <f t="shared" si="2"/>
        <v/>
      </c>
      <c r="O41" s="339" t="str">
        <f t="shared" si="3"/>
        <v/>
      </c>
      <c r="P41" s="7"/>
    </row>
    <row r="42" spans="1:16" ht="15.75" hidden="1" customHeight="1">
      <c r="A42" s="8"/>
      <c r="B42" s="8"/>
      <c r="C42" s="7"/>
      <c r="D42" s="7"/>
      <c r="E42" s="146"/>
      <c r="F42" s="8"/>
      <c r="G42" s="8"/>
      <c r="H42" s="8"/>
      <c r="I42" s="8"/>
      <c r="J42" s="5"/>
      <c r="K42" s="5"/>
      <c r="L42" s="5"/>
      <c r="M42" s="5"/>
      <c r="N42" s="28" t="str">
        <f t="shared" si="2"/>
        <v/>
      </c>
      <c r="O42" s="339" t="str">
        <f t="shared" si="3"/>
        <v/>
      </c>
      <c r="P42" s="7"/>
    </row>
    <row r="43" spans="1:16" ht="15.75" hidden="1" customHeight="1">
      <c r="A43" s="8"/>
      <c r="B43" s="8"/>
      <c r="C43" s="7"/>
      <c r="D43" s="7"/>
      <c r="E43" s="146"/>
      <c r="F43" s="8"/>
      <c r="G43" s="8"/>
      <c r="H43" s="8"/>
      <c r="I43" s="8"/>
      <c r="J43" s="5"/>
      <c r="K43" s="5"/>
      <c r="L43" s="5"/>
      <c r="M43" s="5"/>
      <c r="N43" s="28" t="str">
        <f t="shared" si="2"/>
        <v/>
      </c>
      <c r="O43" s="339" t="str">
        <f t="shared" si="3"/>
        <v/>
      </c>
      <c r="P43" s="7"/>
    </row>
    <row r="44" spans="1:16" ht="15.75" hidden="1" customHeight="1">
      <c r="A44" s="8"/>
      <c r="B44" s="8"/>
      <c r="C44" s="7"/>
      <c r="D44" s="7"/>
      <c r="E44" s="146"/>
      <c r="F44" s="8"/>
      <c r="G44" s="8"/>
      <c r="H44" s="8"/>
      <c r="I44" s="8"/>
      <c r="J44" s="5"/>
      <c r="K44" s="5"/>
      <c r="L44" s="5"/>
      <c r="M44" s="5"/>
      <c r="N44" s="28" t="str">
        <f t="shared" si="2"/>
        <v/>
      </c>
      <c r="O44" s="339" t="str">
        <f t="shared" si="3"/>
        <v/>
      </c>
      <c r="P44" s="7"/>
    </row>
    <row r="45" spans="1:16" ht="15.75" hidden="1" customHeight="1">
      <c r="A45" s="8"/>
      <c r="B45" s="8"/>
      <c r="C45" s="7"/>
      <c r="D45" s="7"/>
      <c r="E45" s="146"/>
      <c r="F45" s="8"/>
      <c r="G45" s="8"/>
      <c r="H45" s="8"/>
      <c r="I45" s="8"/>
      <c r="J45" s="5"/>
      <c r="K45" s="5"/>
      <c r="L45" s="5"/>
      <c r="M45" s="5"/>
      <c r="N45" s="28" t="str">
        <f t="shared" si="2"/>
        <v/>
      </c>
      <c r="O45" s="339" t="str">
        <f t="shared" si="3"/>
        <v/>
      </c>
      <c r="P45" s="7"/>
    </row>
    <row r="46" spans="1:16" ht="15.75" hidden="1" customHeight="1">
      <c r="A46" s="8"/>
      <c r="B46" s="8"/>
      <c r="C46" s="7"/>
      <c r="D46" s="7"/>
      <c r="E46" s="146"/>
      <c r="F46" s="8"/>
      <c r="G46" s="8"/>
      <c r="H46" s="8"/>
      <c r="I46" s="8"/>
      <c r="J46" s="5"/>
      <c r="K46" s="5"/>
      <c r="L46" s="5"/>
      <c r="M46" s="5"/>
      <c r="N46" s="28" t="str">
        <f t="shared" si="2"/>
        <v/>
      </c>
      <c r="O46" s="339" t="str">
        <f t="shared" si="3"/>
        <v/>
      </c>
      <c r="P46" s="7"/>
    </row>
  </sheetData>
  <mergeCells count="3">
    <mergeCell ref="A26:C26"/>
    <mergeCell ref="A1:P1"/>
    <mergeCell ref="A2:P2"/>
  </mergeCells>
  <phoneticPr fontId="6" type="noConversion"/>
  <printOptions horizontalCentered="1" verticalCentered="1"/>
  <pageMargins left="0.82677165354330717" right="0.47244094488188981" top="0.23622047244094491" bottom="0.74803149606299213" header="1.6535433070866143" footer="1.1811023622047245"/>
  <pageSetup paperSize="9" fitToHeight="0" orientation="landscape" blackAndWhite="1" horizontalDpi="1200" verticalDpi="1200" r:id="rId1"/>
  <headerFooter scaleWithDoc="0">
    <oddHeader>&amp;R&amp;"宋体,常规"&amp;10表4-8-7
共&amp;N页 第&amp;P页
金额单位：人民币元</oddHeader>
    <oddFooter>&amp;L&amp;10申报单位填表人：_x000D_填表日期：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76200</xdr:colOff>
                    <xdr:row>2</xdr:row>
                    <xdr:rowOff>0</xdr:rowOff>
                  </from>
                  <to>
                    <xdr:col>2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368300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D98C-7280-472E-8DF3-EA796426B724}">
  <sheetPr codeName="Sheet70">
    <pageSetUpPr fitToPage="1"/>
  </sheetPr>
  <dimension ref="A1:F30"/>
  <sheetViews>
    <sheetView workbookViewId="0">
      <pane ySplit="5" topLeftCell="A15" activePane="bottomLeft" state="frozen"/>
      <selection pane="bottomLeft" activeCell="F3" sqref="F1:F65536"/>
    </sheetView>
  </sheetViews>
  <sheetFormatPr baseColWidth="10" defaultColWidth="9" defaultRowHeight="15.75" customHeight="1"/>
  <cols>
    <col min="1" max="1" width="5.6640625" style="81" customWidth="1"/>
    <col min="2" max="2" width="28" style="81" customWidth="1"/>
    <col min="3" max="4" width="19.1640625" style="81" customWidth="1"/>
    <col min="5" max="5" width="20.1640625" style="135" customWidth="1"/>
    <col min="6" max="6" width="13.1640625" style="340" customWidth="1"/>
    <col min="7" max="16384" width="9" style="81"/>
  </cols>
  <sheetData>
    <row r="1" spans="1:6" s="80" customFormat="1" ht="30" customHeight="1">
      <c r="A1" s="374" t="s">
        <v>552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8"/>
      <c r="E2" s="378"/>
      <c r="F2" s="378"/>
    </row>
    <row r="3" spans="1:6" ht="14.25" customHeight="1">
      <c r="A3" s="40"/>
      <c r="B3" s="40"/>
      <c r="C3" s="40"/>
      <c r="D3" s="171"/>
      <c r="E3" s="172"/>
      <c r="F3" s="331" t="s">
        <v>895</v>
      </c>
    </row>
    <row r="4" spans="1:6" ht="15.75" customHeight="1">
      <c r="A4" s="125" t="str">
        <f>'1-汇总表'!A4</f>
        <v>被评估单位：A有限公司</v>
      </c>
      <c r="B4" s="125"/>
      <c r="C4" s="125"/>
      <c r="D4" s="42"/>
      <c r="E4" s="536" t="s">
        <v>6</v>
      </c>
      <c r="F4" s="536"/>
    </row>
    <row r="5" spans="1:6" s="101" customFormat="1" ht="15.75" customHeight="1">
      <c r="A5" s="43" t="s">
        <v>57</v>
      </c>
      <c r="B5" s="43" t="s">
        <v>383</v>
      </c>
      <c r="C5" s="43" t="s">
        <v>117</v>
      </c>
      <c r="D5" s="43" t="s">
        <v>0</v>
      </c>
      <c r="E5" s="220" t="s">
        <v>1</v>
      </c>
      <c r="F5" s="352" t="s">
        <v>479</v>
      </c>
    </row>
    <row r="6" spans="1:6" ht="15.75" customHeight="1">
      <c r="A6" s="1" t="s">
        <v>314</v>
      </c>
      <c r="B6" s="201" t="s">
        <v>467</v>
      </c>
      <c r="C6" s="29" t="str">
        <f ca="1">IF('4-9-1在建（土建）'!I24=0,"",'4-9-1在建（土建）'!I24)</f>
        <v/>
      </c>
      <c r="D6" s="29" t="str">
        <f ca="1">IF('4-9-1在建（土建）'!J24=0,"",'4-9-1在建（土建）'!J24)</f>
        <v/>
      </c>
      <c r="E6" s="28" t="str">
        <f ca="1">IF(ISERROR(D6-C6),"",IF(C6=0,"",D6-C6))</f>
        <v/>
      </c>
      <c r="F6" s="339" t="str">
        <f ca="1">IF(ISERROR(D6-C6),"",IF(C6=0,"",IF(E6="",0,ROUND(E6*100/C6,2))))</f>
        <v/>
      </c>
    </row>
    <row r="7" spans="1:6" ht="15.75" customHeight="1">
      <c r="A7" s="1" t="s">
        <v>315</v>
      </c>
      <c r="B7" s="201" t="s">
        <v>468</v>
      </c>
      <c r="C7" s="29" t="str">
        <f ca="1">IF('4-9-2在建（设备）'!K25=0,"",'4-9-2在建（设备）'!K25)</f>
        <v/>
      </c>
      <c r="D7" s="29" t="str">
        <f ca="1">IF('4-9-2在建（设备）'!O25=0,"",'4-9-2在建（设备）'!O25)</f>
        <v/>
      </c>
      <c r="E7" s="28" t="str">
        <f ca="1">IF(ISERROR(D7-C7),"",IF(C7=0,"",D7-C7))</f>
        <v/>
      </c>
      <c r="F7" s="339" t="str">
        <f ca="1">IF(ISERROR(D7-C7),"",IF(C7=0,"",IF(E7="",0,ROUND(E7*100/C7,2))))</f>
        <v/>
      </c>
    </row>
    <row r="8" spans="1:6" ht="15.75" customHeight="1">
      <c r="A8" s="1"/>
      <c r="B8" s="202"/>
      <c r="C8" s="29"/>
      <c r="D8" s="29"/>
      <c r="E8" s="31"/>
      <c r="F8" s="339"/>
    </row>
    <row r="9" spans="1:6" ht="15.75" customHeight="1">
      <c r="A9" s="1"/>
      <c r="B9" s="202"/>
      <c r="C9" s="29"/>
      <c r="D9" s="29"/>
      <c r="E9" s="31"/>
      <c r="F9" s="339"/>
    </row>
    <row r="10" spans="1:6" ht="15.75" customHeight="1">
      <c r="A10" s="1"/>
      <c r="B10" s="202"/>
      <c r="C10" s="29"/>
      <c r="D10" s="29"/>
      <c r="E10" s="31"/>
      <c r="F10" s="339"/>
    </row>
    <row r="11" spans="1:6" ht="15.75" customHeight="1">
      <c r="A11" s="1"/>
      <c r="B11" s="202"/>
      <c r="C11" s="29"/>
      <c r="D11" s="29"/>
      <c r="E11" s="31"/>
      <c r="F11" s="339"/>
    </row>
    <row r="12" spans="1:6" ht="15.75" customHeight="1">
      <c r="A12" s="1"/>
      <c r="B12" s="202"/>
      <c r="C12" s="29"/>
      <c r="D12" s="29"/>
      <c r="E12" s="31"/>
      <c r="F12" s="339"/>
    </row>
    <row r="13" spans="1:6" ht="15.75" customHeight="1">
      <c r="A13" s="1"/>
      <c r="B13" s="202"/>
      <c r="C13" s="29"/>
      <c r="D13" s="29"/>
      <c r="E13" s="31"/>
      <c r="F13" s="339"/>
    </row>
    <row r="14" spans="1:6" ht="15.75" customHeight="1">
      <c r="A14" s="1"/>
      <c r="B14" s="202"/>
      <c r="C14" s="29"/>
      <c r="D14" s="29"/>
      <c r="E14" s="31"/>
      <c r="F14" s="339"/>
    </row>
    <row r="15" spans="1:6" ht="15.75" customHeight="1">
      <c r="A15" s="1"/>
      <c r="B15" s="202"/>
      <c r="C15" s="29"/>
      <c r="D15" s="29"/>
      <c r="E15" s="31"/>
      <c r="F15" s="339"/>
    </row>
    <row r="16" spans="1:6" ht="15.75" customHeight="1">
      <c r="A16" s="1"/>
      <c r="B16" s="202"/>
      <c r="C16" s="29"/>
      <c r="D16" s="29"/>
      <c r="E16" s="31"/>
      <c r="F16" s="339"/>
    </row>
    <row r="17" spans="1:6" ht="15.75" customHeight="1">
      <c r="A17" s="1"/>
      <c r="B17" s="202"/>
      <c r="C17" s="29"/>
      <c r="D17" s="29"/>
      <c r="E17" s="31"/>
      <c r="F17" s="339"/>
    </row>
    <row r="18" spans="1:6" ht="15.75" customHeight="1">
      <c r="A18" s="1"/>
      <c r="B18" s="202"/>
      <c r="C18" s="29"/>
      <c r="D18" s="29"/>
      <c r="E18" s="31"/>
      <c r="F18" s="339"/>
    </row>
    <row r="19" spans="1:6" ht="15.75" customHeight="1">
      <c r="A19" s="1"/>
      <c r="B19" s="202"/>
      <c r="C19" s="29"/>
      <c r="D19" s="29"/>
      <c r="E19" s="31"/>
      <c r="F19" s="339"/>
    </row>
    <row r="20" spans="1:6" ht="15.75" customHeight="1">
      <c r="A20" s="1"/>
      <c r="B20" s="203"/>
      <c r="C20" s="29"/>
      <c r="D20" s="29"/>
      <c r="E20" s="31"/>
      <c r="F20" s="339"/>
    </row>
    <row r="21" spans="1:6" ht="15.75" customHeight="1">
      <c r="A21" s="1"/>
      <c r="B21" s="202"/>
      <c r="C21" s="29"/>
      <c r="D21" s="29"/>
      <c r="E21" s="31"/>
      <c r="F21" s="339"/>
    </row>
    <row r="22" spans="1:6" ht="15.75" customHeight="1">
      <c r="A22" s="1"/>
      <c r="B22" s="202"/>
      <c r="C22" s="29"/>
      <c r="D22" s="29"/>
      <c r="E22" s="31"/>
      <c r="F22" s="339"/>
    </row>
    <row r="23" spans="1:6" ht="15.75" customHeight="1">
      <c r="A23" s="1"/>
      <c r="B23" s="203"/>
      <c r="C23" s="29"/>
      <c r="D23" s="29"/>
      <c r="E23" s="31"/>
      <c r="F23" s="339"/>
    </row>
    <row r="24" spans="1:6" ht="15.75" customHeight="1">
      <c r="A24" s="1"/>
      <c r="B24" s="202"/>
      <c r="C24" s="29"/>
      <c r="D24" s="29"/>
      <c r="E24" s="31"/>
      <c r="F24" s="339"/>
    </row>
    <row r="25" spans="1:6" ht="15.75" customHeight="1">
      <c r="A25" s="1"/>
      <c r="B25" s="203"/>
      <c r="C25" s="29"/>
      <c r="D25" s="29"/>
      <c r="E25" s="31"/>
      <c r="F25" s="339"/>
    </row>
    <row r="26" spans="1:6" ht="15.75" customHeight="1">
      <c r="A26" s="544" t="s">
        <v>207</v>
      </c>
      <c r="B26" s="545"/>
      <c r="C26" s="31">
        <f ca="1">SUM(INDIRECT(CHAR(64+COLUMN())&amp;"1:"&amp;CHAR(64+COLUMN())&amp;ROW()-1))-SUMIF(INDIRECT("$A$1:A"&amp;ROW()-1),"小计",INDIRECT(CHAR(64+COLUMN())&amp;"1:"&amp;CHAR(64+COLUMN())&amp;ROW()-1))*2</f>
        <v>0</v>
      </c>
      <c r="D26" s="31">
        <f ca="1">SUM(INDIRECT(CHAR(64+COLUMN())&amp;"1:"&amp;CHAR(64+COLUMN())&amp;ROW()-1))-SUMIF(INDIRECT("$A$1:A"&amp;ROW()-1),"小计",INDIRECT(CHAR(64+COLUMN())&amp;"1:"&amp;CHAR(64+COLUMN())&amp;ROW()-1))*2</f>
        <v>0</v>
      </c>
      <c r="E26" s="28" t="str">
        <f ca="1">IF(ISERROR(D26-C26),"",IF(C26=0,"",D26-C26))</f>
        <v/>
      </c>
      <c r="F26" s="339" t="str">
        <f ca="1">IF(ISERROR(D26-C26),"",IF(C26=0,"",IF(E26="",0,ROUND(E26*100/C26,2))))</f>
        <v/>
      </c>
    </row>
    <row r="27" spans="1:6" ht="15.75" customHeight="1">
      <c r="A27" s="544" t="s">
        <v>208</v>
      </c>
      <c r="B27" s="545"/>
      <c r="C27" s="29">
        <f>'4-9-1在建（土建）'!I25+'4-9-2在建（设备）'!K26</f>
        <v>0</v>
      </c>
      <c r="D27" s="29">
        <f>'4-9-1在建（土建）'!J25+'4-9-2在建（设备）'!O26</f>
        <v>0</v>
      </c>
      <c r="E27" s="31"/>
      <c r="F27" s="339"/>
    </row>
    <row r="28" spans="1:6" ht="15.75" customHeight="1">
      <c r="A28" s="529" t="s">
        <v>452</v>
      </c>
      <c r="B28" s="530"/>
      <c r="C28" s="29">
        <f ca="1">IF(C27="",C26,C26-C27)</f>
        <v>0</v>
      </c>
      <c r="D28" s="29">
        <f ca="1">IF(D27="",D26,D26-D27)</f>
        <v>0</v>
      </c>
      <c r="E28" s="28" t="str">
        <f ca="1">IF(ISERROR(D28-C28),"",IF(C28=0,"",D28-C28))</f>
        <v/>
      </c>
      <c r="F28" s="339" t="str">
        <f ca="1">IF(ISERROR(D28-C28),"",IF(C28=0,"",IF(E28="",0,ROUND(E28*100/C28,2))))</f>
        <v/>
      </c>
    </row>
    <row r="29" spans="1:6" ht="15.75" customHeight="1">
      <c r="D29" s="140"/>
      <c r="E29" s="26"/>
      <c r="F29" s="353"/>
    </row>
    <row r="30" spans="1:6" ht="15.75" customHeight="1">
      <c r="A30" s="83"/>
    </row>
  </sheetData>
  <mergeCells count="6">
    <mergeCell ref="A27:B27"/>
    <mergeCell ref="A28:B28"/>
    <mergeCell ref="A1:F1"/>
    <mergeCell ref="A2:F2"/>
    <mergeCell ref="A26:B26"/>
    <mergeCell ref="E4:F4"/>
  </mergeCells>
  <phoneticPr fontId="6" type="noConversion"/>
  <printOptions horizontalCentered="1" verticalCentered="1"/>
  <pageMargins left="1.0629921259842521" right="0.59055118110236227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0</xdr:rowOff>
                  </from>
                  <to>
                    <xdr:col>2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11DF-969B-4AFD-92FF-AAEADB6B5846}">
  <sheetPr codeName="Sheet49">
    <pageSetUpPr fitToPage="1"/>
  </sheetPr>
  <dimension ref="A1:T46"/>
  <sheetViews>
    <sheetView topLeftCell="E1" workbookViewId="0">
      <pane ySplit="6" topLeftCell="A7" activePane="bottomLeft" state="frozen"/>
      <selection activeCell="F17" sqref="F17"/>
      <selection pane="bottomLeft" activeCell="L3" sqref="L1:L65536"/>
    </sheetView>
  </sheetViews>
  <sheetFormatPr baseColWidth="10" defaultColWidth="9" defaultRowHeight="15.75" customHeight="1"/>
  <cols>
    <col min="1" max="1" width="5" style="81" customWidth="1"/>
    <col min="2" max="2" width="16.1640625" style="81" customWidth="1"/>
    <col min="3" max="3" width="7.6640625" style="81" customWidth="1"/>
    <col min="4" max="4" width="12.5" style="81" customWidth="1"/>
    <col min="5" max="5" width="7.1640625" style="81" customWidth="1"/>
    <col min="6" max="6" width="10.1640625" style="81" customWidth="1"/>
    <col min="7" max="8" width="9" style="81"/>
    <col min="9" max="10" width="11" style="81" customWidth="1"/>
    <col min="11" max="11" width="11" style="135" customWidth="1"/>
    <col min="12" max="12" width="9.1640625" style="340" customWidth="1"/>
    <col min="13" max="13" width="7" style="81" customWidth="1"/>
    <col min="14" max="14" width="7.5" style="81" customWidth="1"/>
    <col min="15" max="15" width="6.1640625" style="81" customWidth="1"/>
    <col min="16" max="16" width="7.6640625" style="81" customWidth="1"/>
    <col min="17" max="17" width="9" style="81" customWidth="1"/>
    <col min="18" max="18" width="6.1640625" style="81" customWidth="1"/>
    <col min="19" max="19" width="15.33203125" style="81" customWidth="1"/>
    <col min="20" max="16384" width="9" style="81"/>
  </cols>
  <sheetData>
    <row r="1" spans="1:20" s="80" customFormat="1" ht="30" customHeight="1">
      <c r="A1" s="374" t="s">
        <v>1012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</row>
    <row r="2" spans="1:2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8"/>
      <c r="F2" s="378"/>
      <c r="G2" s="378"/>
      <c r="H2" s="378"/>
      <c r="I2" s="378"/>
      <c r="J2" s="378"/>
      <c r="K2" s="378"/>
      <c r="L2" s="378"/>
      <c r="M2" s="378"/>
    </row>
    <row r="3" spans="1:20" ht="14.25" customHeight="1">
      <c r="A3" s="40"/>
      <c r="B3" s="40"/>
      <c r="C3" s="40"/>
      <c r="D3" s="40"/>
      <c r="E3" s="171"/>
      <c r="F3" s="171"/>
      <c r="G3" s="171"/>
      <c r="H3" s="171"/>
      <c r="I3" s="171"/>
      <c r="J3" s="171"/>
      <c r="K3" s="172"/>
      <c r="L3" s="131"/>
      <c r="M3" s="178"/>
    </row>
    <row r="4" spans="1:20" ht="14.25" customHeight="1">
      <c r="A4" s="40"/>
      <c r="B4" s="40"/>
      <c r="C4" s="40"/>
      <c r="D4" s="40"/>
      <c r="E4" s="171"/>
      <c r="F4" s="171"/>
      <c r="G4" s="171"/>
      <c r="H4" s="171"/>
      <c r="I4" s="171"/>
      <c r="J4" s="171"/>
      <c r="K4" s="172"/>
      <c r="L4" s="337"/>
      <c r="M4" s="37"/>
    </row>
    <row r="5" spans="1:20" ht="15.75" customHeight="1">
      <c r="A5" s="125" t="str">
        <f>'1-汇总表'!A4</f>
        <v>被评估单位：A有限公司</v>
      </c>
      <c r="B5" s="125"/>
      <c r="C5" s="125"/>
      <c r="D5" s="125"/>
      <c r="E5" s="42"/>
      <c r="F5" s="42"/>
      <c r="G5" s="42"/>
      <c r="H5" s="42"/>
      <c r="I5" s="42"/>
      <c r="J5" s="42"/>
      <c r="K5" s="173"/>
      <c r="L5" s="218"/>
      <c r="M5" s="122"/>
    </row>
    <row r="6" spans="1:20" s="101" customFormat="1" ht="15.75" customHeight="1">
      <c r="A6" s="45" t="s">
        <v>7</v>
      </c>
      <c r="B6" s="45" t="s">
        <v>70</v>
      </c>
      <c r="C6" s="188" t="s">
        <v>74</v>
      </c>
      <c r="D6" s="221" t="s">
        <v>411</v>
      </c>
      <c r="E6" s="45" t="s">
        <v>75</v>
      </c>
      <c r="F6" s="45" t="s">
        <v>76</v>
      </c>
      <c r="G6" s="45" t="s">
        <v>77</v>
      </c>
      <c r="H6" s="45" t="s">
        <v>78</v>
      </c>
      <c r="I6" s="188" t="s">
        <v>117</v>
      </c>
      <c r="J6" s="45" t="s">
        <v>0</v>
      </c>
      <c r="K6" s="175" t="s">
        <v>1</v>
      </c>
      <c r="L6" s="341" t="s">
        <v>479</v>
      </c>
      <c r="M6" s="45" t="s">
        <v>39</v>
      </c>
      <c r="N6" s="301" t="s">
        <v>717</v>
      </c>
      <c r="O6" s="301" t="s">
        <v>718</v>
      </c>
      <c r="P6" s="301" t="s">
        <v>719</v>
      </c>
      <c r="Q6" s="301" t="s">
        <v>720</v>
      </c>
      <c r="R6" s="301" t="s">
        <v>721</v>
      </c>
      <c r="S6" s="284" t="s">
        <v>598</v>
      </c>
      <c r="T6" s="284" t="s">
        <v>599</v>
      </c>
    </row>
    <row r="7" spans="1:20" ht="15.75" customHeight="1">
      <c r="A7" s="8"/>
      <c r="B7" s="7"/>
      <c r="C7" s="11"/>
      <c r="D7" s="10"/>
      <c r="E7" s="146"/>
      <c r="F7" s="146"/>
      <c r="G7" s="8"/>
      <c r="H7" s="8"/>
      <c r="I7" s="5"/>
      <c r="J7" s="5"/>
      <c r="K7" s="28" t="str">
        <f>IF(ISERROR(J7-I7),"",IF(J7=0,"",J7-I7))</f>
        <v/>
      </c>
      <c r="L7" s="339" t="str">
        <f>IF(ISERROR(J7-I7),"",IF(J7=0,"",IF(K7="",0,ROUND(K7*100/I7,2))))</f>
        <v/>
      </c>
      <c r="M7" s="7"/>
    </row>
    <row r="8" spans="1:20" ht="15.75" customHeight="1">
      <c r="A8" s="8"/>
      <c r="B8" s="7"/>
      <c r="C8" s="7"/>
      <c r="D8" s="7"/>
      <c r="E8" s="146"/>
      <c r="F8" s="146"/>
      <c r="G8" s="8"/>
      <c r="H8" s="8"/>
      <c r="I8" s="5"/>
      <c r="J8" s="5"/>
      <c r="K8" s="28" t="str">
        <f t="shared" ref="K8:K26" si="0">IF(ISERROR(J8-I8),"",IF(J8=0,"",J8-I8))</f>
        <v/>
      </c>
      <c r="L8" s="339" t="str">
        <f t="shared" ref="L8:L26" si="1">IF(ISERROR(J8-I8),"",IF(J8=0,"",IF(K8="",0,ROUND(K8*100/I8,2))))</f>
        <v/>
      </c>
      <c r="M8" s="7"/>
    </row>
    <row r="9" spans="1:20" ht="15.75" customHeight="1">
      <c r="A9" s="8"/>
      <c r="B9" s="7"/>
      <c r="C9" s="7"/>
      <c r="D9" s="7"/>
      <c r="E9" s="146"/>
      <c r="F9" s="146"/>
      <c r="G9" s="8"/>
      <c r="H9" s="8"/>
      <c r="I9" s="5"/>
      <c r="J9" s="5"/>
      <c r="K9" s="28" t="str">
        <f t="shared" si="0"/>
        <v/>
      </c>
      <c r="L9" s="339" t="str">
        <f t="shared" si="1"/>
        <v/>
      </c>
      <c r="M9" s="7"/>
    </row>
    <row r="10" spans="1:20" ht="15.75" customHeight="1">
      <c r="A10" s="8"/>
      <c r="B10" s="7"/>
      <c r="C10" s="7"/>
      <c r="D10" s="7"/>
      <c r="E10" s="146"/>
      <c r="F10" s="146"/>
      <c r="G10" s="8"/>
      <c r="H10" s="8"/>
      <c r="I10" s="5"/>
      <c r="J10" s="5"/>
      <c r="K10" s="28" t="str">
        <f t="shared" si="0"/>
        <v/>
      </c>
      <c r="L10" s="339" t="str">
        <f t="shared" si="1"/>
        <v/>
      </c>
      <c r="M10" s="7"/>
    </row>
    <row r="11" spans="1:20" ht="15.75" customHeight="1">
      <c r="A11" s="8"/>
      <c r="B11" s="7"/>
      <c r="C11" s="7"/>
      <c r="D11" s="7"/>
      <c r="E11" s="146"/>
      <c r="F11" s="146"/>
      <c r="G11" s="8"/>
      <c r="H11" s="8"/>
      <c r="I11" s="5"/>
      <c r="J11" s="5"/>
      <c r="K11" s="28" t="str">
        <f t="shared" si="0"/>
        <v/>
      </c>
      <c r="L11" s="339" t="str">
        <f t="shared" si="1"/>
        <v/>
      </c>
      <c r="M11" s="7"/>
    </row>
    <row r="12" spans="1:20" ht="15.75" customHeight="1">
      <c r="A12" s="8"/>
      <c r="B12" s="7"/>
      <c r="C12" s="7"/>
      <c r="D12" s="7"/>
      <c r="E12" s="146"/>
      <c r="F12" s="146"/>
      <c r="G12" s="8"/>
      <c r="H12" s="8"/>
      <c r="I12" s="5"/>
      <c r="J12" s="5"/>
      <c r="K12" s="28" t="str">
        <f t="shared" si="0"/>
        <v/>
      </c>
      <c r="L12" s="339" t="str">
        <f t="shared" si="1"/>
        <v/>
      </c>
      <c r="M12" s="7"/>
    </row>
    <row r="13" spans="1:20" ht="15.75" customHeight="1">
      <c r="A13" s="8"/>
      <c r="B13" s="7"/>
      <c r="C13" s="7"/>
      <c r="D13" s="7"/>
      <c r="E13" s="146"/>
      <c r="F13" s="146"/>
      <c r="G13" s="8"/>
      <c r="H13" s="8"/>
      <c r="I13" s="5"/>
      <c r="J13" s="5"/>
      <c r="K13" s="28" t="str">
        <f t="shared" si="0"/>
        <v/>
      </c>
      <c r="L13" s="339" t="str">
        <f t="shared" si="1"/>
        <v/>
      </c>
      <c r="M13" s="7"/>
    </row>
    <row r="14" spans="1:20" ht="15.75" customHeight="1">
      <c r="A14" s="8"/>
      <c r="B14" s="7"/>
      <c r="C14" s="7"/>
      <c r="D14" s="7"/>
      <c r="E14" s="146"/>
      <c r="F14" s="146"/>
      <c r="G14" s="8"/>
      <c r="H14" s="8"/>
      <c r="I14" s="5"/>
      <c r="J14" s="5"/>
      <c r="K14" s="28" t="str">
        <f t="shared" si="0"/>
        <v/>
      </c>
      <c r="L14" s="339" t="str">
        <f t="shared" si="1"/>
        <v/>
      </c>
      <c r="M14" s="7"/>
    </row>
    <row r="15" spans="1:20" ht="15.75" customHeight="1">
      <c r="A15" s="8"/>
      <c r="B15" s="7"/>
      <c r="C15" s="7"/>
      <c r="D15" s="7"/>
      <c r="E15" s="146"/>
      <c r="F15" s="146"/>
      <c r="G15" s="8"/>
      <c r="H15" s="8"/>
      <c r="I15" s="5"/>
      <c r="J15" s="5"/>
      <c r="K15" s="28" t="str">
        <f t="shared" si="0"/>
        <v/>
      </c>
      <c r="L15" s="339" t="str">
        <f t="shared" si="1"/>
        <v/>
      </c>
      <c r="M15" s="7"/>
    </row>
    <row r="16" spans="1:20" ht="15.75" customHeight="1">
      <c r="A16" s="8"/>
      <c r="B16" s="7"/>
      <c r="C16" s="7"/>
      <c r="D16" s="7"/>
      <c r="E16" s="146"/>
      <c r="F16" s="146"/>
      <c r="G16" s="8"/>
      <c r="H16" s="8"/>
      <c r="I16" s="5"/>
      <c r="J16" s="5"/>
      <c r="K16" s="28" t="str">
        <f t="shared" si="0"/>
        <v/>
      </c>
      <c r="L16" s="339" t="str">
        <f t="shared" si="1"/>
        <v/>
      </c>
      <c r="M16" s="7"/>
    </row>
    <row r="17" spans="1:13" ht="15.75" customHeight="1">
      <c r="A17" s="8"/>
      <c r="B17" s="7"/>
      <c r="C17" s="7"/>
      <c r="D17" s="7"/>
      <c r="E17" s="146"/>
      <c r="F17" s="146"/>
      <c r="G17" s="8"/>
      <c r="H17" s="8"/>
      <c r="I17" s="5"/>
      <c r="J17" s="5"/>
      <c r="K17" s="28" t="str">
        <f t="shared" si="0"/>
        <v/>
      </c>
      <c r="L17" s="339" t="str">
        <f t="shared" si="1"/>
        <v/>
      </c>
      <c r="M17" s="7"/>
    </row>
    <row r="18" spans="1:13" ht="15.75" customHeight="1">
      <c r="A18" s="8"/>
      <c r="B18" s="7"/>
      <c r="C18" s="7"/>
      <c r="D18" s="7"/>
      <c r="E18" s="146"/>
      <c r="F18" s="146"/>
      <c r="G18" s="8"/>
      <c r="H18" s="8"/>
      <c r="I18" s="5"/>
      <c r="J18" s="5"/>
      <c r="K18" s="28" t="str">
        <f t="shared" si="0"/>
        <v/>
      </c>
      <c r="L18" s="339" t="str">
        <f t="shared" si="1"/>
        <v/>
      </c>
      <c r="M18" s="7"/>
    </row>
    <row r="19" spans="1:13" ht="15.75" customHeight="1">
      <c r="A19" s="8"/>
      <c r="B19" s="7"/>
      <c r="C19" s="7"/>
      <c r="D19" s="7"/>
      <c r="E19" s="146"/>
      <c r="F19" s="146"/>
      <c r="G19" s="8"/>
      <c r="H19" s="8"/>
      <c r="I19" s="5"/>
      <c r="J19" s="5"/>
      <c r="K19" s="28" t="str">
        <f t="shared" si="0"/>
        <v/>
      </c>
      <c r="L19" s="339" t="str">
        <f t="shared" si="1"/>
        <v/>
      </c>
      <c r="M19" s="7"/>
    </row>
    <row r="20" spans="1:13" ht="15.75" customHeight="1">
      <c r="A20" s="8"/>
      <c r="B20" s="7"/>
      <c r="C20" s="7"/>
      <c r="D20" s="7"/>
      <c r="E20" s="146"/>
      <c r="F20" s="146"/>
      <c r="G20" s="8"/>
      <c r="H20" s="8"/>
      <c r="I20" s="5"/>
      <c r="J20" s="5"/>
      <c r="K20" s="28" t="str">
        <f t="shared" si="0"/>
        <v/>
      </c>
      <c r="L20" s="339" t="str">
        <f t="shared" si="1"/>
        <v/>
      </c>
      <c r="M20" s="7"/>
    </row>
    <row r="21" spans="1:13" ht="15.75" customHeight="1">
      <c r="A21" s="8"/>
      <c r="B21" s="7"/>
      <c r="C21" s="7"/>
      <c r="D21" s="7"/>
      <c r="E21" s="146"/>
      <c r="F21" s="146"/>
      <c r="G21" s="8"/>
      <c r="H21" s="8"/>
      <c r="I21" s="5"/>
      <c r="J21" s="5"/>
      <c r="K21" s="28" t="str">
        <f t="shared" si="0"/>
        <v/>
      </c>
      <c r="L21" s="339" t="str">
        <f t="shared" si="1"/>
        <v/>
      </c>
      <c r="M21" s="7"/>
    </row>
    <row r="22" spans="1:13" ht="15.75" customHeight="1">
      <c r="A22" s="8"/>
      <c r="B22" s="7"/>
      <c r="C22" s="7"/>
      <c r="D22" s="7"/>
      <c r="E22" s="146"/>
      <c r="F22" s="146"/>
      <c r="G22" s="8"/>
      <c r="H22" s="8"/>
      <c r="I22" s="5"/>
      <c r="J22" s="5"/>
      <c r="K22" s="28" t="str">
        <f t="shared" si="0"/>
        <v/>
      </c>
      <c r="L22" s="339" t="str">
        <f t="shared" si="1"/>
        <v/>
      </c>
      <c r="M22" s="7"/>
    </row>
    <row r="23" spans="1:13" ht="15.75" customHeight="1">
      <c r="A23" s="8"/>
      <c r="B23" s="7"/>
      <c r="C23" s="7"/>
      <c r="D23" s="7"/>
      <c r="E23" s="146"/>
      <c r="F23" s="146"/>
      <c r="G23" s="8"/>
      <c r="H23" s="8"/>
      <c r="I23" s="5"/>
      <c r="J23" s="5"/>
      <c r="K23" s="28" t="str">
        <f t="shared" si="0"/>
        <v/>
      </c>
      <c r="L23" s="339" t="str">
        <f t="shared" si="1"/>
        <v/>
      </c>
      <c r="M23" s="7"/>
    </row>
    <row r="24" spans="1:13" ht="15.75" customHeight="1">
      <c r="A24" s="537" t="s">
        <v>535</v>
      </c>
      <c r="B24" s="382"/>
      <c r="C24" s="382"/>
      <c r="D24" s="235"/>
      <c r="E24" s="235"/>
      <c r="F24" s="235"/>
      <c r="G24" s="30"/>
      <c r="H24" s="30"/>
      <c r="I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4" s="28" t="str">
        <f t="shared" ca="1" si="0"/>
        <v/>
      </c>
      <c r="L24" s="339" t="str">
        <f t="shared" ca="1" si="1"/>
        <v/>
      </c>
      <c r="M24" s="234"/>
    </row>
    <row r="25" spans="1:13" ht="15.75" customHeight="1">
      <c r="A25" s="546" t="s">
        <v>475</v>
      </c>
      <c r="B25" s="547"/>
      <c r="C25" s="548"/>
      <c r="D25" s="235"/>
      <c r="E25" s="235"/>
      <c r="F25" s="235" t="s">
        <v>37</v>
      </c>
      <c r="G25" s="30"/>
      <c r="H25" s="30"/>
      <c r="I25" s="233"/>
      <c r="J25" s="233"/>
      <c r="K25" s="28"/>
      <c r="L25" s="339"/>
      <c r="M25" s="234"/>
    </row>
    <row r="26" spans="1:13" ht="15.75" customHeight="1">
      <c r="A26" s="537" t="s">
        <v>535</v>
      </c>
      <c r="B26" s="382"/>
      <c r="C26" s="382"/>
      <c r="D26" s="235"/>
      <c r="E26" s="235"/>
      <c r="F26" s="235" t="s">
        <v>37</v>
      </c>
      <c r="G26" s="30"/>
      <c r="H26" s="30"/>
      <c r="I26" s="233" t="str">
        <f ca="1">IF(I25="",I24,I24-I25)</f>
        <v/>
      </c>
      <c r="J26" s="233" t="str">
        <f ca="1">IF(J25="",J24,J24-J25)</f>
        <v/>
      </c>
      <c r="K26" s="28" t="str">
        <f t="shared" ca="1" si="0"/>
        <v/>
      </c>
      <c r="L26" s="339" t="str">
        <f t="shared" ca="1" si="1"/>
        <v/>
      </c>
      <c r="M26" s="234"/>
    </row>
    <row r="27" spans="1:13" ht="15.75" hidden="1" customHeight="1">
      <c r="A27" s="8"/>
      <c r="B27" s="7"/>
      <c r="C27" s="7"/>
      <c r="D27" s="7"/>
      <c r="E27" s="146"/>
      <c r="F27" s="146"/>
      <c r="G27" s="8"/>
      <c r="H27" s="8"/>
      <c r="I27" s="5"/>
      <c r="J27" s="5"/>
      <c r="K27" s="28" t="str">
        <f>IF(ISERROR(J27-I27),"",IF(J27=0,"",J27-I27))</f>
        <v/>
      </c>
      <c r="L27" s="339" t="str">
        <f>IF(ISERROR(J27-I27),"",IF(J27=0,"",IF(K27="",0,ROUND(K27*100/I27,2))))</f>
        <v/>
      </c>
      <c r="M27" s="7"/>
    </row>
    <row r="28" spans="1:13" ht="15.75" hidden="1" customHeight="1">
      <c r="A28" s="8"/>
      <c r="B28" s="7"/>
      <c r="C28" s="7"/>
      <c r="D28" s="7"/>
      <c r="E28" s="146"/>
      <c r="F28" s="146"/>
      <c r="G28" s="8"/>
      <c r="H28" s="8"/>
      <c r="I28" s="5"/>
      <c r="J28" s="5"/>
      <c r="K28" s="28" t="str">
        <f t="shared" ref="K28:K46" si="2">IF(ISERROR(J28-I28),"",IF(J28=0,"",J28-I28))</f>
        <v/>
      </c>
      <c r="L28" s="339" t="str">
        <f t="shared" ref="L28:L46" si="3">IF(ISERROR(J28-I28),"",IF(J28=0,"",IF(K28="",0,ROUND(K28*100/I28,2))))</f>
        <v/>
      </c>
      <c r="M28" s="7"/>
    </row>
    <row r="29" spans="1:13" ht="15.75" hidden="1" customHeight="1">
      <c r="A29" s="8"/>
      <c r="B29" s="7"/>
      <c r="C29" s="7"/>
      <c r="D29" s="7"/>
      <c r="E29" s="146"/>
      <c r="F29" s="146"/>
      <c r="G29" s="8"/>
      <c r="H29" s="8"/>
      <c r="I29" s="5"/>
      <c r="J29" s="5"/>
      <c r="K29" s="28" t="str">
        <f t="shared" si="2"/>
        <v/>
      </c>
      <c r="L29" s="339" t="str">
        <f t="shared" si="3"/>
        <v/>
      </c>
      <c r="M29" s="7"/>
    </row>
    <row r="30" spans="1:13" ht="15.75" hidden="1" customHeight="1">
      <c r="A30" s="8"/>
      <c r="B30" s="7"/>
      <c r="C30" s="7"/>
      <c r="D30" s="7"/>
      <c r="E30" s="146"/>
      <c r="F30" s="146"/>
      <c r="G30" s="8"/>
      <c r="H30" s="8"/>
      <c r="I30" s="5"/>
      <c r="J30" s="5"/>
      <c r="K30" s="28" t="str">
        <f t="shared" si="2"/>
        <v/>
      </c>
      <c r="L30" s="339" t="str">
        <f t="shared" si="3"/>
        <v/>
      </c>
      <c r="M30" s="7"/>
    </row>
    <row r="31" spans="1:13" ht="15.75" hidden="1" customHeight="1">
      <c r="A31" s="8"/>
      <c r="B31" s="7"/>
      <c r="C31" s="7"/>
      <c r="D31" s="7"/>
      <c r="E31" s="146"/>
      <c r="F31" s="146"/>
      <c r="G31" s="8"/>
      <c r="H31" s="8"/>
      <c r="I31" s="5"/>
      <c r="J31" s="5"/>
      <c r="K31" s="28" t="str">
        <f t="shared" si="2"/>
        <v/>
      </c>
      <c r="L31" s="339" t="str">
        <f t="shared" si="3"/>
        <v/>
      </c>
      <c r="M31" s="7"/>
    </row>
    <row r="32" spans="1:13" ht="15.75" hidden="1" customHeight="1">
      <c r="A32" s="8"/>
      <c r="B32" s="7"/>
      <c r="C32" s="7"/>
      <c r="D32" s="7"/>
      <c r="E32" s="146"/>
      <c r="F32" s="146"/>
      <c r="G32" s="8"/>
      <c r="H32" s="8"/>
      <c r="I32" s="5"/>
      <c r="J32" s="5"/>
      <c r="K32" s="28" t="str">
        <f t="shared" si="2"/>
        <v/>
      </c>
      <c r="L32" s="339" t="str">
        <f t="shared" si="3"/>
        <v/>
      </c>
      <c r="M32" s="7"/>
    </row>
    <row r="33" spans="1:13" ht="15.75" hidden="1" customHeight="1">
      <c r="A33" s="8"/>
      <c r="B33" s="7"/>
      <c r="C33" s="7"/>
      <c r="D33" s="7"/>
      <c r="E33" s="146"/>
      <c r="F33" s="146"/>
      <c r="G33" s="8"/>
      <c r="H33" s="8"/>
      <c r="I33" s="5"/>
      <c r="J33" s="5"/>
      <c r="K33" s="28" t="str">
        <f t="shared" si="2"/>
        <v/>
      </c>
      <c r="L33" s="339" t="str">
        <f t="shared" si="3"/>
        <v/>
      </c>
      <c r="M33" s="7"/>
    </row>
    <row r="34" spans="1:13" ht="15.75" hidden="1" customHeight="1">
      <c r="A34" s="8"/>
      <c r="B34" s="7"/>
      <c r="C34" s="7"/>
      <c r="D34" s="7"/>
      <c r="E34" s="146"/>
      <c r="F34" s="146"/>
      <c r="G34" s="8"/>
      <c r="H34" s="8"/>
      <c r="I34" s="5"/>
      <c r="J34" s="5"/>
      <c r="K34" s="28" t="str">
        <f t="shared" si="2"/>
        <v/>
      </c>
      <c r="L34" s="339" t="str">
        <f t="shared" si="3"/>
        <v/>
      </c>
      <c r="M34" s="7"/>
    </row>
    <row r="35" spans="1:13" ht="15.75" hidden="1" customHeight="1">
      <c r="A35" s="8"/>
      <c r="B35" s="7"/>
      <c r="C35" s="7"/>
      <c r="D35" s="7"/>
      <c r="E35" s="146"/>
      <c r="F35" s="146"/>
      <c r="G35" s="8"/>
      <c r="H35" s="8"/>
      <c r="I35" s="5"/>
      <c r="J35" s="5"/>
      <c r="K35" s="28" t="str">
        <f t="shared" si="2"/>
        <v/>
      </c>
      <c r="L35" s="339" t="str">
        <f t="shared" si="3"/>
        <v/>
      </c>
      <c r="M35" s="7"/>
    </row>
    <row r="36" spans="1:13" ht="15.75" hidden="1" customHeight="1">
      <c r="A36" s="8"/>
      <c r="B36" s="7"/>
      <c r="C36" s="7"/>
      <c r="D36" s="7"/>
      <c r="E36" s="146"/>
      <c r="F36" s="146"/>
      <c r="G36" s="8"/>
      <c r="H36" s="8"/>
      <c r="I36" s="5"/>
      <c r="J36" s="5"/>
      <c r="K36" s="28" t="str">
        <f t="shared" si="2"/>
        <v/>
      </c>
      <c r="L36" s="339" t="str">
        <f t="shared" si="3"/>
        <v/>
      </c>
      <c r="M36" s="7"/>
    </row>
    <row r="37" spans="1:13" ht="15.75" hidden="1" customHeight="1">
      <c r="A37" s="8"/>
      <c r="B37" s="7"/>
      <c r="C37" s="7"/>
      <c r="D37" s="7"/>
      <c r="E37" s="146"/>
      <c r="F37" s="146"/>
      <c r="G37" s="8"/>
      <c r="H37" s="8"/>
      <c r="I37" s="5"/>
      <c r="J37" s="5"/>
      <c r="K37" s="28" t="str">
        <f t="shared" si="2"/>
        <v/>
      </c>
      <c r="L37" s="339" t="str">
        <f t="shared" si="3"/>
        <v/>
      </c>
      <c r="M37" s="7"/>
    </row>
    <row r="38" spans="1:13" ht="15.75" hidden="1" customHeight="1">
      <c r="A38" s="8"/>
      <c r="B38" s="7"/>
      <c r="C38" s="7"/>
      <c r="D38" s="7"/>
      <c r="E38" s="146"/>
      <c r="F38" s="146"/>
      <c r="G38" s="8"/>
      <c r="H38" s="8"/>
      <c r="I38" s="5"/>
      <c r="J38" s="5"/>
      <c r="K38" s="28" t="str">
        <f t="shared" si="2"/>
        <v/>
      </c>
      <c r="L38" s="339" t="str">
        <f t="shared" si="3"/>
        <v/>
      </c>
      <c r="M38" s="7"/>
    </row>
    <row r="39" spans="1:13" ht="15.75" hidden="1" customHeight="1">
      <c r="A39" s="8"/>
      <c r="B39" s="7"/>
      <c r="C39" s="7"/>
      <c r="D39" s="7"/>
      <c r="E39" s="146"/>
      <c r="F39" s="146"/>
      <c r="G39" s="8"/>
      <c r="H39" s="8"/>
      <c r="I39" s="5"/>
      <c r="J39" s="5"/>
      <c r="K39" s="28" t="str">
        <f t="shared" si="2"/>
        <v/>
      </c>
      <c r="L39" s="339" t="str">
        <f t="shared" si="3"/>
        <v/>
      </c>
      <c r="M39" s="7"/>
    </row>
    <row r="40" spans="1:13" ht="15.75" hidden="1" customHeight="1">
      <c r="A40" s="8"/>
      <c r="B40" s="7"/>
      <c r="C40" s="7"/>
      <c r="D40" s="7"/>
      <c r="E40" s="146"/>
      <c r="F40" s="146"/>
      <c r="G40" s="8"/>
      <c r="H40" s="8"/>
      <c r="I40" s="5"/>
      <c r="J40" s="5"/>
      <c r="K40" s="28" t="str">
        <f t="shared" si="2"/>
        <v/>
      </c>
      <c r="L40" s="339" t="str">
        <f t="shared" si="3"/>
        <v/>
      </c>
      <c r="M40" s="7"/>
    </row>
    <row r="41" spans="1:13" ht="15.75" hidden="1" customHeight="1">
      <c r="A41" s="8"/>
      <c r="B41" s="7"/>
      <c r="C41" s="7"/>
      <c r="D41" s="7"/>
      <c r="E41" s="146"/>
      <c r="F41" s="146"/>
      <c r="G41" s="8"/>
      <c r="H41" s="8"/>
      <c r="I41" s="5"/>
      <c r="J41" s="5"/>
      <c r="K41" s="28" t="str">
        <f t="shared" si="2"/>
        <v/>
      </c>
      <c r="L41" s="339" t="str">
        <f t="shared" si="3"/>
        <v/>
      </c>
      <c r="M41" s="7"/>
    </row>
    <row r="42" spans="1:13" ht="15.75" hidden="1" customHeight="1">
      <c r="A42" s="8"/>
      <c r="B42" s="7"/>
      <c r="C42" s="7"/>
      <c r="D42" s="7"/>
      <c r="E42" s="146"/>
      <c r="F42" s="146"/>
      <c r="G42" s="8"/>
      <c r="H42" s="8"/>
      <c r="I42" s="5"/>
      <c r="J42" s="5"/>
      <c r="K42" s="28" t="str">
        <f t="shared" si="2"/>
        <v/>
      </c>
      <c r="L42" s="339" t="str">
        <f t="shared" si="3"/>
        <v/>
      </c>
      <c r="M42" s="7"/>
    </row>
    <row r="43" spans="1:13" ht="15.75" hidden="1" customHeight="1">
      <c r="A43" s="8"/>
      <c r="B43" s="7"/>
      <c r="C43" s="7"/>
      <c r="D43" s="7"/>
      <c r="E43" s="146"/>
      <c r="F43" s="146"/>
      <c r="G43" s="8"/>
      <c r="H43" s="8"/>
      <c r="I43" s="5"/>
      <c r="J43" s="5"/>
      <c r="K43" s="28" t="str">
        <f t="shared" si="2"/>
        <v/>
      </c>
      <c r="L43" s="339" t="str">
        <f t="shared" si="3"/>
        <v/>
      </c>
      <c r="M43" s="7"/>
    </row>
    <row r="44" spans="1:13" ht="15.75" hidden="1" customHeight="1">
      <c r="A44" s="8"/>
      <c r="B44" s="7"/>
      <c r="C44" s="7"/>
      <c r="D44" s="7"/>
      <c r="E44" s="146"/>
      <c r="F44" s="146"/>
      <c r="G44" s="8"/>
      <c r="H44" s="8"/>
      <c r="I44" s="5"/>
      <c r="J44" s="5"/>
      <c r="K44" s="28" t="str">
        <f t="shared" si="2"/>
        <v/>
      </c>
      <c r="L44" s="339" t="str">
        <f t="shared" si="3"/>
        <v/>
      </c>
      <c r="M44" s="7"/>
    </row>
    <row r="45" spans="1:13" ht="15.75" hidden="1" customHeight="1">
      <c r="A45" s="8"/>
      <c r="B45" s="7"/>
      <c r="C45" s="7"/>
      <c r="D45" s="7"/>
      <c r="E45" s="146"/>
      <c r="F45" s="146"/>
      <c r="G45" s="8"/>
      <c r="H45" s="8"/>
      <c r="I45" s="5"/>
      <c r="J45" s="5"/>
      <c r="K45" s="28" t="str">
        <f t="shared" si="2"/>
        <v/>
      </c>
      <c r="L45" s="339" t="str">
        <f t="shared" si="3"/>
        <v/>
      </c>
      <c r="M45" s="7"/>
    </row>
    <row r="46" spans="1:13" ht="15.75" hidden="1" customHeight="1">
      <c r="A46" s="8"/>
      <c r="B46" s="7"/>
      <c r="C46" s="7"/>
      <c r="D46" s="7"/>
      <c r="E46" s="146"/>
      <c r="F46" s="146"/>
      <c r="G46" s="8"/>
      <c r="H46" s="8"/>
      <c r="I46" s="5"/>
      <c r="J46" s="5"/>
      <c r="K46" s="28" t="str">
        <f t="shared" si="2"/>
        <v/>
      </c>
      <c r="L46" s="339" t="str">
        <f t="shared" si="3"/>
        <v/>
      </c>
      <c r="M46" s="7"/>
    </row>
  </sheetData>
  <mergeCells count="5">
    <mergeCell ref="A1:M1"/>
    <mergeCell ref="A2:M2"/>
    <mergeCell ref="A26:C26"/>
    <mergeCell ref="A24:C24"/>
    <mergeCell ref="A25:C25"/>
  </mergeCells>
  <phoneticPr fontId="6" type="noConversion"/>
  <printOptions horizontalCentered="1" verticalCentered="1"/>
  <pageMargins left="0.94488188976377963" right="0.35433070866141736" top="0.39370078740157483" bottom="0.78740157480314965" header="1.7716535433070868" footer="1.2204724409448819"/>
  <pageSetup paperSize="9" scale="99" fitToHeight="0" orientation="landscape" blackAndWhite="1" horizontalDpi="1200" verticalDpi="1200" r:id="rId1"/>
  <headerFooter scaleWithDoc="0">
    <oddHeader>&amp;R&amp;"宋体,常规"&amp;10表4-9-1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1003300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3</xdr:col>
                    <xdr:colOff>457200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BD8F-3A09-4BF2-8091-03463DA7FE78}">
  <sheetPr codeName="Sheet50">
    <pageSetUpPr fitToPage="1"/>
  </sheetPr>
  <dimension ref="A1:T47"/>
  <sheetViews>
    <sheetView workbookViewId="0">
      <pane ySplit="7" topLeftCell="A8" activePane="bottomLeft" state="frozen"/>
      <selection activeCell="F17" sqref="F17"/>
      <selection pane="bottomLeft" activeCell="Q3" sqref="Q1:Q65536"/>
    </sheetView>
  </sheetViews>
  <sheetFormatPr baseColWidth="10" defaultColWidth="9" defaultRowHeight="15.75" customHeight="1"/>
  <cols>
    <col min="1" max="1" width="4.6640625" style="81" customWidth="1"/>
    <col min="2" max="2" width="11.1640625" style="81" customWidth="1"/>
    <col min="3" max="3" width="9.5" style="81" customWidth="1"/>
    <col min="4" max="4" width="5" style="81" customWidth="1"/>
    <col min="5" max="5" width="5.5" style="81" customWidth="1"/>
    <col min="6" max="6" width="6.6640625" style="81" customWidth="1"/>
    <col min="7" max="7" width="6.1640625" style="81" customWidth="1"/>
    <col min="8" max="8" width="6.6640625" style="81" customWidth="1"/>
    <col min="9" max="9" width="5.1640625" style="81" customWidth="1"/>
    <col min="10" max="10" width="7" style="81" customWidth="1"/>
    <col min="11" max="11" width="9.6640625" style="81" customWidth="1"/>
    <col min="12" max="12" width="6.5" style="81" customWidth="1"/>
    <col min="13" max="13" width="5" style="81" customWidth="1"/>
    <col min="14" max="14" width="7" style="81" customWidth="1"/>
    <col min="15" max="15" width="8.1640625" style="81" customWidth="1"/>
    <col min="16" max="16" width="7.5" style="135" customWidth="1"/>
    <col min="17" max="17" width="7" style="340" customWidth="1"/>
    <col min="18" max="18" width="7" style="81" customWidth="1"/>
    <col min="19" max="19" width="8.6640625" style="81" customWidth="1"/>
    <col min="20" max="16384" width="9" style="81"/>
  </cols>
  <sheetData>
    <row r="1" spans="1:20" s="80" customFormat="1" ht="30" customHeight="1">
      <c r="A1" s="374" t="s">
        <v>1013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</row>
    <row r="2" spans="1:2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7"/>
      <c r="K2" s="378"/>
      <c r="L2" s="378"/>
      <c r="M2" s="378"/>
      <c r="N2" s="378"/>
      <c r="O2" s="378"/>
      <c r="P2" s="378"/>
      <c r="Q2" s="378"/>
      <c r="R2" s="378"/>
    </row>
    <row r="3" spans="1:20" ht="14.2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171"/>
      <c r="L3" s="171"/>
      <c r="M3" s="171"/>
      <c r="N3" s="171"/>
      <c r="O3" s="171"/>
      <c r="P3" s="172"/>
      <c r="Q3" s="131"/>
      <c r="R3" s="178"/>
    </row>
    <row r="4" spans="1:20" ht="14.25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171"/>
      <c r="L4" s="171"/>
      <c r="M4" s="171"/>
      <c r="N4" s="171"/>
      <c r="O4" s="171"/>
      <c r="P4" s="172"/>
      <c r="Q4" s="337"/>
      <c r="R4" s="37"/>
    </row>
    <row r="5" spans="1:20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173"/>
      <c r="Q5" s="218"/>
      <c r="R5" s="122"/>
    </row>
    <row r="6" spans="1:20" s="101" customFormat="1" ht="27" customHeight="1">
      <c r="A6" s="465" t="s">
        <v>7</v>
      </c>
      <c r="B6" s="465" t="s">
        <v>70</v>
      </c>
      <c r="C6" s="486" t="s">
        <v>278</v>
      </c>
      <c r="D6" s="486" t="s">
        <v>43</v>
      </c>
      <c r="E6" s="480" t="s">
        <v>453</v>
      </c>
      <c r="F6" s="480" t="s">
        <v>127</v>
      </c>
      <c r="G6" s="480" t="s">
        <v>128</v>
      </c>
      <c r="H6" s="480" t="s">
        <v>117</v>
      </c>
      <c r="I6" s="480"/>
      <c r="J6" s="480"/>
      <c r="K6" s="480"/>
      <c r="L6" s="465" t="s">
        <v>0</v>
      </c>
      <c r="M6" s="466"/>
      <c r="N6" s="466"/>
      <c r="O6" s="466"/>
      <c r="P6" s="498" t="s">
        <v>1</v>
      </c>
      <c r="Q6" s="538" t="s">
        <v>479</v>
      </c>
      <c r="R6" s="480" t="s">
        <v>39</v>
      </c>
      <c r="S6" s="549" t="s">
        <v>598</v>
      </c>
      <c r="T6" s="549" t="s">
        <v>599</v>
      </c>
    </row>
    <row r="7" spans="1:20" s="101" customFormat="1" ht="27" customHeight="1">
      <c r="A7" s="466"/>
      <c r="B7" s="466"/>
      <c r="C7" s="487"/>
      <c r="D7" s="487"/>
      <c r="E7" s="466"/>
      <c r="F7" s="466"/>
      <c r="G7" s="466"/>
      <c r="H7" s="45" t="s">
        <v>71</v>
      </c>
      <c r="I7" s="188" t="s">
        <v>72</v>
      </c>
      <c r="J7" s="188" t="s">
        <v>73</v>
      </c>
      <c r="K7" s="45" t="s">
        <v>50</v>
      </c>
      <c r="L7" s="45" t="s">
        <v>71</v>
      </c>
      <c r="M7" s="188" t="s">
        <v>72</v>
      </c>
      <c r="N7" s="188" t="s">
        <v>73</v>
      </c>
      <c r="O7" s="45" t="s">
        <v>50</v>
      </c>
      <c r="P7" s="499"/>
      <c r="Q7" s="539"/>
      <c r="R7" s="466"/>
      <c r="S7" s="549"/>
      <c r="T7" s="549"/>
    </row>
    <row r="8" spans="1:20" ht="15.75" customHeight="1">
      <c r="A8" s="8"/>
      <c r="B8" s="7"/>
      <c r="C8" s="7"/>
      <c r="D8" s="7"/>
      <c r="E8" s="7"/>
      <c r="F8" s="146"/>
      <c r="G8" s="146"/>
      <c r="H8" s="5"/>
      <c r="I8" s="5"/>
      <c r="J8" s="5"/>
      <c r="K8" s="5"/>
      <c r="L8" s="5"/>
      <c r="M8" s="5"/>
      <c r="N8" s="5"/>
      <c r="O8" s="5"/>
      <c r="P8" s="28" t="str">
        <f>IF(ISERROR(O8-K8),"",IF(O8=0,"",O8-K8))</f>
        <v/>
      </c>
      <c r="Q8" s="339" t="str">
        <f>IF(ISERROR(O8-K8),"",IF(O8=0,"",IF(P8="",0,ROUND(P8*100/K8,2))))</f>
        <v/>
      </c>
      <c r="R8" s="7"/>
    </row>
    <row r="9" spans="1:20" ht="15.75" customHeight="1">
      <c r="A9" s="8"/>
      <c r="B9" s="7"/>
      <c r="C9" s="7"/>
      <c r="D9" s="7"/>
      <c r="E9" s="7"/>
      <c r="F9" s="146"/>
      <c r="G9" s="146"/>
      <c r="H9" s="5"/>
      <c r="I9" s="5"/>
      <c r="J9" s="5"/>
      <c r="K9" s="5"/>
      <c r="L9" s="5"/>
      <c r="M9" s="5"/>
      <c r="N9" s="5"/>
      <c r="O9" s="5"/>
      <c r="P9" s="28" t="str">
        <f t="shared" ref="P9:P27" si="0">IF(ISERROR(O9-K9),"",IF(O9=0,"",O9-K9))</f>
        <v/>
      </c>
      <c r="Q9" s="339" t="str">
        <f t="shared" ref="Q9:Q27" si="1">IF(ISERROR(O9-K9),"",IF(O9=0,"",IF(P9="",0,ROUND(P9*100/K9,2))))</f>
        <v/>
      </c>
      <c r="R9" s="7"/>
    </row>
    <row r="10" spans="1:20" ht="15.75" customHeight="1">
      <c r="A10" s="8"/>
      <c r="B10" s="7"/>
      <c r="C10" s="7"/>
      <c r="D10" s="7"/>
      <c r="E10" s="7"/>
      <c r="F10" s="146"/>
      <c r="G10" s="146"/>
      <c r="H10" s="5"/>
      <c r="I10" s="5"/>
      <c r="J10" s="5"/>
      <c r="K10" s="5"/>
      <c r="L10" s="5"/>
      <c r="M10" s="5"/>
      <c r="N10" s="5"/>
      <c r="O10" s="5"/>
      <c r="P10" s="28" t="str">
        <f t="shared" si="0"/>
        <v/>
      </c>
      <c r="Q10" s="339" t="str">
        <f t="shared" si="1"/>
        <v/>
      </c>
      <c r="R10" s="7"/>
    </row>
    <row r="11" spans="1:20" ht="15.75" customHeight="1">
      <c r="A11" s="8"/>
      <c r="B11" s="7"/>
      <c r="C11" s="7"/>
      <c r="D11" s="7"/>
      <c r="E11" s="7"/>
      <c r="F11" s="146"/>
      <c r="G11" s="146"/>
      <c r="H11" s="5"/>
      <c r="I11" s="5"/>
      <c r="J11" s="5"/>
      <c r="K11" s="5"/>
      <c r="L11" s="5"/>
      <c r="M11" s="5"/>
      <c r="N11" s="5"/>
      <c r="O11" s="5"/>
      <c r="P11" s="28" t="str">
        <f t="shared" si="0"/>
        <v/>
      </c>
      <c r="Q11" s="339" t="str">
        <f t="shared" si="1"/>
        <v/>
      </c>
      <c r="R11" s="7"/>
    </row>
    <row r="12" spans="1:20" ht="15.75" customHeight="1">
      <c r="A12" s="8"/>
      <c r="B12" s="7"/>
      <c r="C12" s="7"/>
      <c r="D12" s="7"/>
      <c r="E12" s="7"/>
      <c r="F12" s="146"/>
      <c r="G12" s="146"/>
      <c r="H12" s="5"/>
      <c r="I12" s="5"/>
      <c r="J12" s="5"/>
      <c r="K12" s="5"/>
      <c r="L12" s="5"/>
      <c r="M12" s="5"/>
      <c r="N12" s="5"/>
      <c r="O12" s="5"/>
      <c r="P12" s="28" t="str">
        <f t="shared" si="0"/>
        <v/>
      </c>
      <c r="Q12" s="339" t="str">
        <f t="shared" si="1"/>
        <v/>
      </c>
      <c r="R12" s="7"/>
    </row>
    <row r="13" spans="1:20" ht="15.75" customHeight="1">
      <c r="A13" s="8"/>
      <c r="B13" s="7"/>
      <c r="C13" s="7"/>
      <c r="D13" s="7"/>
      <c r="E13" s="7"/>
      <c r="F13" s="146"/>
      <c r="G13" s="146"/>
      <c r="H13" s="5"/>
      <c r="I13" s="5"/>
      <c r="J13" s="5"/>
      <c r="K13" s="5"/>
      <c r="L13" s="5"/>
      <c r="M13" s="5"/>
      <c r="N13" s="5"/>
      <c r="O13" s="5"/>
      <c r="P13" s="28" t="str">
        <f t="shared" si="0"/>
        <v/>
      </c>
      <c r="Q13" s="339" t="str">
        <f t="shared" si="1"/>
        <v/>
      </c>
      <c r="R13" s="7"/>
    </row>
    <row r="14" spans="1:20" ht="15.75" customHeight="1">
      <c r="A14" s="8"/>
      <c r="B14" s="7"/>
      <c r="C14" s="7"/>
      <c r="D14" s="7"/>
      <c r="E14" s="7"/>
      <c r="F14" s="146"/>
      <c r="G14" s="146"/>
      <c r="H14" s="5"/>
      <c r="I14" s="5"/>
      <c r="J14" s="5"/>
      <c r="K14" s="5"/>
      <c r="L14" s="5"/>
      <c r="M14" s="5"/>
      <c r="N14" s="5"/>
      <c r="O14" s="5"/>
      <c r="P14" s="28" t="str">
        <f t="shared" si="0"/>
        <v/>
      </c>
      <c r="Q14" s="339" t="str">
        <f t="shared" si="1"/>
        <v/>
      </c>
      <c r="R14" s="7"/>
    </row>
    <row r="15" spans="1:20" ht="15.75" customHeight="1">
      <c r="A15" s="8"/>
      <c r="B15" s="7"/>
      <c r="C15" s="7"/>
      <c r="D15" s="7"/>
      <c r="E15" s="7"/>
      <c r="F15" s="146"/>
      <c r="G15" s="146"/>
      <c r="H15" s="5"/>
      <c r="I15" s="5"/>
      <c r="J15" s="5"/>
      <c r="K15" s="5"/>
      <c r="L15" s="5"/>
      <c r="M15" s="5"/>
      <c r="N15" s="5"/>
      <c r="O15" s="5"/>
      <c r="P15" s="28" t="str">
        <f t="shared" si="0"/>
        <v/>
      </c>
      <c r="Q15" s="339" t="str">
        <f t="shared" si="1"/>
        <v/>
      </c>
      <c r="R15" s="7"/>
    </row>
    <row r="16" spans="1:20" ht="15.75" customHeight="1">
      <c r="A16" s="8"/>
      <c r="B16" s="7"/>
      <c r="C16" s="7"/>
      <c r="D16" s="7"/>
      <c r="E16" s="7"/>
      <c r="F16" s="146"/>
      <c r="G16" s="146"/>
      <c r="H16" s="5"/>
      <c r="I16" s="5"/>
      <c r="J16" s="5"/>
      <c r="K16" s="5"/>
      <c r="L16" s="5"/>
      <c r="M16" s="5"/>
      <c r="N16" s="5"/>
      <c r="O16" s="5"/>
      <c r="P16" s="28" t="str">
        <f t="shared" si="0"/>
        <v/>
      </c>
      <c r="Q16" s="339" t="str">
        <f t="shared" si="1"/>
        <v/>
      </c>
      <c r="R16" s="7"/>
    </row>
    <row r="17" spans="1:18" ht="15.75" customHeight="1">
      <c r="A17" s="8"/>
      <c r="B17" s="7"/>
      <c r="C17" s="7"/>
      <c r="D17" s="7"/>
      <c r="E17" s="7"/>
      <c r="F17" s="146"/>
      <c r="G17" s="146"/>
      <c r="H17" s="5"/>
      <c r="I17" s="5"/>
      <c r="J17" s="5"/>
      <c r="K17" s="5"/>
      <c r="L17" s="5"/>
      <c r="M17" s="5"/>
      <c r="N17" s="5"/>
      <c r="O17" s="5"/>
      <c r="P17" s="28" t="str">
        <f t="shared" si="0"/>
        <v/>
      </c>
      <c r="Q17" s="339" t="str">
        <f t="shared" si="1"/>
        <v/>
      </c>
      <c r="R17" s="7"/>
    </row>
    <row r="18" spans="1:18" ht="15.75" customHeight="1">
      <c r="A18" s="8"/>
      <c r="B18" s="7"/>
      <c r="C18" s="7"/>
      <c r="D18" s="7"/>
      <c r="E18" s="7"/>
      <c r="F18" s="146"/>
      <c r="G18" s="146"/>
      <c r="H18" s="5"/>
      <c r="I18" s="5"/>
      <c r="J18" s="5"/>
      <c r="K18" s="5"/>
      <c r="L18" s="5"/>
      <c r="M18" s="5"/>
      <c r="N18" s="5"/>
      <c r="O18" s="5"/>
      <c r="P18" s="28" t="str">
        <f t="shared" si="0"/>
        <v/>
      </c>
      <c r="Q18" s="339" t="str">
        <f t="shared" si="1"/>
        <v/>
      </c>
      <c r="R18" s="7"/>
    </row>
    <row r="19" spans="1:18" ht="15.75" customHeight="1">
      <c r="A19" s="8"/>
      <c r="B19" s="7"/>
      <c r="C19" s="7"/>
      <c r="D19" s="7"/>
      <c r="E19" s="7"/>
      <c r="F19" s="146"/>
      <c r="G19" s="146"/>
      <c r="H19" s="5"/>
      <c r="I19" s="5"/>
      <c r="J19" s="5"/>
      <c r="K19" s="5"/>
      <c r="L19" s="5"/>
      <c r="M19" s="5"/>
      <c r="N19" s="5"/>
      <c r="O19" s="5"/>
      <c r="P19" s="28" t="str">
        <f t="shared" si="0"/>
        <v/>
      </c>
      <c r="Q19" s="339" t="str">
        <f t="shared" si="1"/>
        <v/>
      </c>
      <c r="R19" s="7"/>
    </row>
    <row r="20" spans="1:18" ht="15.75" customHeight="1">
      <c r="A20" s="8"/>
      <c r="B20" s="7"/>
      <c r="C20" s="7"/>
      <c r="D20" s="7"/>
      <c r="E20" s="7"/>
      <c r="F20" s="146"/>
      <c r="G20" s="146"/>
      <c r="H20" s="5"/>
      <c r="I20" s="5"/>
      <c r="J20" s="5"/>
      <c r="K20" s="5"/>
      <c r="L20" s="5"/>
      <c r="M20" s="5"/>
      <c r="N20" s="5"/>
      <c r="O20" s="5"/>
      <c r="P20" s="28" t="str">
        <f t="shared" si="0"/>
        <v/>
      </c>
      <c r="Q20" s="339" t="str">
        <f t="shared" si="1"/>
        <v/>
      </c>
      <c r="R20" s="7"/>
    </row>
    <row r="21" spans="1:18" ht="15.75" customHeight="1">
      <c r="A21" s="8"/>
      <c r="B21" s="7"/>
      <c r="C21" s="7"/>
      <c r="D21" s="7"/>
      <c r="E21" s="7"/>
      <c r="F21" s="146"/>
      <c r="G21" s="146"/>
      <c r="H21" s="5"/>
      <c r="I21" s="5"/>
      <c r="J21" s="5"/>
      <c r="K21" s="5"/>
      <c r="L21" s="5"/>
      <c r="M21" s="5"/>
      <c r="N21" s="5"/>
      <c r="O21" s="5"/>
      <c r="P21" s="28" t="str">
        <f t="shared" si="0"/>
        <v/>
      </c>
      <c r="Q21" s="339" t="str">
        <f t="shared" si="1"/>
        <v/>
      </c>
      <c r="R21" s="7"/>
    </row>
    <row r="22" spans="1:18" ht="15.75" customHeight="1">
      <c r="A22" s="8"/>
      <c r="B22" s="7"/>
      <c r="C22" s="7"/>
      <c r="D22" s="7"/>
      <c r="E22" s="7"/>
      <c r="F22" s="146"/>
      <c r="G22" s="146"/>
      <c r="H22" s="5"/>
      <c r="I22" s="5"/>
      <c r="J22" s="5"/>
      <c r="K22" s="5"/>
      <c r="L22" s="5"/>
      <c r="M22" s="5"/>
      <c r="N22" s="5"/>
      <c r="O22" s="5"/>
      <c r="P22" s="28" t="str">
        <f t="shared" si="0"/>
        <v/>
      </c>
      <c r="Q22" s="339" t="str">
        <f t="shared" si="1"/>
        <v/>
      </c>
      <c r="R22" s="7"/>
    </row>
    <row r="23" spans="1:18" ht="15.75" customHeight="1">
      <c r="A23" s="8"/>
      <c r="B23" s="7"/>
      <c r="C23" s="7"/>
      <c r="D23" s="7"/>
      <c r="E23" s="7"/>
      <c r="F23" s="146"/>
      <c r="G23" s="146"/>
      <c r="H23" s="5"/>
      <c r="I23" s="5"/>
      <c r="J23" s="5"/>
      <c r="K23" s="5"/>
      <c r="L23" s="5"/>
      <c r="M23" s="5"/>
      <c r="N23" s="5"/>
      <c r="O23" s="5"/>
      <c r="P23" s="28" t="str">
        <f t="shared" si="0"/>
        <v/>
      </c>
      <c r="Q23" s="339" t="str">
        <f t="shared" si="1"/>
        <v/>
      </c>
      <c r="R23" s="7"/>
    </row>
    <row r="24" spans="1:18" ht="15.75" customHeight="1">
      <c r="A24" s="8"/>
      <c r="B24" s="7"/>
      <c r="C24" s="7"/>
      <c r="D24" s="7"/>
      <c r="E24" s="7"/>
      <c r="F24" s="146"/>
      <c r="G24" s="146"/>
      <c r="H24" s="5"/>
      <c r="I24" s="5"/>
      <c r="J24" s="5"/>
      <c r="K24" s="5"/>
      <c r="L24" s="5"/>
      <c r="M24" s="5"/>
      <c r="N24" s="5"/>
      <c r="O24" s="5"/>
      <c r="P24" s="28" t="str">
        <f t="shared" si="0"/>
        <v/>
      </c>
      <c r="Q24" s="339" t="str">
        <f t="shared" si="1"/>
        <v/>
      </c>
      <c r="R24" s="7"/>
    </row>
    <row r="25" spans="1:18" ht="15.75" customHeight="1">
      <c r="A25" s="537" t="s">
        <v>535</v>
      </c>
      <c r="B25" s="382"/>
      <c r="C25" s="382"/>
      <c r="D25" s="235"/>
      <c r="E25" s="235"/>
      <c r="F25" s="235" t="s">
        <v>37</v>
      </c>
      <c r="G25" s="30"/>
      <c r="H25" s="31" t="str">
        <f t="shared" ref="H25:O25" ca="1" si="2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5" s="31" t="str">
        <f t="shared" ca="1" si="2"/>
        <v/>
      </c>
      <c r="J25" s="31" t="str">
        <f t="shared" ca="1" si="2"/>
        <v/>
      </c>
      <c r="K25" s="31" t="str">
        <f t="shared" ca="1" si="2"/>
        <v/>
      </c>
      <c r="L25" s="31" t="str">
        <f t="shared" ca="1" si="2"/>
        <v/>
      </c>
      <c r="M25" s="31" t="str">
        <f t="shared" ca="1" si="2"/>
        <v/>
      </c>
      <c r="N25" s="31" t="str">
        <f t="shared" ca="1" si="2"/>
        <v/>
      </c>
      <c r="O25" s="31" t="str">
        <f t="shared" ca="1" si="2"/>
        <v/>
      </c>
      <c r="P25" s="28" t="str">
        <f t="shared" ca="1" si="0"/>
        <v/>
      </c>
      <c r="Q25" s="339" t="str">
        <f t="shared" ca="1" si="1"/>
        <v/>
      </c>
      <c r="R25" s="234"/>
    </row>
    <row r="26" spans="1:18" ht="15.75" customHeight="1">
      <c r="A26" s="546" t="s">
        <v>476</v>
      </c>
      <c r="B26" s="550"/>
      <c r="C26" s="440"/>
      <c r="D26" s="235"/>
      <c r="E26" s="235"/>
      <c r="F26" s="235" t="s">
        <v>37</v>
      </c>
      <c r="G26" s="30"/>
      <c r="H26" s="233"/>
      <c r="I26" s="233"/>
      <c r="J26" s="233"/>
      <c r="K26" s="233"/>
      <c r="L26" s="233"/>
      <c r="M26" s="233"/>
      <c r="N26" s="233"/>
      <c r="O26" s="233"/>
      <c r="P26" s="28"/>
      <c r="Q26" s="339"/>
      <c r="R26" s="234"/>
    </row>
    <row r="27" spans="1:18" ht="15.75" customHeight="1">
      <c r="A27" s="537" t="s">
        <v>535</v>
      </c>
      <c r="B27" s="382"/>
      <c r="C27" s="382"/>
      <c r="D27" s="235"/>
      <c r="E27" s="235"/>
      <c r="F27" s="235" t="s">
        <v>37</v>
      </c>
      <c r="G27" s="30"/>
      <c r="H27" s="233" t="str">
        <f ca="1">IF(H26="",H25,H25-H26)</f>
        <v/>
      </c>
      <c r="I27" s="233" t="str">
        <f t="shared" ref="I27:O27" ca="1" si="3">IF(I26="",I25,I25-I26)</f>
        <v/>
      </c>
      <c r="J27" s="233" t="str">
        <f t="shared" ca="1" si="3"/>
        <v/>
      </c>
      <c r="K27" s="233" t="str">
        <f t="shared" ca="1" si="3"/>
        <v/>
      </c>
      <c r="L27" s="233" t="str">
        <f t="shared" ca="1" si="3"/>
        <v/>
      </c>
      <c r="M27" s="233" t="str">
        <f t="shared" ca="1" si="3"/>
        <v/>
      </c>
      <c r="N27" s="233" t="str">
        <f t="shared" ca="1" si="3"/>
        <v/>
      </c>
      <c r="O27" s="233" t="str">
        <f t="shared" ca="1" si="3"/>
        <v/>
      </c>
      <c r="P27" s="28" t="str">
        <f t="shared" ca="1" si="0"/>
        <v/>
      </c>
      <c r="Q27" s="339" t="str">
        <f t="shared" ca="1" si="1"/>
        <v/>
      </c>
      <c r="R27" s="234"/>
    </row>
    <row r="28" spans="1:18" ht="15.75" hidden="1" customHeight="1">
      <c r="A28" s="8"/>
      <c r="B28" s="7"/>
      <c r="C28" s="7"/>
      <c r="D28" s="7"/>
      <c r="E28" s="7"/>
      <c r="F28" s="146"/>
      <c r="G28" s="146"/>
      <c r="H28" s="5"/>
      <c r="I28" s="5"/>
      <c r="J28" s="5"/>
      <c r="K28" s="5"/>
      <c r="L28" s="5"/>
      <c r="M28" s="5"/>
      <c r="N28" s="5"/>
      <c r="O28" s="5"/>
      <c r="P28" s="28" t="str">
        <f>IF(ISERROR(O28-K28),"",IF(O28=0,"",O28-K28))</f>
        <v/>
      </c>
      <c r="Q28" s="339" t="str">
        <f>IF(ISERROR(O28-K28),"",IF(O28=0,"",IF(P28="",0,ROUND(P28*100/K28,2))))</f>
        <v/>
      </c>
      <c r="R28" s="7"/>
    </row>
    <row r="29" spans="1:18" ht="15.75" hidden="1" customHeight="1">
      <c r="A29" s="8"/>
      <c r="B29" s="7"/>
      <c r="C29" s="7"/>
      <c r="D29" s="7"/>
      <c r="E29" s="7"/>
      <c r="F29" s="146"/>
      <c r="G29" s="146"/>
      <c r="H29" s="5"/>
      <c r="I29" s="5"/>
      <c r="J29" s="5"/>
      <c r="K29" s="5"/>
      <c r="L29" s="5"/>
      <c r="M29" s="5"/>
      <c r="N29" s="5"/>
      <c r="O29" s="5"/>
      <c r="P29" s="28" t="str">
        <f t="shared" ref="P29:P47" si="4">IF(ISERROR(O29-K29),"",IF(O29=0,"",O29-K29))</f>
        <v/>
      </c>
      <c r="Q29" s="339" t="str">
        <f t="shared" ref="Q29:Q47" si="5">IF(ISERROR(O29-K29),"",IF(O29=0,"",IF(P29="",0,ROUND(P29*100/K29,2))))</f>
        <v/>
      </c>
      <c r="R29" s="7"/>
    </row>
    <row r="30" spans="1:18" ht="15.75" hidden="1" customHeight="1">
      <c r="A30" s="8"/>
      <c r="B30" s="7"/>
      <c r="C30" s="7"/>
      <c r="D30" s="7"/>
      <c r="E30" s="7"/>
      <c r="F30" s="146"/>
      <c r="G30" s="146"/>
      <c r="H30" s="5"/>
      <c r="I30" s="5"/>
      <c r="J30" s="5"/>
      <c r="K30" s="5"/>
      <c r="L30" s="5"/>
      <c r="M30" s="5"/>
      <c r="N30" s="5"/>
      <c r="O30" s="5"/>
      <c r="P30" s="28" t="str">
        <f t="shared" si="4"/>
        <v/>
      </c>
      <c r="Q30" s="339" t="str">
        <f t="shared" si="5"/>
        <v/>
      </c>
      <c r="R30" s="7"/>
    </row>
    <row r="31" spans="1:18" ht="15.75" hidden="1" customHeight="1">
      <c r="A31" s="8"/>
      <c r="B31" s="7"/>
      <c r="C31" s="7"/>
      <c r="D31" s="7"/>
      <c r="E31" s="7"/>
      <c r="F31" s="146"/>
      <c r="G31" s="146"/>
      <c r="H31" s="5"/>
      <c r="I31" s="5"/>
      <c r="J31" s="5"/>
      <c r="K31" s="5"/>
      <c r="L31" s="5"/>
      <c r="M31" s="5"/>
      <c r="N31" s="5"/>
      <c r="O31" s="5"/>
      <c r="P31" s="28" t="str">
        <f t="shared" si="4"/>
        <v/>
      </c>
      <c r="Q31" s="339" t="str">
        <f t="shared" si="5"/>
        <v/>
      </c>
      <c r="R31" s="7"/>
    </row>
    <row r="32" spans="1:18" ht="15.75" hidden="1" customHeight="1">
      <c r="A32" s="8"/>
      <c r="B32" s="7"/>
      <c r="C32" s="7"/>
      <c r="D32" s="7"/>
      <c r="E32" s="7"/>
      <c r="F32" s="146"/>
      <c r="G32" s="146"/>
      <c r="H32" s="5"/>
      <c r="I32" s="5"/>
      <c r="J32" s="5"/>
      <c r="K32" s="5"/>
      <c r="L32" s="5"/>
      <c r="M32" s="5"/>
      <c r="N32" s="5"/>
      <c r="O32" s="5"/>
      <c r="P32" s="28" t="str">
        <f t="shared" si="4"/>
        <v/>
      </c>
      <c r="Q32" s="339" t="str">
        <f t="shared" si="5"/>
        <v/>
      </c>
      <c r="R32" s="7"/>
    </row>
    <row r="33" spans="1:18" ht="15.75" hidden="1" customHeight="1">
      <c r="A33" s="8"/>
      <c r="B33" s="7"/>
      <c r="C33" s="7"/>
      <c r="D33" s="7"/>
      <c r="E33" s="7"/>
      <c r="F33" s="146"/>
      <c r="G33" s="146"/>
      <c r="H33" s="5"/>
      <c r="I33" s="5"/>
      <c r="J33" s="5"/>
      <c r="K33" s="5"/>
      <c r="L33" s="5"/>
      <c r="M33" s="5"/>
      <c r="N33" s="5"/>
      <c r="O33" s="5"/>
      <c r="P33" s="28" t="str">
        <f t="shared" si="4"/>
        <v/>
      </c>
      <c r="Q33" s="339" t="str">
        <f t="shared" si="5"/>
        <v/>
      </c>
      <c r="R33" s="7"/>
    </row>
    <row r="34" spans="1:18" ht="15.75" hidden="1" customHeight="1">
      <c r="A34" s="8"/>
      <c r="B34" s="7"/>
      <c r="C34" s="7"/>
      <c r="D34" s="7"/>
      <c r="E34" s="7"/>
      <c r="F34" s="146"/>
      <c r="G34" s="146"/>
      <c r="H34" s="5"/>
      <c r="I34" s="5"/>
      <c r="J34" s="5"/>
      <c r="K34" s="5"/>
      <c r="L34" s="5"/>
      <c r="M34" s="5"/>
      <c r="N34" s="5"/>
      <c r="O34" s="5"/>
      <c r="P34" s="28" t="str">
        <f t="shared" si="4"/>
        <v/>
      </c>
      <c r="Q34" s="339" t="str">
        <f t="shared" si="5"/>
        <v/>
      </c>
      <c r="R34" s="7"/>
    </row>
    <row r="35" spans="1:18" ht="15.75" hidden="1" customHeight="1">
      <c r="A35" s="8"/>
      <c r="B35" s="7"/>
      <c r="C35" s="7"/>
      <c r="D35" s="7"/>
      <c r="E35" s="7"/>
      <c r="F35" s="146"/>
      <c r="G35" s="146"/>
      <c r="H35" s="5"/>
      <c r="I35" s="5"/>
      <c r="J35" s="5"/>
      <c r="K35" s="5"/>
      <c r="L35" s="5"/>
      <c r="M35" s="5"/>
      <c r="N35" s="5"/>
      <c r="O35" s="5"/>
      <c r="P35" s="28" t="str">
        <f t="shared" si="4"/>
        <v/>
      </c>
      <c r="Q35" s="339" t="str">
        <f t="shared" si="5"/>
        <v/>
      </c>
      <c r="R35" s="7"/>
    </row>
    <row r="36" spans="1:18" ht="15.75" hidden="1" customHeight="1">
      <c r="A36" s="8"/>
      <c r="B36" s="7"/>
      <c r="C36" s="7"/>
      <c r="D36" s="7"/>
      <c r="E36" s="7"/>
      <c r="F36" s="146"/>
      <c r="G36" s="146"/>
      <c r="H36" s="5"/>
      <c r="I36" s="5"/>
      <c r="J36" s="5"/>
      <c r="K36" s="5"/>
      <c r="L36" s="5"/>
      <c r="M36" s="5"/>
      <c r="N36" s="5"/>
      <c r="O36" s="5"/>
      <c r="P36" s="28" t="str">
        <f t="shared" si="4"/>
        <v/>
      </c>
      <c r="Q36" s="339" t="str">
        <f t="shared" si="5"/>
        <v/>
      </c>
      <c r="R36" s="7"/>
    </row>
    <row r="37" spans="1:18" ht="15.75" hidden="1" customHeight="1">
      <c r="A37" s="8"/>
      <c r="B37" s="7"/>
      <c r="C37" s="7"/>
      <c r="D37" s="7"/>
      <c r="E37" s="7"/>
      <c r="F37" s="146"/>
      <c r="G37" s="146"/>
      <c r="H37" s="5"/>
      <c r="I37" s="5"/>
      <c r="J37" s="5"/>
      <c r="K37" s="5"/>
      <c r="L37" s="5"/>
      <c r="M37" s="5"/>
      <c r="N37" s="5"/>
      <c r="O37" s="5"/>
      <c r="P37" s="28" t="str">
        <f t="shared" si="4"/>
        <v/>
      </c>
      <c r="Q37" s="339" t="str">
        <f t="shared" si="5"/>
        <v/>
      </c>
      <c r="R37" s="7"/>
    </row>
    <row r="38" spans="1:18" ht="15.75" hidden="1" customHeight="1">
      <c r="A38" s="8"/>
      <c r="B38" s="7"/>
      <c r="C38" s="7"/>
      <c r="D38" s="7"/>
      <c r="E38" s="7"/>
      <c r="F38" s="146"/>
      <c r="G38" s="146"/>
      <c r="H38" s="5"/>
      <c r="I38" s="5"/>
      <c r="J38" s="5"/>
      <c r="K38" s="5"/>
      <c r="L38" s="5"/>
      <c r="M38" s="5"/>
      <c r="N38" s="5"/>
      <c r="O38" s="5"/>
      <c r="P38" s="28" t="str">
        <f t="shared" si="4"/>
        <v/>
      </c>
      <c r="Q38" s="339" t="str">
        <f t="shared" si="5"/>
        <v/>
      </c>
      <c r="R38" s="7"/>
    </row>
    <row r="39" spans="1:18" ht="15.75" hidden="1" customHeight="1">
      <c r="A39" s="8"/>
      <c r="B39" s="7"/>
      <c r="C39" s="7"/>
      <c r="D39" s="7"/>
      <c r="E39" s="7"/>
      <c r="F39" s="146"/>
      <c r="G39" s="146"/>
      <c r="H39" s="5"/>
      <c r="I39" s="5"/>
      <c r="J39" s="5"/>
      <c r="K39" s="5"/>
      <c r="L39" s="5"/>
      <c r="M39" s="5"/>
      <c r="N39" s="5"/>
      <c r="O39" s="5"/>
      <c r="P39" s="28" t="str">
        <f t="shared" si="4"/>
        <v/>
      </c>
      <c r="Q39" s="339" t="str">
        <f t="shared" si="5"/>
        <v/>
      </c>
      <c r="R39" s="7"/>
    </row>
    <row r="40" spans="1:18" ht="15.75" hidden="1" customHeight="1">
      <c r="A40" s="8"/>
      <c r="B40" s="7"/>
      <c r="C40" s="7"/>
      <c r="D40" s="7"/>
      <c r="E40" s="7"/>
      <c r="F40" s="146"/>
      <c r="G40" s="146"/>
      <c r="H40" s="5"/>
      <c r="I40" s="5"/>
      <c r="J40" s="5"/>
      <c r="K40" s="5"/>
      <c r="L40" s="5"/>
      <c r="M40" s="5"/>
      <c r="N40" s="5"/>
      <c r="O40" s="5"/>
      <c r="P40" s="28" t="str">
        <f t="shared" si="4"/>
        <v/>
      </c>
      <c r="Q40" s="339" t="str">
        <f t="shared" si="5"/>
        <v/>
      </c>
      <c r="R40" s="7"/>
    </row>
    <row r="41" spans="1:18" ht="15.75" hidden="1" customHeight="1">
      <c r="A41" s="8"/>
      <c r="B41" s="7"/>
      <c r="C41" s="7"/>
      <c r="D41" s="7"/>
      <c r="E41" s="7"/>
      <c r="F41" s="146"/>
      <c r="G41" s="146"/>
      <c r="H41" s="5"/>
      <c r="I41" s="5"/>
      <c r="J41" s="5"/>
      <c r="K41" s="5"/>
      <c r="L41" s="5"/>
      <c r="M41" s="5"/>
      <c r="N41" s="5"/>
      <c r="O41" s="5"/>
      <c r="P41" s="28" t="str">
        <f t="shared" si="4"/>
        <v/>
      </c>
      <c r="Q41" s="339" t="str">
        <f t="shared" si="5"/>
        <v/>
      </c>
      <c r="R41" s="7"/>
    </row>
    <row r="42" spans="1:18" ht="15.75" hidden="1" customHeight="1">
      <c r="A42" s="8"/>
      <c r="B42" s="7"/>
      <c r="C42" s="7"/>
      <c r="D42" s="7"/>
      <c r="E42" s="7"/>
      <c r="F42" s="146"/>
      <c r="G42" s="146"/>
      <c r="H42" s="5"/>
      <c r="I42" s="5"/>
      <c r="J42" s="5"/>
      <c r="K42" s="5"/>
      <c r="L42" s="5"/>
      <c r="M42" s="5"/>
      <c r="N42" s="5"/>
      <c r="O42" s="5"/>
      <c r="P42" s="28" t="str">
        <f t="shared" si="4"/>
        <v/>
      </c>
      <c r="Q42" s="339" t="str">
        <f t="shared" si="5"/>
        <v/>
      </c>
      <c r="R42" s="7"/>
    </row>
    <row r="43" spans="1:18" ht="15.75" hidden="1" customHeight="1">
      <c r="A43" s="8"/>
      <c r="B43" s="7"/>
      <c r="C43" s="7"/>
      <c r="D43" s="7"/>
      <c r="E43" s="7"/>
      <c r="F43" s="146"/>
      <c r="G43" s="146"/>
      <c r="H43" s="5"/>
      <c r="I43" s="5"/>
      <c r="J43" s="5"/>
      <c r="K43" s="5"/>
      <c r="L43" s="5"/>
      <c r="M43" s="5"/>
      <c r="N43" s="5"/>
      <c r="O43" s="5"/>
      <c r="P43" s="28" t="str">
        <f t="shared" si="4"/>
        <v/>
      </c>
      <c r="Q43" s="339" t="str">
        <f t="shared" si="5"/>
        <v/>
      </c>
      <c r="R43" s="7"/>
    </row>
    <row r="44" spans="1:18" ht="15.75" hidden="1" customHeight="1">
      <c r="A44" s="8"/>
      <c r="B44" s="7"/>
      <c r="C44" s="7"/>
      <c r="D44" s="7"/>
      <c r="E44" s="7"/>
      <c r="F44" s="146"/>
      <c r="G44" s="146"/>
      <c r="H44" s="5"/>
      <c r="I44" s="5"/>
      <c r="J44" s="5"/>
      <c r="K44" s="5"/>
      <c r="L44" s="5"/>
      <c r="M44" s="5"/>
      <c r="N44" s="5"/>
      <c r="O44" s="5"/>
      <c r="P44" s="28" t="str">
        <f t="shared" si="4"/>
        <v/>
      </c>
      <c r="Q44" s="339" t="str">
        <f t="shared" si="5"/>
        <v/>
      </c>
      <c r="R44" s="7"/>
    </row>
    <row r="45" spans="1:18" ht="15.75" hidden="1" customHeight="1">
      <c r="A45" s="8"/>
      <c r="B45" s="7"/>
      <c r="C45" s="7"/>
      <c r="D45" s="7"/>
      <c r="E45" s="7"/>
      <c r="F45" s="146"/>
      <c r="G45" s="146"/>
      <c r="H45" s="5"/>
      <c r="I45" s="5"/>
      <c r="J45" s="5"/>
      <c r="K45" s="5"/>
      <c r="L45" s="5"/>
      <c r="M45" s="5"/>
      <c r="N45" s="5"/>
      <c r="O45" s="5"/>
      <c r="P45" s="28" t="str">
        <f t="shared" si="4"/>
        <v/>
      </c>
      <c r="Q45" s="339" t="str">
        <f t="shared" si="5"/>
        <v/>
      </c>
      <c r="R45" s="7"/>
    </row>
    <row r="46" spans="1:18" ht="15.75" hidden="1" customHeight="1">
      <c r="A46" s="8"/>
      <c r="B46" s="7"/>
      <c r="C46" s="7"/>
      <c r="D46" s="7"/>
      <c r="E46" s="7"/>
      <c r="F46" s="146"/>
      <c r="G46" s="146"/>
      <c r="H46" s="5"/>
      <c r="I46" s="5"/>
      <c r="J46" s="5"/>
      <c r="K46" s="5"/>
      <c r="L46" s="5"/>
      <c r="M46" s="5"/>
      <c r="N46" s="5"/>
      <c r="O46" s="5"/>
      <c r="P46" s="28" t="str">
        <f t="shared" si="4"/>
        <v/>
      </c>
      <c r="Q46" s="339" t="str">
        <f t="shared" si="5"/>
        <v/>
      </c>
      <c r="R46" s="7"/>
    </row>
    <row r="47" spans="1:18" ht="15.75" hidden="1" customHeight="1">
      <c r="A47" s="8"/>
      <c r="B47" s="7"/>
      <c r="C47" s="7"/>
      <c r="D47" s="7"/>
      <c r="E47" s="7"/>
      <c r="F47" s="146"/>
      <c r="G47" s="146"/>
      <c r="H47" s="5"/>
      <c r="I47" s="5"/>
      <c r="J47" s="5"/>
      <c r="K47" s="5"/>
      <c r="L47" s="5"/>
      <c r="M47" s="5"/>
      <c r="N47" s="5"/>
      <c r="O47" s="5"/>
      <c r="P47" s="28" t="str">
        <f t="shared" si="4"/>
        <v/>
      </c>
      <c r="Q47" s="339" t="str">
        <f t="shared" si="5"/>
        <v/>
      </c>
      <c r="R47" s="7"/>
    </row>
  </sheetData>
  <mergeCells count="19">
    <mergeCell ref="S6:S7"/>
    <mergeCell ref="T6:T7"/>
    <mergeCell ref="C6:C7"/>
    <mergeCell ref="D6:D7"/>
    <mergeCell ref="A27:C27"/>
    <mergeCell ref="P6:P7"/>
    <mergeCell ref="E6:E7"/>
    <mergeCell ref="A25:C25"/>
    <mergeCell ref="A26:C26"/>
    <mergeCell ref="Q6:Q7"/>
    <mergeCell ref="L6:O6"/>
    <mergeCell ref="A1:R1"/>
    <mergeCell ref="R6:R7"/>
    <mergeCell ref="A2:R2"/>
    <mergeCell ref="A6:A7"/>
    <mergeCell ref="B6:B7"/>
    <mergeCell ref="F6:F7"/>
    <mergeCell ref="G6:G7"/>
    <mergeCell ref="H6:K6"/>
  </mergeCells>
  <phoneticPr fontId="6" type="noConversion"/>
  <printOptions horizontalCentered="1" verticalCentered="1"/>
  <pageMargins left="0.82677165354330717" right="0.51181102362204722" top="0.51181102362204722" bottom="0.6692913385826772" header="1.6535433070866143" footer="0.86614173228346458"/>
  <pageSetup paperSize="9" scale="99" fitToHeight="0" orientation="landscape" blackAndWhite="1" horizontalDpi="1200" verticalDpi="1200" r:id="rId1"/>
  <headerFooter scaleWithDoc="0">
    <oddHeader>&amp;R&amp;"宋体,常规"&amp;10表4-9-2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177800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431800</xdr:colOff>
                    <xdr:row>2</xdr:row>
                    <xdr:rowOff>0</xdr:rowOff>
                  </from>
                  <to>
                    <xdr:col>4</xdr:col>
                    <xdr:colOff>355600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4ADF-178D-4F2B-AE7B-782A9F59F459}">
  <sheetPr codeName="Sheet48">
    <pageSetUpPr fitToPage="1"/>
  </sheetPr>
  <dimension ref="A1:S47"/>
  <sheetViews>
    <sheetView topLeftCell="C1" workbookViewId="0">
      <pane ySplit="7" topLeftCell="A8" activePane="bottomLeft" state="frozen"/>
      <selection activeCell="F17" sqref="F17"/>
      <selection pane="bottomLeft" activeCell="L3" sqref="L1:L65536"/>
    </sheetView>
  </sheetViews>
  <sheetFormatPr baseColWidth="10" defaultColWidth="9" defaultRowHeight="15.75" customHeight="1"/>
  <cols>
    <col min="1" max="1" width="4" style="81" customWidth="1"/>
    <col min="2" max="2" width="14.6640625" style="81" customWidth="1"/>
    <col min="3" max="3" width="9" style="81"/>
    <col min="4" max="4" width="5" style="81" customWidth="1"/>
    <col min="5" max="5" width="9.1640625" style="81" customWidth="1"/>
    <col min="6" max="6" width="8.1640625" style="81" customWidth="1"/>
    <col min="7" max="7" width="13.1640625" style="81" bestFit="1" customWidth="1"/>
    <col min="8" max="8" width="8.1640625" style="81" customWidth="1"/>
    <col min="9" max="9" width="9" style="81"/>
    <col min="10" max="10" width="14" style="81" customWidth="1"/>
    <col min="11" max="11" width="9.1640625" style="135" customWidth="1"/>
    <col min="12" max="12" width="6.6640625" style="340" customWidth="1"/>
    <col min="13" max="13" width="8.1640625" style="81" customWidth="1"/>
    <col min="14" max="15" width="7.6640625" style="81" customWidth="1"/>
    <col min="16" max="16" width="8.1640625" style="81" customWidth="1"/>
    <col min="17" max="17" width="9.6640625" style="81" customWidth="1"/>
    <col min="18" max="18" width="11.1640625" style="81" customWidth="1"/>
    <col min="19" max="16384" width="9" style="81"/>
  </cols>
  <sheetData>
    <row r="1" spans="1:19" s="80" customFormat="1" ht="30" customHeight="1">
      <c r="A1" s="374" t="s">
        <v>1014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2"/>
      <c r="L3" s="218"/>
      <c r="M3" s="177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2"/>
      <c r="L4" s="337"/>
      <c r="M4" s="37"/>
    </row>
    <row r="5" spans="1:19" ht="15.75" customHeight="1">
      <c r="A5" s="125" t="str">
        <f>'1-汇总表'!A4</f>
        <v>被评估单位：A有限公司</v>
      </c>
      <c r="B5" s="125"/>
      <c r="C5" s="125"/>
      <c r="D5" s="125"/>
      <c r="E5" s="125"/>
      <c r="F5" s="42"/>
      <c r="G5" s="42"/>
      <c r="H5" s="42"/>
      <c r="I5" s="42"/>
      <c r="J5" s="42"/>
      <c r="K5" s="173"/>
      <c r="L5" s="218"/>
      <c r="M5" s="122"/>
    </row>
    <row r="6" spans="1:19" s="101" customFormat="1" ht="15.75" customHeight="1">
      <c r="A6" s="465" t="s">
        <v>7</v>
      </c>
      <c r="B6" s="465" t="s">
        <v>41</v>
      </c>
      <c r="C6" s="465" t="s">
        <v>79</v>
      </c>
      <c r="D6" s="480" t="s">
        <v>123</v>
      </c>
      <c r="E6" s="480" t="s">
        <v>117</v>
      </c>
      <c r="F6" s="480"/>
      <c r="G6" s="480"/>
      <c r="H6" s="490" t="s">
        <v>0</v>
      </c>
      <c r="I6" s="491"/>
      <c r="J6" s="492"/>
      <c r="K6" s="498" t="s">
        <v>1</v>
      </c>
      <c r="L6" s="551" t="s">
        <v>480</v>
      </c>
      <c r="M6" s="480" t="s">
        <v>39</v>
      </c>
      <c r="N6" s="555" t="s">
        <v>634</v>
      </c>
      <c r="O6" s="555" t="s">
        <v>635</v>
      </c>
      <c r="P6" s="555" t="s">
        <v>636</v>
      </c>
      <c r="Q6" s="555" t="s">
        <v>637</v>
      </c>
      <c r="R6" s="553" t="s">
        <v>598</v>
      </c>
      <c r="S6" s="553" t="s">
        <v>599</v>
      </c>
    </row>
    <row r="7" spans="1:19" s="101" customFormat="1" ht="15.75" customHeight="1">
      <c r="A7" s="466"/>
      <c r="B7" s="466"/>
      <c r="C7" s="466"/>
      <c r="D7" s="466"/>
      <c r="E7" s="45" t="s">
        <v>43</v>
      </c>
      <c r="F7" s="45" t="s">
        <v>81</v>
      </c>
      <c r="G7" s="45" t="s">
        <v>38</v>
      </c>
      <c r="H7" s="185" t="s">
        <v>80</v>
      </c>
      <c r="I7" s="45" t="s">
        <v>81</v>
      </c>
      <c r="J7" s="45" t="s">
        <v>38</v>
      </c>
      <c r="K7" s="552"/>
      <c r="L7" s="501"/>
      <c r="M7" s="466"/>
      <c r="N7" s="556"/>
      <c r="O7" s="556"/>
      <c r="P7" s="556"/>
      <c r="Q7" s="556"/>
      <c r="R7" s="554"/>
      <c r="S7" s="554"/>
    </row>
    <row r="8" spans="1:19" ht="15.75" customHeight="1">
      <c r="A8" s="8"/>
      <c r="B8" s="7"/>
      <c r="C8" s="7"/>
      <c r="D8" s="8"/>
      <c r="E8" s="5"/>
      <c r="F8" s="5"/>
      <c r="G8" s="5"/>
      <c r="H8" s="5"/>
      <c r="I8" s="5"/>
      <c r="J8" s="5"/>
      <c r="K8" s="28" t="str">
        <f>IF(ISERROR(J8-G8),"",IF(J8=0,"",J8-G8))</f>
        <v/>
      </c>
      <c r="L8" s="339" t="str">
        <f>IF(ISERROR(J8-G8),"",IF(J8=0,"",IF(K8="",0,ROUND(K8*100/G8,2))))</f>
        <v/>
      </c>
      <c r="M8" s="7"/>
    </row>
    <row r="9" spans="1:19" ht="15.75" customHeight="1">
      <c r="A9" s="8"/>
      <c r="B9" s="7"/>
      <c r="C9" s="7"/>
      <c r="D9" s="8"/>
      <c r="E9" s="5"/>
      <c r="F9" s="5"/>
      <c r="G9" s="5"/>
      <c r="H9" s="5"/>
      <c r="I9" s="5"/>
      <c r="J9" s="5"/>
      <c r="K9" s="28" t="str">
        <f t="shared" ref="K9:K23" si="0">IF(ISERROR(J9-G9),"",IF(J9=0,"",J9-G9))</f>
        <v/>
      </c>
      <c r="L9" s="339" t="str">
        <f t="shared" ref="L9:L23" si="1">IF(ISERROR(J9-G9),"",IF(J9=0,"",IF(K9="",0,ROUND(K9*100/G9,2))))</f>
        <v/>
      </c>
      <c r="M9" s="7"/>
    </row>
    <row r="10" spans="1:19" ht="15.75" customHeight="1">
      <c r="A10" s="8"/>
      <c r="B10" s="7"/>
      <c r="C10" s="7"/>
      <c r="D10" s="8"/>
      <c r="E10" s="5"/>
      <c r="F10" s="5"/>
      <c r="G10" s="5"/>
      <c r="H10" s="5"/>
      <c r="I10" s="5"/>
      <c r="J10" s="5"/>
      <c r="K10" s="28" t="str">
        <f t="shared" si="0"/>
        <v/>
      </c>
      <c r="L10" s="339" t="str">
        <f t="shared" si="1"/>
        <v/>
      </c>
      <c r="M10" s="7"/>
    </row>
    <row r="11" spans="1:19" ht="15.75" customHeight="1">
      <c r="A11" s="8"/>
      <c r="B11" s="7"/>
      <c r="C11" s="7"/>
      <c r="D11" s="8"/>
      <c r="E11" s="5"/>
      <c r="F11" s="5"/>
      <c r="G11" s="5"/>
      <c r="H11" s="5"/>
      <c r="I11" s="5"/>
      <c r="J11" s="5"/>
      <c r="K11" s="28" t="str">
        <f t="shared" si="0"/>
        <v/>
      </c>
      <c r="L11" s="339" t="str">
        <f t="shared" si="1"/>
        <v/>
      </c>
      <c r="M11" s="7"/>
    </row>
    <row r="12" spans="1:19" ht="15.75" customHeight="1">
      <c r="A12" s="8"/>
      <c r="B12" s="7"/>
      <c r="C12" s="7"/>
      <c r="D12" s="8"/>
      <c r="E12" s="5"/>
      <c r="F12" s="5"/>
      <c r="G12" s="5"/>
      <c r="H12" s="5"/>
      <c r="I12" s="5"/>
      <c r="J12" s="5"/>
      <c r="K12" s="28" t="str">
        <f t="shared" si="0"/>
        <v/>
      </c>
      <c r="L12" s="339" t="str">
        <f t="shared" si="1"/>
        <v/>
      </c>
      <c r="M12" s="7"/>
    </row>
    <row r="13" spans="1:19" ht="15.75" customHeight="1">
      <c r="A13" s="8"/>
      <c r="B13" s="7"/>
      <c r="C13" s="7"/>
      <c r="D13" s="8"/>
      <c r="E13" s="5"/>
      <c r="F13" s="5"/>
      <c r="G13" s="5"/>
      <c r="H13" s="5"/>
      <c r="I13" s="5"/>
      <c r="J13" s="5"/>
      <c r="K13" s="28" t="str">
        <f t="shared" si="0"/>
        <v/>
      </c>
      <c r="L13" s="339" t="str">
        <f t="shared" si="1"/>
        <v/>
      </c>
      <c r="M13" s="7"/>
    </row>
    <row r="14" spans="1:19" ht="15.75" customHeight="1">
      <c r="A14" s="8"/>
      <c r="B14" s="7"/>
      <c r="C14" s="7"/>
      <c r="D14" s="8"/>
      <c r="E14" s="5"/>
      <c r="F14" s="5"/>
      <c r="G14" s="5"/>
      <c r="H14" s="5"/>
      <c r="I14" s="5"/>
      <c r="J14" s="5"/>
      <c r="K14" s="28" t="str">
        <f t="shared" si="0"/>
        <v/>
      </c>
      <c r="L14" s="339" t="str">
        <f t="shared" si="1"/>
        <v/>
      </c>
      <c r="M14" s="7"/>
    </row>
    <row r="15" spans="1:19" ht="15.75" customHeight="1">
      <c r="A15" s="8"/>
      <c r="B15" s="7"/>
      <c r="C15" s="7"/>
      <c r="D15" s="8"/>
      <c r="E15" s="5"/>
      <c r="F15" s="5"/>
      <c r="G15" s="5"/>
      <c r="H15" s="5"/>
      <c r="I15" s="5"/>
      <c r="J15" s="5"/>
      <c r="K15" s="28" t="str">
        <f t="shared" si="0"/>
        <v/>
      </c>
      <c r="L15" s="339" t="str">
        <f t="shared" si="1"/>
        <v/>
      </c>
      <c r="M15" s="7"/>
    </row>
    <row r="16" spans="1:19" ht="15.75" customHeight="1">
      <c r="A16" s="8"/>
      <c r="B16" s="7"/>
      <c r="C16" s="7"/>
      <c r="D16" s="8"/>
      <c r="E16" s="5"/>
      <c r="F16" s="5"/>
      <c r="G16" s="5"/>
      <c r="H16" s="5"/>
      <c r="I16" s="5"/>
      <c r="J16" s="5"/>
      <c r="K16" s="28" t="str">
        <f t="shared" si="0"/>
        <v/>
      </c>
      <c r="L16" s="339" t="str">
        <f t="shared" si="1"/>
        <v/>
      </c>
      <c r="M16" s="7"/>
    </row>
    <row r="17" spans="1:13" ht="15.75" customHeight="1">
      <c r="A17" s="8"/>
      <c r="B17" s="7"/>
      <c r="C17" s="7"/>
      <c r="D17" s="8"/>
      <c r="E17" s="5"/>
      <c r="F17" s="5"/>
      <c r="G17" s="5"/>
      <c r="H17" s="5"/>
      <c r="I17" s="5"/>
      <c r="J17" s="5"/>
      <c r="K17" s="28" t="str">
        <f t="shared" si="0"/>
        <v/>
      </c>
      <c r="L17" s="339" t="str">
        <f t="shared" si="1"/>
        <v/>
      </c>
      <c r="M17" s="7"/>
    </row>
    <row r="18" spans="1:13" ht="15.75" customHeight="1">
      <c r="A18" s="8"/>
      <c r="B18" s="7"/>
      <c r="C18" s="7"/>
      <c r="D18" s="8"/>
      <c r="E18" s="5"/>
      <c r="F18" s="5"/>
      <c r="G18" s="5"/>
      <c r="H18" s="5"/>
      <c r="I18" s="5"/>
      <c r="J18" s="5"/>
      <c r="K18" s="28" t="str">
        <f t="shared" si="0"/>
        <v/>
      </c>
      <c r="L18" s="339" t="str">
        <f t="shared" si="1"/>
        <v/>
      </c>
      <c r="M18" s="7"/>
    </row>
    <row r="19" spans="1:13" ht="15.75" customHeight="1">
      <c r="A19" s="8"/>
      <c r="B19" s="7"/>
      <c r="C19" s="7"/>
      <c r="D19" s="8"/>
      <c r="E19" s="5"/>
      <c r="F19" s="5"/>
      <c r="G19" s="5"/>
      <c r="H19" s="5"/>
      <c r="I19" s="5"/>
      <c r="J19" s="5"/>
      <c r="K19" s="28" t="str">
        <f t="shared" si="0"/>
        <v/>
      </c>
      <c r="L19" s="339" t="str">
        <f t="shared" si="1"/>
        <v/>
      </c>
      <c r="M19" s="7"/>
    </row>
    <row r="20" spans="1:13" ht="15.75" customHeight="1">
      <c r="A20" s="8"/>
      <c r="B20" s="7"/>
      <c r="C20" s="7"/>
      <c r="D20" s="8"/>
      <c r="E20" s="5"/>
      <c r="F20" s="5"/>
      <c r="G20" s="5"/>
      <c r="H20" s="5"/>
      <c r="I20" s="5"/>
      <c r="J20" s="5"/>
      <c r="K20" s="28" t="str">
        <f t="shared" si="0"/>
        <v/>
      </c>
      <c r="L20" s="339" t="str">
        <f t="shared" si="1"/>
        <v/>
      </c>
      <c r="M20" s="7"/>
    </row>
    <row r="21" spans="1:13" ht="15.75" customHeight="1">
      <c r="A21" s="8"/>
      <c r="B21" s="7"/>
      <c r="C21" s="7"/>
      <c r="D21" s="8"/>
      <c r="E21" s="5"/>
      <c r="F21" s="5"/>
      <c r="G21" s="5"/>
      <c r="H21" s="5"/>
      <c r="I21" s="5"/>
      <c r="J21" s="5"/>
      <c r="K21" s="28" t="str">
        <f t="shared" si="0"/>
        <v/>
      </c>
      <c r="L21" s="339" t="str">
        <f t="shared" si="1"/>
        <v/>
      </c>
      <c r="M21" s="7"/>
    </row>
    <row r="22" spans="1:13" ht="15.75" customHeight="1">
      <c r="A22" s="8"/>
      <c r="B22" s="7"/>
      <c r="C22" s="7"/>
      <c r="D22" s="8"/>
      <c r="E22" s="5"/>
      <c r="F22" s="5"/>
      <c r="G22" s="5"/>
      <c r="H22" s="5"/>
      <c r="I22" s="5"/>
      <c r="J22" s="5"/>
      <c r="K22" s="28" t="str">
        <f t="shared" si="0"/>
        <v/>
      </c>
      <c r="L22" s="339" t="str">
        <f t="shared" si="1"/>
        <v/>
      </c>
      <c r="M22" s="7"/>
    </row>
    <row r="23" spans="1:13" ht="15.75" customHeight="1">
      <c r="A23" s="8"/>
      <c r="B23" s="7"/>
      <c r="C23" s="7"/>
      <c r="D23" s="8"/>
      <c r="E23" s="5"/>
      <c r="F23" s="5"/>
      <c r="G23" s="5"/>
      <c r="H23" s="5"/>
      <c r="I23" s="5"/>
      <c r="J23" s="5"/>
      <c r="K23" s="28" t="str">
        <f t="shared" si="0"/>
        <v/>
      </c>
      <c r="L23" s="339" t="str">
        <f t="shared" si="1"/>
        <v/>
      </c>
      <c r="M23" s="7"/>
    </row>
    <row r="24" spans="1:13" ht="15.75" customHeight="1">
      <c r="A24" s="8"/>
      <c r="B24" s="7"/>
      <c r="C24" s="7"/>
      <c r="D24" s="8"/>
      <c r="E24" s="5"/>
      <c r="F24" s="5"/>
      <c r="G24" s="5"/>
      <c r="H24" s="5"/>
      <c r="I24" s="5"/>
      <c r="J24" s="5"/>
      <c r="K24" s="28" t="str">
        <f>IF(ISERROR(J24-G24),"",IF(J24=0,"",J24-G24))</f>
        <v/>
      </c>
      <c r="L24" s="339" t="str">
        <f>IF(ISERROR(J24-G24),"",IF(J24=0,"",IF(K24="",0,ROUND(K24*100/G24,2))))</f>
        <v/>
      </c>
      <c r="M24" s="7"/>
    </row>
    <row r="25" spans="1:13" ht="15.75" customHeight="1">
      <c r="A25" s="379" t="s">
        <v>535</v>
      </c>
      <c r="B25" s="380"/>
      <c r="C25" s="380"/>
      <c r="D25" s="543"/>
      <c r="E25" s="31"/>
      <c r="F25" s="31"/>
      <c r="G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5" s="31"/>
      <c r="I25" s="31"/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28" t="str">
        <f ca="1">IF(ISERROR(J25-G25),"",IF(J25=0,"",J25-G25))</f>
        <v/>
      </c>
      <c r="L25" s="339" t="str">
        <f ca="1">IF(ISERROR(J25-G25),"",IF(J25=0,"",IF(K25="",0,ROUND(K25*100/G25,2))))</f>
        <v/>
      </c>
      <c r="M25" s="234"/>
    </row>
    <row r="26" spans="1:13" ht="15.75" customHeight="1">
      <c r="A26" s="383" t="s">
        <v>209</v>
      </c>
      <c r="B26" s="380"/>
      <c r="C26" s="380"/>
      <c r="D26" s="543"/>
      <c r="E26" s="31"/>
      <c r="F26" s="31"/>
      <c r="G26" s="31"/>
      <c r="H26" s="31"/>
      <c r="I26" s="31"/>
      <c r="J26" s="31"/>
      <c r="K26" s="28"/>
      <c r="L26" s="339"/>
      <c r="M26" s="234"/>
    </row>
    <row r="27" spans="1:13" ht="15.75" customHeight="1">
      <c r="A27" s="379" t="s">
        <v>535</v>
      </c>
      <c r="B27" s="380"/>
      <c r="C27" s="380"/>
      <c r="D27" s="543"/>
      <c r="E27" s="31"/>
      <c r="F27" s="31"/>
      <c r="G27" s="31" t="str">
        <f ca="1">IF(G26="",G25,G25-G26)</f>
        <v/>
      </c>
      <c r="H27" s="31"/>
      <c r="I27" s="31"/>
      <c r="J27" s="31" t="str">
        <f ca="1">IF(J26="",J25,J25-J26)</f>
        <v/>
      </c>
      <c r="K27" s="28" t="str">
        <f ca="1">IF(ISERROR(J27-G27),"",IF(J27=0,"",J27-G27))</f>
        <v/>
      </c>
      <c r="L27" s="339" t="str">
        <f ca="1">IF(ISERROR(J27-G27),"",IF(J27=0,"",IF(K27="",0,ROUND(K27*100/G27,2))))</f>
        <v/>
      </c>
      <c r="M27" s="234"/>
    </row>
    <row r="28" spans="1:13" ht="15.75" hidden="1" customHeight="1">
      <c r="A28" s="8"/>
      <c r="B28" s="7"/>
      <c r="C28" s="7"/>
      <c r="D28" s="8"/>
      <c r="E28" s="5"/>
      <c r="F28" s="5"/>
      <c r="G28" s="5"/>
      <c r="H28" s="5"/>
      <c r="I28" s="5"/>
      <c r="J28" s="5"/>
      <c r="K28" s="28" t="str">
        <f>IF(ISERROR(J28-G28),"",IF(J28=0,"",J28-G28))</f>
        <v/>
      </c>
      <c r="L28" s="339" t="str">
        <f>IF(ISERROR(J28-G28),"",IF(J28=0,"",IF(K28="",0,ROUND(K28*100/G28,2))))</f>
        <v/>
      </c>
      <c r="M28" s="7"/>
    </row>
    <row r="29" spans="1:13" ht="15.75" hidden="1" customHeight="1">
      <c r="A29" s="8"/>
      <c r="B29" s="7"/>
      <c r="C29" s="7"/>
      <c r="D29" s="8"/>
      <c r="E29" s="5"/>
      <c r="F29" s="5"/>
      <c r="G29" s="5"/>
      <c r="H29" s="5"/>
      <c r="I29" s="5"/>
      <c r="J29" s="5"/>
      <c r="K29" s="28" t="str">
        <f t="shared" ref="K29:K47" si="2">IF(ISERROR(J29-G29),"",IF(J29=0,"",J29-G29))</f>
        <v/>
      </c>
      <c r="L29" s="339" t="str">
        <f t="shared" ref="L29:L47" si="3">IF(ISERROR(J29-G29),"",IF(J29=0,"",IF(K29="",0,ROUND(K29*100/G29,2))))</f>
        <v/>
      </c>
      <c r="M29" s="7"/>
    </row>
    <row r="30" spans="1:13" ht="15.75" hidden="1" customHeight="1">
      <c r="A30" s="8"/>
      <c r="B30" s="7"/>
      <c r="C30" s="7"/>
      <c r="D30" s="8"/>
      <c r="E30" s="5"/>
      <c r="F30" s="5"/>
      <c r="G30" s="5"/>
      <c r="H30" s="5"/>
      <c r="I30" s="5"/>
      <c r="J30" s="5"/>
      <c r="K30" s="28" t="str">
        <f t="shared" si="2"/>
        <v/>
      </c>
      <c r="L30" s="339" t="str">
        <f t="shared" si="3"/>
        <v/>
      </c>
      <c r="M30" s="7"/>
    </row>
    <row r="31" spans="1:13" ht="15.75" hidden="1" customHeight="1">
      <c r="A31" s="8"/>
      <c r="B31" s="7"/>
      <c r="C31" s="7"/>
      <c r="D31" s="8"/>
      <c r="E31" s="5"/>
      <c r="F31" s="5"/>
      <c r="G31" s="5"/>
      <c r="H31" s="5"/>
      <c r="I31" s="5"/>
      <c r="J31" s="5"/>
      <c r="K31" s="28" t="str">
        <f t="shared" si="2"/>
        <v/>
      </c>
      <c r="L31" s="339" t="str">
        <f t="shared" si="3"/>
        <v/>
      </c>
      <c r="M31" s="7"/>
    </row>
    <row r="32" spans="1:13" ht="15.75" hidden="1" customHeight="1">
      <c r="A32" s="8"/>
      <c r="B32" s="7"/>
      <c r="C32" s="7"/>
      <c r="D32" s="8"/>
      <c r="E32" s="5"/>
      <c r="F32" s="5"/>
      <c r="G32" s="5"/>
      <c r="H32" s="5"/>
      <c r="I32" s="5"/>
      <c r="J32" s="5"/>
      <c r="K32" s="28" t="str">
        <f t="shared" si="2"/>
        <v/>
      </c>
      <c r="L32" s="339" t="str">
        <f t="shared" si="3"/>
        <v/>
      </c>
      <c r="M32" s="7"/>
    </row>
    <row r="33" spans="1:13" ht="15.75" hidden="1" customHeight="1">
      <c r="A33" s="8"/>
      <c r="B33" s="7"/>
      <c r="C33" s="7"/>
      <c r="D33" s="8"/>
      <c r="E33" s="5"/>
      <c r="F33" s="5"/>
      <c r="G33" s="5"/>
      <c r="H33" s="5"/>
      <c r="I33" s="5"/>
      <c r="J33" s="5"/>
      <c r="K33" s="28" t="str">
        <f t="shared" si="2"/>
        <v/>
      </c>
      <c r="L33" s="339" t="str">
        <f t="shared" si="3"/>
        <v/>
      </c>
      <c r="M33" s="7"/>
    </row>
    <row r="34" spans="1:13" ht="15.75" hidden="1" customHeight="1">
      <c r="A34" s="8"/>
      <c r="B34" s="7"/>
      <c r="C34" s="7"/>
      <c r="D34" s="8"/>
      <c r="E34" s="5"/>
      <c r="F34" s="5"/>
      <c r="G34" s="5"/>
      <c r="H34" s="5"/>
      <c r="I34" s="5"/>
      <c r="J34" s="5"/>
      <c r="K34" s="28" t="str">
        <f t="shared" si="2"/>
        <v/>
      </c>
      <c r="L34" s="339" t="str">
        <f t="shared" si="3"/>
        <v/>
      </c>
      <c r="M34" s="7"/>
    </row>
    <row r="35" spans="1:13" ht="15.75" hidden="1" customHeight="1">
      <c r="A35" s="8"/>
      <c r="B35" s="7"/>
      <c r="C35" s="7"/>
      <c r="D35" s="8"/>
      <c r="E35" s="5"/>
      <c r="F35" s="5"/>
      <c r="G35" s="5"/>
      <c r="H35" s="5"/>
      <c r="I35" s="5"/>
      <c r="J35" s="5"/>
      <c r="K35" s="28" t="str">
        <f t="shared" si="2"/>
        <v/>
      </c>
      <c r="L35" s="339" t="str">
        <f t="shared" si="3"/>
        <v/>
      </c>
      <c r="M35" s="7"/>
    </row>
    <row r="36" spans="1:13" ht="15.75" hidden="1" customHeight="1">
      <c r="A36" s="8"/>
      <c r="B36" s="7"/>
      <c r="C36" s="7"/>
      <c r="D36" s="8"/>
      <c r="E36" s="5"/>
      <c r="F36" s="5"/>
      <c r="G36" s="5"/>
      <c r="H36" s="5"/>
      <c r="I36" s="5"/>
      <c r="J36" s="5"/>
      <c r="K36" s="28" t="str">
        <f t="shared" si="2"/>
        <v/>
      </c>
      <c r="L36" s="339" t="str">
        <f t="shared" si="3"/>
        <v/>
      </c>
      <c r="M36" s="7"/>
    </row>
    <row r="37" spans="1:13" ht="15.75" hidden="1" customHeight="1">
      <c r="A37" s="8"/>
      <c r="B37" s="7"/>
      <c r="C37" s="7"/>
      <c r="D37" s="8"/>
      <c r="E37" s="5"/>
      <c r="F37" s="5"/>
      <c r="G37" s="5"/>
      <c r="H37" s="5"/>
      <c r="I37" s="5"/>
      <c r="J37" s="5"/>
      <c r="K37" s="28" t="str">
        <f t="shared" si="2"/>
        <v/>
      </c>
      <c r="L37" s="339" t="str">
        <f t="shared" si="3"/>
        <v/>
      </c>
      <c r="M37" s="7"/>
    </row>
    <row r="38" spans="1:13" ht="15.75" hidden="1" customHeight="1">
      <c r="A38" s="8"/>
      <c r="B38" s="7"/>
      <c r="C38" s="7"/>
      <c r="D38" s="8"/>
      <c r="E38" s="5"/>
      <c r="F38" s="5"/>
      <c r="G38" s="5"/>
      <c r="H38" s="5"/>
      <c r="I38" s="5"/>
      <c r="J38" s="5"/>
      <c r="K38" s="28" t="str">
        <f t="shared" si="2"/>
        <v/>
      </c>
      <c r="L38" s="339" t="str">
        <f t="shared" si="3"/>
        <v/>
      </c>
      <c r="M38" s="7"/>
    </row>
    <row r="39" spans="1:13" ht="15.75" hidden="1" customHeight="1">
      <c r="A39" s="8"/>
      <c r="B39" s="7"/>
      <c r="C39" s="7"/>
      <c r="D39" s="8"/>
      <c r="E39" s="5"/>
      <c r="F39" s="5"/>
      <c r="G39" s="5"/>
      <c r="H39" s="5"/>
      <c r="I39" s="5"/>
      <c r="J39" s="5"/>
      <c r="K39" s="28" t="str">
        <f t="shared" si="2"/>
        <v/>
      </c>
      <c r="L39" s="339" t="str">
        <f t="shared" si="3"/>
        <v/>
      </c>
      <c r="M39" s="7"/>
    </row>
    <row r="40" spans="1:13" ht="15.75" hidden="1" customHeight="1">
      <c r="A40" s="8"/>
      <c r="B40" s="7"/>
      <c r="C40" s="7"/>
      <c r="D40" s="8"/>
      <c r="E40" s="5"/>
      <c r="F40" s="5"/>
      <c r="G40" s="5"/>
      <c r="H40" s="5"/>
      <c r="I40" s="5"/>
      <c r="J40" s="5"/>
      <c r="K40" s="28" t="str">
        <f t="shared" si="2"/>
        <v/>
      </c>
      <c r="L40" s="339" t="str">
        <f t="shared" si="3"/>
        <v/>
      </c>
      <c r="M40" s="7"/>
    </row>
    <row r="41" spans="1:13" ht="15.75" hidden="1" customHeight="1">
      <c r="A41" s="8"/>
      <c r="B41" s="7"/>
      <c r="C41" s="7"/>
      <c r="D41" s="8"/>
      <c r="E41" s="5"/>
      <c r="F41" s="5"/>
      <c r="G41" s="5"/>
      <c r="H41" s="5"/>
      <c r="I41" s="5"/>
      <c r="J41" s="5"/>
      <c r="K41" s="28" t="str">
        <f t="shared" si="2"/>
        <v/>
      </c>
      <c r="L41" s="339" t="str">
        <f t="shared" si="3"/>
        <v/>
      </c>
      <c r="M41" s="7"/>
    </row>
    <row r="42" spans="1:13" ht="15.75" hidden="1" customHeight="1">
      <c r="A42" s="8"/>
      <c r="B42" s="7"/>
      <c r="C42" s="7"/>
      <c r="D42" s="8"/>
      <c r="E42" s="5"/>
      <c r="F42" s="5"/>
      <c r="G42" s="5"/>
      <c r="H42" s="5"/>
      <c r="I42" s="5"/>
      <c r="J42" s="5"/>
      <c r="K42" s="28" t="str">
        <f t="shared" si="2"/>
        <v/>
      </c>
      <c r="L42" s="339" t="str">
        <f t="shared" si="3"/>
        <v/>
      </c>
      <c r="M42" s="7"/>
    </row>
    <row r="43" spans="1:13" ht="15.75" hidden="1" customHeight="1">
      <c r="A43" s="8"/>
      <c r="B43" s="7"/>
      <c r="C43" s="7"/>
      <c r="D43" s="8"/>
      <c r="E43" s="5"/>
      <c r="F43" s="5"/>
      <c r="G43" s="5"/>
      <c r="H43" s="5"/>
      <c r="I43" s="5"/>
      <c r="J43" s="5"/>
      <c r="K43" s="28" t="str">
        <f t="shared" si="2"/>
        <v/>
      </c>
      <c r="L43" s="339" t="str">
        <f t="shared" si="3"/>
        <v/>
      </c>
      <c r="M43" s="7"/>
    </row>
    <row r="44" spans="1:13" ht="15.75" hidden="1" customHeight="1">
      <c r="A44" s="8"/>
      <c r="B44" s="7"/>
      <c r="C44" s="7"/>
      <c r="D44" s="8"/>
      <c r="E44" s="5"/>
      <c r="F44" s="5"/>
      <c r="G44" s="5"/>
      <c r="H44" s="5"/>
      <c r="I44" s="5"/>
      <c r="J44" s="5"/>
      <c r="K44" s="28" t="str">
        <f t="shared" si="2"/>
        <v/>
      </c>
      <c r="L44" s="339" t="str">
        <f t="shared" si="3"/>
        <v/>
      </c>
      <c r="M44" s="7"/>
    </row>
    <row r="45" spans="1:13" ht="15.75" hidden="1" customHeight="1">
      <c r="A45" s="8"/>
      <c r="B45" s="7"/>
      <c r="C45" s="7"/>
      <c r="D45" s="8"/>
      <c r="E45" s="5"/>
      <c r="F45" s="5"/>
      <c r="G45" s="5"/>
      <c r="H45" s="5"/>
      <c r="I45" s="5"/>
      <c r="J45" s="5"/>
      <c r="K45" s="28" t="str">
        <f t="shared" si="2"/>
        <v/>
      </c>
      <c r="L45" s="339" t="str">
        <f t="shared" si="3"/>
        <v/>
      </c>
      <c r="M45" s="7"/>
    </row>
    <row r="46" spans="1:13" ht="15.75" hidden="1" customHeight="1">
      <c r="A46" s="8"/>
      <c r="B46" s="7"/>
      <c r="C46" s="7"/>
      <c r="D46" s="8"/>
      <c r="E46" s="5"/>
      <c r="F46" s="5"/>
      <c r="G46" s="5"/>
      <c r="H46" s="5"/>
      <c r="I46" s="5"/>
      <c r="J46" s="5"/>
      <c r="K46" s="28" t="str">
        <f t="shared" si="2"/>
        <v/>
      </c>
      <c r="L46" s="339" t="str">
        <f t="shared" si="3"/>
        <v/>
      </c>
      <c r="M46" s="7"/>
    </row>
    <row r="47" spans="1:13" ht="15.75" hidden="1" customHeight="1">
      <c r="A47" s="8"/>
      <c r="B47" s="7"/>
      <c r="C47" s="7"/>
      <c r="D47" s="8"/>
      <c r="E47" s="5"/>
      <c r="F47" s="5"/>
      <c r="G47" s="5"/>
      <c r="H47" s="5"/>
      <c r="I47" s="5"/>
      <c r="J47" s="5"/>
      <c r="K47" s="28" t="str">
        <f t="shared" si="2"/>
        <v/>
      </c>
      <c r="L47" s="339" t="str">
        <f t="shared" si="3"/>
        <v/>
      </c>
      <c r="M47" s="7"/>
    </row>
  </sheetData>
  <mergeCells count="20">
    <mergeCell ref="S6:S7"/>
    <mergeCell ref="N6:N7"/>
    <mergeCell ref="O6:O7"/>
    <mergeCell ref="P6:P7"/>
    <mergeCell ref="Q6:Q7"/>
    <mergeCell ref="R6:R7"/>
    <mergeCell ref="A27:D27"/>
    <mergeCell ref="M6:M7"/>
    <mergeCell ref="A2:M2"/>
    <mergeCell ref="H6:J6"/>
    <mergeCell ref="K6:K7"/>
    <mergeCell ref="A26:D26"/>
    <mergeCell ref="A25:D25"/>
    <mergeCell ref="A1:M1"/>
    <mergeCell ref="A6:A7"/>
    <mergeCell ref="B6:B7"/>
    <mergeCell ref="C6:C7"/>
    <mergeCell ref="D6:D7"/>
    <mergeCell ref="E6:G6"/>
    <mergeCell ref="L6:L7"/>
  </mergeCells>
  <phoneticPr fontId="6" type="noConversion"/>
  <printOptions horizontalCentered="1" verticalCentered="1"/>
  <pageMargins left="1.0629921259842521" right="0.70866141732283472" top="0.43307086614173229" bottom="0.6692913385826772" header="1.7716535433070868" footer="1.0236220472440944"/>
  <pageSetup paperSize="9" fitToHeight="0" orientation="landscape" blackAndWhite="1" horizontalDpi="1200" verticalDpi="1200" r:id="rId1"/>
  <headerFooter scaleWithDoc="0">
    <oddHeader>&amp;R&amp;"宋体,常规"&amp;10表4-10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63500</xdr:colOff>
                    <xdr:row>2</xdr:row>
                    <xdr:rowOff>0</xdr:rowOff>
                  </from>
                  <to>
                    <xdr:col>1</xdr:col>
                    <xdr:colOff>1079500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215900</xdr:colOff>
                    <xdr:row>2</xdr:row>
                    <xdr:rowOff>0</xdr:rowOff>
                  </from>
                  <to>
                    <xdr:col>4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51755-654D-4CEE-91C5-7E56A73D315C}">
  <sheetPr codeName="Sheet51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activeCell="G3" sqref="G1:G65536"/>
    </sheetView>
  </sheetViews>
  <sheetFormatPr baseColWidth="10" defaultColWidth="9" defaultRowHeight="15.75" customHeight="1"/>
  <cols>
    <col min="1" max="1" width="5.5" style="81" customWidth="1"/>
    <col min="2" max="2" width="18" style="81" customWidth="1"/>
    <col min="3" max="3" width="12" style="81" customWidth="1"/>
    <col min="4" max="4" width="14.1640625" style="81" customWidth="1"/>
    <col min="5" max="5" width="14.5" style="81" customWidth="1"/>
    <col min="6" max="6" width="12.1640625" style="135" customWidth="1"/>
    <col min="7" max="7" width="13.1640625" style="340" customWidth="1"/>
    <col min="8" max="8" width="23.1640625" style="81" customWidth="1"/>
    <col min="9" max="9" width="6.6640625" style="81" customWidth="1"/>
    <col min="10" max="10" width="8.1640625" style="81" customWidth="1"/>
    <col min="11" max="11" width="15" style="81" customWidth="1"/>
    <col min="12" max="12" width="8.1640625" style="81" customWidth="1"/>
    <col min="13" max="16384" width="9" style="81"/>
  </cols>
  <sheetData>
    <row r="1" spans="1:12" s="80" customFormat="1" ht="30" customHeight="1">
      <c r="A1" s="374" t="s">
        <v>1015</v>
      </c>
      <c r="B1" s="375"/>
      <c r="C1" s="375"/>
      <c r="D1" s="375"/>
      <c r="E1" s="375"/>
      <c r="F1" s="375"/>
      <c r="G1" s="375"/>
      <c r="H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</row>
    <row r="3" spans="1:12" ht="14.25" customHeight="1">
      <c r="A3" s="40"/>
      <c r="B3" s="40"/>
      <c r="C3" s="40"/>
      <c r="D3" s="40"/>
      <c r="E3" s="40"/>
      <c r="F3" s="131"/>
      <c r="G3" s="131"/>
      <c r="H3" s="85"/>
    </row>
    <row r="4" spans="1:12" ht="14.25" customHeight="1">
      <c r="A4" s="40"/>
      <c r="B4" s="40"/>
      <c r="C4" s="40"/>
      <c r="D4" s="40"/>
      <c r="E4" s="40"/>
      <c r="F4" s="131"/>
      <c r="G4" s="131"/>
      <c r="H4" s="85"/>
    </row>
    <row r="5" spans="1:12" ht="15.75" customHeight="1">
      <c r="A5" s="125" t="str">
        <f>'1-汇总表'!A4</f>
        <v>被评估单位：A有限公司</v>
      </c>
      <c r="B5" s="125"/>
      <c r="C5" s="125"/>
      <c r="D5" s="42"/>
      <c r="E5" s="42"/>
      <c r="F5" s="173"/>
      <c r="G5" s="218"/>
      <c r="H5" s="122"/>
    </row>
    <row r="6" spans="1:12" s="101" customFormat="1" ht="15.75" customHeight="1">
      <c r="A6" s="45" t="s">
        <v>7</v>
      </c>
      <c r="B6" s="45" t="s">
        <v>69</v>
      </c>
      <c r="C6" s="45" t="s">
        <v>36</v>
      </c>
      <c r="D6" s="217" t="s">
        <v>117</v>
      </c>
      <c r="E6" s="45" t="s">
        <v>0</v>
      </c>
      <c r="F6" s="175" t="s">
        <v>1</v>
      </c>
      <c r="G6" s="341" t="s">
        <v>479</v>
      </c>
      <c r="H6" s="45" t="s">
        <v>39</v>
      </c>
      <c r="I6" s="274" t="s">
        <v>638</v>
      </c>
      <c r="J6" s="274" t="s">
        <v>637</v>
      </c>
      <c r="K6" s="274" t="s">
        <v>598</v>
      </c>
      <c r="L6" s="274" t="s">
        <v>599</v>
      </c>
    </row>
    <row r="7" spans="1:12" ht="15.75" customHeight="1">
      <c r="A7" s="8"/>
      <c r="B7" s="7"/>
      <c r="C7" s="146"/>
      <c r="D7" s="5"/>
      <c r="E7" s="5"/>
      <c r="F7" s="28" t="str">
        <f>IF(ISERROR(E7-D7),"",IF(E7=0,"",E7-D7))</f>
        <v/>
      </c>
      <c r="G7" s="339" t="str">
        <f>IF(ISERROR(E7-D7),"",IF(E7=0,"",IF(F7="",0,ROUND(F7*100/D7,2))))</f>
        <v/>
      </c>
      <c r="H7" s="7"/>
    </row>
    <row r="8" spans="1:12" ht="15.75" customHeight="1">
      <c r="A8" s="8"/>
      <c r="B8" s="7"/>
      <c r="C8" s="146"/>
      <c r="D8" s="5"/>
      <c r="E8" s="5"/>
      <c r="F8" s="28" t="str">
        <f t="shared" ref="F8:F26" si="0">IF(ISERROR(E8-D8),"",IF(E8=0,"",E8-D8))</f>
        <v/>
      </c>
      <c r="G8" s="339" t="str">
        <f t="shared" ref="G8:G26" si="1">IF(ISERROR(E8-D8),"",IF(E8=0,"",IF(F8="",0,ROUND(F8*100/D8,2))))</f>
        <v/>
      </c>
      <c r="H8" s="7"/>
    </row>
    <row r="9" spans="1:12" ht="15.75" customHeight="1">
      <c r="A9" s="8"/>
      <c r="B9" s="7"/>
      <c r="C9" s="146"/>
      <c r="D9" s="5"/>
      <c r="E9" s="5"/>
      <c r="F9" s="28" t="str">
        <f t="shared" si="0"/>
        <v/>
      </c>
      <c r="G9" s="339" t="str">
        <f t="shared" si="1"/>
        <v/>
      </c>
      <c r="H9" s="7"/>
    </row>
    <row r="10" spans="1:12" ht="15.75" customHeight="1">
      <c r="A10" s="8"/>
      <c r="B10" s="7"/>
      <c r="C10" s="146"/>
      <c r="D10" s="5"/>
      <c r="E10" s="5"/>
      <c r="F10" s="28" t="str">
        <f t="shared" si="0"/>
        <v/>
      </c>
      <c r="G10" s="339" t="str">
        <f t="shared" si="1"/>
        <v/>
      </c>
      <c r="H10" s="7"/>
    </row>
    <row r="11" spans="1:12" ht="15.75" customHeight="1">
      <c r="A11" s="8"/>
      <c r="B11" s="7"/>
      <c r="C11" s="146"/>
      <c r="D11" s="5"/>
      <c r="E11" s="5"/>
      <c r="F11" s="28" t="str">
        <f t="shared" si="0"/>
        <v/>
      </c>
      <c r="G11" s="339" t="str">
        <f t="shared" si="1"/>
        <v/>
      </c>
      <c r="H11" s="7"/>
    </row>
    <row r="12" spans="1:12" ht="15.75" customHeight="1">
      <c r="A12" s="8"/>
      <c r="B12" s="7"/>
      <c r="C12" s="146"/>
      <c r="D12" s="5"/>
      <c r="E12" s="5"/>
      <c r="F12" s="28" t="str">
        <f t="shared" si="0"/>
        <v/>
      </c>
      <c r="G12" s="339" t="str">
        <f t="shared" si="1"/>
        <v/>
      </c>
      <c r="H12" s="7"/>
    </row>
    <row r="13" spans="1:12" ht="15.75" customHeight="1">
      <c r="A13" s="8"/>
      <c r="B13" s="7"/>
      <c r="C13" s="146"/>
      <c r="D13" s="5"/>
      <c r="E13" s="5"/>
      <c r="F13" s="28" t="str">
        <f t="shared" si="0"/>
        <v/>
      </c>
      <c r="G13" s="339" t="str">
        <f t="shared" si="1"/>
        <v/>
      </c>
      <c r="H13" s="7"/>
    </row>
    <row r="14" spans="1:12" ht="15.75" customHeight="1">
      <c r="A14" s="8"/>
      <c r="B14" s="7"/>
      <c r="C14" s="146"/>
      <c r="D14" s="5"/>
      <c r="E14" s="5"/>
      <c r="F14" s="28" t="str">
        <f t="shared" si="0"/>
        <v/>
      </c>
      <c r="G14" s="339" t="str">
        <f t="shared" si="1"/>
        <v/>
      </c>
      <c r="H14" s="7"/>
    </row>
    <row r="15" spans="1:12" ht="15.75" customHeight="1">
      <c r="A15" s="8"/>
      <c r="B15" s="7"/>
      <c r="C15" s="146"/>
      <c r="D15" s="5"/>
      <c r="E15" s="5"/>
      <c r="F15" s="28" t="str">
        <f t="shared" si="0"/>
        <v/>
      </c>
      <c r="G15" s="339" t="str">
        <f t="shared" si="1"/>
        <v/>
      </c>
      <c r="H15" s="7"/>
    </row>
    <row r="16" spans="1:12" ht="15.75" customHeight="1">
      <c r="A16" s="8"/>
      <c r="B16" s="7"/>
      <c r="C16" s="146"/>
      <c r="D16" s="5"/>
      <c r="E16" s="5"/>
      <c r="F16" s="28" t="str">
        <f t="shared" si="0"/>
        <v/>
      </c>
      <c r="G16" s="339" t="str">
        <f t="shared" si="1"/>
        <v/>
      </c>
      <c r="H16" s="7"/>
    </row>
    <row r="17" spans="1:8" ht="15.75" customHeight="1">
      <c r="A17" s="8"/>
      <c r="B17" s="7"/>
      <c r="C17" s="146"/>
      <c r="D17" s="5"/>
      <c r="E17" s="5"/>
      <c r="F17" s="28" t="str">
        <f t="shared" si="0"/>
        <v/>
      </c>
      <c r="G17" s="339" t="str">
        <f t="shared" si="1"/>
        <v/>
      </c>
      <c r="H17" s="7"/>
    </row>
    <row r="18" spans="1:8" ht="15.75" customHeight="1">
      <c r="A18" s="8"/>
      <c r="B18" s="7"/>
      <c r="C18" s="146"/>
      <c r="D18" s="5"/>
      <c r="E18" s="5"/>
      <c r="F18" s="28" t="str">
        <f t="shared" si="0"/>
        <v/>
      </c>
      <c r="G18" s="339" t="str">
        <f t="shared" si="1"/>
        <v/>
      </c>
      <c r="H18" s="7"/>
    </row>
    <row r="19" spans="1:8" ht="15.75" customHeight="1">
      <c r="A19" s="8"/>
      <c r="B19" s="7"/>
      <c r="C19" s="146"/>
      <c r="D19" s="5"/>
      <c r="E19" s="5"/>
      <c r="F19" s="28" t="str">
        <f t="shared" si="0"/>
        <v/>
      </c>
      <c r="G19" s="339" t="str">
        <f t="shared" si="1"/>
        <v/>
      </c>
      <c r="H19" s="7"/>
    </row>
    <row r="20" spans="1:8" ht="15.75" customHeight="1">
      <c r="A20" s="8"/>
      <c r="B20" s="7"/>
      <c r="C20" s="146"/>
      <c r="D20" s="5"/>
      <c r="E20" s="5"/>
      <c r="F20" s="28" t="str">
        <f t="shared" si="0"/>
        <v/>
      </c>
      <c r="G20" s="339" t="str">
        <f t="shared" si="1"/>
        <v/>
      </c>
      <c r="H20" s="7"/>
    </row>
    <row r="21" spans="1:8" ht="15.75" customHeight="1">
      <c r="A21" s="8"/>
      <c r="B21" s="7"/>
      <c r="C21" s="146"/>
      <c r="D21" s="5"/>
      <c r="E21" s="5"/>
      <c r="F21" s="28" t="str">
        <f t="shared" si="0"/>
        <v/>
      </c>
      <c r="G21" s="339" t="str">
        <f t="shared" si="1"/>
        <v/>
      </c>
      <c r="H21" s="7"/>
    </row>
    <row r="22" spans="1:8" ht="15.75" customHeight="1">
      <c r="A22" s="8"/>
      <c r="B22" s="7"/>
      <c r="C22" s="146"/>
      <c r="D22" s="5"/>
      <c r="E22" s="5"/>
      <c r="F22" s="28" t="str">
        <f t="shared" si="0"/>
        <v/>
      </c>
      <c r="G22" s="339" t="str">
        <f t="shared" si="1"/>
        <v/>
      </c>
      <c r="H22" s="7"/>
    </row>
    <row r="23" spans="1:8" ht="15.75" customHeight="1">
      <c r="A23" s="8"/>
      <c r="B23" s="7"/>
      <c r="C23" s="146"/>
      <c r="D23" s="5"/>
      <c r="E23" s="5"/>
      <c r="F23" s="28" t="str">
        <f t="shared" si="0"/>
        <v/>
      </c>
      <c r="G23" s="339" t="str">
        <f t="shared" si="1"/>
        <v/>
      </c>
      <c r="H23" s="7"/>
    </row>
    <row r="24" spans="1:8" ht="15.75" customHeight="1">
      <c r="A24" s="8"/>
      <c r="B24" s="7"/>
      <c r="C24" s="146"/>
      <c r="D24" s="5"/>
      <c r="E24" s="5"/>
      <c r="F24" s="28" t="str">
        <f t="shared" si="0"/>
        <v/>
      </c>
      <c r="G24" s="339" t="str">
        <f t="shared" si="1"/>
        <v/>
      </c>
      <c r="H24" s="7"/>
    </row>
    <row r="25" spans="1:8" ht="15.75" customHeight="1">
      <c r="A25" s="8"/>
      <c r="B25" s="7"/>
      <c r="C25" s="146"/>
      <c r="D25" s="5"/>
      <c r="E25" s="5"/>
      <c r="F25" s="28" t="str">
        <f t="shared" si="0"/>
        <v/>
      </c>
      <c r="G25" s="339" t="str">
        <f t="shared" si="1"/>
        <v/>
      </c>
      <c r="H25" s="7"/>
    </row>
    <row r="26" spans="1:8" ht="15.75" customHeight="1">
      <c r="A26" s="383" t="s">
        <v>477</v>
      </c>
      <c r="B26" s="543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8" t="str">
        <f t="shared" ca="1" si="0"/>
        <v/>
      </c>
      <c r="G26" s="339" t="str">
        <f t="shared" ca="1" si="1"/>
        <v/>
      </c>
      <c r="H26" s="234"/>
    </row>
    <row r="27" spans="1:8" ht="15.75" hidden="1" customHeight="1">
      <c r="A27" s="8"/>
      <c r="B27" s="7"/>
      <c r="C27" s="146"/>
      <c r="D27" s="5"/>
      <c r="E27" s="5"/>
      <c r="F27" s="28" t="str">
        <f>IF(ISERROR(E27-D27),"",IF(E27=0,"",E27-D27))</f>
        <v/>
      </c>
      <c r="G27" s="339" t="str">
        <f>IF(ISERROR(E27-D27),"",IF(E27=0,"",IF(F27="",0,ROUND(F27*100/D27,2))))</f>
        <v/>
      </c>
      <c r="H27" s="7"/>
    </row>
    <row r="28" spans="1:8" ht="15.75" hidden="1" customHeight="1">
      <c r="A28" s="8"/>
      <c r="B28" s="7"/>
      <c r="C28" s="146"/>
      <c r="D28" s="5"/>
      <c r="E28" s="5"/>
      <c r="F28" s="28" t="str">
        <f t="shared" ref="F28:F46" si="2">IF(ISERROR(E28-D28),"",IF(E28=0,"",E28-D28))</f>
        <v/>
      </c>
      <c r="G28" s="339" t="str">
        <f t="shared" ref="G28:G46" si="3">IF(ISERROR(E28-D28),"",IF(E28=0,"",IF(F28="",0,ROUND(F28*100/D28,2))))</f>
        <v/>
      </c>
      <c r="H28" s="7"/>
    </row>
    <row r="29" spans="1:8" ht="15.75" hidden="1" customHeight="1">
      <c r="A29" s="8"/>
      <c r="B29" s="7"/>
      <c r="C29" s="146"/>
      <c r="D29" s="5"/>
      <c r="E29" s="5"/>
      <c r="F29" s="28" t="str">
        <f t="shared" si="2"/>
        <v/>
      </c>
      <c r="G29" s="339" t="str">
        <f t="shared" si="3"/>
        <v/>
      </c>
      <c r="H29" s="7"/>
    </row>
    <row r="30" spans="1:8" ht="15.75" hidden="1" customHeight="1">
      <c r="A30" s="8"/>
      <c r="B30" s="7"/>
      <c r="C30" s="146"/>
      <c r="D30" s="5"/>
      <c r="E30" s="5"/>
      <c r="F30" s="28" t="str">
        <f t="shared" si="2"/>
        <v/>
      </c>
      <c r="G30" s="339" t="str">
        <f t="shared" si="3"/>
        <v/>
      </c>
      <c r="H30" s="7"/>
    </row>
    <row r="31" spans="1:8" ht="15.75" hidden="1" customHeight="1">
      <c r="A31" s="8"/>
      <c r="B31" s="7"/>
      <c r="C31" s="146"/>
      <c r="D31" s="5"/>
      <c r="E31" s="5"/>
      <c r="F31" s="28" t="str">
        <f t="shared" si="2"/>
        <v/>
      </c>
      <c r="G31" s="339" t="str">
        <f t="shared" si="3"/>
        <v/>
      </c>
      <c r="H31" s="7"/>
    </row>
    <row r="32" spans="1:8" ht="15.75" hidden="1" customHeight="1">
      <c r="A32" s="8"/>
      <c r="B32" s="7"/>
      <c r="C32" s="146"/>
      <c r="D32" s="5"/>
      <c r="E32" s="5"/>
      <c r="F32" s="28" t="str">
        <f t="shared" si="2"/>
        <v/>
      </c>
      <c r="G32" s="339" t="str">
        <f t="shared" si="3"/>
        <v/>
      </c>
      <c r="H32" s="7"/>
    </row>
    <row r="33" spans="1:8" ht="15.75" hidden="1" customHeight="1">
      <c r="A33" s="8"/>
      <c r="B33" s="7"/>
      <c r="C33" s="146"/>
      <c r="D33" s="5"/>
      <c r="E33" s="5"/>
      <c r="F33" s="28" t="str">
        <f t="shared" si="2"/>
        <v/>
      </c>
      <c r="G33" s="339" t="str">
        <f t="shared" si="3"/>
        <v/>
      </c>
      <c r="H33" s="7"/>
    </row>
    <row r="34" spans="1:8" ht="15.75" hidden="1" customHeight="1">
      <c r="A34" s="8"/>
      <c r="B34" s="7"/>
      <c r="C34" s="146"/>
      <c r="D34" s="5"/>
      <c r="E34" s="5"/>
      <c r="F34" s="28" t="str">
        <f t="shared" si="2"/>
        <v/>
      </c>
      <c r="G34" s="339" t="str">
        <f t="shared" si="3"/>
        <v/>
      </c>
      <c r="H34" s="7"/>
    </row>
    <row r="35" spans="1:8" ht="15.75" hidden="1" customHeight="1">
      <c r="A35" s="8"/>
      <c r="B35" s="7"/>
      <c r="C35" s="146"/>
      <c r="D35" s="5"/>
      <c r="E35" s="5"/>
      <c r="F35" s="28" t="str">
        <f t="shared" si="2"/>
        <v/>
      </c>
      <c r="G35" s="339" t="str">
        <f t="shared" si="3"/>
        <v/>
      </c>
      <c r="H35" s="7"/>
    </row>
    <row r="36" spans="1:8" ht="15.75" hidden="1" customHeight="1">
      <c r="A36" s="8"/>
      <c r="B36" s="7"/>
      <c r="C36" s="146"/>
      <c r="D36" s="5"/>
      <c r="E36" s="5"/>
      <c r="F36" s="28" t="str">
        <f t="shared" si="2"/>
        <v/>
      </c>
      <c r="G36" s="339" t="str">
        <f t="shared" si="3"/>
        <v/>
      </c>
      <c r="H36" s="7"/>
    </row>
    <row r="37" spans="1:8" ht="15.75" hidden="1" customHeight="1">
      <c r="A37" s="8"/>
      <c r="B37" s="7"/>
      <c r="C37" s="146"/>
      <c r="D37" s="5"/>
      <c r="E37" s="5"/>
      <c r="F37" s="28" t="str">
        <f t="shared" si="2"/>
        <v/>
      </c>
      <c r="G37" s="339" t="str">
        <f t="shared" si="3"/>
        <v/>
      </c>
      <c r="H37" s="7"/>
    </row>
    <row r="38" spans="1:8" ht="15.75" hidden="1" customHeight="1">
      <c r="A38" s="8"/>
      <c r="B38" s="7"/>
      <c r="C38" s="146"/>
      <c r="D38" s="5"/>
      <c r="E38" s="5"/>
      <c r="F38" s="28" t="str">
        <f t="shared" si="2"/>
        <v/>
      </c>
      <c r="G38" s="339" t="str">
        <f t="shared" si="3"/>
        <v/>
      </c>
      <c r="H38" s="7"/>
    </row>
    <row r="39" spans="1:8" ht="15.75" hidden="1" customHeight="1">
      <c r="A39" s="8"/>
      <c r="B39" s="7"/>
      <c r="C39" s="146"/>
      <c r="D39" s="5"/>
      <c r="E39" s="5"/>
      <c r="F39" s="28" t="str">
        <f t="shared" si="2"/>
        <v/>
      </c>
      <c r="G39" s="339" t="str">
        <f t="shared" si="3"/>
        <v/>
      </c>
      <c r="H39" s="7"/>
    </row>
    <row r="40" spans="1:8" ht="15.75" hidden="1" customHeight="1">
      <c r="A40" s="8"/>
      <c r="B40" s="7"/>
      <c r="C40" s="146"/>
      <c r="D40" s="5"/>
      <c r="E40" s="5"/>
      <c r="F40" s="28" t="str">
        <f t="shared" si="2"/>
        <v/>
      </c>
      <c r="G40" s="339" t="str">
        <f t="shared" si="3"/>
        <v/>
      </c>
      <c r="H40" s="7"/>
    </row>
    <row r="41" spans="1:8" ht="15.75" hidden="1" customHeight="1">
      <c r="A41" s="8"/>
      <c r="B41" s="7"/>
      <c r="C41" s="146"/>
      <c r="D41" s="5"/>
      <c r="E41" s="5"/>
      <c r="F41" s="28" t="str">
        <f t="shared" si="2"/>
        <v/>
      </c>
      <c r="G41" s="339" t="str">
        <f t="shared" si="3"/>
        <v/>
      </c>
      <c r="H41" s="7"/>
    </row>
    <row r="42" spans="1:8" ht="15.75" hidden="1" customHeight="1">
      <c r="A42" s="8"/>
      <c r="B42" s="7"/>
      <c r="C42" s="146"/>
      <c r="D42" s="5"/>
      <c r="E42" s="5"/>
      <c r="F42" s="28" t="str">
        <f t="shared" si="2"/>
        <v/>
      </c>
      <c r="G42" s="339" t="str">
        <f t="shared" si="3"/>
        <v/>
      </c>
      <c r="H42" s="7"/>
    </row>
    <row r="43" spans="1:8" ht="15.75" hidden="1" customHeight="1">
      <c r="A43" s="8"/>
      <c r="B43" s="7"/>
      <c r="C43" s="146"/>
      <c r="D43" s="5"/>
      <c r="E43" s="5"/>
      <c r="F43" s="28" t="str">
        <f t="shared" si="2"/>
        <v/>
      </c>
      <c r="G43" s="339" t="str">
        <f t="shared" si="3"/>
        <v/>
      </c>
      <c r="H43" s="7"/>
    </row>
    <row r="44" spans="1:8" ht="15.75" hidden="1" customHeight="1">
      <c r="A44" s="8"/>
      <c r="B44" s="7"/>
      <c r="C44" s="146"/>
      <c r="D44" s="5"/>
      <c r="E44" s="5"/>
      <c r="F44" s="28" t="str">
        <f t="shared" si="2"/>
        <v/>
      </c>
      <c r="G44" s="339" t="str">
        <f t="shared" si="3"/>
        <v/>
      </c>
      <c r="H44" s="7"/>
    </row>
    <row r="45" spans="1:8" ht="15.75" hidden="1" customHeight="1">
      <c r="A45" s="8"/>
      <c r="B45" s="7"/>
      <c r="C45" s="146"/>
      <c r="D45" s="5"/>
      <c r="E45" s="5"/>
      <c r="F45" s="28" t="str">
        <f t="shared" si="2"/>
        <v/>
      </c>
      <c r="G45" s="339" t="str">
        <f t="shared" si="3"/>
        <v/>
      </c>
      <c r="H45" s="7"/>
    </row>
    <row r="46" spans="1:8" ht="15.75" hidden="1" customHeight="1">
      <c r="A46" s="8"/>
      <c r="B46" s="7"/>
      <c r="C46" s="146"/>
      <c r="D46" s="5"/>
      <c r="E46" s="5"/>
      <c r="F46" s="28" t="str">
        <f t="shared" si="2"/>
        <v/>
      </c>
      <c r="G46" s="339" t="str">
        <f t="shared" si="3"/>
        <v/>
      </c>
      <c r="H46" s="7"/>
    </row>
  </sheetData>
  <mergeCells count="3">
    <mergeCell ref="A1:H1"/>
    <mergeCell ref="A2:H2"/>
    <mergeCell ref="A26:B26"/>
  </mergeCells>
  <phoneticPr fontId="6" type="noConversion"/>
  <printOptions horizontalCentered="1" verticalCentered="1"/>
  <pageMargins left="1.3385826771653544" right="0.9055118110236221" top="0.27559055118110237" bottom="0.74803149606299213" header="1.7716535433070868" footer="1.2204724409448819"/>
  <pageSetup paperSize="9" fitToHeight="0" orientation="landscape" blackAndWhite="1" horizontalDpi="1200" verticalDpi="1200" r:id="rId1"/>
  <headerFooter scaleWithDoc="0">
    <oddHeader>&amp;R&amp;"宋体,常规"&amp;10表4-11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876300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EFAB-16AA-4629-A884-48FA3F1FFDEF}">
  <sheetPr codeName="Sheet78">
    <pageSetUpPr fitToPage="1"/>
  </sheetPr>
  <dimension ref="A1:Q47"/>
  <sheetViews>
    <sheetView workbookViewId="0">
      <pane ySplit="7" topLeftCell="A8" activePane="bottomLeft" state="frozen"/>
      <selection activeCell="F17" sqref="F17"/>
      <selection pane="bottomLeft" activeCell="L3" sqref="L1:L65536"/>
    </sheetView>
  </sheetViews>
  <sheetFormatPr baseColWidth="10" defaultColWidth="9" defaultRowHeight="15.75" customHeight="1"/>
  <cols>
    <col min="1" max="1" width="4.5" style="81" customWidth="1"/>
    <col min="2" max="2" width="12.1640625" style="81" customWidth="1"/>
    <col min="3" max="3" width="11.6640625" style="81" customWidth="1"/>
    <col min="4" max="6" width="4.5" style="81" customWidth="1"/>
    <col min="7" max="8" width="13.1640625" style="81" customWidth="1"/>
    <col min="9" max="9" width="12.6640625" style="81" customWidth="1"/>
    <col min="10" max="10" width="8" style="81" customWidth="1"/>
    <col min="11" max="11" width="12" style="81" customWidth="1"/>
    <col min="12" max="12" width="7.1640625" style="340" customWidth="1"/>
    <col min="13" max="13" width="10.6640625" style="81" customWidth="1"/>
    <col min="14" max="14" width="7.1640625" style="81" customWidth="1"/>
    <col min="15" max="15" width="9" style="81" customWidth="1"/>
    <col min="16" max="16" width="10" style="81" customWidth="1"/>
    <col min="17" max="17" width="8.6640625" style="81" customWidth="1"/>
    <col min="18" max="16384" width="9" style="81"/>
  </cols>
  <sheetData>
    <row r="1" spans="1:17" s="80" customFormat="1" ht="30" customHeight="1">
      <c r="A1" s="374" t="s">
        <v>1016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</row>
    <row r="2" spans="1:17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  <c r="K2" s="378"/>
      <c r="L2" s="378"/>
      <c r="M2" s="378"/>
    </row>
    <row r="3" spans="1:17" ht="14.25" customHeight="1">
      <c r="A3" s="40"/>
      <c r="B3" s="40"/>
      <c r="C3" s="40"/>
      <c r="D3" s="40"/>
      <c r="E3" s="40"/>
      <c r="F3" s="171"/>
      <c r="G3" s="171"/>
      <c r="H3" s="171"/>
      <c r="I3" s="171"/>
      <c r="J3" s="171"/>
      <c r="K3" s="177"/>
      <c r="L3" s="218"/>
      <c r="M3" s="177"/>
    </row>
    <row r="4" spans="1:17" ht="14.25" customHeight="1">
      <c r="A4" s="40"/>
      <c r="B4" s="40"/>
      <c r="C4" s="40"/>
      <c r="D4" s="40"/>
      <c r="E4" s="40"/>
      <c r="F4" s="171"/>
      <c r="G4" s="171"/>
      <c r="H4" s="171"/>
      <c r="I4" s="171"/>
      <c r="J4" s="171"/>
      <c r="K4" s="178"/>
      <c r="L4" s="337"/>
      <c r="M4" s="37"/>
    </row>
    <row r="5" spans="1:17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168"/>
      <c r="L5" s="342"/>
      <c r="M5" s="168"/>
    </row>
    <row r="6" spans="1:17" s="101" customFormat="1" ht="19.5" customHeight="1">
      <c r="A6" s="465" t="s">
        <v>210</v>
      </c>
      <c r="B6" s="465" t="s">
        <v>218</v>
      </c>
      <c r="C6" s="480" t="s">
        <v>219</v>
      </c>
      <c r="D6" s="480" t="s">
        <v>211</v>
      </c>
      <c r="E6" s="480" t="s">
        <v>212</v>
      </c>
      <c r="F6" s="480" t="s">
        <v>213</v>
      </c>
      <c r="G6" s="557" t="s">
        <v>117</v>
      </c>
      <c r="H6" s="541"/>
      <c r="I6" s="465" t="s">
        <v>214</v>
      </c>
      <c r="J6" s="466"/>
      <c r="K6" s="466"/>
      <c r="L6" s="538" t="s">
        <v>479</v>
      </c>
      <c r="M6" s="480" t="s">
        <v>215</v>
      </c>
      <c r="N6" s="558" t="s">
        <v>638</v>
      </c>
      <c r="O6" s="558" t="s">
        <v>637</v>
      </c>
      <c r="P6" s="458" t="s">
        <v>598</v>
      </c>
      <c r="Q6" s="458" t="s">
        <v>599</v>
      </c>
    </row>
    <row r="7" spans="1:17" s="101" customFormat="1" ht="26.25" customHeight="1">
      <c r="A7" s="466"/>
      <c r="B7" s="466"/>
      <c r="C7" s="466"/>
      <c r="D7" s="466"/>
      <c r="E7" s="466"/>
      <c r="F7" s="466"/>
      <c r="G7" s="124" t="s">
        <v>216</v>
      </c>
      <c r="H7" s="45" t="s">
        <v>217</v>
      </c>
      <c r="I7" s="45" t="s">
        <v>216</v>
      </c>
      <c r="J7" s="211" t="s">
        <v>481</v>
      </c>
      <c r="K7" s="45" t="s">
        <v>217</v>
      </c>
      <c r="L7" s="539"/>
      <c r="M7" s="466"/>
      <c r="N7" s="559"/>
      <c r="O7" s="559"/>
      <c r="P7" s="459"/>
      <c r="Q7" s="459"/>
    </row>
    <row r="8" spans="1:17" ht="15.75" customHeight="1">
      <c r="A8" s="8"/>
      <c r="B8" s="7"/>
      <c r="C8" s="7"/>
      <c r="D8" s="8"/>
      <c r="E8" s="8"/>
      <c r="F8" s="146"/>
      <c r="G8" s="6"/>
      <c r="H8" s="5"/>
      <c r="I8" s="5"/>
      <c r="J8" s="9"/>
      <c r="K8" s="5"/>
      <c r="L8" s="339" t="str">
        <f>IF(ISERROR(K8-H8),"",IF(K8=0,"",ROUND((K8-H8)*100/H8,2)))</f>
        <v/>
      </c>
      <c r="M8" s="7"/>
    </row>
    <row r="9" spans="1:17" ht="15.75" customHeight="1">
      <c r="A9" s="8"/>
      <c r="B9" s="7"/>
      <c r="C9" s="7"/>
      <c r="D9" s="8"/>
      <c r="E9" s="8"/>
      <c r="F9" s="146"/>
      <c r="G9" s="6"/>
      <c r="H9" s="5"/>
      <c r="I9" s="5"/>
      <c r="J9" s="9"/>
      <c r="K9" s="5"/>
      <c r="L9" s="339" t="str">
        <f t="shared" ref="L9:L28" si="0">IF(ISERROR(K9-H9),"",IF(K9=0,"",ROUND((K9-H9)*100/H9,2)))</f>
        <v/>
      </c>
      <c r="M9" s="7"/>
    </row>
    <row r="10" spans="1:17" ht="15.75" customHeight="1">
      <c r="A10" s="8"/>
      <c r="B10" s="7"/>
      <c r="C10" s="7"/>
      <c r="D10" s="8"/>
      <c r="E10" s="8"/>
      <c r="F10" s="146"/>
      <c r="G10" s="6"/>
      <c r="H10" s="5"/>
      <c r="I10" s="5"/>
      <c r="J10" s="9"/>
      <c r="K10" s="5"/>
      <c r="L10" s="339" t="str">
        <f t="shared" si="0"/>
        <v/>
      </c>
      <c r="M10" s="7"/>
    </row>
    <row r="11" spans="1:17" ht="15.75" customHeight="1">
      <c r="A11" s="8"/>
      <c r="B11" s="7"/>
      <c r="C11" s="7"/>
      <c r="D11" s="8"/>
      <c r="E11" s="8"/>
      <c r="F11" s="146"/>
      <c r="G11" s="6"/>
      <c r="H11" s="5"/>
      <c r="I11" s="5"/>
      <c r="J11" s="9"/>
      <c r="K11" s="5"/>
      <c r="L11" s="339" t="str">
        <f t="shared" si="0"/>
        <v/>
      </c>
      <c r="M11" s="7"/>
    </row>
    <row r="12" spans="1:17" ht="15.75" customHeight="1">
      <c r="A12" s="8"/>
      <c r="B12" s="7"/>
      <c r="C12" s="7"/>
      <c r="D12" s="8"/>
      <c r="E12" s="8"/>
      <c r="F12" s="146"/>
      <c r="G12" s="6"/>
      <c r="H12" s="5"/>
      <c r="I12" s="5"/>
      <c r="J12" s="9"/>
      <c r="K12" s="5"/>
      <c r="L12" s="339" t="str">
        <f t="shared" si="0"/>
        <v/>
      </c>
      <c r="M12" s="7"/>
    </row>
    <row r="13" spans="1:17" ht="15.75" customHeight="1">
      <c r="A13" s="8"/>
      <c r="B13" s="7"/>
      <c r="C13" s="7"/>
      <c r="D13" s="8"/>
      <c r="E13" s="8"/>
      <c r="F13" s="146"/>
      <c r="G13" s="6"/>
      <c r="H13" s="5"/>
      <c r="I13" s="5"/>
      <c r="J13" s="9"/>
      <c r="K13" s="5"/>
      <c r="L13" s="339" t="str">
        <f t="shared" si="0"/>
        <v/>
      </c>
      <c r="M13" s="7"/>
    </row>
    <row r="14" spans="1:17" ht="15.75" customHeight="1">
      <c r="A14" s="8"/>
      <c r="B14" s="7"/>
      <c r="C14" s="7"/>
      <c r="D14" s="8"/>
      <c r="E14" s="8"/>
      <c r="F14" s="146"/>
      <c r="G14" s="6"/>
      <c r="H14" s="5"/>
      <c r="I14" s="5"/>
      <c r="J14" s="9"/>
      <c r="K14" s="5"/>
      <c r="L14" s="339" t="str">
        <f t="shared" si="0"/>
        <v/>
      </c>
      <c r="M14" s="7"/>
    </row>
    <row r="15" spans="1:17" ht="15.75" customHeight="1">
      <c r="A15" s="8"/>
      <c r="B15" s="7"/>
      <c r="C15" s="7"/>
      <c r="D15" s="8"/>
      <c r="E15" s="8"/>
      <c r="F15" s="146"/>
      <c r="G15" s="6"/>
      <c r="H15" s="5"/>
      <c r="I15" s="5"/>
      <c r="J15" s="9"/>
      <c r="K15" s="5"/>
      <c r="L15" s="339" t="str">
        <f t="shared" si="0"/>
        <v/>
      </c>
      <c r="M15" s="7"/>
    </row>
    <row r="16" spans="1:17" ht="15.75" customHeight="1">
      <c r="A16" s="8"/>
      <c r="B16" s="7"/>
      <c r="C16" s="7"/>
      <c r="D16" s="8"/>
      <c r="E16" s="8"/>
      <c r="F16" s="146"/>
      <c r="G16" s="6"/>
      <c r="H16" s="5"/>
      <c r="I16" s="5"/>
      <c r="J16" s="9"/>
      <c r="K16" s="5"/>
      <c r="L16" s="339" t="str">
        <f t="shared" si="0"/>
        <v/>
      </c>
      <c r="M16" s="7"/>
    </row>
    <row r="17" spans="1:13" ht="15.75" customHeight="1">
      <c r="A17" s="8"/>
      <c r="B17" s="7"/>
      <c r="C17" s="7"/>
      <c r="D17" s="8"/>
      <c r="E17" s="8"/>
      <c r="F17" s="146"/>
      <c r="G17" s="6"/>
      <c r="H17" s="5"/>
      <c r="I17" s="5"/>
      <c r="J17" s="9"/>
      <c r="K17" s="5"/>
      <c r="L17" s="339" t="str">
        <f t="shared" si="0"/>
        <v/>
      </c>
      <c r="M17" s="7"/>
    </row>
    <row r="18" spans="1:13" ht="15.75" customHeight="1">
      <c r="A18" s="8"/>
      <c r="B18" s="7"/>
      <c r="C18" s="7"/>
      <c r="D18" s="8"/>
      <c r="E18" s="8"/>
      <c r="F18" s="146"/>
      <c r="G18" s="6"/>
      <c r="H18" s="5"/>
      <c r="I18" s="5"/>
      <c r="J18" s="9"/>
      <c r="K18" s="5"/>
      <c r="L18" s="339" t="str">
        <f t="shared" si="0"/>
        <v/>
      </c>
      <c r="M18" s="7"/>
    </row>
    <row r="19" spans="1:13" ht="15.75" customHeight="1">
      <c r="A19" s="8"/>
      <c r="B19" s="7"/>
      <c r="C19" s="7"/>
      <c r="D19" s="8"/>
      <c r="E19" s="8"/>
      <c r="F19" s="146"/>
      <c r="G19" s="6"/>
      <c r="H19" s="5"/>
      <c r="I19" s="5"/>
      <c r="J19" s="9"/>
      <c r="K19" s="5"/>
      <c r="L19" s="339" t="str">
        <f t="shared" si="0"/>
        <v/>
      </c>
      <c r="M19" s="7"/>
    </row>
    <row r="20" spans="1:13" ht="15.75" customHeight="1">
      <c r="A20" s="8"/>
      <c r="B20" s="7"/>
      <c r="C20" s="7"/>
      <c r="D20" s="8"/>
      <c r="E20" s="8"/>
      <c r="F20" s="146"/>
      <c r="G20" s="6"/>
      <c r="H20" s="5"/>
      <c r="I20" s="5"/>
      <c r="J20" s="9"/>
      <c r="K20" s="5"/>
      <c r="L20" s="339" t="str">
        <f t="shared" si="0"/>
        <v/>
      </c>
      <c r="M20" s="7"/>
    </row>
    <row r="21" spans="1:13" ht="15.75" customHeight="1">
      <c r="A21" s="8"/>
      <c r="B21" s="7"/>
      <c r="C21" s="7"/>
      <c r="D21" s="8"/>
      <c r="E21" s="8"/>
      <c r="F21" s="146"/>
      <c r="G21" s="6"/>
      <c r="H21" s="5"/>
      <c r="I21" s="5"/>
      <c r="J21" s="9"/>
      <c r="K21" s="5"/>
      <c r="L21" s="339" t="str">
        <f t="shared" si="0"/>
        <v/>
      </c>
      <c r="M21" s="7"/>
    </row>
    <row r="22" spans="1:13" ht="15.75" customHeight="1">
      <c r="A22" s="8"/>
      <c r="B22" s="7"/>
      <c r="C22" s="7"/>
      <c r="D22" s="8"/>
      <c r="E22" s="8"/>
      <c r="F22" s="146"/>
      <c r="G22" s="6"/>
      <c r="H22" s="5"/>
      <c r="I22" s="5"/>
      <c r="J22" s="9"/>
      <c r="K22" s="5"/>
      <c r="L22" s="339" t="str">
        <f t="shared" si="0"/>
        <v/>
      </c>
      <c r="M22" s="7"/>
    </row>
    <row r="23" spans="1:13" ht="15.75" customHeight="1">
      <c r="A23" s="8"/>
      <c r="B23" s="7"/>
      <c r="C23" s="7"/>
      <c r="D23" s="8"/>
      <c r="E23" s="8"/>
      <c r="F23" s="146"/>
      <c r="G23" s="6"/>
      <c r="H23" s="5"/>
      <c r="I23" s="5"/>
      <c r="J23" s="9"/>
      <c r="K23" s="5"/>
      <c r="L23" s="339" t="str">
        <f t="shared" si="0"/>
        <v/>
      </c>
      <c r="M23" s="7"/>
    </row>
    <row r="24" spans="1:13" ht="15.75" customHeight="1">
      <c r="A24" s="8"/>
      <c r="B24" s="7"/>
      <c r="C24" s="7"/>
      <c r="D24" s="8"/>
      <c r="E24" s="8"/>
      <c r="F24" s="146"/>
      <c r="G24" s="6"/>
      <c r="H24" s="5"/>
      <c r="I24" s="5"/>
      <c r="J24" s="9"/>
      <c r="K24" s="5"/>
      <c r="L24" s="339" t="str">
        <f t="shared" si="0"/>
        <v/>
      </c>
      <c r="M24" s="7"/>
    </row>
    <row r="25" spans="1:13" ht="15.75" customHeight="1">
      <c r="A25" s="379" t="s">
        <v>535</v>
      </c>
      <c r="B25" s="380"/>
      <c r="C25" s="543"/>
      <c r="D25" s="237"/>
      <c r="E25" s="237"/>
      <c r="F25" s="232"/>
      <c r="G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243"/>
      <c r="K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5" s="339" t="str">
        <f t="shared" ca="1" si="0"/>
        <v/>
      </c>
      <c r="M25" s="234"/>
    </row>
    <row r="26" spans="1:13" ht="15.75" customHeight="1">
      <c r="A26" s="382" t="s">
        <v>220</v>
      </c>
      <c r="B26" s="382"/>
      <c r="C26" s="382"/>
      <c r="D26" s="237"/>
      <c r="E26" s="237"/>
      <c r="F26" s="232"/>
      <c r="G26" s="243"/>
      <c r="H26" s="31"/>
      <c r="I26" s="31"/>
      <c r="J26" s="249"/>
      <c r="K26" s="31"/>
      <c r="L26" s="339"/>
      <c r="M26" s="234"/>
    </row>
    <row r="27" spans="1:13" ht="15.75" customHeight="1">
      <c r="A27" s="383" t="s">
        <v>478</v>
      </c>
      <c r="B27" s="380"/>
      <c r="C27" s="543"/>
      <c r="D27" s="237"/>
      <c r="E27" s="237"/>
      <c r="F27" s="232"/>
      <c r="G27" s="243" t="str">
        <f ca="1">IF(G26="",G25,G25-G26)</f>
        <v/>
      </c>
      <c r="H27" s="243" t="str">
        <f ca="1">IF(H26="",H25,H25-H26)</f>
        <v/>
      </c>
      <c r="I27" s="243" t="str">
        <f ca="1">IF(I26="",I25,I25-I26)</f>
        <v/>
      </c>
      <c r="J27" s="243"/>
      <c r="K27" s="243" t="str">
        <f ca="1">IF(K26="",K25,K25-K26)</f>
        <v/>
      </c>
      <c r="L27" s="339" t="str">
        <f t="shared" ca="1" si="0"/>
        <v/>
      </c>
      <c r="M27" s="234"/>
    </row>
    <row r="28" spans="1:13" ht="15.75" hidden="1" customHeight="1">
      <c r="A28" s="8"/>
      <c r="B28" s="7"/>
      <c r="C28" s="7"/>
      <c r="D28" s="8"/>
      <c r="E28" s="8"/>
      <c r="F28" s="146"/>
      <c r="G28" s="6"/>
      <c r="H28" s="5"/>
      <c r="I28" s="5"/>
      <c r="J28" s="9"/>
      <c r="K28" s="5"/>
      <c r="L28" s="339" t="str">
        <f t="shared" si="0"/>
        <v/>
      </c>
      <c r="M28" s="7"/>
    </row>
    <row r="29" spans="1:13" ht="15.75" hidden="1" customHeight="1">
      <c r="A29" s="8"/>
      <c r="B29" s="7"/>
      <c r="C29" s="7"/>
      <c r="D29" s="8"/>
      <c r="E29" s="8"/>
      <c r="F29" s="146"/>
      <c r="G29" s="6"/>
      <c r="H29" s="5"/>
      <c r="I29" s="5"/>
      <c r="J29" s="9"/>
      <c r="K29" s="5"/>
      <c r="L29" s="339" t="str">
        <f t="shared" ref="L29:L47" si="1">IF(ISERROR(K29-H29),"",IF(K29=0,"",ROUND((K29-H29)*100/H29,2)))</f>
        <v/>
      </c>
      <c r="M29" s="7"/>
    </row>
    <row r="30" spans="1:13" ht="15.75" hidden="1" customHeight="1">
      <c r="A30" s="8"/>
      <c r="B30" s="7"/>
      <c r="C30" s="7"/>
      <c r="D30" s="8"/>
      <c r="E30" s="8"/>
      <c r="F30" s="146"/>
      <c r="G30" s="6"/>
      <c r="H30" s="5"/>
      <c r="I30" s="5"/>
      <c r="J30" s="9"/>
      <c r="K30" s="5"/>
      <c r="L30" s="339" t="str">
        <f t="shared" si="1"/>
        <v/>
      </c>
      <c r="M30" s="7"/>
    </row>
    <row r="31" spans="1:13" ht="15.75" hidden="1" customHeight="1">
      <c r="A31" s="8"/>
      <c r="B31" s="7"/>
      <c r="C31" s="7"/>
      <c r="D31" s="8"/>
      <c r="E31" s="8"/>
      <c r="F31" s="146"/>
      <c r="G31" s="6"/>
      <c r="H31" s="5"/>
      <c r="I31" s="5"/>
      <c r="J31" s="9"/>
      <c r="K31" s="5"/>
      <c r="L31" s="339" t="str">
        <f t="shared" si="1"/>
        <v/>
      </c>
      <c r="M31" s="7"/>
    </row>
    <row r="32" spans="1:13" ht="15.75" hidden="1" customHeight="1">
      <c r="A32" s="8"/>
      <c r="B32" s="7"/>
      <c r="C32" s="7"/>
      <c r="D32" s="8"/>
      <c r="E32" s="8"/>
      <c r="F32" s="146"/>
      <c r="G32" s="6"/>
      <c r="H32" s="5"/>
      <c r="I32" s="5"/>
      <c r="J32" s="9"/>
      <c r="K32" s="5"/>
      <c r="L32" s="339" t="str">
        <f t="shared" si="1"/>
        <v/>
      </c>
      <c r="M32" s="7"/>
    </row>
    <row r="33" spans="1:13" ht="15.75" hidden="1" customHeight="1">
      <c r="A33" s="8"/>
      <c r="B33" s="7"/>
      <c r="C33" s="7"/>
      <c r="D33" s="8"/>
      <c r="E33" s="8"/>
      <c r="F33" s="146"/>
      <c r="G33" s="6"/>
      <c r="H33" s="5"/>
      <c r="I33" s="5"/>
      <c r="J33" s="9"/>
      <c r="K33" s="5"/>
      <c r="L33" s="339" t="str">
        <f t="shared" si="1"/>
        <v/>
      </c>
      <c r="M33" s="7"/>
    </row>
    <row r="34" spans="1:13" ht="15.75" hidden="1" customHeight="1">
      <c r="A34" s="8"/>
      <c r="B34" s="7"/>
      <c r="C34" s="7"/>
      <c r="D34" s="8"/>
      <c r="E34" s="8"/>
      <c r="F34" s="146"/>
      <c r="G34" s="6"/>
      <c r="H34" s="5"/>
      <c r="I34" s="5"/>
      <c r="J34" s="9"/>
      <c r="K34" s="5"/>
      <c r="L34" s="339" t="str">
        <f t="shared" si="1"/>
        <v/>
      </c>
      <c r="M34" s="7"/>
    </row>
    <row r="35" spans="1:13" ht="15.75" hidden="1" customHeight="1">
      <c r="A35" s="8"/>
      <c r="B35" s="7"/>
      <c r="C35" s="7"/>
      <c r="D35" s="8"/>
      <c r="E35" s="8"/>
      <c r="F35" s="146"/>
      <c r="G35" s="6"/>
      <c r="H35" s="5"/>
      <c r="I35" s="5"/>
      <c r="J35" s="9"/>
      <c r="K35" s="5"/>
      <c r="L35" s="339" t="str">
        <f t="shared" si="1"/>
        <v/>
      </c>
      <c r="M35" s="7"/>
    </row>
    <row r="36" spans="1:13" ht="15.75" hidden="1" customHeight="1">
      <c r="A36" s="8"/>
      <c r="B36" s="7"/>
      <c r="C36" s="7"/>
      <c r="D36" s="8"/>
      <c r="E36" s="8"/>
      <c r="F36" s="146"/>
      <c r="G36" s="6"/>
      <c r="H36" s="5"/>
      <c r="I36" s="5"/>
      <c r="J36" s="9"/>
      <c r="K36" s="5"/>
      <c r="L36" s="339" t="str">
        <f t="shared" si="1"/>
        <v/>
      </c>
      <c r="M36" s="7"/>
    </row>
    <row r="37" spans="1:13" ht="15.75" hidden="1" customHeight="1">
      <c r="A37" s="8"/>
      <c r="B37" s="7"/>
      <c r="C37" s="7"/>
      <c r="D37" s="8"/>
      <c r="E37" s="8"/>
      <c r="F37" s="146"/>
      <c r="G37" s="6"/>
      <c r="H37" s="5"/>
      <c r="I37" s="5"/>
      <c r="J37" s="9"/>
      <c r="K37" s="5"/>
      <c r="L37" s="339" t="str">
        <f t="shared" si="1"/>
        <v/>
      </c>
      <c r="M37" s="7"/>
    </row>
    <row r="38" spans="1:13" ht="15.75" hidden="1" customHeight="1">
      <c r="A38" s="8"/>
      <c r="B38" s="7"/>
      <c r="C38" s="7"/>
      <c r="D38" s="8"/>
      <c r="E38" s="8"/>
      <c r="F38" s="146"/>
      <c r="G38" s="6"/>
      <c r="H38" s="5"/>
      <c r="I38" s="5"/>
      <c r="J38" s="9"/>
      <c r="K38" s="5"/>
      <c r="L38" s="339" t="str">
        <f t="shared" si="1"/>
        <v/>
      </c>
      <c r="M38" s="7"/>
    </row>
    <row r="39" spans="1:13" ht="15.75" hidden="1" customHeight="1">
      <c r="A39" s="8"/>
      <c r="B39" s="7"/>
      <c r="C39" s="7"/>
      <c r="D39" s="8"/>
      <c r="E39" s="8"/>
      <c r="F39" s="146"/>
      <c r="G39" s="6"/>
      <c r="H39" s="5"/>
      <c r="I39" s="5"/>
      <c r="J39" s="9"/>
      <c r="K39" s="5"/>
      <c r="L39" s="339" t="str">
        <f t="shared" si="1"/>
        <v/>
      </c>
      <c r="M39" s="7"/>
    </row>
    <row r="40" spans="1:13" ht="15.75" hidden="1" customHeight="1">
      <c r="A40" s="8"/>
      <c r="B40" s="7"/>
      <c r="C40" s="7"/>
      <c r="D40" s="8"/>
      <c r="E40" s="8"/>
      <c r="F40" s="146"/>
      <c r="G40" s="6"/>
      <c r="H40" s="5"/>
      <c r="I40" s="5"/>
      <c r="J40" s="9"/>
      <c r="K40" s="5"/>
      <c r="L40" s="339" t="str">
        <f t="shared" si="1"/>
        <v/>
      </c>
      <c r="M40" s="7"/>
    </row>
    <row r="41" spans="1:13" ht="15.75" hidden="1" customHeight="1">
      <c r="A41" s="8"/>
      <c r="B41" s="7"/>
      <c r="C41" s="7"/>
      <c r="D41" s="8"/>
      <c r="E41" s="8"/>
      <c r="F41" s="146"/>
      <c r="G41" s="6"/>
      <c r="H41" s="5"/>
      <c r="I41" s="5"/>
      <c r="J41" s="9"/>
      <c r="K41" s="5"/>
      <c r="L41" s="339" t="str">
        <f t="shared" si="1"/>
        <v/>
      </c>
      <c r="M41" s="7"/>
    </row>
    <row r="42" spans="1:13" ht="15.75" hidden="1" customHeight="1">
      <c r="A42" s="8"/>
      <c r="B42" s="7"/>
      <c r="C42" s="7"/>
      <c r="D42" s="8"/>
      <c r="E42" s="8"/>
      <c r="F42" s="146"/>
      <c r="G42" s="6"/>
      <c r="H42" s="5"/>
      <c r="I42" s="5"/>
      <c r="J42" s="9"/>
      <c r="K42" s="5"/>
      <c r="L42" s="339" t="str">
        <f t="shared" si="1"/>
        <v/>
      </c>
      <c r="M42" s="7"/>
    </row>
    <row r="43" spans="1:13" ht="15.75" hidden="1" customHeight="1">
      <c r="A43" s="8"/>
      <c r="B43" s="7"/>
      <c r="C43" s="7"/>
      <c r="D43" s="8"/>
      <c r="E43" s="8"/>
      <c r="F43" s="146"/>
      <c r="G43" s="6"/>
      <c r="H43" s="5"/>
      <c r="I43" s="5"/>
      <c r="J43" s="9"/>
      <c r="K43" s="5"/>
      <c r="L43" s="339" t="str">
        <f t="shared" si="1"/>
        <v/>
      </c>
      <c r="M43" s="7"/>
    </row>
    <row r="44" spans="1:13" ht="15.75" hidden="1" customHeight="1">
      <c r="A44" s="8"/>
      <c r="B44" s="7"/>
      <c r="C44" s="7"/>
      <c r="D44" s="8"/>
      <c r="E44" s="8"/>
      <c r="F44" s="146"/>
      <c r="G44" s="6"/>
      <c r="H44" s="5"/>
      <c r="I44" s="5"/>
      <c r="J44" s="9"/>
      <c r="K44" s="5"/>
      <c r="L44" s="339" t="str">
        <f t="shared" si="1"/>
        <v/>
      </c>
      <c r="M44" s="7"/>
    </row>
    <row r="45" spans="1:13" ht="15.75" hidden="1" customHeight="1">
      <c r="A45" s="8"/>
      <c r="B45" s="7"/>
      <c r="C45" s="7"/>
      <c r="D45" s="8"/>
      <c r="E45" s="8"/>
      <c r="F45" s="146"/>
      <c r="G45" s="6"/>
      <c r="H45" s="5"/>
      <c r="I45" s="5"/>
      <c r="J45" s="9"/>
      <c r="K45" s="5"/>
      <c r="L45" s="339" t="str">
        <f t="shared" si="1"/>
        <v/>
      </c>
      <c r="M45" s="7"/>
    </row>
    <row r="46" spans="1:13" ht="15.75" hidden="1" customHeight="1">
      <c r="A46" s="8"/>
      <c r="B46" s="7"/>
      <c r="C46" s="7"/>
      <c r="D46" s="8"/>
      <c r="E46" s="8"/>
      <c r="F46" s="146"/>
      <c r="G46" s="6"/>
      <c r="H46" s="5"/>
      <c r="I46" s="5"/>
      <c r="J46" s="9"/>
      <c r="K46" s="5"/>
      <c r="L46" s="339" t="str">
        <f t="shared" si="1"/>
        <v/>
      </c>
      <c r="M46" s="7"/>
    </row>
    <row r="47" spans="1:13" ht="15.75" hidden="1" customHeight="1">
      <c r="A47" s="8"/>
      <c r="B47" s="7"/>
      <c r="C47" s="7"/>
      <c r="D47" s="8"/>
      <c r="E47" s="8"/>
      <c r="F47" s="146"/>
      <c r="G47" s="6"/>
      <c r="H47" s="5"/>
      <c r="I47" s="5"/>
      <c r="J47" s="9"/>
      <c r="K47" s="5"/>
      <c r="L47" s="339" t="str">
        <f t="shared" si="1"/>
        <v/>
      </c>
      <c r="M47" s="7"/>
    </row>
  </sheetData>
  <mergeCells count="19">
    <mergeCell ref="N6:N7"/>
    <mergeCell ref="O6:O7"/>
    <mergeCell ref="P6:P7"/>
    <mergeCell ref="Q6:Q7"/>
    <mergeCell ref="A27:C27"/>
    <mergeCell ref="F6:F7"/>
    <mergeCell ref="A26:C26"/>
    <mergeCell ref="A25:C25"/>
    <mergeCell ref="A6:A7"/>
    <mergeCell ref="B6:B7"/>
    <mergeCell ref="C6:C7"/>
    <mergeCell ref="A1:M1"/>
    <mergeCell ref="I6:K6"/>
    <mergeCell ref="L6:L7"/>
    <mergeCell ref="E6:E7"/>
    <mergeCell ref="G6:H6"/>
    <mergeCell ref="A2:M2"/>
    <mergeCell ref="M6:M7"/>
    <mergeCell ref="D6:D7"/>
  </mergeCells>
  <phoneticPr fontId="6" type="noConversion"/>
  <printOptions horizontalCentered="1" verticalCentered="1"/>
  <pageMargins left="0.98425196850393704" right="0.82677165354330717" top="0.43307086614173229" bottom="0.59055118110236227" header="1.6929133858267718" footer="0.9055118110236221"/>
  <pageSetup paperSize="9" fitToHeight="0" orientation="landscape" blackAndWhite="1" horizontalDpi="1200" verticalDpi="1200" r:id="rId1"/>
  <headerFooter scaleWithDoc="0">
    <oddHeader>&amp;R&amp;"宋体,常规"&amp;10表4-12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2</xdr:col>
                    <xdr:colOff>127000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381000</xdr:colOff>
                    <xdr:row>2</xdr:row>
                    <xdr:rowOff>0</xdr:rowOff>
                  </from>
                  <to>
                    <xdr:col>4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CBA4-CC84-4636-AFDE-CDDE116FE53A}">
  <sheetPr codeName="Sheet79">
    <pageSetUpPr fitToPage="1"/>
  </sheetPr>
  <dimension ref="A1:R47"/>
  <sheetViews>
    <sheetView workbookViewId="0">
      <pane ySplit="7" topLeftCell="A8" activePane="bottomLeft" state="frozen"/>
      <selection activeCell="F17" sqref="F17"/>
      <selection pane="bottomLeft" activeCell="M3" sqref="M1:M65536"/>
    </sheetView>
  </sheetViews>
  <sheetFormatPr baseColWidth="10" defaultColWidth="9" defaultRowHeight="15.75" customHeight="1"/>
  <cols>
    <col min="1" max="1" width="4.5" style="81" customWidth="1"/>
    <col min="2" max="2" width="9" style="81"/>
    <col min="3" max="3" width="9.5" style="81" customWidth="1"/>
    <col min="4" max="4" width="4.5" style="81" customWidth="1"/>
    <col min="5" max="5" width="8" style="81" customWidth="1"/>
    <col min="6" max="6" width="9" style="81"/>
    <col min="7" max="7" width="11.5" style="81" customWidth="1"/>
    <col min="8" max="9" width="10.6640625" style="81" customWidth="1"/>
    <col min="10" max="10" width="10" style="81" customWidth="1"/>
    <col min="11" max="11" width="7.5" style="81" customWidth="1"/>
    <col min="12" max="12" width="10" style="81" customWidth="1"/>
    <col min="13" max="13" width="7.5" style="340" customWidth="1"/>
    <col min="14" max="14" width="5.5" style="81" customWidth="1"/>
    <col min="15" max="15" width="6.6640625" style="81" customWidth="1"/>
    <col min="16" max="16" width="7.83203125" style="81" customWidth="1"/>
    <col min="17" max="17" width="10.33203125" style="81" customWidth="1"/>
    <col min="18" max="18" width="7.6640625" style="81" customWidth="1"/>
    <col min="19" max="16384" width="9" style="81"/>
  </cols>
  <sheetData>
    <row r="1" spans="1:18" s="80" customFormat="1" ht="30" customHeight="1">
      <c r="A1" s="374" t="s">
        <v>1017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</row>
    <row r="2" spans="1:1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  <c r="L2" s="378"/>
      <c r="M2" s="378"/>
      <c r="N2" s="378"/>
    </row>
    <row r="3" spans="1:18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1"/>
      <c r="L3" s="171"/>
      <c r="M3" s="131"/>
      <c r="N3" s="171"/>
    </row>
    <row r="4" spans="1:18" ht="14.25" customHeight="1">
      <c r="A4" s="40"/>
      <c r="B4" s="40"/>
      <c r="C4" s="40"/>
      <c r="D4" s="40"/>
      <c r="E4" s="40"/>
      <c r="F4" s="40"/>
      <c r="G4" s="40"/>
      <c r="H4" s="171"/>
      <c r="I4" s="171"/>
      <c r="J4" s="171"/>
      <c r="K4" s="171"/>
      <c r="L4" s="171"/>
      <c r="M4" s="337"/>
      <c r="N4" s="37"/>
    </row>
    <row r="5" spans="1:18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218"/>
      <c r="N5" s="122"/>
    </row>
    <row r="6" spans="1:18" s="101" customFormat="1" ht="21" customHeight="1">
      <c r="A6" s="465" t="s">
        <v>7</v>
      </c>
      <c r="B6" s="465" t="s">
        <v>412</v>
      </c>
      <c r="C6" s="467" t="s">
        <v>413</v>
      </c>
      <c r="D6" s="480" t="s">
        <v>84</v>
      </c>
      <c r="E6" s="480" t="s">
        <v>43</v>
      </c>
      <c r="F6" s="467" t="s">
        <v>152</v>
      </c>
      <c r="G6" s="467" t="s">
        <v>414</v>
      </c>
      <c r="H6" s="557" t="s">
        <v>117</v>
      </c>
      <c r="I6" s="541"/>
      <c r="J6" s="465" t="s">
        <v>214</v>
      </c>
      <c r="K6" s="466"/>
      <c r="L6" s="466"/>
      <c r="M6" s="538" t="s">
        <v>479</v>
      </c>
      <c r="N6" s="480" t="s">
        <v>215</v>
      </c>
      <c r="O6" s="560" t="s">
        <v>638</v>
      </c>
      <c r="P6" s="560" t="s">
        <v>637</v>
      </c>
      <c r="Q6" s="425" t="s">
        <v>598</v>
      </c>
      <c r="R6" s="425" t="s">
        <v>599</v>
      </c>
    </row>
    <row r="7" spans="1:18" s="101" customFormat="1" ht="24.75" customHeight="1">
      <c r="A7" s="466"/>
      <c r="B7" s="466"/>
      <c r="C7" s="474"/>
      <c r="D7" s="466"/>
      <c r="E7" s="466"/>
      <c r="F7" s="474"/>
      <c r="G7" s="474"/>
      <c r="H7" s="124" t="s">
        <v>216</v>
      </c>
      <c r="I7" s="45" t="s">
        <v>217</v>
      </c>
      <c r="J7" s="45" t="s">
        <v>216</v>
      </c>
      <c r="K7" s="211" t="s">
        <v>481</v>
      </c>
      <c r="L7" s="45" t="s">
        <v>217</v>
      </c>
      <c r="M7" s="539"/>
      <c r="N7" s="466"/>
      <c r="O7" s="561"/>
      <c r="P7" s="561"/>
      <c r="Q7" s="426"/>
      <c r="R7" s="426"/>
    </row>
    <row r="8" spans="1:18" ht="15.75" customHeight="1">
      <c r="A8" s="8"/>
      <c r="B8" s="7"/>
      <c r="C8" s="7"/>
      <c r="D8" s="8"/>
      <c r="E8" s="7"/>
      <c r="F8" s="7"/>
      <c r="G8" s="8"/>
      <c r="H8" s="6"/>
      <c r="I8" s="5"/>
      <c r="J8" s="5"/>
      <c r="K8" s="9"/>
      <c r="L8" s="5"/>
      <c r="M8" s="339" t="str">
        <f>IF(ISERROR(L8-I8),"",IF(L8=0,"",ROUND((L8-I8)*100/I8,2)))</f>
        <v/>
      </c>
      <c r="N8" s="7"/>
    </row>
    <row r="9" spans="1:18" ht="15.75" customHeight="1">
      <c r="A9" s="8"/>
      <c r="B9" s="7"/>
      <c r="C9" s="7"/>
      <c r="D9" s="8"/>
      <c r="E9" s="7"/>
      <c r="F9" s="7"/>
      <c r="G9" s="8"/>
      <c r="H9" s="6"/>
      <c r="I9" s="5"/>
      <c r="J9" s="5"/>
      <c r="K9" s="9"/>
      <c r="L9" s="5"/>
      <c r="M9" s="339" t="str">
        <f t="shared" ref="M9:M28" si="0">IF(ISERROR(L9-I9),"",IF(L9=0,"",ROUND((L9-I9)*100/I9,2)))</f>
        <v/>
      </c>
      <c r="N9" s="7"/>
    </row>
    <row r="10" spans="1:18" ht="15.75" customHeight="1">
      <c r="A10" s="8"/>
      <c r="B10" s="7"/>
      <c r="C10" s="7"/>
      <c r="D10" s="8"/>
      <c r="E10" s="7"/>
      <c r="F10" s="7"/>
      <c r="G10" s="8"/>
      <c r="H10" s="6"/>
      <c r="I10" s="5"/>
      <c r="J10" s="5"/>
      <c r="K10" s="9"/>
      <c r="L10" s="5"/>
      <c r="M10" s="339" t="str">
        <f t="shared" si="0"/>
        <v/>
      </c>
      <c r="N10" s="7"/>
    </row>
    <row r="11" spans="1:18" ht="15.75" customHeight="1">
      <c r="A11" s="8"/>
      <c r="B11" s="7"/>
      <c r="C11" s="7"/>
      <c r="D11" s="8"/>
      <c r="E11" s="7"/>
      <c r="F11" s="7"/>
      <c r="G11" s="8"/>
      <c r="H11" s="6"/>
      <c r="I11" s="5"/>
      <c r="J11" s="5"/>
      <c r="K11" s="9"/>
      <c r="L11" s="5"/>
      <c r="M11" s="339" t="str">
        <f t="shared" si="0"/>
        <v/>
      </c>
      <c r="N11" s="7"/>
    </row>
    <row r="12" spans="1:18" ht="15.75" customHeight="1">
      <c r="A12" s="8"/>
      <c r="B12" s="7"/>
      <c r="C12" s="7"/>
      <c r="D12" s="8"/>
      <c r="E12" s="7"/>
      <c r="F12" s="7"/>
      <c r="G12" s="8"/>
      <c r="H12" s="6"/>
      <c r="I12" s="5"/>
      <c r="J12" s="5"/>
      <c r="K12" s="9"/>
      <c r="L12" s="5"/>
      <c r="M12" s="339" t="str">
        <f t="shared" si="0"/>
        <v/>
      </c>
      <c r="N12" s="7"/>
    </row>
    <row r="13" spans="1:18" ht="15.75" customHeight="1">
      <c r="A13" s="8"/>
      <c r="B13" s="7"/>
      <c r="C13" s="7"/>
      <c r="D13" s="8"/>
      <c r="E13" s="7"/>
      <c r="F13" s="7"/>
      <c r="G13" s="8"/>
      <c r="H13" s="6"/>
      <c r="I13" s="5"/>
      <c r="J13" s="5"/>
      <c r="K13" s="9"/>
      <c r="L13" s="5"/>
      <c r="M13" s="339" t="str">
        <f t="shared" si="0"/>
        <v/>
      </c>
      <c r="N13" s="7"/>
    </row>
    <row r="14" spans="1:18" ht="15.75" customHeight="1">
      <c r="A14" s="8"/>
      <c r="B14" s="7"/>
      <c r="C14" s="7"/>
      <c r="D14" s="8"/>
      <c r="E14" s="7"/>
      <c r="F14" s="7"/>
      <c r="G14" s="8"/>
      <c r="H14" s="6"/>
      <c r="I14" s="5"/>
      <c r="J14" s="5"/>
      <c r="K14" s="9"/>
      <c r="L14" s="5"/>
      <c r="M14" s="339" t="str">
        <f t="shared" si="0"/>
        <v/>
      </c>
      <c r="N14" s="7"/>
    </row>
    <row r="15" spans="1:18" ht="15.75" customHeight="1">
      <c r="A15" s="8"/>
      <c r="B15" s="7"/>
      <c r="C15" s="7"/>
      <c r="D15" s="8"/>
      <c r="E15" s="7"/>
      <c r="F15" s="7"/>
      <c r="G15" s="8"/>
      <c r="H15" s="6"/>
      <c r="I15" s="5"/>
      <c r="J15" s="5"/>
      <c r="K15" s="9"/>
      <c r="L15" s="5"/>
      <c r="M15" s="339" t="str">
        <f t="shared" si="0"/>
        <v/>
      </c>
      <c r="N15" s="7"/>
    </row>
    <row r="16" spans="1:18" ht="15.75" customHeight="1">
      <c r="A16" s="8"/>
      <c r="B16" s="7"/>
      <c r="C16" s="7"/>
      <c r="D16" s="8"/>
      <c r="E16" s="7"/>
      <c r="F16" s="7"/>
      <c r="G16" s="8"/>
      <c r="H16" s="6"/>
      <c r="I16" s="5"/>
      <c r="J16" s="5"/>
      <c r="K16" s="9"/>
      <c r="L16" s="5"/>
      <c r="M16" s="339" t="str">
        <f t="shared" si="0"/>
        <v/>
      </c>
      <c r="N16" s="7"/>
    </row>
    <row r="17" spans="1:14" ht="15.75" customHeight="1">
      <c r="A17" s="8"/>
      <c r="B17" s="7"/>
      <c r="C17" s="7"/>
      <c r="D17" s="8"/>
      <c r="E17" s="7"/>
      <c r="F17" s="7"/>
      <c r="G17" s="8"/>
      <c r="H17" s="6"/>
      <c r="I17" s="5"/>
      <c r="J17" s="5"/>
      <c r="K17" s="9"/>
      <c r="L17" s="5"/>
      <c r="M17" s="339" t="str">
        <f t="shared" si="0"/>
        <v/>
      </c>
      <c r="N17" s="7"/>
    </row>
    <row r="18" spans="1:14" ht="15.75" customHeight="1">
      <c r="A18" s="8"/>
      <c r="B18" s="7"/>
      <c r="C18" s="7"/>
      <c r="D18" s="8"/>
      <c r="E18" s="7"/>
      <c r="F18" s="7"/>
      <c r="G18" s="8"/>
      <c r="H18" s="6"/>
      <c r="I18" s="5"/>
      <c r="J18" s="5"/>
      <c r="K18" s="9"/>
      <c r="L18" s="5"/>
      <c r="M18" s="339" t="str">
        <f t="shared" si="0"/>
        <v/>
      </c>
      <c r="N18" s="7"/>
    </row>
    <row r="19" spans="1:14" ht="15.75" customHeight="1">
      <c r="A19" s="8"/>
      <c r="B19" s="7"/>
      <c r="C19" s="7"/>
      <c r="D19" s="8"/>
      <c r="E19" s="7"/>
      <c r="F19" s="7"/>
      <c r="G19" s="8"/>
      <c r="H19" s="6"/>
      <c r="I19" s="5"/>
      <c r="J19" s="5"/>
      <c r="K19" s="9"/>
      <c r="L19" s="5"/>
      <c r="M19" s="339" t="str">
        <f t="shared" si="0"/>
        <v/>
      </c>
      <c r="N19" s="7"/>
    </row>
    <row r="20" spans="1:14" ht="15.75" customHeight="1">
      <c r="A20" s="8"/>
      <c r="B20" s="7"/>
      <c r="C20" s="7"/>
      <c r="D20" s="8"/>
      <c r="E20" s="7"/>
      <c r="F20" s="7"/>
      <c r="G20" s="8"/>
      <c r="H20" s="6"/>
      <c r="I20" s="5"/>
      <c r="J20" s="5"/>
      <c r="K20" s="9"/>
      <c r="L20" s="5"/>
      <c r="M20" s="339" t="str">
        <f t="shared" si="0"/>
        <v/>
      </c>
      <c r="N20" s="7"/>
    </row>
    <row r="21" spans="1:14" ht="15.75" customHeight="1">
      <c r="A21" s="8"/>
      <c r="B21" s="7"/>
      <c r="C21" s="7"/>
      <c r="D21" s="8"/>
      <c r="E21" s="7"/>
      <c r="F21" s="7"/>
      <c r="G21" s="8"/>
      <c r="H21" s="6"/>
      <c r="I21" s="5"/>
      <c r="J21" s="5"/>
      <c r="K21" s="9"/>
      <c r="L21" s="5"/>
      <c r="M21" s="339" t="str">
        <f t="shared" si="0"/>
        <v/>
      </c>
      <c r="N21" s="7"/>
    </row>
    <row r="22" spans="1:14" ht="15.75" customHeight="1">
      <c r="A22" s="8"/>
      <c r="B22" s="7"/>
      <c r="C22" s="7"/>
      <c r="D22" s="8"/>
      <c r="E22" s="7"/>
      <c r="F22" s="7"/>
      <c r="G22" s="8"/>
      <c r="H22" s="6"/>
      <c r="I22" s="5"/>
      <c r="J22" s="5"/>
      <c r="K22" s="9"/>
      <c r="L22" s="5"/>
      <c r="M22" s="339" t="str">
        <f t="shared" si="0"/>
        <v/>
      </c>
      <c r="N22" s="7"/>
    </row>
    <row r="23" spans="1:14" ht="15.75" customHeight="1">
      <c r="A23" s="8"/>
      <c r="B23" s="7"/>
      <c r="C23" s="7"/>
      <c r="D23" s="8"/>
      <c r="E23" s="7"/>
      <c r="F23" s="7"/>
      <c r="G23" s="8"/>
      <c r="H23" s="6"/>
      <c r="I23" s="5"/>
      <c r="J23" s="5"/>
      <c r="K23" s="9"/>
      <c r="L23" s="5"/>
      <c r="M23" s="339" t="str">
        <f t="shared" si="0"/>
        <v/>
      </c>
      <c r="N23" s="7"/>
    </row>
    <row r="24" spans="1:14" ht="15.75" customHeight="1">
      <c r="A24" s="8"/>
      <c r="B24" s="7"/>
      <c r="C24" s="7"/>
      <c r="D24" s="8"/>
      <c r="E24" s="7"/>
      <c r="F24" s="7"/>
      <c r="G24" s="8"/>
      <c r="H24" s="6"/>
      <c r="I24" s="5"/>
      <c r="J24" s="5"/>
      <c r="K24" s="9"/>
      <c r="L24" s="5"/>
      <c r="M24" s="339" t="str">
        <f t="shared" si="0"/>
        <v/>
      </c>
      <c r="N24" s="7"/>
    </row>
    <row r="25" spans="1:14" ht="15.75" customHeight="1">
      <c r="A25" s="379" t="s">
        <v>535</v>
      </c>
      <c r="B25" s="380"/>
      <c r="C25" s="543"/>
      <c r="D25" s="237"/>
      <c r="E25" s="234"/>
      <c r="F25" s="234"/>
      <c r="G25" s="237"/>
      <c r="H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5" s="243"/>
      <c r="L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5" s="339" t="str">
        <f t="shared" ca="1" si="0"/>
        <v/>
      </c>
      <c r="N25" s="234"/>
    </row>
    <row r="26" spans="1:14" ht="15.75" customHeight="1">
      <c r="A26" s="383" t="s">
        <v>454</v>
      </c>
      <c r="B26" s="380"/>
      <c r="C26" s="543"/>
      <c r="D26" s="237"/>
      <c r="E26" s="234"/>
      <c r="F26" s="30"/>
      <c r="G26" s="237"/>
      <c r="H26" s="243"/>
      <c r="I26" s="31"/>
      <c r="J26" s="31"/>
      <c r="K26" s="249"/>
      <c r="L26" s="31"/>
      <c r="M26" s="339"/>
      <c r="N26" s="234"/>
    </row>
    <row r="27" spans="1:14" ht="15.75" customHeight="1">
      <c r="A27" s="379" t="s">
        <v>535</v>
      </c>
      <c r="B27" s="380"/>
      <c r="C27" s="543"/>
      <c r="D27" s="237"/>
      <c r="E27" s="237"/>
      <c r="F27" s="237"/>
      <c r="G27" s="237"/>
      <c r="H27" s="243" t="str">
        <f ca="1">IF(H26="",H25,H25-H26)</f>
        <v/>
      </c>
      <c r="I27" s="243" t="str">
        <f ca="1">IF(I26="",I25,I25-I26)</f>
        <v/>
      </c>
      <c r="J27" s="243" t="str">
        <f ca="1">IF(J26="",J25,J25-J26)</f>
        <v/>
      </c>
      <c r="K27" s="243"/>
      <c r="L27" s="243" t="str">
        <f ca="1">IF(L26="",L25,L25-L26)</f>
        <v/>
      </c>
      <c r="M27" s="339" t="str">
        <f t="shared" ca="1" si="0"/>
        <v/>
      </c>
      <c r="N27" s="234"/>
    </row>
    <row r="28" spans="1:14" ht="15.75" hidden="1" customHeight="1">
      <c r="A28" s="8"/>
      <c r="B28" s="7"/>
      <c r="C28" s="7"/>
      <c r="D28" s="8"/>
      <c r="E28" s="7"/>
      <c r="F28" s="7"/>
      <c r="G28" s="8"/>
      <c r="H28" s="6"/>
      <c r="I28" s="5"/>
      <c r="J28" s="5"/>
      <c r="K28" s="9"/>
      <c r="L28" s="5"/>
      <c r="M28" s="339" t="str">
        <f t="shared" si="0"/>
        <v/>
      </c>
      <c r="N28" s="7"/>
    </row>
    <row r="29" spans="1:14" ht="15.75" hidden="1" customHeight="1">
      <c r="A29" s="8"/>
      <c r="B29" s="7"/>
      <c r="C29" s="7"/>
      <c r="D29" s="8"/>
      <c r="E29" s="7"/>
      <c r="F29" s="7"/>
      <c r="G29" s="8"/>
      <c r="H29" s="6"/>
      <c r="I29" s="5"/>
      <c r="J29" s="5"/>
      <c r="K29" s="9"/>
      <c r="L29" s="5"/>
      <c r="M29" s="339" t="str">
        <f t="shared" ref="M29:M47" si="1">IF(ISERROR(L29-I29),"",IF(L29=0,"",ROUND((L29-I29)*100/I29,2)))</f>
        <v/>
      </c>
      <c r="N29" s="7"/>
    </row>
    <row r="30" spans="1:14" ht="15.75" hidden="1" customHeight="1">
      <c r="A30" s="8"/>
      <c r="B30" s="7"/>
      <c r="C30" s="7"/>
      <c r="D30" s="8"/>
      <c r="E30" s="7"/>
      <c r="F30" s="7"/>
      <c r="G30" s="8"/>
      <c r="H30" s="6"/>
      <c r="I30" s="5"/>
      <c r="J30" s="5"/>
      <c r="K30" s="9"/>
      <c r="L30" s="5"/>
      <c r="M30" s="339" t="str">
        <f t="shared" si="1"/>
        <v/>
      </c>
      <c r="N30" s="7"/>
    </row>
    <row r="31" spans="1:14" ht="15.75" hidden="1" customHeight="1">
      <c r="A31" s="8"/>
      <c r="B31" s="7"/>
      <c r="C31" s="7"/>
      <c r="D31" s="8"/>
      <c r="E31" s="7"/>
      <c r="F31" s="7"/>
      <c r="G31" s="8"/>
      <c r="H31" s="6"/>
      <c r="I31" s="5"/>
      <c r="J31" s="5"/>
      <c r="K31" s="9"/>
      <c r="L31" s="5"/>
      <c r="M31" s="339" t="str">
        <f t="shared" si="1"/>
        <v/>
      </c>
      <c r="N31" s="7"/>
    </row>
    <row r="32" spans="1:14" ht="15.75" hidden="1" customHeight="1">
      <c r="A32" s="8"/>
      <c r="B32" s="7"/>
      <c r="C32" s="7"/>
      <c r="D32" s="8"/>
      <c r="E32" s="7"/>
      <c r="F32" s="7"/>
      <c r="G32" s="8"/>
      <c r="H32" s="6"/>
      <c r="I32" s="5"/>
      <c r="J32" s="5"/>
      <c r="K32" s="9"/>
      <c r="L32" s="5"/>
      <c r="M32" s="339" t="str">
        <f t="shared" si="1"/>
        <v/>
      </c>
      <c r="N32" s="7"/>
    </row>
    <row r="33" spans="1:14" ht="15.75" hidden="1" customHeight="1">
      <c r="A33" s="8"/>
      <c r="B33" s="7"/>
      <c r="C33" s="7"/>
      <c r="D33" s="8"/>
      <c r="E33" s="7"/>
      <c r="F33" s="7"/>
      <c r="G33" s="8"/>
      <c r="H33" s="6"/>
      <c r="I33" s="5"/>
      <c r="J33" s="5"/>
      <c r="K33" s="9"/>
      <c r="L33" s="5"/>
      <c r="M33" s="339" t="str">
        <f t="shared" si="1"/>
        <v/>
      </c>
      <c r="N33" s="7"/>
    </row>
    <row r="34" spans="1:14" ht="15.75" hidden="1" customHeight="1">
      <c r="A34" s="8"/>
      <c r="B34" s="7"/>
      <c r="C34" s="7"/>
      <c r="D34" s="8"/>
      <c r="E34" s="7"/>
      <c r="F34" s="7"/>
      <c r="G34" s="8"/>
      <c r="H34" s="6"/>
      <c r="I34" s="5"/>
      <c r="J34" s="5"/>
      <c r="K34" s="9"/>
      <c r="L34" s="5"/>
      <c r="M34" s="339" t="str">
        <f t="shared" si="1"/>
        <v/>
      </c>
      <c r="N34" s="7"/>
    </row>
    <row r="35" spans="1:14" ht="15.75" hidden="1" customHeight="1">
      <c r="A35" s="8"/>
      <c r="B35" s="7"/>
      <c r="C35" s="7"/>
      <c r="D35" s="8"/>
      <c r="E35" s="7"/>
      <c r="F35" s="7"/>
      <c r="G35" s="8"/>
      <c r="H35" s="6"/>
      <c r="I35" s="5"/>
      <c r="J35" s="5"/>
      <c r="K35" s="9"/>
      <c r="L35" s="5"/>
      <c r="M35" s="339" t="str">
        <f t="shared" si="1"/>
        <v/>
      </c>
      <c r="N35" s="7"/>
    </row>
    <row r="36" spans="1:14" ht="15.75" hidden="1" customHeight="1">
      <c r="A36" s="8"/>
      <c r="B36" s="7"/>
      <c r="C36" s="7"/>
      <c r="D36" s="8"/>
      <c r="E36" s="7"/>
      <c r="F36" s="7"/>
      <c r="G36" s="8"/>
      <c r="H36" s="6"/>
      <c r="I36" s="5"/>
      <c r="J36" s="5"/>
      <c r="K36" s="9"/>
      <c r="L36" s="5"/>
      <c r="M36" s="339" t="str">
        <f t="shared" si="1"/>
        <v/>
      </c>
      <c r="N36" s="7"/>
    </row>
    <row r="37" spans="1:14" ht="15.75" hidden="1" customHeight="1">
      <c r="A37" s="8"/>
      <c r="B37" s="7"/>
      <c r="C37" s="7"/>
      <c r="D37" s="8"/>
      <c r="E37" s="7"/>
      <c r="F37" s="7"/>
      <c r="G37" s="8"/>
      <c r="H37" s="6"/>
      <c r="I37" s="5"/>
      <c r="J37" s="5"/>
      <c r="K37" s="9"/>
      <c r="L37" s="5"/>
      <c r="M37" s="339" t="str">
        <f t="shared" si="1"/>
        <v/>
      </c>
      <c r="N37" s="7"/>
    </row>
    <row r="38" spans="1:14" ht="15.75" hidden="1" customHeight="1">
      <c r="A38" s="8"/>
      <c r="B38" s="7"/>
      <c r="C38" s="7"/>
      <c r="D38" s="8"/>
      <c r="E38" s="7"/>
      <c r="F38" s="7"/>
      <c r="G38" s="8"/>
      <c r="H38" s="6"/>
      <c r="I38" s="5"/>
      <c r="J38" s="5"/>
      <c r="K38" s="9"/>
      <c r="L38" s="5"/>
      <c r="M38" s="339" t="str">
        <f t="shared" si="1"/>
        <v/>
      </c>
      <c r="N38" s="7"/>
    </row>
    <row r="39" spans="1:14" ht="15.75" hidden="1" customHeight="1">
      <c r="A39" s="8"/>
      <c r="B39" s="7"/>
      <c r="C39" s="7"/>
      <c r="D39" s="8"/>
      <c r="E39" s="7"/>
      <c r="F39" s="7"/>
      <c r="G39" s="8"/>
      <c r="H39" s="6"/>
      <c r="I39" s="5"/>
      <c r="J39" s="5"/>
      <c r="K39" s="9"/>
      <c r="L39" s="5"/>
      <c r="M39" s="339" t="str">
        <f t="shared" si="1"/>
        <v/>
      </c>
      <c r="N39" s="7"/>
    </row>
    <row r="40" spans="1:14" ht="15.75" hidden="1" customHeight="1">
      <c r="A40" s="8"/>
      <c r="B40" s="7"/>
      <c r="C40" s="7"/>
      <c r="D40" s="8"/>
      <c r="E40" s="7"/>
      <c r="F40" s="7"/>
      <c r="G40" s="8"/>
      <c r="H40" s="6"/>
      <c r="I40" s="5"/>
      <c r="J40" s="5"/>
      <c r="K40" s="9"/>
      <c r="L40" s="5"/>
      <c r="M40" s="339" t="str">
        <f t="shared" si="1"/>
        <v/>
      </c>
      <c r="N40" s="7"/>
    </row>
    <row r="41" spans="1:14" ht="15.75" hidden="1" customHeight="1">
      <c r="A41" s="8"/>
      <c r="B41" s="7"/>
      <c r="C41" s="7"/>
      <c r="D41" s="8"/>
      <c r="E41" s="7"/>
      <c r="F41" s="7"/>
      <c r="G41" s="8"/>
      <c r="H41" s="6"/>
      <c r="I41" s="5"/>
      <c r="J41" s="5"/>
      <c r="K41" s="9"/>
      <c r="L41" s="5"/>
      <c r="M41" s="339" t="str">
        <f t="shared" si="1"/>
        <v/>
      </c>
      <c r="N41" s="7"/>
    </row>
    <row r="42" spans="1:14" ht="15.75" hidden="1" customHeight="1">
      <c r="A42" s="8"/>
      <c r="B42" s="7"/>
      <c r="C42" s="7"/>
      <c r="D42" s="8"/>
      <c r="E42" s="7"/>
      <c r="F42" s="7"/>
      <c r="G42" s="8"/>
      <c r="H42" s="6"/>
      <c r="I42" s="5"/>
      <c r="J42" s="5"/>
      <c r="K42" s="9"/>
      <c r="L42" s="5"/>
      <c r="M42" s="339" t="str">
        <f t="shared" si="1"/>
        <v/>
      </c>
      <c r="N42" s="7"/>
    </row>
    <row r="43" spans="1:14" ht="15.75" hidden="1" customHeight="1">
      <c r="A43" s="8"/>
      <c r="B43" s="7"/>
      <c r="C43" s="7"/>
      <c r="D43" s="8"/>
      <c r="E43" s="7"/>
      <c r="F43" s="7"/>
      <c r="G43" s="8"/>
      <c r="H43" s="6"/>
      <c r="I43" s="5"/>
      <c r="J43" s="5"/>
      <c r="K43" s="9"/>
      <c r="L43" s="5"/>
      <c r="M43" s="339" t="str">
        <f t="shared" si="1"/>
        <v/>
      </c>
      <c r="N43" s="7"/>
    </row>
    <row r="44" spans="1:14" ht="15.75" hidden="1" customHeight="1">
      <c r="A44" s="8"/>
      <c r="B44" s="7"/>
      <c r="C44" s="7"/>
      <c r="D44" s="8"/>
      <c r="E44" s="7"/>
      <c r="F44" s="7"/>
      <c r="G44" s="8"/>
      <c r="H44" s="6"/>
      <c r="I44" s="5"/>
      <c r="J44" s="5"/>
      <c r="K44" s="9"/>
      <c r="L44" s="5"/>
      <c r="M44" s="339" t="str">
        <f t="shared" si="1"/>
        <v/>
      </c>
      <c r="N44" s="7"/>
    </row>
    <row r="45" spans="1:14" ht="15.75" hidden="1" customHeight="1">
      <c r="A45" s="8"/>
      <c r="B45" s="7"/>
      <c r="C45" s="7"/>
      <c r="D45" s="8"/>
      <c r="E45" s="7"/>
      <c r="F45" s="7"/>
      <c r="G45" s="8"/>
      <c r="H45" s="6"/>
      <c r="I45" s="5"/>
      <c r="J45" s="5"/>
      <c r="K45" s="9"/>
      <c r="L45" s="5"/>
      <c r="M45" s="339" t="str">
        <f t="shared" si="1"/>
        <v/>
      </c>
      <c r="N45" s="7"/>
    </row>
    <row r="46" spans="1:14" ht="15.75" hidden="1" customHeight="1">
      <c r="A46" s="8"/>
      <c r="B46" s="7"/>
      <c r="C46" s="7"/>
      <c r="D46" s="8"/>
      <c r="E46" s="7"/>
      <c r="F46" s="7"/>
      <c r="G46" s="8"/>
      <c r="H46" s="6"/>
      <c r="I46" s="5"/>
      <c r="J46" s="5"/>
      <c r="K46" s="9"/>
      <c r="L46" s="5"/>
      <c r="M46" s="339" t="str">
        <f t="shared" si="1"/>
        <v/>
      </c>
      <c r="N46" s="7"/>
    </row>
    <row r="47" spans="1:14" ht="15.75" hidden="1" customHeight="1">
      <c r="A47" s="8"/>
      <c r="B47" s="7"/>
      <c r="C47" s="7"/>
      <c r="D47" s="8"/>
      <c r="E47" s="7"/>
      <c r="F47" s="7"/>
      <c r="G47" s="8"/>
      <c r="H47" s="6"/>
      <c r="I47" s="5"/>
      <c r="J47" s="5"/>
      <c r="K47" s="9"/>
      <c r="L47" s="5"/>
      <c r="M47" s="339" t="str">
        <f t="shared" si="1"/>
        <v/>
      </c>
      <c r="N47" s="7"/>
    </row>
  </sheetData>
  <mergeCells count="20">
    <mergeCell ref="A27:C27"/>
    <mergeCell ref="A6:A7"/>
    <mergeCell ref="B6:B7"/>
    <mergeCell ref="D6:D7"/>
    <mergeCell ref="E6:E7"/>
    <mergeCell ref="O6:O7"/>
    <mergeCell ref="P6:P7"/>
    <mergeCell ref="Q6:Q7"/>
    <mergeCell ref="R6:R7"/>
    <mergeCell ref="A26:C26"/>
    <mergeCell ref="A1:N1"/>
    <mergeCell ref="J6:L6"/>
    <mergeCell ref="M6:M7"/>
    <mergeCell ref="A25:C25"/>
    <mergeCell ref="C6:C7"/>
    <mergeCell ref="H6:I6"/>
    <mergeCell ref="A2:N2"/>
    <mergeCell ref="N6:N7"/>
    <mergeCell ref="F6:F7"/>
    <mergeCell ref="G6:G7"/>
  </mergeCells>
  <phoneticPr fontId="6" type="noConversion"/>
  <printOptions horizontalCentered="1" verticalCentered="1"/>
  <pageMargins left="1.0629921259842521" right="0.78740157480314965" top="0.15748031496062992" bottom="0.55118110236220474" header="1.6141732283464567" footer="1.0236220472440944"/>
  <pageSetup paperSize="9" fitToHeight="0" orientation="landscape" blackAndWhite="1" horizontalDpi="1200" verticalDpi="1200" r:id="rId1"/>
  <headerFooter scaleWithDoc="0">
    <oddHeader>&amp;R&amp;"宋体,常规"&amp;10表4-13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2</xdr:col>
                    <xdr:colOff>368300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622300</xdr:colOff>
                    <xdr:row>2</xdr:row>
                    <xdr:rowOff>0</xdr:rowOff>
                  </from>
                  <to>
                    <xdr:col>4</xdr:col>
                    <xdr:colOff>584200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2008-111E-43F3-B286-9502ED1F99D0}">
  <sheetPr codeName="Sheet97">
    <pageSetUpPr fitToPage="1"/>
  </sheetPr>
  <dimension ref="A1:O47"/>
  <sheetViews>
    <sheetView zoomScaleNormal="100" workbookViewId="0">
      <pane ySplit="6" topLeftCell="A7" activePane="bottomLeft" state="frozen"/>
      <selection activeCell="F17" sqref="F17"/>
      <selection pane="bottomLeft" activeCell="H7" sqref="H7"/>
    </sheetView>
  </sheetViews>
  <sheetFormatPr baseColWidth="10" defaultColWidth="9" defaultRowHeight="15.75" customHeight="1"/>
  <cols>
    <col min="1" max="1" width="4.5" style="81" customWidth="1"/>
    <col min="2" max="2" width="16.5" style="81" customWidth="1"/>
    <col min="3" max="3" width="8.6640625" style="81" customWidth="1"/>
    <col min="4" max="4" width="8.1640625" style="81" customWidth="1"/>
    <col min="5" max="5" width="9.5" style="81" customWidth="1"/>
    <col min="6" max="7" width="13.1640625" style="81" customWidth="1"/>
    <col min="8" max="8" width="12.6640625" style="81" customWidth="1"/>
    <col min="9" max="9" width="12" style="81" customWidth="1"/>
    <col min="10" max="10" width="10.1640625" style="340" customWidth="1"/>
    <col min="11" max="11" width="10.5" style="81" customWidth="1"/>
    <col min="12" max="12" width="7.1640625" style="81" customWidth="1"/>
    <col min="13" max="13" width="7.33203125" style="81" customWidth="1"/>
    <col min="14" max="14" width="12.6640625" style="81" customWidth="1"/>
    <col min="15" max="15" width="10.5" style="81" customWidth="1"/>
    <col min="16" max="16384" width="9" style="81"/>
  </cols>
  <sheetData>
    <row r="1" spans="1:15" s="80" customFormat="1" ht="30" customHeight="1">
      <c r="A1" s="374" t="s">
        <v>1018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  <c r="K2" s="378"/>
    </row>
    <row r="3" spans="1:15" ht="14.25" customHeight="1">
      <c r="A3" s="40"/>
      <c r="B3" s="40"/>
      <c r="C3" s="40"/>
      <c r="D3" s="40"/>
      <c r="E3" s="40"/>
      <c r="F3" s="171"/>
      <c r="G3" s="171"/>
      <c r="H3" s="171"/>
      <c r="I3" s="177"/>
      <c r="J3" s="218"/>
      <c r="K3" s="177"/>
    </row>
    <row r="4" spans="1:15" ht="14.25" customHeight="1">
      <c r="A4" s="40"/>
      <c r="B4" s="40"/>
      <c r="C4" s="40"/>
      <c r="D4" s="40"/>
      <c r="E4" s="40"/>
      <c r="F4" s="171"/>
      <c r="G4" s="171"/>
      <c r="H4" s="171"/>
      <c r="I4" s="178"/>
      <c r="J4" s="337"/>
      <c r="K4" s="37"/>
    </row>
    <row r="5" spans="1:15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68"/>
      <c r="J5" s="342"/>
      <c r="K5" s="168"/>
      <c r="L5" s="384" t="s">
        <v>947</v>
      </c>
      <c r="M5" s="384" t="s">
        <v>721</v>
      </c>
      <c r="N5" s="385" t="s">
        <v>598</v>
      </c>
      <c r="O5" s="385" t="s">
        <v>599</v>
      </c>
    </row>
    <row r="6" spans="1:15" s="101" customFormat="1" ht="14.25" customHeight="1">
      <c r="A6" s="45" t="s">
        <v>7</v>
      </c>
      <c r="B6" s="45" t="s">
        <v>41</v>
      </c>
      <c r="C6" s="188" t="s">
        <v>84</v>
      </c>
      <c r="D6" s="188" t="s">
        <v>43</v>
      </c>
      <c r="E6" s="212" t="s">
        <v>945</v>
      </c>
      <c r="F6" s="363" t="s">
        <v>948</v>
      </c>
      <c r="G6" s="363" t="s">
        <v>117</v>
      </c>
      <c r="H6" s="45" t="s">
        <v>0</v>
      </c>
      <c r="I6" s="175" t="s">
        <v>1</v>
      </c>
      <c r="J6" s="362" t="s">
        <v>479</v>
      </c>
      <c r="K6" s="188" t="s">
        <v>39</v>
      </c>
      <c r="L6" s="384"/>
      <c r="M6" s="384"/>
      <c r="N6" s="385"/>
      <c r="O6" s="385"/>
    </row>
    <row r="7" spans="1:15" ht="15.75" customHeight="1">
      <c r="A7" s="8"/>
      <c r="B7" s="7"/>
      <c r="C7" s="8"/>
      <c r="D7" s="8"/>
      <c r="E7" s="8"/>
      <c r="F7" s="6"/>
      <c r="G7" s="5"/>
      <c r="H7" s="5"/>
      <c r="I7" s="5"/>
      <c r="J7" s="339" t="str">
        <f t="shared" ref="J7:J22" si="0">IF(ISERROR(I7-G7),"",IF(I7=0,"",ROUND((I7-G7)*100/G7,2)))</f>
        <v/>
      </c>
      <c r="K7" s="7"/>
    </row>
    <row r="8" spans="1:15" ht="15.75" customHeight="1">
      <c r="A8" s="8"/>
      <c r="B8" s="7"/>
      <c r="C8" s="8"/>
      <c r="D8" s="8"/>
      <c r="E8" s="8"/>
      <c r="F8" s="6"/>
      <c r="G8" s="5"/>
      <c r="H8" s="5"/>
      <c r="I8" s="5"/>
      <c r="J8" s="339" t="str">
        <f t="shared" si="0"/>
        <v/>
      </c>
      <c r="K8" s="7"/>
    </row>
    <row r="9" spans="1:15" ht="15.75" customHeight="1">
      <c r="A9" s="8"/>
      <c r="B9" s="7"/>
      <c r="C9" s="8"/>
      <c r="D9" s="8"/>
      <c r="E9" s="8"/>
      <c r="F9" s="6"/>
      <c r="G9" s="5"/>
      <c r="H9" s="5"/>
      <c r="I9" s="5"/>
      <c r="J9" s="339" t="str">
        <f t="shared" si="0"/>
        <v/>
      </c>
      <c r="K9" s="7"/>
    </row>
    <row r="10" spans="1:15" ht="15.75" customHeight="1">
      <c r="A10" s="8"/>
      <c r="B10" s="7"/>
      <c r="C10" s="8"/>
      <c r="D10" s="8"/>
      <c r="E10" s="8"/>
      <c r="F10" s="6"/>
      <c r="G10" s="5"/>
      <c r="H10" s="5"/>
      <c r="I10" s="5"/>
      <c r="J10" s="339" t="str">
        <f t="shared" si="0"/>
        <v/>
      </c>
      <c r="K10" s="7"/>
    </row>
    <row r="11" spans="1:15" ht="15.75" customHeight="1">
      <c r="A11" s="8"/>
      <c r="B11" s="7"/>
      <c r="C11" s="8"/>
      <c r="D11" s="8"/>
      <c r="E11" s="8"/>
      <c r="F11" s="6"/>
      <c r="G11" s="5"/>
      <c r="H11" s="5"/>
      <c r="I11" s="5"/>
      <c r="J11" s="339" t="str">
        <f t="shared" si="0"/>
        <v/>
      </c>
      <c r="K11" s="7"/>
    </row>
    <row r="12" spans="1:15" ht="15.75" customHeight="1">
      <c r="A12" s="8"/>
      <c r="B12" s="7"/>
      <c r="C12" s="8"/>
      <c r="D12" s="8"/>
      <c r="E12" s="8"/>
      <c r="F12" s="6"/>
      <c r="G12" s="5"/>
      <c r="H12" s="5"/>
      <c r="I12" s="5"/>
      <c r="J12" s="339" t="str">
        <f t="shared" si="0"/>
        <v/>
      </c>
      <c r="K12" s="7"/>
    </row>
    <row r="13" spans="1:15" ht="15.75" customHeight="1">
      <c r="A13" s="8"/>
      <c r="B13" s="7"/>
      <c r="C13" s="8"/>
      <c r="D13" s="8"/>
      <c r="E13" s="8"/>
      <c r="F13" s="6"/>
      <c r="G13" s="5"/>
      <c r="H13" s="5"/>
      <c r="I13" s="5"/>
      <c r="J13" s="339" t="str">
        <f t="shared" si="0"/>
        <v/>
      </c>
      <c r="K13" s="7"/>
    </row>
    <row r="14" spans="1:15" ht="15.75" customHeight="1">
      <c r="A14" s="8"/>
      <c r="B14" s="7"/>
      <c r="C14" s="8"/>
      <c r="D14" s="8"/>
      <c r="E14" s="8"/>
      <c r="F14" s="6"/>
      <c r="G14" s="5"/>
      <c r="H14" s="5"/>
      <c r="I14" s="5"/>
      <c r="J14" s="339" t="str">
        <f t="shared" si="0"/>
        <v/>
      </c>
      <c r="K14" s="7"/>
    </row>
    <row r="15" spans="1:15" ht="15.75" customHeight="1">
      <c r="A15" s="8"/>
      <c r="B15" s="7"/>
      <c r="C15" s="8"/>
      <c r="D15" s="8"/>
      <c r="E15" s="8"/>
      <c r="F15" s="6"/>
      <c r="G15" s="5"/>
      <c r="H15" s="5"/>
      <c r="I15" s="5"/>
      <c r="J15" s="339" t="str">
        <f t="shared" si="0"/>
        <v/>
      </c>
      <c r="K15" s="7"/>
    </row>
    <row r="16" spans="1:15" ht="15.75" customHeight="1">
      <c r="A16" s="8"/>
      <c r="B16" s="7"/>
      <c r="C16" s="8"/>
      <c r="D16" s="8"/>
      <c r="E16" s="8"/>
      <c r="F16" s="6"/>
      <c r="G16" s="5"/>
      <c r="H16" s="5"/>
      <c r="I16" s="5"/>
      <c r="J16" s="339" t="str">
        <f t="shared" si="0"/>
        <v/>
      </c>
      <c r="K16" s="7"/>
    </row>
    <row r="17" spans="1:11" ht="15.75" customHeight="1">
      <c r="A17" s="8"/>
      <c r="B17" s="7"/>
      <c r="C17" s="8"/>
      <c r="D17" s="8"/>
      <c r="E17" s="8"/>
      <c r="F17" s="6"/>
      <c r="G17" s="5"/>
      <c r="H17" s="5"/>
      <c r="I17" s="5"/>
      <c r="J17" s="339" t="str">
        <f t="shared" si="0"/>
        <v/>
      </c>
      <c r="K17" s="7"/>
    </row>
    <row r="18" spans="1:11" ht="15.75" customHeight="1">
      <c r="A18" s="8"/>
      <c r="B18" s="7"/>
      <c r="C18" s="8"/>
      <c r="D18" s="8"/>
      <c r="E18" s="8"/>
      <c r="F18" s="6"/>
      <c r="G18" s="5"/>
      <c r="H18" s="5"/>
      <c r="I18" s="5"/>
      <c r="J18" s="339" t="str">
        <f t="shared" si="0"/>
        <v/>
      </c>
      <c r="K18" s="7"/>
    </row>
    <row r="19" spans="1:11" ht="15.75" customHeight="1">
      <c r="A19" s="8"/>
      <c r="B19" s="7"/>
      <c r="C19" s="8"/>
      <c r="D19" s="8"/>
      <c r="E19" s="8"/>
      <c r="F19" s="6"/>
      <c r="G19" s="5"/>
      <c r="H19" s="5"/>
      <c r="I19" s="5"/>
      <c r="J19" s="339" t="str">
        <f t="shared" si="0"/>
        <v/>
      </c>
      <c r="K19" s="7"/>
    </row>
    <row r="20" spans="1:11" ht="15.75" customHeight="1">
      <c r="A20" s="8"/>
      <c r="B20" s="7"/>
      <c r="C20" s="8"/>
      <c r="D20" s="8"/>
      <c r="E20" s="8"/>
      <c r="F20" s="6"/>
      <c r="G20" s="5"/>
      <c r="H20" s="5"/>
      <c r="I20" s="5"/>
      <c r="J20" s="339" t="str">
        <f t="shared" si="0"/>
        <v/>
      </c>
      <c r="K20" s="7"/>
    </row>
    <row r="21" spans="1:11" ht="15.75" customHeight="1">
      <c r="A21" s="8"/>
      <c r="B21" s="7"/>
      <c r="C21" s="8"/>
      <c r="D21" s="8"/>
      <c r="E21" s="8"/>
      <c r="F21" s="6"/>
      <c r="G21" s="5"/>
      <c r="H21" s="5"/>
      <c r="I21" s="5"/>
      <c r="J21" s="339" t="str">
        <f t="shared" si="0"/>
        <v/>
      </c>
      <c r="K21" s="7"/>
    </row>
    <row r="22" spans="1:11" ht="15.75" customHeight="1">
      <c r="A22" s="8"/>
      <c r="B22" s="7"/>
      <c r="C22" s="8"/>
      <c r="D22" s="8"/>
      <c r="E22" s="8"/>
      <c r="F22" s="6"/>
      <c r="G22" s="5"/>
      <c r="H22" s="5"/>
      <c r="I22" s="5"/>
      <c r="J22" s="339" t="str">
        <f t="shared" si="0"/>
        <v/>
      </c>
      <c r="K22" s="7"/>
    </row>
    <row r="23" spans="1:11" ht="15.75" customHeight="1">
      <c r="A23" s="8"/>
      <c r="B23" s="7"/>
      <c r="C23" s="8"/>
      <c r="D23" s="8"/>
      <c r="E23" s="8"/>
      <c r="F23" s="6"/>
      <c r="G23" s="5"/>
      <c r="H23" s="5"/>
      <c r="I23" s="5"/>
      <c r="J23" s="339"/>
      <c r="K23" s="7"/>
    </row>
    <row r="24" spans="1:11" ht="15.75" customHeight="1">
      <c r="A24" s="8"/>
      <c r="B24" s="7"/>
      <c r="C24" s="8"/>
      <c r="D24" s="8"/>
      <c r="E24" s="8"/>
      <c r="F24" s="6"/>
      <c r="G24" s="5"/>
      <c r="H24" s="5"/>
      <c r="I24" s="5"/>
      <c r="J24" s="339" t="str">
        <f>IF(ISERROR(I24-G24),"",IF(I24=0,"",ROUND((I24-G24)*100/G24,2)))</f>
        <v/>
      </c>
      <c r="K24" s="7"/>
    </row>
    <row r="25" spans="1:11" ht="15.75" customHeight="1">
      <c r="A25" s="379" t="s">
        <v>466</v>
      </c>
      <c r="B25" s="380"/>
      <c r="C25" s="237"/>
      <c r="D25" s="237"/>
      <c r="E25" s="237"/>
      <c r="F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5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5" s="339" t="str">
        <f ca="1">IF(ISERROR(I25-G25),"",IF(I25=0,"",ROUND((I25-G25)*100/G25,2)))</f>
        <v/>
      </c>
      <c r="K25" s="234"/>
    </row>
    <row r="26" spans="1:11" ht="15.75" customHeight="1">
      <c r="A26" s="381" t="s">
        <v>911</v>
      </c>
      <c r="B26" s="382"/>
      <c r="C26" s="237"/>
      <c r="D26" s="237"/>
      <c r="E26" s="237"/>
      <c r="F26" s="243"/>
      <c r="G26" s="31"/>
      <c r="H26" s="31"/>
      <c r="I26" s="31"/>
      <c r="J26" s="339"/>
      <c r="K26" s="234"/>
    </row>
    <row r="27" spans="1:11" ht="15.75" customHeight="1">
      <c r="A27" s="383" t="s">
        <v>478</v>
      </c>
      <c r="B27" s="380"/>
      <c r="C27" s="237"/>
      <c r="D27" s="237"/>
      <c r="E27" s="237"/>
      <c r="F27" s="243" t="str">
        <f ca="1">IF(F26="",F25,F25-F26)</f>
        <v/>
      </c>
      <c r="G27" s="243" t="str">
        <f ca="1">IF(G26="",G25,G25-G26)</f>
        <v/>
      </c>
      <c r="H27" s="243" t="str">
        <f ca="1">IF(H26="",H25,H25-H26)</f>
        <v/>
      </c>
      <c r="I27" s="243" t="str">
        <f ca="1">IF(I26="",I25,I25-I26)</f>
        <v/>
      </c>
      <c r="J27" s="339" t="str">
        <f t="shared" ref="J27:J47" ca="1" si="1">IF(ISERROR(I27-G27),"",IF(I27=0,"",ROUND((I27-G27)*100/G27,2)))</f>
        <v/>
      </c>
      <c r="K27" s="234"/>
    </row>
    <row r="28" spans="1:11" ht="15.75" hidden="1" customHeight="1">
      <c r="A28" s="8"/>
      <c r="B28" s="7"/>
      <c r="C28" s="8"/>
      <c r="D28" s="8"/>
      <c r="E28" s="8"/>
      <c r="F28" s="6"/>
      <c r="G28" s="5"/>
      <c r="H28" s="5"/>
      <c r="I28" s="5"/>
      <c r="J28" s="339" t="str">
        <f t="shared" si="1"/>
        <v/>
      </c>
      <c r="K28" s="7"/>
    </row>
    <row r="29" spans="1:11" ht="15.75" hidden="1" customHeight="1">
      <c r="A29" s="8"/>
      <c r="B29" s="7"/>
      <c r="C29" s="8"/>
      <c r="D29" s="8"/>
      <c r="E29" s="8"/>
      <c r="F29" s="6"/>
      <c r="G29" s="5"/>
      <c r="H29" s="5"/>
      <c r="I29" s="5"/>
      <c r="J29" s="339" t="str">
        <f t="shared" si="1"/>
        <v/>
      </c>
      <c r="K29" s="7"/>
    </row>
    <row r="30" spans="1:11" ht="15.75" hidden="1" customHeight="1">
      <c r="A30" s="8"/>
      <c r="B30" s="7"/>
      <c r="C30" s="8"/>
      <c r="D30" s="8"/>
      <c r="E30" s="8"/>
      <c r="F30" s="6"/>
      <c r="G30" s="5"/>
      <c r="H30" s="5"/>
      <c r="I30" s="5"/>
      <c r="J30" s="339" t="str">
        <f t="shared" si="1"/>
        <v/>
      </c>
      <c r="K30" s="7"/>
    </row>
    <row r="31" spans="1:11" ht="15.75" hidden="1" customHeight="1">
      <c r="A31" s="8"/>
      <c r="B31" s="7"/>
      <c r="C31" s="8"/>
      <c r="D31" s="8"/>
      <c r="E31" s="8"/>
      <c r="F31" s="6"/>
      <c r="G31" s="5"/>
      <c r="H31" s="5"/>
      <c r="I31" s="5"/>
      <c r="J31" s="339" t="str">
        <f t="shared" si="1"/>
        <v/>
      </c>
      <c r="K31" s="7"/>
    </row>
    <row r="32" spans="1:11" ht="15.75" hidden="1" customHeight="1">
      <c r="A32" s="8"/>
      <c r="B32" s="7"/>
      <c r="C32" s="8"/>
      <c r="D32" s="8"/>
      <c r="E32" s="8"/>
      <c r="F32" s="6"/>
      <c r="G32" s="5"/>
      <c r="H32" s="5"/>
      <c r="I32" s="5"/>
      <c r="J32" s="339" t="str">
        <f t="shared" si="1"/>
        <v/>
      </c>
      <c r="K32" s="7"/>
    </row>
    <row r="33" spans="1:11" ht="15.75" hidden="1" customHeight="1">
      <c r="A33" s="8"/>
      <c r="B33" s="7"/>
      <c r="C33" s="8"/>
      <c r="D33" s="8"/>
      <c r="E33" s="8"/>
      <c r="F33" s="6"/>
      <c r="G33" s="5"/>
      <c r="H33" s="5"/>
      <c r="I33" s="5"/>
      <c r="J33" s="339" t="str">
        <f t="shared" si="1"/>
        <v/>
      </c>
      <c r="K33" s="7"/>
    </row>
    <row r="34" spans="1:11" ht="15.75" hidden="1" customHeight="1">
      <c r="A34" s="8"/>
      <c r="B34" s="7"/>
      <c r="C34" s="8"/>
      <c r="D34" s="8"/>
      <c r="E34" s="8"/>
      <c r="F34" s="6"/>
      <c r="G34" s="5"/>
      <c r="H34" s="5"/>
      <c r="I34" s="5"/>
      <c r="J34" s="339" t="str">
        <f t="shared" si="1"/>
        <v/>
      </c>
      <c r="K34" s="7"/>
    </row>
    <row r="35" spans="1:11" ht="15.75" hidden="1" customHeight="1">
      <c r="A35" s="8"/>
      <c r="B35" s="7"/>
      <c r="C35" s="8"/>
      <c r="D35" s="8"/>
      <c r="E35" s="8"/>
      <c r="F35" s="6"/>
      <c r="G35" s="5"/>
      <c r="H35" s="5"/>
      <c r="I35" s="5"/>
      <c r="J35" s="339" t="str">
        <f t="shared" si="1"/>
        <v/>
      </c>
      <c r="K35" s="7"/>
    </row>
    <row r="36" spans="1:11" ht="15.75" hidden="1" customHeight="1">
      <c r="A36" s="8"/>
      <c r="B36" s="7"/>
      <c r="C36" s="8"/>
      <c r="D36" s="8"/>
      <c r="E36" s="8"/>
      <c r="F36" s="6"/>
      <c r="G36" s="5"/>
      <c r="H36" s="5"/>
      <c r="I36" s="5"/>
      <c r="J36" s="339" t="str">
        <f t="shared" si="1"/>
        <v/>
      </c>
      <c r="K36" s="7"/>
    </row>
    <row r="37" spans="1:11" ht="15.75" hidden="1" customHeight="1">
      <c r="A37" s="8"/>
      <c r="B37" s="7"/>
      <c r="C37" s="8"/>
      <c r="D37" s="8"/>
      <c r="E37" s="8"/>
      <c r="F37" s="6"/>
      <c r="G37" s="5"/>
      <c r="H37" s="5"/>
      <c r="I37" s="5"/>
      <c r="J37" s="339" t="str">
        <f t="shared" si="1"/>
        <v/>
      </c>
      <c r="K37" s="7"/>
    </row>
    <row r="38" spans="1:11" ht="15.75" hidden="1" customHeight="1">
      <c r="A38" s="8"/>
      <c r="B38" s="7"/>
      <c r="C38" s="8"/>
      <c r="D38" s="8"/>
      <c r="E38" s="8"/>
      <c r="F38" s="6"/>
      <c r="G38" s="5"/>
      <c r="H38" s="5"/>
      <c r="I38" s="5"/>
      <c r="J38" s="339" t="str">
        <f t="shared" si="1"/>
        <v/>
      </c>
      <c r="K38" s="7"/>
    </row>
    <row r="39" spans="1:11" ht="15.75" hidden="1" customHeight="1">
      <c r="A39" s="8"/>
      <c r="B39" s="7"/>
      <c r="C39" s="8"/>
      <c r="D39" s="8"/>
      <c r="E39" s="8"/>
      <c r="F39" s="6"/>
      <c r="G39" s="5"/>
      <c r="H39" s="5"/>
      <c r="I39" s="5"/>
      <c r="J39" s="339" t="str">
        <f t="shared" si="1"/>
        <v/>
      </c>
      <c r="K39" s="7"/>
    </row>
    <row r="40" spans="1:11" ht="15.75" hidden="1" customHeight="1">
      <c r="A40" s="8"/>
      <c r="B40" s="7"/>
      <c r="C40" s="8"/>
      <c r="D40" s="8"/>
      <c r="E40" s="8"/>
      <c r="F40" s="6"/>
      <c r="G40" s="5"/>
      <c r="H40" s="5"/>
      <c r="I40" s="5"/>
      <c r="J40" s="339" t="str">
        <f t="shared" si="1"/>
        <v/>
      </c>
      <c r="K40" s="7"/>
    </row>
    <row r="41" spans="1:11" ht="15.75" hidden="1" customHeight="1">
      <c r="A41" s="8"/>
      <c r="B41" s="7"/>
      <c r="C41" s="8"/>
      <c r="D41" s="8"/>
      <c r="E41" s="8"/>
      <c r="F41" s="6"/>
      <c r="G41" s="5"/>
      <c r="H41" s="5"/>
      <c r="I41" s="5"/>
      <c r="J41" s="339" t="str">
        <f t="shared" si="1"/>
        <v/>
      </c>
      <c r="K41" s="7"/>
    </row>
    <row r="42" spans="1:11" ht="15.75" hidden="1" customHeight="1">
      <c r="A42" s="8"/>
      <c r="B42" s="7"/>
      <c r="C42" s="8"/>
      <c r="D42" s="8"/>
      <c r="E42" s="8"/>
      <c r="F42" s="6"/>
      <c r="G42" s="5"/>
      <c r="H42" s="5"/>
      <c r="I42" s="5"/>
      <c r="J42" s="339" t="str">
        <f t="shared" si="1"/>
        <v/>
      </c>
      <c r="K42" s="7"/>
    </row>
    <row r="43" spans="1:11" ht="15.75" hidden="1" customHeight="1">
      <c r="A43" s="8"/>
      <c r="B43" s="7"/>
      <c r="C43" s="8"/>
      <c r="D43" s="8"/>
      <c r="E43" s="8"/>
      <c r="F43" s="6"/>
      <c r="G43" s="5"/>
      <c r="H43" s="5"/>
      <c r="I43" s="5"/>
      <c r="J43" s="339" t="str">
        <f t="shared" si="1"/>
        <v/>
      </c>
      <c r="K43" s="7"/>
    </row>
    <row r="44" spans="1:11" ht="15.75" hidden="1" customHeight="1">
      <c r="A44" s="8"/>
      <c r="B44" s="7"/>
      <c r="C44" s="8"/>
      <c r="D44" s="8"/>
      <c r="E44" s="8"/>
      <c r="F44" s="6"/>
      <c r="G44" s="5"/>
      <c r="H44" s="5"/>
      <c r="I44" s="5"/>
      <c r="J44" s="339" t="str">
        <f t="shared" si="1"/>
        <v/>
      </c>
      <c r="K44" s="7"/>
    </row>
    <row r="45" spans="1:11" ht="15.75" hidden="1" customHeight="1">
      <c r="A45" s="8"/>
      <c r="B45" s="7"/>
      <c r="C45" s="8"/>
      <c r="D45" s="8"/>
      <c r="E45" s="8"/>
      <c r="F45" s="6"/>
      <c r="G45" s="5"/>
      <c r="H45" s="5"/>
      <c r="I45" s="5"/>
      <c r="J45" s="339" t="str">
        <f t="shared" si="1"/>
        <v/>
      </c>
      <c r="K45" s="7"/>
    </row>
    <row r="46" spans="1:11" ht="15.75" hidden="1" customHeight="1">
      <c r="A46" s="8"/>
      <c r="B46" s="7"/>
      <c r="C46" s="8"/>
      <c r="D46" s="8"/>
      <c r="E46" s="8"/>
      <c r="F46" s="6"/>
      <c r="G46" s="5"/>
      <c r="H46" s="5"/>
      <c r="I46" s="5"/>
      <c r="J46" s="339" t="str">
        <f t="shared" si="1"/>
        <v/>
      </c>
      <c r="K46" s="7"/>
    </row>
    <row r="47" spans="1:11" ht="15.75" hidden="1" customHeight="1">
      <c r="A47" s="8"/>
      <c r="B47" s="7"/>
      <c r="C47" s="8"/>
      <c r="D47" s="8"/>
      <c r="E47" s="8"/>
      <c r="F47" s="6"/>
      <c r="G47" s="5"/>
      <c r="H47" s="5"/>
      <c r="I47" s="5"/>
      <c r="J47" s="339" t="str">
        <f t="shared" si="1"/>
        <v/>
      </c>
      <c r="K47" s="7"/>
    </row>
  </sheetData>
  <mergeCells count="9">
    <mergeCell ref="L5:L6"/>
    <mergeCell ref="M5:M6"/>
    <mergeCell ref="N5:N6"/>
    <mergeCell ref="O5:O6"/>
    <mergeCell ref="A1:K1"/>
    <mergeCell ref="A2:K2"/>
    <mergeCell ref="A25:B25"/>
    <mergeCell ref="A26:B26"/>
    <mergeCell ref="A27:B27"/>
  </mergeCells>
  <phoneticPr fontId="52" type="noConversion"/>
  <printOptions horizontalCentered="1" verticalCentered="1"/>
  <pageMargins left="0.98425196850393704" right="0.82677165354330717" top="0.43307086614173229" bottom="0.59055118110236227" header="1.6929133858267718" footer="0.9055118110236221"/>
  <pageSetup paperSize="9" scale="99" fitToHeight="0" orientation="landscape" blackAndWhite="1" horizontalDpi="1200" verticalDpi="1200" r:id="rId1"/>
  <headerFooter scaleWithDoc="0">
    <oddHeader>&amp;R&amp;"宋体,常规"&amp;10表4-12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25400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DCF58-EDB7-40FE-B883-CEF00A909CC3}">
  <sheetPr codeName="Sheet80">
    <pageSetUpPr fitToPage="1"/>
  </sheetPr>
  <dimension ref="A1:F30"/>
  <sheetViews>
    <sheetView workbookViewId="0">
      <pane ySplit="5" topLeftCell="A6" activePane="bottomLeft" state="frozen"/>
      <selection pane="bottomLeft" activeCell="F3" sqref="F1:F65536"/>
    </sheetView>
  </sheetViews>
  <sheetFormatPr baseColWidth="10" defaultColWidth="9" defaultRowHeight="15.75" customHeight="1"/>
  <cols>
    <col min="1" max="1" width="9" style="81" customWidth="1"/>
    <col min="2" max="2" width="31" style="81" customWidth="1"/>
    <col min="3" max="4" width="20.5" style="81" customWidth="1"/>
    <col min="5" max="5" width="20" style="135" customWidth="1"/>
    <col min="6" max="6" width="13" style="340" customWidth="1"/>
    <col min="7" max="16384" width="9" style="81"/>
  </cols>
  <sheetData>
    <row r="1" spans="1:6" s="80" customFormat="1" ht="30" customHeight="1">
      <c r="A1" s="374" t="s">
        <v>553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331" t="s">
        <v>896</v>
      </c>
    </row>
    <row r="4" spans="1:6" ht="15.75" customHeight="1">
      <c r="A4" s="41" t="str">
        <f>'1-汇总表'!A4</f>
        <v>被评估单位：A有限公司</v>
      </c>
      <c r="B4" s="42"/>
      <c r="C4" s="42"/>
      <c r="D4" s="42"/>
      <c r="E4" s="419" t="s">
        <v>6</v>
      </c>
      <c r="F4" s="419"/>
    </row>
    <row r="5" spans="1:6" s="82" customFormat="1" ht="15.75" customHeight="1">
      <c r="A5" s="43" t="s">
        <v>57</v>
      </c>
      <c r="B5" s="43" t="s">
        <v>383</v>
      </c>
      <c r="C5" s="43" t="s">
        <v>117</v>
      </c>
      <c r="D5" s="43" t="s">
        <v>0</v>
      </c>
      <c r="E5" s="133" t="s">
        <v>1</v>
      </c>
      <c r="F5" s="352" t="s">
        <v>479</v>
      </c>
    </row>
    <row r="6" spans="1:6" ht="15.75" customHeight="1">
      <c r="A6" s="1" t="s">
        <v>316</v>
      </c>
      <c r="B6" s="199" t="s">
        <v>222</v>
      </c>
      <c r="C6" s="32" t="str">
        <f ca="1">IF('4-15-1无形-土地'!L26=0,"",'4-15-1无形-土地'!L26)</f>
        <v/>
      </c>
      <c r="D6" s="32" t="str">
        <f ca="1">IF('4-15-1无形-土地'!M26=0,"",'4-15-1无形-土地'!M26)</f>
        <v/>
      </c>
      <c r="E6" s="28" t="str">
        <f ca="1">IF(ISERROR(D6-C6),"",IF(C6=0,"",D6-C6))</f>
        <v/>
      </c>
      <c r="F6" s="339" t="str">
        <f ca="1">IF(ISERROR(D6-C6),"",IF(C6=0,"",IF(E6="",0,ROUND(E6*100/C6,2))))</f>
        <v/>
      </c>
    </row>
    <row r="7" spans="1:6" ht="15.75" customHeight="1">
      <c r="A7" s="1" t="s">
        <v>317</v>
      </c>
      <c r="B7" s="200" t="s">
        <v>384</v>
      </c>
      <c r="C7" s="32" t="str">
        <f ca="1">IF('4-15-2无形-矿业权'!J26=0,"",'4-15-2无形-矿业权'!J26)</f>
        <v/>
      </c>
      <c r="D7" s="32" t="str">
        <f ca="1">IF('4-15-2无形-矿业权'!K26=0,"",'4-15-2无形-矿业权'!K26)</f>
        <v/>
      </c>
      <c r="E7" s="28" t="str">
        <f ca="1">IF(ISERROR(D7-C7),"",IF(C7=0,"",D7-C7))</f>
        <v/>
      </c>
      <c r="F7" s="339" t="str">
        <f ca="1">IF(ISERROR(D7-C7),"",IF(C7=0,"",IF(E7="",0,ROUND(E7*100/C7,2))))</f>
        <v/>
      </c>
    </row>
    <row r="8" spans="1:6" ht="15.75" customHeight="1">
      <c r="A8" s="1" t="s">
        <v>342</v>
      </c>
      <c r="B8" s="200" t="s">
        <v>385</v>
      </c>
      <c r="C8" s="32" t="str">
        <f ca="1">IF('4-15-3无形-其他'!F26=0,"",'4-15-3无形-其他'!F26)</f>
        <v/>
      </c>
      <c r="D8" s="29" t="str">
        <f ca="1">IF('4-15-3无形-其他'!H26=0,"",'4-15-3无形-其他'!H26)</f>
        <v/>
      </c>
      <c r="E8" s="28" t="str">
        <f ca="1">IF(ISERROR(D8-C8),"",IF(C8=0,"",D8-C8))</f>
        <v/>
      </c>
      <c r="F8" s="339" t="str">
        <f ca="1">IF(ISERROR(D8-C8),"",IF(C8=0,"",IF(E8="",0,ROUND(E8*100/C8,2))))</f>
        <v/>
      </c>
    </row>
    <row r="9" spans="1:6" ht="15.75" customHeight="1">
      <c r="A9" s="1"/>
      <c r="B9" s="199"/>
      <c r="C9" s="32"/>
      <c r="D9" s="29"/>
      <c r="E9" s="243"/>
      <c r="F9" s="354"/>
    </row>
    <row r="10" spans="1:6" ht="15.75" customHeight="1">
      <c r="A10" s="1"/>
      <c r="B10" s="199"/>
      <c r="C10" s="32"/>
      <c r="D10" s="29"/>
      <c r="E10" s="243"/>
      <c r="F10" s="354"/>
    </row>
    <row r="11" spans="1:6" ht="15.75" customHeight="1">
      <c r="A11" s="1"/>
      <c r="B11" s="199"/>
      <c r="C11" s="32"/>
      <c r="D11" s="29"/>
      <c r="E11" s="243"/>
      <c r="F11" s="354"/>
    </row>
    <row r="12" spans="1:6" ht="15.75" customHeight="1">
      <c r="A12" s="1"/>
      <c r="B12" s="199"/>
      <c r="C12" s="32"/>
      <c r="D12" s="29"/>
      <c r="E12" s="243"/>
      <c r="F12" s="354"/>
    </row>
    <row r="13" spans="1:6" ht="15.75" customHeight="1">
      <c r="A13" s="1"/>
      <c r="B13" s="199"/>
      <c r="C13" s="32"/>
      <c r="D13" s="29"/>
      <c r="E13" s="243"/>
      <c r="F13" s="354"/>
    </row>
    <row r="14" spans="1:6" ht="15.75" customHeight="1">
      <c r="A14" s="1"/>
      <c r="B14" s="199"/>
      <c r="C14" s="32"/>
      <c r="D14" s="29"/>
      <c r="E14" s="243"/>
      <c r="F14" s="354"/>
    </row>
    <row r="15" spans="1:6" ht="15.75" customHeight="1">
      <c r="A15" s="1"/>
      <c r="B15" s="199"/>
      <c r="C15" s="32"/>
      <c r="D15" s="29"/>
      <c r="E15" s="243"/>
      <c r="F15" s="354"/>
    </row>
    <row r="16" spans="1:6" ht="15.75" customHeight="1">
      <c r="A16" s="1"/>
      <c r="B16" s="199"/>
      <c r="C16" s="32"/>
      <c r="D16" s="29"/>
      <c r="E16" s="243"/>
      <c r="F16" s="354"/>
    </row>
    <row r="17" spans="1:6" ht="15.75" customHeight="1">
      <c r="A17" s="1"/>
      <c r="B17" s="199"/>
      <c r="C17" s="32"/>
      <c r="D17" s="29"/>
      <c r="E17" s="243"/>
      <c r="F17" s="354"/>
    </row>
    <row r="18" spans="1:6" ht="15.75" customHeight="1">
      <c r="A18" s="1"/>
      <c r="B18" s="199"/>
      <c r="C18" s="32"/>
      <c r="D18" s="29"/>
      <c r="E18" s="243"/>
      <c r="F18" s="354"/>
    </row>
    <row r="19" spans="1:6" ht="15.75" customHeight="1">
      <c r="A19" s="1"/>
      <c r="B19" s="199"/>
      <c r="C19" s="32"/>
      <c r="D19" s="29"/>
      <c r="E19" s="243"/>
      <c r="F19" s="354"/>
    </row>
    <row r="20" spans="1:6" ht="15.75" customHeight="1">
      <c r="A20" s="1"/>
      <c r="B20" s="199"/>
      <c r="C20" s="32"/>
      <c r="D20" s="29"/>
      <c r="E20" s="243"/>
      <c r="F20" s="354"/>
    </row>
    <row r="21" spans="1:6" ht="15.75" customHeight="1">
      <c r="A21" s="1"/>
      <c r="B21" s="199"/>
      <c r="C21" s="32"/>
      <c r="D21" s="29"/>
      <c r="E21" s="243"/>
      <c r="F21" s="354"/>
    </row>
    <row r="22" spans="1:6" ht="15.75" customHeight="1">
      <c r="A22" s="1"/>
      <c r="B22" s="199"/>
      <c r="C22" s="32"/>
      <c r="D22" s="29"/>
      <c r="E22" s="243"/>
      <c r="F22" s="354"/>
    </row>
    <row r="23" spans="1:6" ht="15.75" customHeight="1">
      <c r="A23" s="1"/>
      <c r="B23" s="199"/>
      <c r="C23" s="32"/>
      <c r="D23" s="29"/>
      <c r="E23" s="243"/>
      <c r="F23" s="354"/>
    </row>
    <row r="24" spans="1:6" ht="15.75" customHeight="1">
      <c r="A24" s="1"/>
      <c r="B24" s="199"/>
      <c r="C24" s="32"/>
      <c r="D24" s="29"/>
      <c r="E24" s="243"/>
      <c r="F24" s="354"/>
    </row>
    <row r="25" spans="1:6" ht="15.75" customHeight="1">
      <c r="A25" s="1"/>
      <c r="B25" s="199"/>
      <c r="C25" s="32"/>
      <c r="D25" s="29"/>
      <c r="E25" s="243"/>
      <c r="F25" s="354"/>
    </row>
    <row r="26" spans="1:6" ht="15.75" customHeight="1">
      <c r="A26" s="417" t="s">
        <v>535</v>
      </c>
      <c r="B26" s="530"/>
      <c r="C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28" t="str">
        <f ca="1">IF(ISERROR(D26-C26),"",IF(C26=0,"",D26-C26))</f>
        <v/>
      </c>
      <c r="F26" s="339" t="str">
        <f ca="1">IF(ISERROR(D26-C26),"",IF(C26=0,"",IF(E26="",0,ROUND(E26*100/C26,2))))</f>
        <v/>
      </c>
    </row>
    <row r="27" spans="1:6" ht="15.75" customHeight="1">
      <c r="A27" s="544" t="s">
        <v>221</v>
      </c>
      <c r="B27" s="545"/>
      <c r="C27" s="32"/>
      <c r="D27" s="29"/>
      <c r="E27" s="243"/>
      <c r="F27" s="354"/>
    </row>
    <row r="28" spans="1:6" ht="15.75" customHeight="1">
      <c r="A28" s="417" t="s">
        <v>535</v>
      </c>
      <c r="B28" s="530"/>
      <c r="C28" s="32" t="str">
        <f ca="1">IF(C27="",C26,C26-C27)</f>
        <v/>
      </c>
      <c r="D28" s="32" t="str">
        <f ca="1">IF(D27="",D26,D26-D27)</f>
        <v/>
      </c>
      <c r="E28" s="28" t="str">
        <f ca="1">IF(ISERROR(D28-C28),"",IF(C28=0,"",D28-C28))</f>
        <v/>
      </c>
      <c r="F28" s="339" t="str">
        <f ca="1">IF(ISERROR(D28-C28),"",IF(C28=0,"",IF(E28="",0,ROUND(E28*100/C28,2))))</f>
        <v/>
      </c>
    </row>
    <row r="29" spans="1:6" ht="15.75" customHeight="1">
      <c r="A29" s="83"/>
      <c r="D29" s="25"/>
      <c r="E29" s="26"/>
      <c r="F29" s="353"/>
    </row>
    <row r="30" spans="1:6" ht="15.75" customHeight="1">
      <c r="A30" s="83"/>
    </row>
  </sheetData>
  <mergeCells count="6">
    <mergeCell ref="A28:B28"/>
    <mergeCell ref="A1:F1"/>
    <mergeCell ref="A2:F2"/>
    <mergeCell ref="A26:B26"/>
    <mergeCell ref="A27:B27"/>
    <mergeCell ref="E4:F4"/>
  </mergeCells>
  <phoneticPr fontId="6" type="noConversion"/>
  <printOptions horizontalCentered="1" verticalCentered="1"/>
  <pageMargins left="1.1417322834645669" right="0.55118110236220474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965200</xdr:colOff>
                    <xdr:row>2</xdr:row>
                    <xdr:rowOff>0</xdr:rowOff>
                  </from>
                  <to>
                    <xdr:col>1</xdr:col>
                    <xdr:colOff>1993900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1C099-8286-4F63-814C-476D09EBEDE9}">
  <sheetPr codeName="Sheet53">
    <pageSetUpPr fitToPage="1"/>
  </sheetPr>
  <dimension ref="A1:P46"/>
  <sheetViews>
    <sheetView workbookViewId="0">
      <pane ySplit="6" topLeftCell="A18" activePane="bottomLeft" state="frozen"/>
      <selection activeCell="F17" sqref="F17"/>
      <selection pane="bottomLeft" activeCell="O3" sqref="O1:O65536"/>
    </sheetView>
  </sheetViews>
  <sheetFormatPr baseColWidth="10" defaultColWidth="9" defaultRowHeight="15.75" customHeight="1"/>
  <cols>
    <col min="1" max="1" width="4.5" style="81" customWidth="1"/>
    <col min="2" max="2" width="7" style="81" customWidth="1"/>
    <col min="3" max="3" width="8.6640625" style="81" customWidth="1"/>
    <col min="4" max="4" width="9.5" style="81" customWidth="1"/>
    <col min="5" max="7" width="5.5" style="81" customWidth="1"/>
    <col min="8" max="9" width="5.1640625" style="81" customWidth="1"/>
    <col min="10" max="10" width="8" style="81" customWidth="1"/>
    <col min="11" max="13" width="10.6640625" style="81" customWidth="1"/>
    <col min="14" max="14" width="9.5" style="135" customWidth="1"/>
    <col min="15" max="15" width="7" style="340" customWidth="1"/>
    <col min="16" max="16" width="8" style="81" customWidth="1"/>
    <col min="17" max="16384" width="9" style="81"/>
  </cols>
  <sheetData>
    <row r="1" spans="1:16" s="80" customFormat="1" ht="30" customHeight="1">
      <c r="A1" s="374" t="s">
        <v>1019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7"/>
      <c r="J2" s="378"/>
      <c r="K2" s="378"/>
      <c r="L2" s="378"/>
      <c r="M2" s="378"/>
      <c r="N2" s="378"/>
      <c r="O2" s="378"/>
      <c r="P2" s="378"/>
    </row>
    <row r="3" spans="1:16" ht="14.25" customHeight="1">
      <c r="A3" s="40"/>
      <c r="B3" s="40"/>
      <c r="C3" s="40"/>
      <c r="D3" s="40"/>
      <c r="E3" s="40"/>
      <c r="F3" s="40"/>
      <c r="G3" s="40"/>
      <c r="H3" s="40"/>
      <c r="I3" s="40"/>
      <c r="J3" s="171"/>
      <c r="K3" s="171"/>
      <c r="L3" s="171"/>
      <c r="M3" s="171"/>
      <c r="N3" s="172"/>
      <c r="O3" s="218"/>
      <c r="P3" s="177"/>
    </row>
    <row r="4" spans="1:16" ht="14.25" customHeight="1">
      <c r="A4" s="40"/>
      <c r="B4" s="40"/>
      <c r="C4" s="40"/>
      <c r="D4" s="40"/>
      <c r="E4" s="40"/>
      <c r="F4" s="40"/>
      <c r="G4" s="40"/>
      <c r="H4" s="40"/>
      <c r="I4" s="40"/>
      <c r="J4" s="171"/>
      <c r="K4" s="171"/>
      <c r="L4" s="171"/>
      <c r="M4" s="171"/>
      <c r="N4" s="172"/>
      <c r="O4" s="337"/>
      <c r="P4" s="37"/>
    </row>
    <row r="5" spans="1:16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167"/>
      <c r="O5" s="342"/>
      <c r="P5" s="168"/>
    </row>
    <row r="6" spans="1:16" s="189" customFormat="1" ht="27" customHeight="1">
      <c r="A6" s="188" t="s">
        <v>7</v>
      </c>
      <c r="B6" s="188" t="s">
        <v>63</v>
      </c>
      <c r="C6" s="188" t="s">
        <v>40</v>
      </c>
      <c r="D6" s="188" t="s">
        <v>64</v>
      </c>
      <c r="E6" s="188" t="s">
        <v>61</v>
      </c>
      <c r="F6" s="188" t="s">
        <v>65</v>
      </c>
      <c r="G6" s="188" t="s">
        <v>459</v>
      </c>
      <c r="H6" s="188" t="s">
        <v>66</v>
      </c>
      <c r="I6" s="188" t="s">
        <v>67</v>
      </c>
      <c r="J6" s="188" t="s">
        <v>68</v>
      </c>
      <c r="K6" s="188" t="s">
        <v>133</v>
      </c>
      <c r="L6" s="217" t="s">
        <v>117</v>
      </c>
      <c r="M6" s="188" t="s">
        <v>0</v>
      </c>
      <c r="N6" s="175" t="s">
        <v>1</v>
      </c>
      <c r="O6" s="356" t="s">
        <v>479</v>
      </c>
      <c r="P6" s="188" t="s">
        <v>39</v>
      </c>
    </row>
    <row r="7" spans="1:16" ht="15.75" customHeight="1">
      <c r="A7" s="8"/>
      <c r="B7" s="8"/>
      <c r="C7" s="7"/>
      <c r="D7" s="7"/>
      <c r="E7" s="146"/>
      <c r="F7" s="8"/>
      <c r="G7" s="8"/>
      <c r="H7" s="8"/>
      <c r="I7" s="8"/>
      <c r="J7" s="5"/>
      <c r="K7" s="5"/>
      <c r="L7" s="6"/>
      <c r="M7" s="5"/>
      <c r="N7" s="28" t="str">
        <f>IF(ISERROR(M7-L7),"",IF(M7=0,"",M7-L7))</f>
        <v/>
      </c>
      <c r="O7" s="339" t="str">
        <f>IF(ISERROR(M7-L7),"",IF(M7=0,"",IF(N7="",0,ROUND(N7*100/L7,2))))</f>
        <v/>
      </c>
      <c r="P7" s="7"/>
    </row>
    <row r="8" spans="1:16" ht="15.75" customHeight="1">
      <c r="A8" s="8"/>
      <c r="B8" s="8"/>
      <c r="C8" s="7"/>
      <c r="D8" s="7"/>
      <c r="E8" s="146"/>
      <c r="F8" s="8"/>
      <c r="G8" s="8"/>
      <c r="H8" s="8"/>
      <c r="I8" s="8"/>
      <c r="J8" s="5"/>
      <c r="K8" s="5"/>
      <c r="L8" s="5"/>
      <c r="M8" s="5"/>
      <c r="N8" s="28" t="str">
        <f t="shared" ref="N8:N26" si="0">IF(ISERROR(M8-L8),"",IF(M8=0,"",M8-L8))</f>
        <v/>
      </c>
      <c r="O8" s="339" t="str">
        <f t="shared" ref="O8:O26" si="1">IF(ISERROR(M8-L8),"",IF(M8=0,"",IF(N8="",0,ROUND(N8*100/L8,2))))</f>
        <v/>
      </c>
      <c r="P8" s="7"/>
    </row>
    <row r="9" spans="1:16" ht="15.75" customHeight="1">
      <c r="A9" s="8"/>
      <c r="B9" s="8"/>
      <c r="C9" s="7"/>
      <c r="D9" s="7"/>
      <c r="E9" s="146"/>
      <c r="F9" s="8"/>
      <c r="G9" s="8"/>
      <c r="H9" s="8"/>
      <c r="I9" s="8"/>
      <c r="J9" s="5"/>
      <c r="K9" s="5"/>
      <c r="L9" s="5"/>
      <c r="M9" s="5"/>
      <c r="N9" s="28" t="str">
        <f t="shared" si="0"/>
        <v/>
      </c>
      <c r="O9" s="339" t="str">
        <f t="shared" si="1"/>
        <v/>
      </c>
      <c r="P9" s="7"/>
    </row>
    <row r="10" spans="1:16" ht="15.75" customHeight="1">
      <c r="A10" s="8"/>
      <c r="B10" s="8"/>
      <c r="C10" s="7"/>
      <c r="D10" s="7"/>
      <c r="E10" s="146"/>
      <c r="F10" s="8"/>
      <c r="G10" s="8"/>
      <c r="H10" s="8"/>
      <c r="I10" s="8"/>
      <c r="J10" s="5"/>
      <c r="K10" s="5"/>
      <c r="L10" s="5"/>
      <c r="M10" s="5"/>
      <c r="N10" s="28" t="str">
        <f t="shared" si="0"/>
        <v/>
      </c>
      <c r="O10" s="339" t="str">
        <f t="shared" si="1"/>
        <v/>
      </c>
      <c r="P10" s="7"/>
    </row>
    <row r="11" spans="1:16" ht="15.75" customHeight="1">
      <c r="A11" s="8"/>
      <c r="B11" s="8"/>
      <c r="C11" s="7"/>
      <c r="D11" s="7"/>
      <c r="E11" s="146"/>
      <c r="F11" s="8"/>
      <c r="G11" s="8"/>
      <c r="H11" s="8"/>
      <c r="I11" s="8"/>
      <c r="J11" s="5"/>
      <c r="K11" s="5"/>
      <c r="L11" s="5"/>
      <c r="M11" s="5"/>
      <c r="N11" s="28" t="str">
        <f t="shared" si="0"/>
        <v/>
      </c>
      <c r="O11" s="339" t="str">
        <f t="shared" si="1"/>
        <v/>
      </c>
      <c r="P11" s="7"/>
    </row>
    <row r="12" spans="1:16" ht="15.75" customHeight="1">
      <c r="A12" s="8"/>
      <c r="B12" s="8"/>
      <c r="C12" s="7"/>
      <c r="D12" s="7"/>
      <c r="E12" s="146"/>
      <c r="F12" s="8"/>
      <c r="G12" s="8"/>
      <c r="H12" s="8"/>
      <c r="I12" s="8"/>
      <c r="J12" s="5"/>
      <c r="K12" s="5"/>
      <c r="L12" s="5"/>
      <c r="M12" s="5"/>
      <c r="N12" s="28" t="str">
        <f t="shared" si="0"/>
        <v/>
      </c>
      <c r="O12" s="339" t="str">
        <f t="shared" si="1"/>
        <v/>
      </c>
      <c r="P12" s="7"/>
    </row>
    <row r="13" spans="1:16" ht="15.75" customHeight="1">
      <c r="A13" s="8"/>
      <c r="B13" s="8"/>
      <c r="C13" s="7"/>
      <c r="D13" s="7"/>
      <c r="E13" s="146"/>
      <c r="F13" s="8"/>
      <c r="G13" s="8"/>
      <c r="H13" s="8"/>
      <c r="I13" s="8"/>
      <c r="J13" s="5"/>
      <c r="K13" s="5"/>
      <c r="L13" s="5"/>
      <c r="M13" s="5"/>
      <c r="N13" s="28" t="str">
        <f t="shared" si="0"/>
        <v/>
      </c>
      <c r="O13" s="339" t="str">
        <f t="shared" si="1"/>
        <v/>
      </c>
      <c r="P13" s="7"/>
    </row>
    <row r="14" spans="1:16" ht="15.75" customHeight="1">
      <c r="A14" s="8"/>
      <c r="B14" s="8"/>
      <c r="C14" s="7"/>
      <c r="D14" s="7"/>
      <c r="E14" s="146"/>
      <c r="F14" s="8"/>
      <c r="G14" s="8"/>
      <c r="H14" s="8"/>
      <c r="I14" s="8"/>
      <c r="J14" s="5"/>
      <c r="K14" s="5"/>
      <c r="L14" s="5"/>
      <c r="M14" s="5"/>
      <c r="N14" s="28" t="str">
        <f t="shared" si="0"/>
        <v/>
      </c>
      <c r="O14" s="339" t="str">
        <f t="shared" si="1"/>
        <v/>
      </c>
      <c r="P14" s="7"/>
    </row>
    <row r="15" spans="1:16" ht="15.75" customHeight="1">
      <c r="A15" s="8"/>
      <c r="B15" s="8"/>
      <c r="C15" s="7"/>
      <c r="D15" s="7"/>
      <c r="E15" s="146"/>
      <c r="F15" s="8"/>
      <c r="G15" s="8"/>
      <c r="H15" s="8"/>
      <c r="I15" s="8"/>
      <c r="J15" s="5"/>
      <c r="K15" s="5"/>
      <c r="L15" s="5"/>
      <c r="M15" s="5"/>
      <c r="N15" s="28" t="str">
        <f t="shared" si="0"/>
        <v/>
      </c>
      <c r="O15" s="339" t="str">
        <f t="shared" si="1"/>
        <v/>
      </c>
      <c r="P15" s="7"/>
    </row>
    <row r="16" spans="1:16" ht="15.75" customHeight="1">
      <c r="A16" s="8"/>
      <c r="B16" s="8"/>
      <c r="C16" s="7"/>
      <c r="D16" s="7"/>
      <c r="E16" s="146"/>
      <c r="F16" s="8"/>
      <c r="G16" s="8"/>
      <c r="H16" s="8"/>
      <c r="I16" s="8"/>
      <c r="J16" s="5"/>
      <c r="K16" s="5"/>
      <c r="L16" s="5"/>
      <c r="M16" s="5"/>
      <c r="N16" s="28" t="str">
        <f t="shared" si="0"/>
        <v/>
      </c>
      <c r="O16" s="339" t="str">
        <f t="shared" si="1"/>
        <v/>
      </c>
      <c r="P16" s="7"/>
    </row>
    <row r="17" spans="1:16" ht="15.75" customHeight="1">
      <c r="A17" s="8"/>
      <c r="B17" s="8"/>
      <c r="C17" s="7"/>
      <c r="D17" s="7"/>
      <c r="E17" s="146"/>
      <c r="F17" s="8"/>
      <c r="G17" s="8"/>
      <c r="H17" s="8"/>
      <c r="I17" s="8"/>
      <c r="J17" s="5"/>
      <c r="K17" s="5"/>
      <c r="L17" s="5"/>
      <c r="M17" s="5"/>
      <c r="N17" s="28" t="str">
        <f t="shared" si="0"/>
        <v/>
      </c>
      <c r="O17" s="339" t="str">
        <f t="shared" si="1"/>
        <v/>
      </c>
      <c r="P17" s="7"/>
    </row>
    <row r="18" spans="1:16" ht="15.75" customHeight="1">
      <c r="A18" s="8"/>
      <c r="B18" s="8"/>
      <c r="C18" s="7"/>
      <c r="D18" s="7"/>
      <c r="E18" s="146"/>
      <c r="F18" s="8"/>
      <c r="G18" s="8"/>
      <c r="H18" s="8"/>
      <c r="I18" s="8"/>
      <c r="J18" s="5"/>
      <c r="K18" s="5"/>
      <c r="L18" s="5"/>
      <c r="M18" s="5"/>
      <c r="N18" s="28" t="str">
        <f t="shared" si="0"/>
        <v/>
      </c>
      <c r="O18" s="339" t="str">
        <f t="shared" si="1"/>
        <v/>
      </c>
      <c r="P18" s="7"/>
    </row>
    <row r="19" spans="1:16" ht="15.75" customHeight="1">
      <c r="A19" s="8"/>
      <c r="B19" s="8"/>
      <c r="C19" s="7"/>
      <c r="D19" s="7"/>
      <c r="E19" s="146"/>
      <c r="F19" s="8"/>
      <c r="G19" s="8"/>
      <c r="H19" s="8"/>
      <c r="I19" s="8"/>
      <c r="J19" s="5"/>
      <c r="K19" s="5"/>
      <c r="L19" s="5"/>
      <c r="M19" s="5"/>
      <c r="N19" s="28" t="str">
        <f t="shared" si="0"/>
        <v/>
      </c>
      <c r="O19" s="339" t="str">
        <f t="shared" si="1"/>
        <v/>
      </c>
      <c r="P19" s="7"/>
    </row>
    <row r="20" spans="1:16" ht="15.75" customHeight="1">
      <c r="A20" s="8"/>
      <c r="B20" s="8"/>
      <c r="C20" s="7"/>
      <c r="D20" s="7"/>
      <c r="E20" s="146"/>
      <c r="F20" s="8"/>
      <c r="G20" s="8"/>
      <c r="H20" s="8"/>
      <c r="I20" s="8"/>
      <c r="J20" s="5"/>
      <c r="K20" s="5"/>
      <c r="L20" s="5"/>
      <c r="M20" s="5"/>
      <c r="N20" s="28" t="str">
        <f t="shared" si="0"/>
        <v/>
      </c>
      <c r="O20" s="339" t="str">
        <f t="shared" si="1"/>
        <v/>
      </c>
      <c r="P20" s="7"/>
    </row>
    <row r="21" spans="1:16" ht="15.75" customHeight="1">
      <c r="A21" s="8"/>
      <c r="B21" s="8"/>
      <c r="C21" s="7"/>
      <c r="D21" s="7"/>
      <c r="E21" s="146"/>
      <c r="F21" s="8"/>
      <c r="G21" s="8"/>
      <c r="H21" s="8"/>
      <c r="I21" s="8"/>
      <c r="J21" s="5"/>
      <c r="K21" s="5"/>
      <c r="L21" s="5"/>
      <c r="M21" s="5"/>
      <c r="N21" s="28" t="str">
        <f t="shared" si="0"/>
        <v/>
      </c>
      <c r="O21" s="339" t="str">
        <f t="shared" si="1"/>
        <v/>
      </c>
      <c r="P21" s="7"/>
    </row>
    <row r="22" spans="1:16" ht="15.75" customHeight="1">
      <c r="A22" s="8"/>
      <c r="B22" s="8"/>
      <c r="C22" s="7"/>
      <c r="D22" s="7"/>
      <c r="E22" s="146"/>
      <c r="F22" s="8"/>
      <c r="G22" s="8"/>
      <c r="H22" s="8"/>
      <c r="I22" s="8"/>
      <c r="J22" s="5"/>
      <c r="K22" s="5"/>
      <c r="L22" s="5"/>
      <c r="M22" s="5"/>
      <c r="N22" s="28" t="str">
        <f t="shared" si="0"/>
        <v/>
      </c>
      <c r="O22" s="339" t="str">
        <f t="shared" si="1"/>
        <v/>
      </c>
      <c r="P22" s="7"/>
    </row>
    <row r="23" spans="1:16" ht="15.75" customHeight="1">
      <c r="A23" s="8"/>
      <c r="B23" s="8"/>
      <c r="C23" s="7"/>
      <c r="D23" s="7"/>
      <c r="E23" s="146"/>
      <c r="F23" s="8"/>
      <c r="G23" s="8"/>
      <c r="H23" s="8"/>
      <c r="I23" s="8"/>
      <c r="J23" s="5"/>
      <c r="K23" s="5"/>
      <c r="L23" s="5"/>
      <c r="M23" s="5"/>
      <c r="N23" s="28" t="str">
        <f t="shared" si="0"/>
        <v/>
      </c>
      <c r="O23" s="339" t="str">
        <f t="shared" si="1"/>
        <v/>
      </c>
      <c r="P23" s="7"/>
    </row>
    <row r="24" spans="1:16" ht="15.75" customHeight="1">
      <c r="A24" s="8"/>
      <c r="B24" s="8"/>
      <c r="C24" s="7"/>
      <c r="D24" s="7"/>
      <c r="E24" s="146"/>
      <c r="F24" s="8"/>
      <c r="G24" s="8"/>
      <c r="H24" s="8"/>
      <c r="I24" s="8"/>
      <c r="J24" s="5"/>
      <c r="K24" s="5"/>
      <c r="L24" s="5"/>
      <c r="M24" s="5"/>
      <c r="N24" s="28" t="str">
        <f t="shared" si="0"/>
        <v/>
      </c>
      <c r="O24" s="339" t="str">
        <f t="shared" si="1"/>
        <v/>
      </c>
      <c r="P24" s="7"/>
    </row>
    <row r="25" spans="1:16" ht="15.75" customHeight="1">
      <c r="A25" s="8"/>
      <c r="B25" s="8"/>
      <c r="C25" s="7"/>
      <c r="D25" s="7"/>
      <c r="E25" s="146"/>
      <c r="F25" s="8"/>
      <c r="G25" s="8"/>
      <c r="H25" s="8"/>
      <c r="I25" s="8"/>
      <c r="J25" s="5"/>
      <c r="K25" s="5"/>
      <c r="L25" s="5"/>
      <c r="M25" s="5"/>
      <c r="N25" s="28" t="str">
        <f t="shared" si="0"/>
        <v/>
      </c>
      <c r="O25" s="339" t="str">
        <f t="shared" si="1"/>
        <v/>
      </c>
      <c r="P25" s="7"/>
    </row>
    <row r="26" spans="1:16" ht="15.75" customHeight="1">
      <c r="A26" s="383" t="s">
        <v>466</v>
      </c>
      <c r="B26" s="380"/>
      <c r="C26" s="380"/>
      <c r="D26" s="543"/>
      <c r="E26" s="232"/>
      <c r="F26" s="237"/>
      <c r="G26" s="237"/>
      <c r="H26" s="237"/>
      <c r="I26" s="237"/>
      <c r="J26" s="31"/>
      <c r="K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M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N26" s="28" t="str">
        <f t="shared" ca="1" si="0"/>
        <v/>
      </c>
      <c r="O26" s="339" t="str">
        <f t="shared" ca="1" si="1"/>
        <v/>
      </c>
      <c r="P26" s="234"/>
    </row>
    <row r="27" spans="1:16" ht="15.75" hidden="1" customHeight="1">
      <c r="A27" s="8"/>
      <c r="B27" s="8"/>
      <c r="C27" s="7"/>
      <c r="D27" s="7"/>
      <c r="E27" s="146"/>
      <c r="F27" s="8"/>
      <c r="G27" s="8"/>
      <c r="H27" s="8"/>
      <c r="I27" s="8"/>
      <c r="J27" s="5"/>
      <c r="K27" s="5"/>
      <c r="L27" s="5"/>
      <c r="M27" s="5"/>
      <c r="N27" s="28" t="str">
        <f>IF(ISERROR(M27-L27),"",IF(M27=0,"",M27-L27))</f>
        <v/>
      </c>
      <c r="O27" s="339" t="str">
        <f>IF(ISERROR(M27-L27),"",IF(M27=0,"",IF(N27="",0,ROUND(N27*100/L27,2))))</f>
        <v/>
      </c>
      <c r="P27" s="13"/>
    </row>
    <row r="28" spans="1:16" ht="15.75" hidden="1" customHeight="1">
      <c r="A28" s="8"/>
      <c r="B28" s="8"/>
      <c r="C28" s="7"/>
      <c r="D28" s="7"/>
      <c r="E28" s="146"/>
      <c r="F28" s="8"/>
      <c r="G28" s="8"/>
      <c r="H28" s="8"/>
      <c r="I28" s="8"/>
      <c r="J28" s="5"/>
      <c r="K28" s="5"/>
      <c r="L28" s="5"/>
      <c r="M28" s="5"/>
      <c r="N28" s="28" t="str">
        <f t="shared" ref="N28:N46" si="2">IF(ISERROR(M28-L28),"",IF(M28=0,"",M28-L28))</f>
        <v/>
      </c>
      <c r="O28" s="339" t="str">
        <f t="shared" ref="O28:O46" si="3">IF(ISERROR(M28-L28),"",IF(M28=0,"",IF(N28="",0,ROUND(N28*100/L28,2))))</f>
        <v/>
      </c>
      <c r="P28" s="7"/>
    </row>
    <row r="29" spans="1:16" ht="15.75" hidden="1" customHeight="1">
      <c r="A29" s="8"/>
      <c r="B29" s="8"/>
      <c r="C29" s="7"/>
      <c r="D29" s="7"/>
      <c r="E29" s="146"/>
      <c r="F29" s="8"/>
      <c r="G29" s="8"/>
      <c r="H29" s="8"/>
      <c r="I29" s="8"/>
      <c r="J29" s="5"/>
      <c r="K29" s="5"/>
      <c r="L29" s="5"/>
      <c r="M29" s="5"/>
      <c r="N29" s="28" t="str">
        <f t="shared" si="2"/>
        <v/>
      </c>
      <c r="O29" s="339" t="str">
        <f t="shared" si="3"/>
        <v/>
      </c>
      <c r="P29" s="7"/>
    </row>
    <row r="30" spans="1:16" ht="15.75" hidden="1" customHeight="1">
      <c r="A30" s="8"/>
      <c r="B30" s="8"/>
      <c r="C30" s="7"/>
      <c r="D30" s="7"/>
      <c r="E30" s="146"/>
      <c r="F30" s="8"/>
      <c r="G30" s="8"/>
      <c r="H30" s="8"/>
      <c r="I30" s="8"/>
      <c r="J30" s="5"/>
      <c r="K30" s="5"/>
      <c r="L30" s="5"/>
      <c r="M30" s="5"/>
      <c r="N30" s="28" t="str">
        <f t="shared" si="2"/>
        <v/>
      </c>
      <c r="O30" s="339" t="str">
        <f t="shared" si="3"/>
        <v/>
      </c>
      <c r="P30" s="7"/>
    </row>
    <row r="31" spans="1:16" ht="15.75" hidden="1" customHeight="1">
      <c r="A31" s="8"/>
      <c r="B31" s="8"/>
      <c r="C31" s="7"/>
      <c r="D31" s="7"/>
      <c r="E31" s="146"/>
      <c r="F31" s="8"/>
      <c r="G31" s="8"/>
      <c r="H31" s="8"/>
      <c r="I31" s="8"/>
      <c r="J31" s="5"/>
      <c r="K31" s="5"/>
      <c r="L31" s="5"/>
      <c r="M31" s="5"/>
      <c r="N31" s="28" t="str">
        <f t="shared" si="2"/>
        <v/>
      </c>
      <c r="O31" s="339" t="str">
        <f t="shared" si="3"/>
        <v/>
      </c>
      <c r="P31" s="7"/>
    </row>
    <row r="32" spans="1:16" ht="15.75" hidden="1" customHeight="1">
      <c r="A32" s="8"/>
      <c r="B32" s="8"/>
      <c r="C32" s="7"/>
      <c r="D32" s="7"/>
      <c r="E32" s="146"/>
      <c r="F32" s="8"/>
      <c r="G32" s="8"/>
      <c r="H32" s="8"/>
      <c r="I32" s="8"/>
      <c r="J32" s="5"/>
      <c r="K32" s="5"/>
      <c r="L32" s="5"/>
      <c r="M32" s="5"/>
      <c r="N32" s="28" t="str">
        <f t="shared" si="2"/>
        <v/>
      </c>
      <c r="O32" s="339" t="str">
        <f t="shared" si="3"/>
        <v/>
      </c>
      <c r="P32" s="7"/>
    </row>
    <row r="33" spans="1:16" ht="15.75" hidden="1" customHeight="1">
      <c r="A33" s="8"/>
      <c r="B33" s="8"/>
      <c r="C33" s="7"/>
      <c r="D33" s="7"/>
      <c r="E33" s="146"/>
      <c r="F33" s="8"/>
      <c r="G33" s="8"/>
      <c r="H33" s="8"/>
      <c r="I33" s="8"/>
      <c r="J33" s="5"/>
      <c r="K33" s="5"/>
      <c r="L33" s="5"/>
      <c r="M33" s="5"/>
      <c r="N33" s="28" t="str">
        <f t="shared" si="2"/>
        <v/>
      </c>
      <c r="O33" s="339" t="str">
        <f t="shared" si="3"/>
        <v/>
      </c>
      <c r="P33" s="7"/>
    </row>
    <row r="34" spans="1:16" ht="15.75" hidden="1" customHeight="1">
      <c r="A34" s="8"/>
      <c r="B34" s="8"/>
      <c r="C34" s="7"/>
      <c r="D34" s="7"/>
      <c r="E34" s="146"/>
      <c r="F34" s="8"/>
      <c r="G34" s="8"/>
      <c r="H34" s="8"/>
      <c r="I34" s="8"/>
      <c r="J34" s="5"/>
      <c r="K34" s="5"/>
      <c r="L34" s="5"/>
      <c r="M34" s="5"/>
      <c r="N34" s="28" t="str">
        <f t="shared" si="2"/>
        <v/>
      </c>
      <c r="O34" s="339" t="str">
        <f t="shared" si="3"/>
        <v/>
      </c>
      <c r="P34" s="7"/>
    </row>
    <row r="35" spans="1:16" ht="15.75" hidden="1" customHeight="1">
      <c r="A35" s="8"/>
      <c r="B35" s="8"/>
      <c r="C35" s="7"/>
      <c r="D35" s="7"/>
      <c r="E35" s="146"/>
      <c r="F35" s="8"/>
      <c r="G35" s="8"/>
      <c r="H35" s="8"/>
      <c r="I35" s="8"/>
      <c r="J35" s="5"/>
      <c r="K35" s="5"/>
      <c r="L35" s="5"/>
      <c r="M35" s="5"/>
      <c r="N35" s="28" t="str">
        <f t="shared" si="2"/>
        <v/>
      </c>
      <c r="O35" s="339" t="str">
        <f t="shared" si="3"/>
        <v/>
      </c>
      <c r="P35" s="7"/>
    </row>
    <row r="36" spans="1:16" ht="15.75" hidden="1" customHeight="1">
      <c r="A36" s="8"/>
      <c r="B36" s="8"/>
      <c r="C36" s="7"/>
      <c r="D36" s="7"/>
      <c r="E36" s="146"/>
      <c r="F36" s="8"/>
      <c r="G36" s="8"/>
      <c r="H36" s="8"/>
      <c r="I36" s="8"/>
      <c r="J36" s="5"/>
      <c r="K36" s="5"/>
      <c r="L36" s="5"/>
      <c r="M36" s="5"/>
      <c r="N36" s="28" t="str">
        <f t="shared" si="2"/>
        <v/>
      </c>
      <c r="O36" s="339" t="str">
        <f t="shared" si="3"/>
        <v/>
      </c>
      <c r="P36" s="7"/>
    </row>
    <row r="37" spans="1:16" ht="15.75" hidden="1" customHeight="1">
      <c r="A37" s="8"/>
      <c r="B37" s="8"/>
      <c r="C37" s="7"/>
      <c r="D37" s="7"/>
      <c r="E37" s="146"/>
      <c r="F37" s="8"/>
      <c r="G37" s="8"/>
      <c r="H37" s="8"/>
      <c r="I37" s="8"/>
      <c r="J37" s="5"/>
      <c r="K37" s="5"/>
      <c r="L37" s="5"/>
      <c r="M37" s="5"/>
      <c r="N37" s="28" t="str">
        <f t="shared" si="2"/>
        <v/>
      </c>
      <c r="O37" s="339" t="str">
        <f t="shared" si="3"/>
        <v/>
      </c>
      <c r="P37" s="7"/>
    </row>
    <row r="38" spans="1:16" ht="15.75" hidden="1" customHeight="1">
      <c r="A38" s="8"/>
      <c r="B38" s="8"/>
      <c r="C38" s="7"/>
      <c r="D38" s="7"/>
      <c r="E38" s="146"/>
      <c r="F38" s="8"/>
      <c r="G38" s="8"/>
      <c r="H38" s="8"/>
      <c r="I38" s="8"/>
      <c r="J38" s="5"/>
      <c r="K38" s="5"/>
      <c r="L38" s="5"/>
      <c r="M38" s="5"/>
      <c r="N38" s="28" t="str">
        <f t="shared" si="2"/>
        <v/>
      </c>
      <c r="O38" s="339" t="str">
        <f t="shared" si="3"/>
        <v/>
      </c>
      <c r="P38" s="7"/>
    </row>
    <row r="39" spans="1:16" ht="15.75" hidden="1" customHeight="1">
      <c r="A39" s="8"/>
      <c r="B39" s="8"/>
      <c r="C39" s="7"/>
      <c r="D39" s="7"/>
      <c r="E39" s="146"/>
      <c r="F39" s="8"/>
      <c r="G39" s="8"/>
      <c r="H39" s="8"/>
      <c r="I39" s="8"/>
      <c r="J39" s="5"/>
      <c r="K39" s="5"/>
      <c r="L39" s="5"/>
      <c r="M39" s="5"/>
      <c r="N39" s="28" t="str">
        <f t="shared" si="2"/>
        <v/>
      </c>
      <c r="O39" s="339" t="str">
        <f t="shared" si="3"/>
        <v/>
      </c>
      <c r="P39" s="7"/>
    </row>
    <row r="40" spans="1:16" ht="15.75" hidden="1" customHeight="1">
      <c r="A40" s="8"/>
      <c r="B40" s="8"/>
      <c r="C40" s="7"/>
      <c r="D40" s="7"/>
      <c r="E40" s="146"/>
      <c r="F40" s="8"/>
      <c r="G40" s="8"/>
      <c r="H40" s="8"/>
      <c r="I40" s="8"/>
      <c r="J40" s="5"/>
      <c r="K40" s="5"/>
      <c r="L40" s="5"/>
      <c r="M40" s="5"/>
      <c r="N40" s="28" t="str">
        <f t="shared" si="2"/>
        <v/>
      </c>
      <c r="O40" s="339" t="str">
        <f t="shared" si="3"/>
        <v/>
      </c>
      <c r="P40" s="7"/>
    </row>
    <row r="41" spans="1:16" ht="15.75" hidden="1" customHeight="1">
      <c r="A41" s="8"/>
      <c r="B41" s="8"/>
      <c r="C41" s="7"/>
      <c r="D41" s="7"/>
      <c r="E41" s="146"/>
      <c r="F41" s="8"/>
      <c r="G41" s="8"/>
      <c r="H41" s="8"/>
      <c r="I41" s="8"/>
      <c r="J41" s="5"/>
      <c r="K41" s="5"/>
      <c r="L41" s="5"/>
      <c r="M41" s="5"/>
      <c r="N41" s="28" t="str">
        <f t="shared" si="2"/>
        <v/>
      </c>
      <c r="O41" s="339" t="str">
        <f t="shared" si="3"/>
        <v/>
      </c>
      <c r="P41" s="7"/>
    </row>
    <row r="42" spans="1:16" ht="15.75" hidden="1" customHeight="1">
      <c r="A42" s="8"/>
      <c r="B42" s="8"/>
      <c r="C42" s="7"/>
      <c r="D42" s="7"/>
      <c r="E42" s="146"/>
      <c r="F42" s="8"/>
      <c r="G42" s="8"/>
      <c r="H42" s="8"/>
      <c r="I42" s="8"/>
      <c r="J42" s="5"/>
      <c r="K42" s="5"/>
      <c r="L42" s="5"/>
      <c r="M42" s="5"/>
      <c r="N42" s="28" t="str">
        <f t="shared" si="2"/>
        <v/>
      </c>
      <c r="O42" s="339" t="str">
        <f t="shared" si="3"/>
        <v/>
      </c>
      <c r="P42" s="7"/>
    </row>
    <row r="43" spans="1:16" ht="15.75" hidden="1" customHeight="1">
      <c r="A43" s="8"/>
      <c r="B43" s="8"/>
      <c r="C43" s="7"/>
      <c r="D43" s="7"/>
      <c r="E43" s="146"/>
      <c r="F43" s="8"/>
      <c r="G43" s="8"/>
      <c r="H43" s="8"/>
      <c r="I43" s="8"/>
      <c r="J43" s="5"/>
      <c r="K43" s="5"/>
      <c r="L43" s="5"/>
      <c r="M43" s="5"/>
      <c r="N43" s="28" t="str">
        <f t="shared" si="2"/>
        <v/>
      </c>
      <c r="O43" s="339" t="str">
        <f t="shared" si="3"/>
        <v/>
      </c>
      <c r="P43" s="7"/>
    </row>
    <row r="44" spans="1:16" ht="15.75" hidden="1" customHeight="1">
      <c r="A44" s="8"/>
      <c r="B44" s="8"/>
      <c r="C44" s="7"/>
      <c r="D44" s="7"/>
      <c r="E44" s="146"/>
      <c r="F44" s="8"/>
      <c r="G44" s="8"/>
      <c r="H44" s="8"/>
      <c r="I44" s="8"/>
      <c r="J44" s="5"/>
      <c r="K44" s="5"/>
      <c r="L44" s="5"/>
      <c r="M44" s="5"/>
      <c r="N44" s="28" t="str">
        <f t="shared" si="2"/>
        <v/>
      </c>
      <c r="O44" s="339" t="str">
        <f t="shared" si="3"/>
        <v/>
      </c>
      <c r="P44" s="7"/>
    </row>
    <row r="45" spans="1:16" ht="15.75" hidden="1" customHeight="1">
      <c r="A45" s="8"/>
      <c r="B45" s="8"/>
      <c r="C45" s="7"/>
      <c r="D45" s="7"/>
      <c r="E45" s="146"/>
      <c r="F45" s="8"/>
      <c r="G45" s="8"/>
      <c r="H45" s="8"/>
      <c r="I45" s="8"/>
      <c r="J45" s="5"/>
      <c r="K45" s="5"/>
      <c r="L45" s="5"/>
      <c r="M45" s="5"/>
      <c r="N45" s="28" t="str">
        <f t="shared" si="2"/>
        <v/>
      </c>
      <c r="O45" s="339" t="str">
        <f t="shared" si="3"/>
        <v/>
      </c>
      <c r="P45" s="7"/>
    </row>
    <row r="46" spans="1:16" ht="15.75" hidden="1" customHeight="1">
      <c r="A46" s="8"/>
      <c r="B46" s="8"/>
      <c r="C46" s="7"/>
      <c r="D46" s="7"/>
      <c r="E46" s="146"/>
      <c r="F46" s="8"/>
      <c r="G46" s="8"/>
      <c r="H46" s="8"/>
      <c r="I46" s="8"/>
      <c r="J46" s="5"/>
      <c r="K46" s="5"/>
      <c r="L46" s="5"/>
      <c r="M46" s="5"/>
      <c r="N46" s="28" t="str">
        <f t="shared" si="2"/>
        <v/>
      </c>
      <c r="O46" s="339" t="str">
        <f t="shared" si="3"/>
        <v/>
      </c>
      <c r="P46" s="7"/>
    </row>
  </sheetData>
  <mergeCells count="3">
    <mergeCell ref="A1:P1"/>
    <mergeCell ref="A2:P2"/>
    <mergeCell ref="A26:D26"/>
  </mergeCells>
  <phoneticPr fontId="6" type="noConversion"/>
  <printOptions horizontalCentered="1" verticalCentered="1"/>
  <pageMargins left="0.94488188976377963" right="0.6692913385826772" top="0.19685039370078741" bottom="0.78740157480314965" header="1.6141732283464567" footer="1.2204724409448819"/>
  <pageSetup paperSize="9" fitToHeight="0" orientation="landscape" blackAndWhite="1" horizontalDpi="1200" verticalDpi="1200" r:id="rId1"/>
  <headerFooter scaleWithDoc="0">
    <oddHeader>&amp;R&amp;"宋体,常规"&amp;10表4-14-1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25400</xdr:colOff>
                    <xdr:row>2</xdr:row>
                    <xdr:rowOff>0</xdr:rowOff>
                  </from>
                  <to>
                    <xdr:col>2</xdr:col>
                    <xdr:colOff>508000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SetFun">
                <anchor moveWithCells="1" sizeWithCells="1">
                  <from>
                    <xdr:col>3</xdr:col>
                    <xdr:colOff>114300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069CB-8A4C-4AD2-94AB-C087009524D6}">
  <sheetPr codeName="Sheet81"/>
  <dimension ref="A1:N46"/>
  <sheetViews>
    <sheetView workbookViewId="0">
      <pane ySplit="6" topLeftCell="A7" activePane="bottomLeft" state="frozen"/>
      <selection activeCell="F17" sqref="F17"/>
      <selection pane="bottomLeft" activeCell="M3" sqref="M1:M65536"/>
    </sheetView>
  </sheetViews>
  <sheetFormatPr baseColWidth="10" defaultColWidth="9" defaultRowHeight="16"/>
  <cols>
    <col min="1" max="1" width="4" style="192" customWidth="1"/>
    <col min="2" max="2" width="13.5" style="192" customWidth="1"/>
    <col min="3" max="3" width="10.6640625" style="192" customWidth="1"/>
    <col min="4" max="4" width="5.5" style="192" customWidth="1"/>
    <col min="5" max="5" width="8" style="192" customWidth="1"/>
    <col min="6" max="6" width="7.1640625" style="192" customWidth="1"/>
    <col min="7" max="7" width="7.5" style="192" customWidth="1"/>
    <col min="8" max="8" width="10.5" style="192" customWidth="1"/>
    <col min="9" max="9" width="10.6640625" style="192" customWidth="1"/>
    <col min="10" max="11" width="10.1640625" style="192" customWidth="1"/>
    <col min="12" max="12" width="8.5" style="193" customWidth="1"/>
    <col min="13" max="13" width="7.1640625" style="358" customWidth="1"/>
    <col min="14" max="14" width="6.5" style="192" customWidth="1"/>
    <col min="15" max="16384" width="9" style="192"/>
  </cols>
  <sheetData>
    <row r="1" spans="1:14" ht="24">
      <c r="A1" s="374" t="s">
        <v>1020</v>
      </c>
      <c r="B1" s="374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</row>
    <row r="2" spans="1:14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7"/>
      <c r="I2" s="378"/>
      <c r="J2" s="378"/>
      <c r="K2" s="378"/>
      <c r="L2" s="378"/>
      <c r="M2" s="378"/>
      <c r="N2" s="378"/>
    </row>
    <row r="3" spans="1:14">
      <c r="A3" s="40"/>
      <c r="B3" s="40"/>
      <c r="C3" s="40"/>
      <c r="D3" s="40"/>
      <c r="E3" s="40"/>
      <c r="F3" s="40"/>
      <c r="G3" s="40"/>
      <c r="H3" s="40"/>
      <c r="I3" s="171"/>
      <c r="J3" s="171"/>
      <c r="K3" s="171"/>
      <c r="L3" s="172"/>
      <c r="M3" s="218"/>
      <c r="N3" s="177"/>
    </row>
    <row r="4" spans="1:14">
      <c r="A4" s="40"/>
      <c r="B4" s="40"/>
      <c r="C4" s="40"/>
      <c r="D4" s="40"/>
      <c r="E4" s="40"/>
      <c r="F4" s="40"/>
      <c r="G4" s="40"/>
      <c r="H4" s="40"/>
      <c r="I4" s="171"/>
      <c r="J4" s="171"/>
      <c r="K4" s="171"/>
      <c r="L4" s="172"/>
      <c r="M4" s="337"/>
      <c r="N4" s="37"/>
    </row>
    <row r="5" spans="1:14">
      <c r="A5" s="125" t="str">
        <f>'1-汇总表'!A4</f>
        <v>被评估单位：A有限公司</v>
      </c>
      <c r="B5" s="125"/>
      <c r="C5" s="125"/>
      <c r="D5" s="125"/>
      <c r="E5" s="42"/>
      <c r="F5" s="42"/>
      <c r="G5" s="42"/>
      <c r="H5" s="42"/>
      <c r="I5" s="42"/>
      <c r="J5" s="42"/>
      <c r="K5" s="42"/>
      <c r="L5" s="173"/>
      <c r="M5" s="218"/>
      <c r="N5" s="122"/>
    </row>
    <row r="6" spans="1:14" ht="35.25" customHeight="1">
      <c r="A6" s="188" t="s">
        <v>7</v>
      </c>
      <c r="B6" s="188" t="s">
        <v>456</v>
      </c>
      <c r="C6" s="222" t="s">
        <v>455</v>
      </c>
      <c r="D6" s="188" t="s">
        <v>353</v>
      </c>
      <c r="E6" s="188" t="s">
        <v>61</v>
      </c>
      <c r="F6" s="188" t="s">
        <v>457</v>
      </c>
      <c r="G6" s="188" t="s">
        <v>343</v>
      </c>
      <c r="H6" s="188" t="s">
        <v>435</v>
      </c>
      <c r="I6" s="188" t="s">
        <v>133</v>
      </c>
      <c r="J6" s="217" t="s">
        <v>117</v>
      </c>
      <c r="K6" s="188" t="s">
        <v>0</v>
      </c>
      <c r="L6" s="175" t="s">
        <v>448</v>
      </c>
      <c r="M6" s="356" t="s">
        <v>479</v>
      </c>
      <c r="N6" s="188" t="s">
        <v>39</v>
      </c>
    </row>
    <row r="7" spans="1:14">
      <c r="A7" s="8"/>
      <c r="B7" s="8"/>
      <c r="C7" s="8"/>
      <c r="D7" s="8"/>
      <c r="E7" s="146"/>
      <c r="F7" s="8"/>
      <c r="G7" s="8"/>
      <c r="H7" s="8"/>
      <c r="I7" s="5"/>
      <c r="J7" s="6"/>
      <c r="K7" s="5"/>
      <c r="L7" s="28" t="str">
        <f>IF(ISERROR(K7-J7),"",IF(K7=0,"",K7-J7))</f>
        <v/>
      </c>
      <c r="M7" s="339" t="str">
        <f>IF(ISERROR(K7-J7),"",IF(K7=0,"",IF(L7="",0,ROUND(L7*100/J7,2))))</f>
        <v/>
      </c>
      <c r="N7" s="7"/>
    </row>
    <row r="8" spans="1:14">
      <c r="A8" s="8"/>
      <c r="B8" s="8"/>
      <c r="C8" s="8"/>
      <c r="D8" s="8"/>
      <c r="E8" s="146"/>
      <c r="F8" s="8"/>
      <c r="G8" s="8"/>
      <c r="H8" s="8"/>
      <c r="I8" s="5"/>
      <c r="J8" s="5"/>
      <c r="K8" s="5"/>
      <c r="L8" s="28" t="str">
        <f t="shared" ref="L8:L26" si="0">IF(ISERROR(K8-J8),"",IF(K8=0,"",K8-J8))</f>
        <v/>
      </c>
      <c r="M8" s="339" t="str">
        <f t="shared" ref="M8:M26" si="1">IF(ISERROR(K8-J8),"",IF(K8=0,"",IF(L8="",0,ROUND(L8*100/J8,2))))</f>
        <v/>
      </c>
      <c r="N8" s="7"/>
    </row>
    <row r="9" spans="1:14">
      <c r="A9" s="8"/>
      <c r="B9" s="8"/>
      <c r="C9" s="8"/>
      <c r="D9" s="8"/>
      <c r="E9" s="146"/>
      <c r="F9" s="8"/>
      <c r="G9" s="8"/>
      <c r="H9" s="8"/>
      <c r="I9" s="5"/>
      <c r="J9" s="5"/>
      <c r="K9" s="5"/>
      <c r="L9" s="28" t="str">
        <f t="shared" si="0"/>
        <v/>
      </c>
      <c r="M9" s="339" t="str">
        <f t="shared" si="1"/>
        <v/>
      </c>
      <c r="N9" s="7"/>
    </row>
    <row r="10" spans="1:14">
      <c r="A10" s="8"/>
      <c r="B10" s="8"/>
      <c r="C10" s="8"/>
      <c r="D10" s="8"/>
      <c r="E10" s="146"/>
      <c r="F10" s="8"/>
      <c r="G10" s="8"/>
      <c r="H10" s="8"/>
      <c r="I10" s="5"/>
      <c r="J10" s="5"/>
      <c r="K10" s="5"/>
      <c r="L10" s="28" t="str">
        <f t="shared" si="0"/>
        <v/>
      </c>
      <c r="M10" s="339" t="str">
        <f t="shared" si="1"/>
        <v/>
      </c>
      <c r="N10" s="7"/>
    </row>
    <row r="11" spans="1:14">
      <c r="A11" s="8"/>
      <c r="B11" s="8"/>
      <c r="C11" s="8"/>
      <c r="D11" s="8"/>
      <c r="E11" s="146"/>
      <c r="F11" s="8"/>
      <c r="G11" s="8"/>
      <c r="H11" s="8"/>
      <c r="I11" s="5"/>
      <c r="J11" s="5"/>
      <c r="K11" s="5"/>
      <c r="L11" s="28" t="str">
        <f t="shared" si="0"/>
        <v/>
      </c>
      <c r="M11" s="339" t="str">
        <f t="shared" si="1"/>
        <v/>
      </c>
      <c r="N11" s="7"/>
    </row>
    <row r="12" spans="1:14">
      <c r="A12" s="8"/>
      <c r="B12" s="8"/>
      <c r="C12" s="8"/>
      <c r="D12" s="8"/>
      <c r="E12" s="146"/>
      <c r="F12" s="8"/>
      <c r="G12" s="8"/>
      <c r="H12" s="8"/>
      <c r="I12" s="5"/>
      <c r="J12" s="5"/>
      <c r="K12" s="5"/>
      <c r="L12" s="28" t="str">
        <f t="shared" si="0"/>
        <v/>
      </c>
      <c r="M12" s="339" t="str">
        <f t="shared" si="1"/>
        <v/>
      </c>
      <c r="N12" s="7"/>
    </row>
    <row r="13" spans="1:14">
      <c r="A13" s="8"/>
      <c r="B13" s="8"/>
      <c r="C13" s="8"/>
      <c r="D13" s="8"/>
      <c r="E13" s="146"/>
      <c r="F13" s="8"/>
      <c r="G13" s="8"/>
      <c r="H13" s="8"/>
      <c r="I13" s="5"/>
      <c r="J13" s="5"/>
      <c r="K13" s="5"/>
      <c r="L13" s="28" t="str">
        <f t="shared" si="0"/>
        <v/>
      </c>
      <c r="M13" s="339" t="str">
        <f t="shared" si="1"/>
        <v/>
      </c>
      <c r="N13" s="7"/>
    </row>
    <row r="14" spans="1:14">
      <c r="A14" s="8"/>
      <c r="B14" s="8"/>
      <c r="C14" s="8"/>
      <c r="D14" s="8"/>
      <c r="E14" s="146"/>
      <c r="F14" s="8"/>
      <c r="G14" s="8"/>
      <c r="H14" s="8"/>
      <c r="I14" s="5"/>
      <c r="J14" s="5"/>
      <c r="K14" s="5"/>
      <c r="L14" s="28" t="str">
        <f t="shared" si="0"/>
        <v/>
      </c>
      <c r="M14" s="339" t="str">
        <f t="shared" si="1"/>
        <v/>
      </c>
      <c r="N14" s="7"/>
    </row>
    <row r="15" spans="1:14">
      <c r="A15" s="8"/>
      <c r="B15" s="8"/>
      <c r="C15" s="8"/>
      <c r="D15" s="8"/>
      <c r="E15" s="146"/>
      <c r="F15" s="8"/>
      <c r="G15" s="8"/>
      <c r="H15" s="8"/>
      <c r="I15" s="5"/>
      <c r="J15" s="5"/>
      <c r="K15" s="5"/>
      <c r="L15" s="28" t="str">
        <f t="shared" si="0"/>
        <v/>
      </c>
      <c r="M15" s="339" t="str">
        <f t="shared" si="1"/>
        <v/>
      </c>
      <c r="N15" s="7"/>
    </row>
    <row r="16" spans="1:14">
      <c r="A16" s="8"/>
      <c r="B16" s="8"/>
      <c r="C16" s="8"/>
      <c r="D16" s="8"/>
      <c r="E16" s="146"/>
      <c r="F16" s="8"/>
      <c r="G16" s="8"/>
      <c r="H16" s="8"/>
      <c r="I16" s="5"/>
      <c r="J16" s="5"/>
      <c r="K16" s="5"/>
      <c r="L16" s="28" t="str">
        <f t="shared" si="0"/>
        <v/>
      </c>
      <c r="M16" s="339" t="str">
        <f t="shared" si="1"/>
        <v/>
      </c>
      <c r="N16" s="7"/>
    </row>
    <row r="17" spans="1:14">
      <c r="A17" s="8"/>
      <c r="B17" s="8"/>
      <c r="C17" s="8"/>
      <c r="D17" s="8"/>
      <c r="E17" s="146"/>
      <c r="F17" s="8"/>
      <c r="G17" s="8"/>
      <c r="H17" s="8"/>
      <c r="I17" s="5"/>
      <c r="J17" s="5"/>
      <c r="K17" s="5"/>
      <c r="L17" s="28" t="str">
        <f t="shared" si="0"/>
        <v/>
      </c>
      <c r="M17" s="339" t="str">
        <f t="shared" si="1"/>
        <v/>
      </c>
      <c r="N17" s="7"/>
    </row>
    <row r="18" spans="1:14">
      <c r="A18" s="8"/>
      <c r="B18" s="8"/>
      <c r="C18" s="8"/>
      <c r="D18" s="8"/>
      <c r="E18" s="146"/>
      <c r="F18" s="8"/>
      <c r="G18" s="8"/>
      <c r="H18" s="8"/>
      <c r="I18" s="5"/>
      <c r="J18" s="5"/>
      <c r="K18" s="5"/>
      <c r="L18" s="28" t="str">
        <f t="shared" si="0"/>
        <v/>
      </c>
      <c r="M18" s="339" t="str">
        <f t="shared" si="1"/>
        <v/>
      </c>
      <c r="N18" s="7"/>
    </row>
    <row r="19" spans="1:14">
      <c r="A19" s="8"/>
      <c r="B19" s="8"/>
      <c r="C19" s="8"/>
      <c r="D19" s="8"/>
      <c r="E19" s="146"/>
      <c r="F19" s="8"/>
      <c r="G19" s="8"/>
      <c r="H19" s="8"/>
      <c r="I19" s="5"/>
      <c r="J19" s="5"/>
      <c r="K19" s="5"/>
      <c r="L19" s="28" t="str">
        <f t="shared" si="0"/>
        <v/>
      </c>
      <c r="M19" s="339" t="str">
        <f t="shared" si="1"/>
        <v/>
      </c>
      <c r="N19" s="7"/>
    </row>
    <row r="20" spans="1:14">
      <c r="A20" s="8"/>
      <c r="B20" s="8"/>
      <c r="C20" s="8"/>
      <c r="D20" s="8"/>
      <c r="E20" s="146"/>
      <c r="F20" s="8"/>
      <c r="G20" s="8"/>
      <c r="H20" s="8"/>
      <c r="I20" s="5"/>
      <c r="J20" s="5"/>
      <c r="K20" s="5"/>
      <c r="L20" s="28" t="str">
        <f t="shared" si="0"/>
        <v/>
      </c>
      <c r="M20" s="339" t="str">
        <f t="shared" si="1"/>
        <v/>
      </c>
      <c r="N20" s="7"/>
    </row>
    <row r="21" spans="1:14">
      <c r="A21" s="8"/>
      <c r="B21" s="8"/>
      <c r="C21" s="8"/>
      <c r="D21" s="8"/>
      <c r="E21" s="146"/>
      <c r="F21" s="8"/>
      <c r="G21" s="8"/>
      <c r="H21" s="8"/>
      <c r="I21" s="5"/>
      <c r="J21" s="5"/>
      <c r="K21" s="5"/>
      <c r="L21" s="28" t="str">
        <f t="shared" si="0"/>
        <v/>
      </c>
      <c r="M21" s="339" t="str">
        <f t="shared" si="1"/>
        <v/>
      </c>
      <c r="N21" s="7"/>
    </row>
    <row r="22" spans="1:14">
      <c r="A22" s="8"/>
      <c r="B22" s="8"/>
      <c r="C22" s="8"/>
      <c r="D22" s="8"/>
      <c r="E22" s="146"/>
      <c r="F22" s="8"/>
      <c r="G22" s="8"/>
      <c r="H22" s="8"/>
      <c r="I22" s="5"/>
      <c r="J22" s="5"/>
      <c r="K22" s="5"/>
      <c r="L22" s="28" t="str">
        <f t="shared" si="0"/>
        <v/>
      </c>
      <c r="M22" s="339" t="str">
        <f t="shared" si="1"/>
        <v/>
      </c>
      <c r="N22" s="7"/>
    </row>
    <row r="23" spans="1:14">
      <c r="A23" s="8"/>
      <c r="B23" s="8"/>
      <c r="C23" s="8"/>
      <c r="D23" s="8"/>
      <c r="E23" s="146"/>
      <c r="F23" s="8"/>
      <c r="G23" s="8"/>
      <c r="H23" s="8"/>
      <c r="I23" s="5"/>
      <c r="J23" s="5"/>
      <c r="K23" s="5"/>
      <c r="L23" s="28" t="str">
        <f t="shared" si="0"/>
        <v/>
      </c>
      <c r="M23" s="339" t="str">
        <f t="shared" si="1"/>
        <v/>
      </c>
      <c r="N23" s="7"/>
    </row>
    <row r="24" spans="1:14">
      <c r="A24" s="8"/>
      <c r="B24" s="8"/>
      <c r="C24" s="8"/>
      <c r="D24" s="8"/>
      <c r="E24" s="146"/>
      <c r="F24" s="8"/>
      <c r="G24" s="8"/>
      <c r="H24" s="8"/>
      <c r="I24" s="5"/>
      <c r="J24" s="5"/>
      <c r="K24" s="5"/>
      <c r="L24" s="28" t="str">
        <f t="shared" si="0"/>
        <v/>
      </c>
      <c r="M24" s="339" t="str">
        <f t="shared" si="1"/>
        <v/>
      </c>
      <c r="N24" s="7"/>
    </row>
    <row r="25" spans="1:14">
      <c r="A25" s="8"/>
      <c r="B25" s="8"/>
      <c r="C25" s="8"/>
      <c r="D25" s="8"/>
      <c r="E25" s="146"/>
      <c r="F25" s="8"/>
      <c r="G25" s="8"/>
      <c r="H25" s="8"/>
      <c r="I25" s="5"/>
      <c r="J25" s="5"/>
      <c r="K25" s="5"/>
      <c r="L25" s="28" t="str">
        <f t="shared" si="0"/>
        <v/>
      </c>
      <c r="M25" s="339" t="str">
        <f t="shared" si="1"/>
        <v/>
      </c>
      <c r="N25" s="7"/>
    </row>
    <row r="26" spans="1:14">
      <c r="A26" s="537" t="s">
        <v>535</v>
      </c>
      <c r="B26" s="382"/>
      <c r="C26" s="382"/>
      <c r="D26" s="254"/>
      <c r="E26" s="232"/>
      <c r="F26" s="237"/>
      <c r="G26" s="237"/>
      <c r="H26" s="237"/>
      <c r="I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J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L26" s="28" t="str">
        <f t="shared" ca="1" si="0"/>
        <v/>
      </c>
      <c r="M26" s="339" t="str">
        <f t="shared" ca="1" si="1"/>
        <v/>
      </c>
      <c r="N26" s="234"/>
    </row>
    <row r="27" spans="1:14" hidden="1">
      <c r="A27" s="8"/>
      <c r="B27" s="8"/>
      <c r="C27" s="8"/>
      <c r="D27" s="8"/>
      <c r="E27" s="146"/>
      <c r="F27" s="8"/>
      <c r="G27" s="8"/>
      <c r="H27" s="8"/>
      <c r="I27" s="5"/>
      <c r="J27" s="5"/>
      <c r="K27" s="5"/>
      <c r="L27" s="28" t="str">
        <f>IF(ISERROR(K27-J27),"",IF(K27=0,"",K27-J27))</f>
        <v/>
      </c>
      <c r="M27" s="339" t="str">
        <f>IF(ISERROR(K27-J27),"",IF(K27=0,"",IF(L27="",0,ROUND(L27*100/J27,2))))</f>
        <v/>
      </c>
      <c r="N27" s="7"/>
    </row>
    <row r="28" spans="1:14" hidden="1">
      <c r="A28" s="8"/>
      <c r="B28" s="8"/>
      <c r="C28" s="8"/>
      <c r="D28" s="8"/>
      <c r="E28" s="146"/>
      <c r="F28" s="8"/>
      <c r="G28" s="8"/>
      <c r="H28" s="8"/>
      <c r="I28" s="5"/>
      <c r="J28" s="5"/>
      <c r="K28" s="5"/>
      <c r="L28" s="28" t="str">
        <f t="shared" ref="L28:L46" si="2">IF(ISERROR(K28-J28),"",IF(K28=0,"",K28-J28))</f>
        <v/>
      </c>
      <c r="M28" s="339" t="str">
        <f t="shared" ref="M28:M46" si="3">IF(ISERROR(K28-J28),"",IF(K28=0,"",IF(L28="",0,ROUND(L28*100/J28,2))))</f>
        <v/>
      </c>
      <c r="N28" s="7"/>
    </row>
    <row r="29" spans="1:14" hidden="1">
      <c r="A29" s="8"/>
      <c r="B29" s="8"/>
      <c r="C29" s="8"/>
      <c r="D29" s="8"/>
      <c r="E29" s="146"/>
      <c r="F29" s="8"/>
      <c r="G29" s="8"/>
      <c r="H29" s="8"/>
      <c r="I29" s="5"/>
      <c r="J29" s="5"/>
      <c r="K29" s="5"/>
      <c r="L29" s="28" t="str">
        <f t="shared" si="2"/>
        <v/>
      </c>
      <c r="M29" s="339" t="str">
        <f t="shared" si="3"/>
        <v/>
      </c>
      <c r="N29" s="7"/>
    </row>
    <row r="30" spans="1:14" hidden="1">
      <c r="A30" s="8"/>
      <c r="B30" s="8"/>
      <c r="C30" s="8"/>
      <c r="D30" s="8"/>
      <c r="E30" s="146"/>
      <c r="F30" s="8"/>
      <c r="G30" s="8"/>
      <c r="H30" s="8"/>
      <c r="I30" s="5"/>
      <c r="J30" s="5"/>
      <c r="K30" s="5"/>
      <c r="L30" s="28" t="str">
        <f t="shared" si="2"/>
        <v/>
      </c>
      <c r="M30" s="339" t="str">
        <f t="shared" si="3"/>
        <v/>
      </c>
      <c r="N30" s="7"/>
    </row>
    <row r="31" spans="1:14" hidden="1">
      <c r="A31" s="8"/>
      <c r="B31" s="8"/>
      <c r="C31" s="8"/>
      <c r="D31" s="8"/>
      <c r="E31" s="146"/>
      <c r="F31" s="8"/>
      <c r="G31" s="8"/>
      <c r="H31" s="8"/>
      <c r="I31" s="5"/>
      <c r="J31" s="5"/>
      <c r="K31" s="5"/>
      <c r="L31" s="28" t="str">
        <f t="shared" si="2"/>
        <v/>
      </c>
      <c r="M31" s="339" t="str">
        <f t="shared" si="3"/>
        <v/>
      </c>
      <c r="N31" s="7"/>
    </row>
    <row r="32" spans="1:14" hidden="1">
      <c r="A32" s="8"/>
      <c r="B32" s="8"/>
      <c r="C32" s="8"/>
      <c r="D32" s="8"/>
      <c r="E32" s="146"/>
      <c r="F32" s="8"/>
      <c r="G32" s="8"/>
      <c r="H32" s="8"/>
      <c r="I32" s="5"/>
      <c r="J32" s="5"/>
      <c r="K32" s="5"/>
      <c r="L32" s="28" t="str">
        <f t="shared" si="2"/>
        <v/>
      </c>
      <c r="M32" s="339" t="str">
        <f t="shared" si="3"/>
        <v/>
      </c>
      <c r="N32" s="7"/>
    </row>
    <row r="33" spans="1:14" hidden="1">
      <c r="A33" s="8"/>
      <c r="B33" s="8"/>
      <c r="C33" s="8"/>
      <c r="D33" s="8"/>
      <c r="E33" s="146"/>
      <c r="F33" s="8"/>
      <c r="G33" s="8"/>
      <c r="H33" s="8"/>
      <c r="I33" s="5"/>
      <c r="J33" s="5"/>
      <c r="K33" s="5"/>
      <c r="L33" s="28" t="str">
        <f t="shared" si="2"/>
        <v/>
      </c>
      <c r="M33" s="339" t="str">
        <f t="shared" si="3"/>
        <v/>
      </c>
      <c r="N33" s="7"/>
    </row>
    <row r="34" spans="1:14" hidden="1">
      <c r="A34" s="8"/>
      <c r="B34" s="8"/>
      <c r="C34" s="8"/>
      <c r="D34" s="8"/>
      <c r="E34" s="146"/>
      <c r="F34" s="8"/>
      <c r="G34" s="8"/>
      <c r="H34" s="8"/>
      <c r="I34" s="5"/>
      <c r="J34" s="5"/>
      <c r="K34" s="5"/>
      <c r="L34" s="28" t="str">
        <f t="shared" si="2"/>
        <v/>
      </c>
      <c r="M34" s="339" t="str">
        <f t="shared" si="3"/>
        <v/>
      </c>
      <c r="N34" s="7"/>
    </row>
    <row r="35" spans="1:14" hidden="1">
      <c r="A35" s="8"/>
      <c r="B35" s="8"/>
      <c r="C35" s="8"/>
      <c r="D35" s="8"/>
      <c r="E35" s="146"/>
      <c r="F35" s="8"/>
      <c r="G35" s="8"/>
      <c r="H35" s="8"/>
      <c r="I35" s="5"/>
      <c r="J35" s="5"/>
      <c r="K35" s="5"/>
      <c r="L35" s="28" t="str">
        <f t="shared" si="2"/>
        <v/>
      </c>
      <c r="M35" s="339" t="str">
        <f t="shared" si="3"/>
        <v/>
      </c>
      <c r="N35" s="7"/>
    </row>
    <row r="36" spans="1:14" hidden="1">
      <c r="A36" s="8"/>
      <c r="B36" s="8"/>
      <c r="C36" s="8"/>
      <c r="D36" s="8"/>
      <c r="E36" s="146"/>
      <c r="F36" s="8"/>
      <c r="G36" s="8"/>
      <c r="H36" s="8"/>
      <c r="I36" s="5"/>
      <c r="J36" s="5"/>
      <c r="K36" s="5"/>
      <c r="L36" s="28" t="str">
        <f t="shared" si="2"/>
        <v/>
      </c>
      <c r="M36" s="339" t="str">
        <f t="shared" si="3"/>
        <v/>
      </c>
      <c r="N36" s="7"/>
    </row>
    <row r="37" spans="1:14" hidden="1">
      <c r="A37" s="8"/>
      <c r="B37" s="8"/>
      <c r="C37" s="8"/>
      <c r="D37" s="8"/>
      <c r="E37" s="146"/>
      <c r="F37" s="8"/>
      <c r="G37" s="8"/>
      <c r="H37" s="8"/>
      <c r="I37" s="5"/>
      <c r="J37" s="5"/>
      <c r="K37" s="5"/>
      <c r="L37" s="28" t="str">
        <f t="shared" si="2"/>
        <v/>
      </c>
      <c r="M37" s="339" t="str">
        <f t="shared" si="3"/>
        <v/>
      </c>
      <c r="N37" s="7"/>
    </row>
    <row r="38" spans="1:14" hidden="1">
      <c r="A38" s="8"/>
      <c r="B38" s="8"/>
      <c r="C38" s="8"/>
      <c r="D38" s="8"/>
      <c r="E38" s="146"/>
      <c r="F38" s="8"/>
      <c r="G38" s="8"/>
      <c r="H38" s="8"/>
      <c r="I38" s="5"/>
      <c r="J38" s="5"/>
      <c r="K38" s="5"/>
      <c r="L38" s="28" t="str">
        <f t="shared" si="2"/>
        <v/>
      </c>
      <c r="M38" s="339" t="str">
        <f t="shared" si="3"/>
        <v/>
      </c>
      <c r="N38" s="7"/>
    </row>
    <row r="39" spans="1:14" hidden="1">
      <c r="A39" s="8"/>
      <c r="B39" s="8"/>
      <c r="C39" s="8"/>
      <c r="D39" s="8"/>
      <c r="E39" s="146"/>
      <c r="F39" s="8"/>
      <c r="G39" s="8"/>
      <c r="H39" s="8"/>
      <c r="I39" s="5"/>
      <c r="J39" s="5"/>
      <c r="K39" s="5"/>
      <c r="L39" s="28" t="str">
        <f t="shared" si="2"/>
        <v/>
      </c>
      <c r="M39" s="339" t="str">
        <f t="shared" si="3"/>
        <v/>
      </c>
      <c r="N39" s="7"/>
    </row>
    <row r="40" spans="1:14" hidden="1">
      <c r="A40" s="8"/>
      <c r="B40" s="8"/>
      <c r="C40" s="8"/>
      <c r="D40" s="8"/>
      <c r="E40" s="146"/>
      <c r="F40" s="8"/>
      <c r="G40" s="8"/>
      <c r="H40" s="8"/>
      <c r="I40" s="5"/>
      <c r="J40" s="5"/>
      <c r="K40" s="5"/>
      <c r="L40" s="28" t="str">
        <f t="shared" si="2"/>
        <v/>
      </c>
      <c r="M40" s="339" t="str">
        <f t="shared" si="3"/>
        <v/>
      </c>
      <c r="N40" s="7"/>
    </row>
    <row r="41" spans="1:14" hidden="1">
      <c r="A41" s="8"/>
      <c r="B41" s="8"/>
      <c r="C41" s="8"/>
      <c r="D41" s="8"/>
      <c r="E41" s="146"/>
      <c r="F41" s="8"/>
      <c r="G41" s="8"/>
      <c r="H41" s="8"/>
      <c r="I41" s="5"/>
      <c r="J41" s="5"/>
      <c r="K41" s="5"/>
      <c r="L41" s="28" t="str">
        <f t="shared" si="2"/>
        <v/>
      </c>
      <c r="M41" s="339" t="str">
        <f t="shared" si="3"/>
        <v/>
      </c>
      <c r="N41" s="7"/>
    </row>
    <row r="42" spans="1:14" hidden="1">
      <c r="A42" s="8"/>
      <c r="B42" s="8"/>
      <c r="C42" s="8"/>
      <c r="D42" s="8"/>
      <c r="E42" s="146"/>
      <c r="F42" s="8"/>
      <c r="G42" s="8"/>
      <c r="H42" s="8"/>
      <c r="I42" s="5"/>
      <c r="J42" s="5"/>
      <c r="K42" s="5"/>
      <c r="L42" s="28" t="str">
        <f t="shared" si="2"/>
        <v/>
      </c>
      <c r="M42" s="339" t="str">
        <f t="shared" si="3"/>
        <v/>
      </c>
      <c r="N42" s="7"/>
    </row>
    <row r="43" spans="1:14" hidden="1">
      <c r="A43" s="8"/>
      <c r="B43" s="8"/>
      <c r="C43" s="8"/>
      <c r="D43" s="8"/>
      <c r="E43" s="146"/>
      <c r="F43" s="8"/>
      <c r="G43" s="8"/>
      <c r="H43" s="8"/>
      <c r="I43" s="5"/>
      <c r="J43" s="5"/>
      <c r="K43" s="5"/>
      <c r="L43" s="28" t="str">
        <f t="shared" si="2"/>
        <v/>
      </c>
      <c r="M43" s="339" t="str">
        <f t="shared" si="3"/>
        <v/>
      </c>
      <c r="N43" s="7"/>
    </row>
    <row r="44" spans="1:14" hidden="1">
      <c r="A44" s="8"/>
      <c r="B44" s="8"/>
      <c r="C44" s="8"/>
      <c r="D44" s="8"/>
      <c r="E44" s="146"/>
      <c r="F44" s="8"/>
      <c r="G44" s="8"/>
      <c r="H44" s="8"/>
      <c r="I44" s="5"/>
      <c r="J44" s="5"/>
      <c r="K44" s="5"/>
      <c r="L44" s="28" t="str">
        <f t="shared" si="2"/>
        <v/>
      </c>
      <c r="M44" s="339" t="str">
        <f t="shared" si="3"/>
        <v/>
      </c>
      <c r="N44" s="7"/>
    </row>
    <row r="45" spans="1:14" hidden="1">
      <c r="A45" s="8"/>
      <c r="B45" s="8"/>
      <c r="C45" s="8"/>
      <c r="D45" s="8"/>
      <c r="E45" s="146"/>
      <c r="F45" s="8"/>
      <c r="G45" s="8"/>
      <c r="H45" s="8"/>
      <c r="I45" s="5"/>
      <c r="J45" s="5"/>
      <c r="K45" s="5"/>
      <c r="L45" s="28" t="str">
        <f t="shared" si="2"/>
        <v/>
      </c>
      <c r="M45" s="339" t="str">
        <f t="shared" si="3"/>
        <v/>
      </c>
      <c r="N45" s="7"/>
    </row>
    <row r="46" spans="1:14" hidden="1">
      <c r="A46" s="8"/>
      <c r="B46" s="8"/>
      <c r="C46" s="8"/>
      <c r="D46" s="8"/>
      <c r="E46" s="146"/>
      <c r="F46" s="8"/>
      <c r="G46" s="8"/>
      <c r="H46" s="8"/>
      <c r="I46" s="5"/>
      <c r="J46" s="5"/>
      <c r="K46" s="5"/>
      <c r="L46" s="28" t="str">
        <f t="shared" si="2"/>
        <v/>
      </c>
      <c r="M46" s="339" t="str">
        <f t="shared" si="3"/>
        <v/>
      </c>
      <c r="N46" s="7"/>
    </row>
  </sheetData>
  <mergeCells count="3">
    <mergeCell ref="A1:N1"/>
    <mergeCell ref="A2:N2"/>
    <mergeCell ref="A26:C26"/>
  </mergeCells>
  <phoneticPr fontId="52" type="noConversion"/>
  <printOptions horizontalCentered="1" verticalCentered="1"/>
  <pageMargins left="0.94488188976377963" right="0.6692913385826772" top="0.31496062992125984" bottom="0.78740157480314965" header="1.6141732283464567" footer="1.1023622047244095"/>
  <pageSetup paperSize="9" orientation="landscape" blackAndWhite="1" r:id="rId1"/>
  <headerFooter scaleWithDoc="0">
    <oddHeader>&amp;R&amp;"宋体,常规"&amp;10表4-14-2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50800</xdr:colOff>
                    <xdr:row>2</xdr:row>
                    <xdr:rowOff>63500</xdr:rowOff>
                  </from>
                  <to>
                    <xdr:col>2</xdr:col>
                    <xdr:colOff>63500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317500</xdr:colOff>
                    <xdr:row>2</xdr:row>
                    <xdr:rowOff>63500</xdr:rowOff>
                  </from>
                  <to>
                    <xdr:col>4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0160-0200-4F23-AD41-3C5F4FB1F8E5}">
  <sheetPr codeName="Sheet54">
    <pageSetUpPr fitToPage="1"/>
  </sheetPr>
  <dimension ref="A1:O46"/>
  <sheetViews>
    <sheetView zoomScale="90" zoomScaleNormal="90" workbookViewId="0">
      <pane ySplit="6" topLeftCell="A7" activePane="bottomLeft" state="frozen"/>
      <selection activeCell="F17" sqref="F17"/>
      <selection pane="bottomLeft" activeCell="D14" sqref="D14"/>
    </sheetView>
  </sheetViews>
  <sheetFormatPr baseColWidth="10" defaultColWidth="9" defaultRowHeight="15.75" customHeight="1"/>
  <cols>
    <col min="1" max="1" width="5.6640625" style="81" customWidth="1"/>
    <col min="2" max="2" width="18" style="81" customWidth="1"/>
    <col min="3" max="3" width="8.1640625" style="81" customWidth="1"/>
    <col min="4" max="4" width="9.5" style="81" customWidth="1"/>
    <col min="5" max="6" width="12.5" style="81" customWidth="1"/>
    <col min="7" max="7" width="12.1640625" style="81" customWidth="1"/>
    <col min="8" max="8" width="12" style="81" customWidth="1"/>
    <col min="9" max="9" width="10.1640625" style="135" customWidth="1"/>
    <col min="10" max="10" width="9.1640625" style="340" customWidth="1"/>
    <col min="11" max="11" width="9.1640625" style="81" customWidth="1"/>
    <col min="12" max="12" width="7.6640625" style="81" customWidth="1"/>
    <col min="13" max="13" width="6.33203125" style="81" customWidth="1"/>
    <col min="14" max="14" width="11.6640625" style="81" customWidth="1"/>
    <col min="15" max="16384" width="9" style="81"/>
  </cols>
  <sheetData>
    <row r="1" spans="1:15" s="80" customFormat="1" ht="30" customHeight="1">
      <c r="A1" s="374" t="s">
        <v>1021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</row>
    <row r="3" spans="1:15" ht="14.25" customHeight="1">
      <c r="A3" s="40"/>
      <c r="B3" s="40"/>
      <c r="C3" s="40"/>
      <c r="D3" s="40"/>
      <c r="E3" s="40"/>
      <c r="F3" s="40"/>
      <c r="G3" s="171"/>
      <c r="H3" s="171"/>
      <c r="I3" s="172"/>
      <c r="J3" s="131"/>
      <c r="K3" s="178"/>
    </row>
    <row r="4" spans="1:15" ht="14.25" customHeight="1">
      <c r="A4" s="40"/>
      <c r="B4" s="40"/>
      <c r="C4" s="40"/>
      <c r="D4" s="40"/>
      <c r="E4" s="40"/>
      <c r="F4" s="40"/>
      <c r="G4" s="171"/>
      <c r="H4" s="171"/>
      <c r="I4" s="172"/>
      <c r="J4" s="337"/>
      <c r="K4" s="37"/>
    </row>
    <row r="5" spans="1:15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218"/>
      <c r="K5" s="122"/>
    </row>
    <row r="6" spans="1:15" s="189" customFormat="1" ht="27.75" customHeight="1">
      <c r="A6" s="188" t="s">
        <v>7</v>
      </c>
      <c r="B6" s="188" t="s">
        <v>458</v>
      </c>
      <c r="C6" s="188" t="s">
        <v>61</v>
      </c>
      <c r="D6" s="188" t="s">
        <v>62</v>
      </c>
      <c r="E6" s="188" t="s">
        <v>133</v>
      </c>
      <c r="F6" s="217" t="s">
        <v>117</v>
      </c>
      <c r="G6" s="188" t="s">
        <v>337</v>
      </c>
      <c r="H6" s="188" t="s">
        <v>0</v>
      </c>
      <c r="I6" s="175" t="s">
        <v>1</v>
      </c>
      <c r="J6" s="341" t="s">
        <v>479</v>
      </c>
      <c r="K6" s="188" t="s">
        <v>39</v>
      </c>
      <c r="L6" s="275" t="s">
        <v>638</v>
      </c>
      <c r="M6" s="275" t="s">
        <v>597</v>
      </c>
      <c r="N6" s="275" t="s">
        <v>598</v>
      </c>
      <c r="O6" s="275" t="s">
        <v>599</v>
      </c>
    </row>
    <row r="7" spans="1:15" ht="15.75" customHeight="1">
      <c r="A7" s="8"/>
      <c r="B7" s="7"/>
      <c r="C7" s="146"/>
      <c r="D7" s="8"/>
      <c r="E7" s="5"/>
      <c r="F7" s="5"/>
      <c r="G7" s="9"/>
      <c r="H7" s="5"/>
      <c r="I7" s="28" t="str">
        <f>IF(ISERROR(H7-F7),"",IF(H7=0,"",H7-F7))</f>
        <v/>
      </c>
      <c r="J7" s="339" t="str">
        <f>IF(ISERROR(H7-F7),"",IF(H7=0,"",IF(I7="",0,ROUND(I7*100/F7,2))))</f>
        <v/>
      </c>
      <c r="K7" s="7"/>
    </row>
    <row r="8" spans="1:15" ht="15.75" customHeight="1">
      <c r="A8" s="8"/>
      <c r="B8" s="7"/>
      <c r="C8" s="146"/>
      <c r="D8" s="8"/>
      <c r="E8" s="5"/>
      <c r="F8" s="5"/>
      <c r="G8" s="9"/>
      <c r="H8" s="5"/>
      <c r="I8" s="28" t="str">
        <f t="shared" ref="I8:I26" si="0">IF(ISERROR(H8-F8),"",IF(H8=0,"",H8-F8))</f>
        <v/>
      </c>
      <c r="J8" s="339" t="str">
        <f t="shared" ref="J8:J26" si="1">IF(ISERROR(H8-F8),"",IF(H8=0,"",IF(I8="",0,ROUND(I8*100/F8,2))))</f>
        <v/>
      </c>
      <c r="K8" s="7"/>
    </row>
    <row r="9" spans="1:15" ht="15.75" customHeight="1">
      <c r="A9" s="8"/>
      <c r="B9" s="7"/>
      <c r="C9" s="146"/>
      <c r="D9" s="8"/>
      <c r="E9" s="5"/>
      <c r="F9" s="5"/>
      <c r="G9" s="9"/>
      <c r="H9" s="5"/>
      <c r="I9" s="28" t="str">
        <f t="shared" si="0"/>
        <v/>
      </c>
      <c r="J9" s="339" t="str">
        <f t="shared" si="1"/>
        <v/>
      </c>
      <c r="K9" s="7"/>
    </row>
    <row r="10" spans="1:15" ht="15.75" customHeight="1">
      <c r="A10" s="8"/>
      <c r="B10" s="7"/>
      <c r="C10" s="146"/>
      <c r="D10" s="8"/>
      <c r="E10" s="5"/>
      <c r="F10" s="5"/>
      <c r="G10" s="9"/>
      <c r="H10" s="5"/>
      <c r="I10" s="28" t="str">
        <f t="shared" si="0"/>
        <v/>
      </c>
      <c r="J10" s="339" t="str">
        <f t="shared" si="1"/>
        <v/>
      </c>
      <c r="K10" s="7"/>
    </row>
    <row r="11" spans="1:15" ht="15.75" customHeight="1">
      <c r="A11" s="8"/>
      <c r="B11" s="7"/>
      <c r="C11" s="146"/>
      <c r="D11" s="8"/>
      <c r="E11" s="5"/>
      <c r="F11" s="5"/>
      <c r="G11" s="9"/>
      <c r="H11" s="5"/>
      <c r="I11" s="28" t="str">
        <f t="shared" si="0"/>
        <v/>
      </c>
      <c r="J11" s="339" t="str">
        <f t="shared" si="1"/>
        <v/>
      </c>
      <c r="K11" s="7"/>
    </row>
    <row r="12" spans="1:15" ht="15.75" customHeight="1">
      <c r="A12" s="8"/>
      <c r="B12" s="7"/>
      <c r="C12" s="146"/>
      <c r="D12" s="8"/>
      <c r="E12" s="5"/>
      <c r="F12" s="5"/>
      <c r="G12" s="9"/>
      <c r="H12" s="5"/>
      <c r="I12" s="28" t="str">
        <f t="shared" si="0"/>
        <v/>
      </c>
      <c r="J12" s="339" t="str">
        <f t="shared" si="1"/>
        <v/>
      </c>
      <c r="K12" s="7"/>
    </row>
    <row r="13" spans="1:15" ht="15.75" customHeight="1">
      <c r="A13" s="8"/>
      <c r="B13" s="7"/>
      <c r="C13" s="146"/>
      <c r="D13" s="8"/>
      <c r="E13" s="5"/>
      <c r="F13" s="5"/>
      <c r="G13" s="9"/>
      <c r="H13" s="5"/>
      <c r="I13" s="28" t="str">
        <f t="shared" si="0"/>
        <v/>
      </c>
      <c r="J13" s="339" t="str">
        <f t="shared" si="1"/>
        <v/>
      </c>
      <c r="K13" s="7"/>
    </row>
    <row r="14" spans="1:15" ht="15.75" customHeight="1">
      <c r="A14" s="8"/>
      <c r="B14" s="7"/>
      <c r="C14" s="146"/>
      <c r="D14" s="8"/>
      <c r="E14" s="5"/>
      <c r="F14" s="5"/>
      <c r="G14" s="9"/>
      <c r="H14" s="5"/>
      <c r="I14" s="28" t="str">
        <f t="shared" si="0"/>
        <v/>
      </c>
      <c r="J14" s="339" t="str">
        <f t="shared" si="1"/>
        <v/>
      </c>
      <c r="K14" s="7"/>
    </row>
    <row r="15" spans="1:15" ht="15.75" customHeight="1">
      <c r="A15" s="8"/>
      <c r="B15" s="7"/>
      <c r="C15" s="146"/>
      <c r="D15" s="8"/>
      <c r="E15" s="5"/>
      <c r="F15" s="5"/>
      <c r="G15" s="9"/>
      <c r="H15" s="5"/>
      <c r="I15" s="28" t="str">
        <f t="shared" si="0"/>
        <v/>
      </c>
      <c r="J15" s="339" t="str">
        <f t="shared" si="1"/>
        <v/>
      </c>
      <c r="K15" s="7"/>
    </row>
    <row r="16" spans="1:15" ht="15.75" customHeight="1">
      <c r="A16" s="8"/>
      <c r="B16" s="7"/>
      <c r="C16" s="146"/>
      <c r="D16" s="8"/>
      <c r="E16" s="5"/>
      <c r="F16" s="5"/>
      <c r="G16" s="9"/>
      <c r="H16" s="5"/>
      <c r="I16" s="28" t="str">
        <f t="shared" si="0"/>
        <v/>
      </c>
      <c r="J16" s="339" t="str">
        <f t="shared" si="1"/>
        <v/>
      </c>
      <c r="K16" s="7"/>
    </row>
    <row r="17" spans="1:11" ht="15.75" customHeight="1">
      <c r="A17" s="8"/>
      <c r="B17" s="7"/>
      <c r="C17" s="146"/>
      <c r="D17" s="8"/>
      <c r="E17" s="5"/>
      <c r="F17" s="5"/>
      <c r="G17" s="9"/>
      <c r="H17" s="5"/>
      <c r="I17" s="28" t="str">
        <f t="shared" si="0"/>
        <v/>
      </c>
      <c r="J17" s="339" t="str">
        <f t="shared" si="1"/>
        <v/>
      </c>
      <c r="K17" s="7"/>
    </row>
    <row r="18" spans="1:11" ht="15.75" customHeight="1">
      <c r="A18" s="8"/>
      <c r="B18" s="7"/>
      <c r="C18" s="146"/>
      <c r="D18" s="8"/>
      <c r="E18" s="5"/>
      <c r="F18" s="5"/>
      <c r="G18" s="9"/>
      <c r="H18" s="5"/>
      <c r="I18" s="28" t="str">
        <f t="shared" si="0"/>
        <v/>
      </c>
      <c r="J18" s="339" t="str">
        <f t="shared" si="1"/>
        <v/>
      </c>
      <c r="K18" s="7"/>
    </row>
    <row r="19" spans="1:11" ht="15.75" customHeight="1">
      <c r="A19" s="8"/>
      <c r="B19" s="7"/>
      <c r="C19" s="146"/>
      <c r="D19" s="8"/>
      <c r="E19" s="5"/>
      <c r="F19" s="5"/>
      <c r="G19" s="9"/>
      <c r="H19" s="5"/>
      <c r="I19" s="28" t="str">
        <f t="shared" si="0"/>
        <v/>
      </c>
      <c r="J19" s="339" t="str">
        <f t="shared" si="1"/>
        <v/>
      </c>
      <c r="K19" s="7"/>
    </row>
    <row r="20" spans="1:11" ht="15.75" customHeight="1">
      <c r="A20" s="8"/>
      <c r="B20" s="7"/>
      <c r="C20" s="146"/>
      <c r="D20" s="8"/>
      <c r="E20" s="5"/>
      <c r="F20" s="5"/>
      <c r="G20" s="9"/>
      <c r="H20" s="5"/>
      <c r="I20" s="28" t="str">
        <f t="shared" si="0"/>
        <v/>
      </c>
      <c r="J20" s="339" t="str">
        <f t="shared" si="1"/>
        <v/>
      </c>
      <c r="K20" s="7"/>
    </row>
    <row r="21" spans="1:11" ht="15.75" customHeight="1">
      <c r="A21" s="8"/>
      <c r="B21" s="7"/>
      <c r="C21" s="146"/>
      <c r="D21" s="8"/>
      <c r="E21" s="5"/>
      <c r="F21" s="5"/>
      <c r="G21" s="9"/>
      <c r="H21" s="5"/>
      <c r="I21" s="28" t="str">
        <f t="shared" si="0"/>
        <v/>
      </c>
      <c r="J21" s="339" t="str">
        <f t="shared" si="1"/>
        <v/>
      </c>
      <c r="K21" s="7"/>
    </row>
    <row r="22" spans="1:11" ht="15.75" customHeight="1">
      <c r="A22" s="8"/>
      <c r="B22" s="7"/>
      <c r="C22" s="146"/>
      <c r="D22" s="8"/>
      <c r="E22" s="5"/>
      <c r="F22" s="5"/>
      <c r="G22" s="9"/>
      <c r="H22" s="5"/>
      <c r="I22" s="28" t="str">
        <f t="shared" si="0"/>
        <v/>
      </c>
      <c r="J22" s="339" t="str">
        <f t="shared" si="1"/>
        <v/>
      </c>
      <c r="K22" s="7"/>
    </row>
    <row r="23" spans="1:11" ht="15.75" customHeight="1">
      <c r="A23" s="8"/>
      <c r="B23" s="7"/>
      <c r="C23" s="146"/>
      <c r="D23" s="8"/>
      <c r="E23" s="5"/>
      <c r="F23" s="5"/>
      <c r="G23" s="9"/>
      <c r="H23" s="5"/>
      <c r="I23" s="28" t="str">
        <f t="shared" si="0"/>
        <v/>
      </c>
      <c r="J23" s="339" t="str">
        <f t="shared" si="1"/>
        <v/>
      </c>
      <c r="K23" s="7"/>
    </row>
    <row r="24" spans="1:11" ht="15.75" customHeight="1">
      <c r="A24" s="8"/>
      <c r="B24" s="7"/>
      <c r="C24" s="146"/>
      <c r="D24" s="8"/>
      <c r="E24" s="5"/>
      <c r="F24" s="5"/>
      <c r="G24" s="9"/>
      <c r="H24" s="5"/>
      <c r="I24" s="28" t="str">
        <f t="shared" si="0"/>
        <v/>
      </c>
      <c r="J24" s="339" t="str">
        <f t="shared" si="1"/>
        <v/>
      </c>
      <c r="K24" s="7"/>
    </row>
    <row r="25" spans="1:11" ht="15.75" customHeight="1">
      <c r="A25" s="8"/>
      <c r="B25" s="7"/>
      <c r="C25" s="146"/>
      <c r="D25" s="8"/>
      <c r="E25" s="5"/>
      <c r="F25" s="5"/>
      <c r="G25" s="9"/>
      <c r="H25" s="5"/>
      <c r="I25" s="28" t="str">
        <f t="shared" si="0"/>
        <v/>
      </c>
      <c r="J25" s="339" t="str">
        <f t="shared" si="1"/>
        <v/>
      </c>
      <c r="K25" s="7"/>
    </row>
    <row r="26" spans="1:11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/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28" t="str">
        <f t="shared" ca="1" si="0"/>
        <v/>
      </c>
      <c r="J26" s="339" t="str">
        <f t="shared" ca="1" si="1"/>
        <v/>
      </c>
      <c r="K26" s="234"/>
    </row>
    <row r="27" spans="1:11" ht="15.75" hidden="1" customHeight="1">
      <c r="A27" s="8"/>
      <c r="B27" s="7"/>
      <c r="C27" s="146"/>
      <c r="D27" s="8"/>
      <c r="E27" s="5"/>
      <c r="F27" s="5"/>
      <c r="G27" s="9"/>
      <c r="H27" s="5"/>
      <c r="I27" s="28" t="str">
        <f>IF(ISERROR(H27-F27),"",IF(H27=0,"",H27-F27))</f>
        <v/>
      </c>
      <c r="J27" s="339" t="str">
        <f>IF(ISERROR(H27-F27),"",IF(H27=0,"",IF(I27="",0,ROUND(I27*100/F27,2))))</f>
        <v/>
      </c>
      <c r="K27" s="7"/>
    </row>
    <row r="28" spans="1:11" ht="15.75" hidden="1" customHeight="1">
      <c r="A28" s="8"/>
      <c r="B28" s="7"/>
      <c r="C28" s="146"/>
      <c r="D28" s="8"/>
      <c r="E28" s="5"/>
      <c r="F28" s="5"/>
      <c r="G28" s="9"/>
      <c r="H28" s="5"/>
      <c r="I28" s="28" t="str">
        <f t="shared" ref="I28:I46" si="2">IF(ISERROR(H28-F28),"",IF(H28=0,"",H28-F28))</f>
        <v/>
      </c>
      <c r="J28" s="339" t="str">
        <f t="shared" ref="J28:J46" si="3">IF(ISERROR(H28-F28),"",IF(H28=0,"",IF(I28="",0,ROUND(I28*100/F28,2))))</f>
        <v/>
      </c>
      <c r="K28" s="7"/>
    </row>
    <row r="29" spans="1:11" ht="15.75" hidden="1" customHeight="1">
      <c r="A29" s="8"/>
      <c r="B29" s="7"/>
      <c r="C29" s="146"/>
      <c r="D29" s="8"/>
      <c r="E29" s="5"/>
      <c r="F29" s="5"/>
      <c r="G29" s="9"/>
      <c r="H29" s="5"/>
      <c r="I29" s="28" t="str">
        <f t="shared" si="2"/>
        <v/>
      </c>
      <c r="J29" s="339" t="str">
        <f t="shared" si="3"/>
        <v/>
      </c>
      <c r="K29" s="7"/>
    </row>
    <row r="30" spans="1:11" ht="15.75" hidden="1" customHeight="1">
      <c r="A30" s="8"/>
      <c r="B30" s="7"/>
      <c r="C30" s="146"/>
      <c r="D30" s="8"/>
      <c r="E30" s="5"/>
      <c r="F30" s="5"/>
      <c r="G30" s="9"/>
      <c r="H30" s="5"/>
      <c r="I30" s="28" t="str">
        <f t="shared" si="2"/>
        <v/>
      </c>
      <c r="J30" s="339" t="str">
        <f t="shared" si="3"/>
        <v/>
      </c>
      <c r="K30" s="7"/>
    </row>
    <row r="31" spans="1:11" ht="15.75" hidden="1" customHeight="1">
      <c r="A31" s="8"/>
      <c r="B31" s="7"/>
      <c r="C31" s="146"/>
      <c r="D31" s="8"/>
      <c r="E31" s="5"/>
      <c r="F31" s="5"/>
      <c r="G31" s="9"/>
      <c r="H31" s="5"/>
      <c r="I31" s="28" t="str">
        <f t="shared" si="2"/>
        <v/>
      </c>
      <c r="J31" s="339" t="str">
        <f t="shared" si="3"/>
        <v/>
      </c>
      <c r="K31" s="7"/>
    </row>
    <row r="32" spans="1:11" ht="15.75" hidden="1" customHeight="1">
      <c r="A32" s="8"/>
      <c r="B32" s="7"/>
      <c r="C32" s="146"/>
      <c r="D32" s="8"/>
      <c r="E32" s="5"/>
      <c r="F32" s="5"/>
      <c r="G32" s="9"/>
      <c r="H32" s="5"/>
      <c r="I32" s="2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146"/>
      <c r="D33" s="8"/>
      <c r="E33" s="5"/>
      <c r="F33" s="5"/>
      <c r="G33" s="9"/>
      <c r="H33" s="5"/>
      <c r="I33" s="2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146"/>
      <c r="D34" s="8"/>
      <c r="E34" s="5"/>
      <c r="F34" s="5"/>
      <c r="G34" s="9"/>
      <c r="H34" s="5"/>
      <c r="I34" s="2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146"/>
      <c r="D35" s="8"/>
      <c r="E35" s="5"/>
      <c r="F35" s="5"/>
      <c r="G35" s="9"/>
      <c r="H35" s="5"/>
      <c r="I35" s="2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146"/>
      <c r="D36" s="8"/>
      <c r="E36" s="5"/>
      <c r="F36" s="5"/>
      <c r="G36" s="9"/>
      <c r="H36" s="5"/>
      <c r="I36" s="2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146"/>
      <c r="D37" s="8"/>
      <c r="E37" s="5"/>
      <c r="F37" s="5"/>
      <c r="G37" s="9"/>
      <c r="H37" s="5"/>
      <c r="I37" s="2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146"/>
      <c r="D38" s="8"/>
      <c r="E38" s="5"/>
      <c r="F38" s="5"/>
      <c r="G38" s="9"/>
      <c r="H38" s="5"/>
      <c r="I38" s="2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146"/>
      <c r="D39" s="8"/>
      <c r="E39" s="5"/>
      <c r="F39" s="5"/>
      <c r="G39" s="9"/>
      <c r="H39" s="5"/>
      <c r="I39" s="2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146"/>
      <c r="D40" s="8"/>
      <c r="E40" s="5"/>
      <c r="F40" s="5"/>
      <c r="G40" s="9"/>
      <c r="H40" s="5"/>
      <c r="I40" s="2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146"/>
      <c r="D41" s="8"/>
      <c r="E41" s="5"/>
      <c r="F41" s="5"/>
      <c r="G41" s="9"/>
      <c r="H41" s="5"/>
      <c r="I41" s="2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146"/>
      <c r="D42" s="8"/>
      <c r="E42" s="5"/>
      <c r="F42" s="5"/>
      <c r="G42" s="9"/>
      <c r="H42" s="5"/>
      <c r="I42" s="2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146"/>
      <c r="D43" s="8"/>
      <c r="E43" s="5"/>
      <c r="F43" s="5"/>
      <c r="G43" s="9"/>
      <c r="H43" s="5"/>
      <c r="I43" s="2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146"/>
      <c r="D44" s="8"/>
      <c r="E44" s="5"/>
      <c r="F44" s="5"/>
      <c r="G44" s="9"/>
      <c r="H44" s="5"/>
      <c r="I44" s="2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146"/>
      <c r="D45" s="8"/>
      <c r="E45" s="5"/>
      <c r="F45" s="5"/>
      <c r="G45" s="9"/>
      <c r="H45" s="5"/>
      <c r="I45" s="2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146"/>
      <c r="D46" s="8"/>
      <c r="E46" s="5"/>
      <c r="F46" s="5"/>
      <c r="G46" s="9"/>
      <c r="H46" s="5"/>
      <c r="I46" s="28" t="str">
        <f t="shared" si="2"/>
        <v/>
      </c>
      <c r="J46" s="339" t="str">
        <f t="shared" si="3"/>
        <v/>
      </c>
      <c r="K46" s="7"/>
    </row>
  </sheetData>
  <mergeCells count="3">
    <mergeCell ref="A1:K1"/>
    <mergeCell ref="A2:K2"/>
    <mergeCell ref="A26:B26"/>
  </mergeCells>
  <phoneticPr fontId="6" type="noConversion"/>
  <printOptions horizontalCentered="1" verticalCentered="1"/>
  <pageMargins left="0.98425196850393704" right="0.70866141732283472" top="0.31496062992125984" bottom="0.78740157480314965" header="1.6929133858267718" footer="1.1811023622047245"/>
  <pageSetup paperSize="9" fitToHeight="0" orientation="landscape" blackAndWhite="1" horizontalDpi="1200" verticalDpi="1200" r:id="rId1"/>
  <headerFooter scaleWithDoc="0">
    <oddHeader>&amp;R&amp;"宋体,常规"&amp;10表4-14-3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0</xdr:rowOff>
                  </from>
                  <to>
                    <xdr:col>3</xdr:col>
                    <xdr:colOff>228600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8FC06-299D-41A2-8985-DC66342EBCF1}">
  <sheetPr codeName="Sheet82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activeCell="G3" sqref="G1:G65536"/>
    </sheetView>
  </sheetViews>
  <sheetFormatPr baseColWidth="10" defaultColWidth="9" defaultRowHeight="15.75" customHeight="1"/>
  <cols>
    <col min="1" max="1" width="7" style="81" customWidth="1"/>
    <col min="2" max="2" width="25" style="81" customWidth="1"/>
    <col min="3" max="3" width="14.5" style="81" customWidth="1"/>
    <col min="4" max="4" width="16.6640625" style="81" customWidth="1"/>
    <col min="5" max="5" width="15" style="81" customWidth="1"/>
    <col min="6" max="6" width="13" style="135" customWidth="1"/>
    <col min="7" max="7" width="10.5" style="340" customWidth="1"/>
    <col min="8" max="8" width="15.5" style="81" customWidth="1"/>
    <col min="9" max="9" width="8.1640625" style="81" customWidth="1"/>
    <col min="10" max="10" width="7.6640625" style="81" customWidth="1"/>
    <col min="11" max="11" width="16" style="81" customWidth="1"/>
    <col min="12" max="16384" width="9" style="81"/>
  </cols>
  <sheetData>
    <row r="1" spans="1:12" s="80" customFormat="1" ht="30" customHeight="1">
      <c r="A1" s="374" t="s">
        <v>1022</v>
      </c>
      <c r="B1" s="375"/>
      <c r="C1" s="375"/>
      <c r="D1" s="375"/>
      <c r="E1" s="375"/>
      <c r="F1" s="375"/>
      <c r="G1" s="375"/>
      <c r="H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8"/>
      <c r="F2" s="378"/>
      <c r="G2" s="378"/>
      <c r="H2" s="378"/>
    </row>
    <row r="3" spans="1:12" ht="14.25" customHeight="1">
      <c r="A3" s="40"/>
      <c r="B3" s="40"/>
      <c r="C3" s="40"/>
      <c r="D3" s="40"/>
      <c r="E3" s="171"/>
      <c r="F3" s="172"/>
      <c r="G3" s="131"/>
      <c r="H3" s="178"/>
    </row>
    <row r="4" spans="1:12" ht="14.25" customHeight="1">
      <c r="A4" s="40"/>
      <c r="B4" s="40"/>
      <c r="C4" s="40"/>
      <c r="D4" s="40"/>
      <c r="E4" s="171"/>
      <c r="F4" s="172"/>
      <c r="G4" s="131"/>
      <c r="H4" s="178"/>
    </row>
    <row r="5" spans="1:12" ht="15.75" customHeight="1">
      <c r="A5" s="41" t="str">
        <f>'1-汇总表'!A4</f>
        <v>被评估单位：A有限公司</v>
      </c>
      <c r="B5" s="42"/>
      <c r="C5" s="42"/>
      <c r="D5" s="42"/>
      <c r="E5" s="42"/>
      <c r="F5" s="173"/>
      <c r="G5" s="218"/>
      <c r="H5" s="122"/>
    </row>
    <row r="6" spans="1:12" s="189" customFormat="1" ht="15.75" customHeight="1">
      <c r="A6" s="188" t="s">
        <v>7</v>
      </c>
      <c r="B6" s="188" t="s">
        <v>60</v>
      </c>
      <c r="C6" s="45" t="s">
        <v>344</v>
      </c>
      <c r="D6" s="217" t="s">
        <v>117</v>
      </c>
      <c r="E6" s="188" t="s">
        <v>0</v>
      </c>
      <c r="F6" s="175" t="s">
        <v>448</v>
      </c>
      <c r="G6" s="341" t="s">
        <v>479</v>
      </c>
      <c r="H6" s="188" t="s">
        <v>39</v>
      </c>
      <c r="I6" s="275" t="s">
        <v>638</v>
      </c>
      <c r="J6" s="275" t="s">
        <v>597</v>
      </c>
      <c r="K6" s="276" t="s">
        <v>598</v>
      </c>
      <c r="L6" s="275" t="s">
        <v>599</v>
      </c>
    </row>
    <row r="7" spans="1:12" ht="15.75" customHeight="1">
      <c r="A7" s="8"/>
      <c r="B7" s="7"/>
      <c r="C7" s="146"/>
      <c r="D7" s="5"/>
      <c r="E7" s="5"/>
      <c r="F7" s="28" t="str">
        <f>IF(ISERROR(E7-D7),"",IF(E7=0,"",E7-D7))</f>
        <v/>
      </c>
      <c r="G7" s="339" t="str">
        <f>IF(ISERROR(E7-D7),"",IF(E7=0,"",IF(F7="",0,ROUND(F7*100/D7,2))))</f>
        <v/>
      </c>
      <c r="H7" s="7"/>
    </row>
    <row r="8" spans="1:12" ht="15.75" customHeight="1">
      <c r="A8" s="8"/>
      <c r="B8" s="7"/>
      <c r="C8" s="146"/>
      <c r="D8" s="5"/>
      <c r="E8" s="5"/>
      <c r="F8" s="28" t="str">
        <f t="shared" ref="F8:F26" si="0">IF(ISERROR(E8-D8),"",IF(E8=0,"",E8-D8))</f>
        <v/>
      </c>
      <c r="G8" s="339" t="str">
        <f t="shared" ref="G8:G26" si="1">IF(ISERROR(E8-D8),"",IF(E8=0,"",IF(F8="",0,ROUND(F8*100/D8,2))))</f>
        <v/>
      </c>
      <c r="H8" s="7"/>
    </row>
    <row r="9" spans="1:12" ht="15.75" customHeight="1">
      <c r="A9" s="8"/>
      <c r="B9" s="7"/>
      <c r="C9" s="146"/>
      <c r="D9" s="5"/>
      <c r="E9" s="5"/>
      <c r="F9" s="28" t="str">
        <f t="shared" si="0"/>
        <v/>
      </c>
      <c r="G9" s="339" t="str">
        <f t="shared" si="1"/>
        <v/>
      </c>
      <c r="H9" s="7"/>
    </row>
    <row r="10" spans="1:12" ht="15.75" customHeight="1">
      <c r="A10" s="8"/>
      <c r="B10" s="7"/>
      <c r="C10" s="146"/>
      <c r="D10" s="5"/>
      <c r="E10" s="5"/>
      <c r="F10" s="28" t="str">
        <f t="shared" si="0"/>
        <v/>
      </c>
      <c r="G10" s="339" t="str">
        <f t="shared" si="1"/>
        <v/>
      </c>
      <c r="H10" s="7"/>
    </row>
    <row r="11" spans="1:12" ht="15.75" customHeight="1">
      <c r="A11" s="8"/>
      <c r="B11" s="7"/>
      <c r="C11" s="146"/>
      <c r="D11" s="5"/>
      <c r="E11" s="5"/>
      <c r="F11" s="28" t="str">
        <f t="shared" si="0"/>
        <v/>
      </c>
      <c r="G11" s="339" t="str">
        <f t="shared" si="1"/>
        <v/>
      </c>
      <c r="H11" s="7"/>
    </row>
    <row r="12" spans="1:12" ht="15.75" customHeight="1">
      <c r="A12" s="8"/>
      <c r="B12" s="7"/>
      <c r="C12" s="146"/>
      <c r="D12" s="5"/>
      <c r="E12" s="5"/>
      <c r="F12" s="28" t="str">
        <f t="shared" si="0"/>
        <v/>
      </c>
      <c r="G12" s="339" t="str">
        <f t="shared" si="1"/>
        <v/>
      </c>
      <c r="H12" s="7"/>
    </row>
    <row r="13" spans="1:12" ht="15.75" customHeight="1">
      <c r="A13" s="8"/>
      <c r="B13" s="7"/>
      <c r="C13" s="146"/>
      <c r="D13" s="5"/>
      <c r="E13" s="5"/>
      <c r="F13" s="28" t="str">
        <f t="shared" si="0"/>
        <v/>
      </c>
      <c r="G13" s="339" t="str">
        <f t="shared" si="1"/>
        <v/>
      </c>
      <c r="H13" s="7"/>
    </row>
    <row r="14" spans="1:12" ht="15.75" customHeight="1">
      <c r="A14" s="8"/>
      <c r="B14" s="7"/>
      <c r="C14" s="146"/>
      <c r="D14" s="5"/>
      <c r="E14" s="5"/>
      <c r="F14" s="28" t="str">
        <f t="shared" si="0"/>
        <v/>
      </c>
      <c r="G14" s="339" t="str">
        <f t="shared" si="1"/>
        <v/>
      </c>
      <c r="H14" s="7"/>
    </row>
    <row r="15" spans="1:12" ht="15.75" customHeight="1">
      <c r="A15" s="8"/>
      <c r="B15" s="7"/>
      <c r="C15" s="146"/>
      <c r="D15" s="5"/>
      <c r="E15" s="5"/>
      <c r="F15" s="28" t="str">
        <f t="shared" si="0"/>
        <v/>
      </c>
      <c r="G15" s="339" t="str">
        <f t="shared" si="1"/>
        <v/>
      </c>
      <c r="H15" s="7"/>
    </row>
    <row r="16" spans="1:12" ht="15.75" customHeight="1">
      <c r="A16" s="8"/>
      <c r="B16" s="7"/>
      <c r="C16" s="146"/>
      <c r="D16" s="5"/>
      <c r="E16" s="5"/>
      <c r="F16" s="28" t="str">
        <f t="shared" si="0"/>
        <v/>
      </c>
      <c r="G16" s="339" t="str">
        <f t="shared" si="1"/>
        <v/>
      </c>
      <c r="H16" s="7"/>
    </row>
    <row r="17" spans="1:8" ht="15.75" customHeight="1">
      <c r="A17" s="8"/>
      <c r="B17" s="7"/>
      <c r="C17" s="146"/>
      <c r="D17" s="5"/>
      <c r="E17" s="5"/>
      <c r="F17" s="28" t="str">
        <f t="shared" si="0"/>
        <v/>
      </c>
      <c r="G17" s="339" t="str">
        <f t="shared" si="1"/>
        <v/>
      </c>
      <c r="H17" s="7"/>
    </row>
    <row r="18" spans="1:8" ht="15.75" customHeight="1">
      <c r="A18" s="8"/>
      <c r="B18" s="7"/>
      <c r="C18" s="146"/>
      <c r="D18" s="5"/>
      <c r="E18" s="5"/>
      <c r="F18" s="28" t="str">
        <f t="shared" si="0"/>
        <v/>
      </c>
      <c r="G18" s="339" t="str">
        <f t="shared" si="1"/>
        <v/>
      </c>
      <c r="H18" s="7"/>
    </row>
    <row r="19" spans="1:8" ht="15.75" customHeight="1">
      <c r="A19" s="8"/>
      <c r="B19" s="7"/>
      <c r="C19" s="146"/>
      <c r="D19" s="5"/>
      <c r="E19" s="5"/>
      <c r="F19" s="28" t="str">
        <f t="shared" si="0"/>
        <v/>
      </c>
      <c r="G19" s="339" t="str">
        <f t="shared" si="1"/>
        <v/>
      </c>
      <c r="H19" s="7"/>
    </row>
    <row r="20" spans="1:8" ht="15.75" customHeight="1">
      <c r="A20" s="8"/>
      <c r="B20" s="7"/>
      <c r="C20" s="146"/>
      <c r="D20" s="5"/>
      <c r="E20" s="5"/>
      <c r="F20" s="28" t="str">
        <f t="shared" si="0"/>
        <v/>
      </c>
      <c r="G20" s="339" t="str">
        <f t="shared" si="1"/>
        <v/>
      </c>
      <c r="H20" s="7"/>
    </row>
    <row r="21" spans="1:8" ht="15.75" customHeight="1">
      <c r="A21" s="8"/>
      <c r="B21" s="7"/>
      <c r="C21" s="146"/>
      <c r="D21" s="5"/>
      <c r="E21" s="5"/>
      <c r="F21" s="28" t="str">
        <f t="shared" si="0"/>
        <v/>
      </c>
      <c r="G21" s="339" t="str">
        <f t="shared" si="1"/>
        <v/>
      </c>
      <c r="H21" s="7"/>
    </row>
    <row r="22" spans="1:8" ht="15.75" customHeight="1">
      <c r="A22" s="8"/>
      <c r="B22" s="7"/>
      <c r="C22" s="146"/>
      <c r="D22" s="5"/>
      <c r="E22" s="5"/>
      <c r="F22" s="28" t="str">
        <f t="shared" si="0"/>
        <v/>
      </c>
      <c r="G22" s="339" t="str">
        <f t="shared" si="1"/>
        <v/>
      </c>
      <c r="H22" s="7"/>
    </row>
    <row r="23" spans="1:8" ht="15.75" customHeight="1">
      <c r="A23" s="8"/>
      <c r="B23" s="7"/>
      <c r="C23" s="146"/>
      <c r="D23" s="5"/>
      <c r="E23" s="5"/>
      <c r="F23" s="28" t="str">
        <f t="shared" si="0"/>
        <v/>
      </c>
      <c r="G23" s="339" t="str">
        <f t="shared" si="1"/>
        <v/>
      </c>
      <c r="H23" s="7"/>
    </row>
    <row r="24" spans="1:8" ht="15.75" customHeight="1">
      <c r="A24" s="8"/>
      <c r="B24" s="7"/>
      <c r="C24" s="146"/>
      <c r="D24" s="5"/>
      <c r="E24" s="5"/>
      <c r="F24" s="28" t="str">
        <f t="shared" si="0"/>
        <v/>
      </c>
      <c r="G24" s="339" t="str">
        <f t="shared" si="1"/>
        <v/>
      </c>
      <c r="H24" s="7"/>
    </row>
    <row r="25" spans="1:8" ht="15.75" customHeight="1">
      <c r="A25" s="8"/>
      <c r="B25" s="7"/>
      <c r="C25" s="146"/>
      <c r="D25" s="5"/>
      <c r="E25" s="5"/>
      <c r="F25" s="28" t="str">
        <f t="shared" si="0"/>
        <v/>
      </c>
      <c r="G25" s="339" t="str">
        <f t="shared" si="1"/>
        <v/>
      </c>
      <c r="H25" s="7"/>
    </row>
    <row r="26" spans="1:8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8" t="str">
        <f t="shared" ca="1" si="0"/>
        <v/>
      </c>
      <c r="G26" s="339" t="str">
        <f t="shared" ca="1" si="1"/>
        <v/>
      </c>
      <c r="H26" s="234"/>
    </row>
    <row r="27" spans="1:8" ht="15.75" hidden="1" customHeight="1">
      <c r="A27" s="8"/>
      <c r="B27" s="7"/>
      <c r="C27" s="146"/>
      <c r="D27" s="5"/>
      <c r="E27" s="5"/>
      <c r="F27" s="28" t="str">
        <f>IF(ISERROR(E27-D27),"",IF(E27=0,"",E27-D27))</f>
        <v/>
      </c>
      <c r="G27" s="339" t="str">
        <f>IF(ISERROR(E27-D27),"",IF(E27=0,"",IF(F27="",0,ROUND(F27*100/D27,2))))</f>
        <v/>
      </c>
      <c r="H27" s="7"/>
    </row>
    <row r="28" spans="1:8" ht="15.75" hidden="1" customHeight="1">
      <c r="A28" s="8"/>
      <c r="B28" s="7"/>
      <c r="C28" s="146"/>
      <c r="D28" s="5"/>
      <c r="E28" s="5"/>
      <c r="F28" s="28" t="str">
        <f t="shared" ref="F28:F46" si="2">IF(ISERROR(E28-D28),"",IF(E28=0,"",E28-D28))</f>
        <v/>
      </c>
      <c r="G28" s="339" t="str">
        <f t="shared" ref="G28:G46" si="3">IF(ISERROR(E28-D28),"",IF(E28=0,"",IF(F28="",0,ROUND(F28*100/D28,2))))</f>
        <v/>
      </c>
      <c r="H28" s="7"/>
    </row>
    <row r="29" spans="1:8" ht="15.75" hidden="1" customHeight="1">
      <c r="A29" s="8"/>
      <c r="B29" s="7"/>
      <c r="C29" s="146"/>
      <c r="D29" s="5"/>
      <c r="E29" s="5"/>
      <c r="F29" s="28" t="str">
        <f t="shared" si="2"/>
        <v/>
      </c>
      <c r="G29" s="339" t="str">
        <f t="shared" si="3"/>
        <v/>
      </c>
      <c r="H29" s="7"/>
    </row>
    <row r="30" spans="1:8" ht="15.75" hidden="1" customHeight="1">
      <c r="A30" s="8"/>
      <c r="B30" s="7"/>
      <c r="C30" s="146"/>
      <c r="D30" s="5"/>
      <c r="E30" s="5"/>
      <c r="F30" s="28" t="str">
        <f t="shared" si="2"/>
        <v/>
      </c>
      <c r="G30" s="339" t="str">
        <f t="shared" si="3"/>
        <v/>
      </c>
      <c r="H30" s="7"/>
    </row>
    <row r="31" spans="1:8" ht="15.75" hidden="1" customHeight="1">
      <c r="A31" s="8"/>
      <c r="B31" s="7"/>
      <c r="C31" s="146"/>
      <c r="D31" s="5"/>
      <c r="E31" s="5"/>
      <c r="F31" s="28" t="str">
        <f t="shared" si="2"/>
        <v/>
      </c>
      <c r="G31" s="339" t="str">
        <f t="shared" si="3"/>
        <v/>
      </c>
      <c r="H31" s="7"/>
    </row>
    <row r="32" spans="1:8" ht="15.75" hidden="1" customHeight="1">
      <c r="A32" s="8"/>
      <c r="B32" s="7"/>
      <c r="C32" s="146"/>
      <c r="D32" s="5"/>
      <c r="E32" s="5"/>
      <c r="F32" s="28" t="str">
        <f t="shared" si="2"/>
        <v/>
      </c>
      <c r="G32" s="339" t="str">
        <f t="shared" si="3"/>
        <v/>
      </c>
      <c r="H32" s="7"/>
    </row>
    <row r="33" spans="1:8" ht="15.75" hidden="1" customHeight="1">
      <c r="A33" s="8"/>
      <c r="B33" s="7"/>
      <c r="C33" s="146"/>
      <c r="D33" s="5"/>
      <c r="E33" s="5"/>
      <c r="F33" s="28" t="str">
        <f t="shared" si="2"/>
        <v/>
      </c>
      <c r="G33" s="339" t="str">
        <f t="shared" si="3"/>
        <v/>
      </c>
      <c r="H33" s="7"/>
    </row>
    <row r="34" spans="1:8" ht="15.75" hidden="1" customHeight="1">
      <c r="A34" s="8"/>
      <c r="B34" s="7"/>
      <c r="C34" s="146"/>
      <c r="D34" s="5"/>
      <c r="E34" s="5"/>
      <c r="F34" s="28" t="str">
        <f t="shared" si="2"/>
        <v/>
      </c>
      <c r="G34" s="339" t="str">
        <f t="shared" si="3"/>
        <v/>
      </c>
      <c r="H34" s="7"/>
    </row>
    <row r="35" spans="1:8" ht="15.75" hidden="1" customHeight="1">
      <c r="A35" s="8"/>
      <c r="B35" s="7"/>
      <c r="C35" s="146"/>
      <c r="D35" s="5"/>
      <c r="E35" s="5"/>
      <c r="F35" s="28" t="str">
        <f t="shared" si="2"/>
        <v/>
      </c>
      <c r="G35" s="339" t="str">
        <f t="shared" si="3"/>
        <v/>
      </c>
      <c r="H35" s="7"/>
    </row>
    <row r="36" spans="1:8" ht="15.75" hidden="1" customHeight="1">
      <c r="A36" s="8"/>
      <c r="B36" s="7"/>
      <c r="C36" s="146"/>
      <c r="D36" s="5"/>
      <c r="E36" s="5"/>
      <c r="F36" s="28" t="str">
        <f t="shared" si="2"/>
        <v/>
      </c>
      <c r="G36" s="339" t="str">
        <f t="shared" si="3"/>
        <v/>
      </c>
      <c r="H36" s="7"/>
    </row>
    <row r="37" spans="1:8" ht="15.75" hidden="1" customHeight="1">
      <c r="A37" s="8"/>
      <c r="B37" s="7"/>
      <c r="C37" s="146"/>
      <c r="D37" s="5"/>
      <c r="E37" s="5"/>
      <c r="F37" s="28" t="str">
        <f t="shared" si="2"/>
        <v/>
      </c>
      <c r="G37" s="339" t="str">
        <f t="shared" si="3"/>
        <v/>
      </c>
      <c r="H37" s="7"/>
    </row>
    <row r="38" spans="1:8" ht="15.75" hidden="1" customHeight="1">
      <c r="A38" s="8"/>
      <c r="B38" s="7"/>
      <c r="C38" s="146"/>
      <c r="D38" s="5"/>
      <c r="E38" s="5"/>
      <c r="F38" s="28" t="str">
        <f t="shared" si="2"/>
        <v/>
      </c>
      <c r="G38" s="339" t="str">
        <f t="shared" si="3"/>
        <v/>
      </c>
      <c r="H38" s="7"/>
    </row>
    <row r="39" spans="1:8" ht="15.75" hidden="1" customHeight="1">
      <c r="A39" s="8"/>
      <c r="B39" s="7"/>
      <c r="C39" s="146"/>
      <c r="D39" s="5"/>
      <c r="E39" s="5"/>
      <c r="F39" s="28" t="str">
        <f t="shared" si="2"/>
        <v/>
      </c>
      <c r="G39" s="339" t="str">
        <f t="shared" si="3"/>
        <v/>
      </c>
      <c r="H39" s="7"/>
    </row>
    <row r="40" spans="1:8" ht="15.75" hidden="1" customHeight="1">
      <c r="A40" s="8"/>
      <c r="B40" s="7"/>
      <c r="C40" s="146"/>
      <c r="D40" s="5"/>
      <c r="E40" s="5"/>
      <c r="F40" s="28" t="str">
        <f t="shared" si="2"/>
        <v/>
      </c>
      <c r="G40" s="339" t="str">
        <f t="shared" si="3"/>
        <v/>
      </c>
      <c r="H40" s="7"/>
    </row>
    <row r="41" spans="1:8" ht="15.75" hidden="1" customHeight="1">
      <c r="A41" s="8"/>
      <c r="B41" s="7"/>
      <c r="C41" s="146"/>
      <c r="D41" s="5"/>
      <c r="E41" s="5"/>
      <c r="F41" s="28" t="str">
        <f t="shared" si="2"/>
        <v/>
      </c>
      <c r="G41" s="339" t="str">
        <f t="shared" si="3"/>
        <v/>
      </c>
      <c r="H41" s="7"/>
    </row>
    <row r="42" spans="1:8" ht="15.75" hidden="1" customHeight="1">
      <c r="A42" s="8"/>
      <c r="B42" s="7"/>
      <c r="C42" s="146"/>
      <c r="D42" s="5"/>
      <c r="E42" s="5"/>
      <c r="F42" s="28" t="str">
        <f t="shared" si="2"/>
        <v/>
      </c>
      <c r="G42" s="339" t="str">
        <f t="shared" si="3"/>
        <v/>
      </c>
      <c r="H42" s="7"/>
    </row>
    <row r="43" spans="1:8" ht="15.75" hidden="1" customHeight="1">
      <c r="A43" s="8"/>
      <c r="B43" s="7"/>
      <c r="C43" s="146"/>
      <c r="D43" s="5"/>
      <c r="E43" s="5"/>
      <c r="F43" s="28" t="str">
        <f t="shared" si="2"/>
        <v/>
      </c>
      <c r="G43" s="339" t="str">
        <f t="shared" si="3"/>
        <v/>
      </c>
      <c r="H43" s="7"/>
    </row>
    <row r="44" spans="1:8" ht="15.75" hidden="1" customHeight="1">
      <c r="A44" s="8"/>
      <c r="B44" s="7"/>
      <c r="C44" s="146"/>
      <c r="D44" s="5"/>
      <c r="E44" s="5"/>
      <c r="F44" s="28" t="str">
        <f t="shared" si="2"/>
        <v/>
      </c>
      <c r="G44" s="339" t="str">
        <f t="shared" si="3"/>
        <v/>
      </c>
      <c r="H44" s="7"/>
    </row>
    <row r="45" spans="1:8" ht="15.75" hidden="1" customHeight="1">
      <c r="A45" s="8"/>
      <c r="B45" s="7"/>
      <c r="C45" s="146"/>
      <c r="D45" s="5"/>
      <c r="E45" s="5"/>
      <c r="F45" s="28" t="str">
        <f t="shared" si="2"/>
        <v/>
      </c>
      <c r="G45" s="339" t="str">
        <f t="shared" si="3"/>
        <v/>
      </c>
      <c r="H45" s="7"/>
    </row>
    <row r="46" spans="1:8" ht="15.75" hidden="1" customHeight="1">
      <c r="A46" s="8"/>
      <c r="B46" s="7"/>
      <c r="C46" s="146"/>
      <c r="D46" s="5"/>
      <c r="E46" s="5"/>
      <c r="F46" s="28" t="str">
        <f t="shared" si="2"/>
        <v/>
      </c>
      <c r="G46" s="339" t="str">
        <f t="shared" si="3"/>
        <v/>
      </c>
      <c r="H46" s="7"/>
    </row>
  </sheetData>
  <mergeCells count="3">
    <mergeCell ref="A1:H1"/>
    <mergeCell ref="A2:H2"/>
    <mergeCell ref="A26:B26"/>
  </mergeCells>
  <phoneticPr fontId="52" type="noConversion"/>
  <printOptions horizontalCentered="1" verticalCentered="1"/>
  <pageMargins left="1.1023622047244095" right="0.78740157480314965" top="0.31496062992125984" bottom="0.78740157480314965" header="1.7716535433070868" footer="1.2204724409448819"/>
  <pageSetup paperSize="9" fitToHeight="0" orientation="landscape" blackAndWhite="1" horizontalDpi="1200" verticalDpi="1200" r:id="rId1"/>
  <headerFooter scaleWithDoc="0">
    <oddHeader>&amp;R&amp;"宋体,常规"&amp;10表4-15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863600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1117600</xdr:colOff>
                    <xdr:row>2</xdr:row>
                    <xdr:rowOff>0</xdr:rowOff>
                  </from>
                  <to>
                    <xdr:col>2</xdr:col>
                    <xdr:colOff>241300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E712D-76AF-4C4E-80A8-1C69CE3CBF39}">
  <sheetPr codeName="Sheet83">
    <pageSetUpPr fitToPage="1"/>
  </sheetPr>
  <dimension ref="A1:H46"/>
  <sheetViews>
    <sheetView workbookViewId="0">
      <pane ySplit="6" topLeftCell="A17" activePane="bottomLeft" state="frozen"/>
      <selection activeCell="F17" sqref="F17"/>
      <selection pane="bottomLeft" activeCell="G3" sqref="G1:G65536"/>
    </sheetView>
  </sheetViews>
  <sheetFormatPr baseColWidth="10" defaultColWidth="9" defaultRowHeight="15.75" customHeight="1"/>
  <cols>
    <col min="1" max="1" width="6.6640625" style="81" customWidth="1"/>
    <col min="2" max="2" width="23.5" style="81" customWidth="1"/>
    <col min="3" max="3" width="16.1640625" style="81" customWidth="1"/>
    <col min="4" max="5" width="14.6640625" style="81" customWidth="1"/>
    <col min="6" max="6" width="11.1640625" style="135" customWidth="1"/>
    <col min="7" max="7" width="10.6640625" style="340" customWidth="1"/>
    <col min="8" max="8" width="16" style="81" customWidth="1"/>
    <col min="9" max="16384" width="9" style="81"/>
  </cols>
  <sheetData>
    <row r="1" spans="1:8" s="80" customFormat="1" ht="30" customHeight="1">
      <c r="A1" s="374" t="s">
        <v>1023</v>
      </c>
      <c r="B1" s="375"/>
      <c r="C1" s="375"/>
      <c r="D1" s="375"/>
      <c r="E1" s="375"/>
      <c r="F1" s="375"/>
      <c r="G1" s="375"/>
      <c r="H1" s="375"/>
    </row>
    <row r="2" spans="1:8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8"/>
      <c r="F2" s="378"/>
      <c r="G2" s="378"/>
      <c r="H2" s="378"/>
    </row>
    <row r="3" spans="1:8" ht="14.25" customHeight="1">
      <c r="A3" s="40"/>
      <c r="B3" s="40"/>
      <c r="C3" s="40"/>
      <c r="D3" s="40"/>
      <c r="E3" s="171"/>
      <c r="F3" s="172"/>
      <c r="G3" s="131"/>
      <c r="H3" s="178"/>
    </row>
    <row r="4" spans="1:8" ht="14.25" customHeight="1">
      <c r="A4" s="40"/>
      <c r="B4" s="40"/>
      <c r="C4" s="40"/>
      <c r="D4" s="40"/>
      <c r="E4" s="171"/>
      <c r="F4" s="172"/>
      <c r="G4" s="131"/>
      <c r="H4" s="178"/>
    </row>
    <row r="5" spans="1:8" ht="15.75" customHeight="1">
      <c r="A5" s="41" t="str">
        <f>'1-汇总表'!A4</f>
        <v>被评估单位：A有限公司</v>
      </c>
      <c r="B5" s="42"/>
      <c r="C5" s="42"/>
      <c r="D5" s="42"/>
      <c r="E5" s="42"/>
      <c r="F5" s="173"/>
      <c r="G5" s="218"/>
      <c r="H5" s="122"/>
    </row>
    <row r="6" spans="1:8" s="189" customFormat="1" ht="15.75" customHeight="1">
      <c r="A6" s="188" t="s">
        <v>226</v>
      </c>
      <c r="B6" s="188" t="s">
        <v>227</v>
      </c>
      <c r="C6" s="45" t="s">
        <v>61</v>
      </c>
      <c r="D6" s="217" t="s">
        <v>117</v>
      </c>
      <c r="E6" s="188" t="s">
        <v>228</v>
      </c>
      <c r="F6" s="175" t="s">
        <v>1</v>
      </c>
      <c r="G6" s="341" t="s">
        <v>479</v>
      </c>
      <c r="H6" s="188" t="s">
        <v>229</v>
      </c>
    </row>
    <row r="7" spans="1:8" ht="15.75" customHeight="1">
      <c r="A7" s="8"/>
      <c r="B7" s="7"/>
      <c r="C7" s="146"/>
      <c r="D7" s="5"/>
      <c r="E7" s="5"/>
      <c r="F7" s="28" t="str">
        <f>IF(ISERROR(E7-D7),"",IF(E7=0,"",E7-D7))</f>
        <v/>
      </c>
      <c r="G7" s="339" t="str">
        <f>IF(ISERROR(E7-D7),"",IF(E7=0,"",IF(F7="",0,ROUND(F7*100/D7,2))))</f>
        <v/>
      </c>
      <c r="H7" s="7"/>
    </row>
    <row r="8" spans="1:8" ht="15.75" customHeight="1">
      <c r="A8" s="8"/>
      <c r="B8" s="7"/>
      <c r="C8" s="146"/>
      <c r="D8" s="5"/>
      <c r="E8" s="5"/>
      <c r="F8" s="28" t="str">
        <f t="shared" ref="F8:F26" si="0">IF(ISERROR(E8-D8),"",IF(E8=0,"",E8-D8))</f>
        <v/>
      </c>
      <c r="G8" s="339" t="str">
        <f t="shared" ref="G8:G26" si="1">IF(ISERROR(E8-D8),"",IF(E8=0,"",IF(F8="",0,ROUND(F8*100/D8,2))))</f>
        <v/>
      </c>
      <c r="H8" s="7"/>
    </row>
    <row r="9" spans="1:8" ht="15.75" customHeight="1">
      <c r="A9" s="8"/>
      <c r="B9" s="7"/>
      <c r="C9" s="146"/>
      <c r="D9" s="5"/>
      <c r="E9" s="5"/>
      <c r="F9" s="28" t="str">
        <f t="shared" si="0"/>
        <v/>
      </c>
      <c r="G9" s="339" t="str">
        <f t="shared" si="1"/>
        <v/>
      </c>
      <c r="H9" s="7"/>
    </row>
    <row r="10" spans="1:8" ht="15.75" customHeight="1">
      <c r="A10" s="8"/>
      <c r="B10" s="7"/>
      <c r="C10" s="146"/>
      <c r="D10" s="5"/>
      <c r="E10" s="5"/>
      <c r="F10" s="28" t="str">
        <f t="shared" si="0"/>
        <v/>
      </c>
      <c r="G10" s="339" t="str">
        <f t="shared" si="1"/>
        <v/>
      </c>
      <c r="H10" s="7"/>
    </row>
    <row r="11" spans="1:8" ht="15.75" customHeight="1">
      <c r="A11" s="8"/>
      <c r="B11" s="7"/>
      <c r="C11" s="146"/>
      <c r="D11" s="5"/>
      <c r="E11" s="5"/>
      <c r="F11" s="28" t="str">
        <f t="shared" si="0"/>
        <v/>
      </c>
      <c r="G11" s="339" t="str">
        <f t="shared" si="1"/>
        <v/>
      </c>
      <c r="H11" s="7"/>
    </row>
    <row r="12" spans="1:8" ht="15.75" customHeight="1">
      <c r="A12" s="8"/>
      <c r="B12" s="7"/>
      <c r="C12" s="146"/>
      <c r="D12" s="5"/>
      <c r="E12" s="5"/>
      <c r="F12" s="28" t="str">
        <f t="shared" si="0"/>
        <v/>
      </c>
      <c r="G12" s="339" t="str">
        <f t="shared" si="1"/>
        <v/>
      </c>
      <c r="H12" s="7"/>
    </row>
    <row r="13" spans="1:8" ht="15.75" customHeight="1">
      <c r="A13" s="8"/>
      <c r="B13" s="7"/>
      <c r="C13" s="146"/>
      <c r="D13" s="5"/>
      <c r="E13" s="5"/>
      <c r="F13" s="28" t="str">
        <f t="shared" si="0"/>
        <v/>
      </c>
      <c r="G13" s="339" t="str">
        <f t="shared" si="1"/>
        <v/>
      </c>
      <c r="H13" s="7"/>
    </row>
    <row r="14" spans="1:8" ht="15.75" customHeight="1">
      <c r="A14" s="8"/>
      <c r="B14" s="7"/>
      <c r="C14" s="146"/>
      <c r="D14" s="5"/>
      <c r="E14" s="5"/>
      <c r="F14" s="28" t="str">
        <f t="shared" si="0"/>
        <v/>
      </c>
      <c r="G14" s="339" t="str">
        <f t="shared" si="1"/>
        <v/>
      </c>
      <c r="H14" s="7"/>
    </row>
    <row r="15" spans="1:8" ht="15.75" customHeight="1">
      <c r="A15" s="8"/>
      <c r="B15" s="7"/>
      <c r="C15" s="146"/>
      <c r="D15" s="5"/>
      <c r="E15" s="5"/>
      <c r="F15" s="28" t="str">
        <f t="shared" si="0"/>
        <v/>
      </c>
      <c r="G15" s="339" t="str">
        <f t="shared" si="1"/>
        <v/>
      </c>
      <c r="H15" s="7"/>
    </row>
    <row r="16" spans="1:8" ht="15.75" customHeight="1">
      <c r="A16" s="8"/>
      <c r="B16" s="7"/>
      <c r="C16" s="146"/>
      <c r="D16" s="5"/>
      <c r="E16" s="5"/>
      <c r="F16" s="28" t="str">
        <f t="shared" si="0"/>
        <v/>
      </c>
      <c r="G16" s="339" t="str">
        <f t="shared" si="1"/>
        <v/>
      </c>
      <c r="H16" s="7"/>
    </row>
    <row r="17" spans="1:8" ht="15.75" customHeight="1">
      <c r="A17" s="8"/>
      <c r="B17" s="7"/>
      <c r="C17" s="146"/>
      <c r="D17" s="5"/>
      <c r="E17" s="5"/>
      <c r="F17" s="28" t="str">
        <f t="shared" si="0"/>
        <v/>
      </c>
      <c r="G17" s="339" t="str">
        <f t="shared" si="1"/>
        <v/>
      </c>
      <c r="H17" s="7"/>
    </row>
    <row r="18" spans="1:8" ht="15.75" customHeight="1">
      <c r="A18" s="8"/>
      <c r="B18" s="7"/>
      <c r="C18" s="146"/>
      <c r="D18" s="5"/>
      <c r="E18" s="5"/>
      <c r="F18" s="28" t="str">
        <f t="shared" si="0"/>
        <v/>
      </c>
      <c r="G18" s="339" t="str">
        <f t="shared" si="1"/>
        <v/>
      </c>
      <c r="H18" s="7"/>
    </row>
    <row r="19" spans="1:8" ht="15.75" customHeight="1">
      <c r="A19" s="8"/>
      <c r="B19" s="7"/>
      <c r="C19" s="146"/>
      <c r="D19" s="5"/>
      <c r="E19" s="5"/>
      <c r="F19" s="28" t="str">
        <f t="shared" si="0"/>
        <v/>
      </c>
      <c r="G19" s="339" t="str">
        <f t="shared" si="1"/>
        <v/>
      </c>
      <c r="H19" s="7"/>
    </row>
    <row r="20" spans="1:8" ht="15.75" customHeight="1">
      <c r="A20" s="8"/>
      <c r="B20" s="7"/>
      <c r="C20" s="146"/>
      <c r="D20" s="5"/>
      <c r="E20" s="5"/>
      <c r="F20" s="28" t="str">
        <f t="shared" si="0"/>
        <v/>
      </c>
      <c r="G20" s="339" t="str">
        <f t="shared" si="1"/>
        <v/>
      </c>
      <c r="H20" s="7"/>
    </row>
    <row r="21" spans="1:8" ht="15.75" customHeight="1">
      <c r="A21" s="8"/>
      <c r="B21" s="7"/>
      <c r="C21" s="146"/>
      <c r="D21" s="5"/>
      <c r="E21" s="5"/>
      <c r="F21" s="28" t="str">
        <f t="shared" si="0"/>
        <v/>
      </c>
      <c r="G21" s="339" t="str">
        <f t="shared" si="1"/>
        <v/>
      </c>
      <c r="H21" s="7"/>
    </row>
    <row r="22" spans="1:8" ht="15.75" customHeight="1">
      <c r="A22" s="8"/>
      <c r="B22" s="7"/>
      <c r="C22" s="146"/>
      <c r="D22" s="5"/>
      <c r="E22" s="5"/>
      <c r="F22" s="28" t="str">
        <f t="shared" si="0"/>
        <v/>
      </c>
      <c r="G22" s="339" t="str">
        <f t="shared" si="1"/>
        <v/>
      </c>
      <c r="H22" s="7"/>
    </row>
    <row r="23" spans="1:8" ht="15.75" customHeight="1">
      <c r="A23" s="8"/>
      <c r="B23" s="7"/>
      <c r="C23" s="146"/>
      <c r="D23" s="5"/>
      <c r="E23" s="5"/>
      <c r="F23" s="28" t="str">
        <f t="shared" si="0"/>
        <v/>
      </c>
      <c r="G23" s="339" t="str">
        <f t="shared" si="1"/>
        <v/>
      </c>
      <c r="H23" s="7"/>
    </row>
    <row r="24" spans="1:8" ht="15.75" customHeight="1">
      <c r="A24" s="420" t="s">
        <v>534</v>
      </c>
      <c r="B24" s="421"/>
      <c r="C24" s="232"/>
      <c r="D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4" s="28" t="str">
        <f t="shared" ca="1" si="0"/>
        <v/>
      </c>
      <c r="G24" s="339" t="str">
        <f t="shared" ca="1" si="1"/>
        <v/>
      </c>
      <c r="H24" s="234"/>
    </row>
    <row r="25" spans="1:8" ht="15.75" customHeight="1">
      <c r="A25" s="383" t="s">
        <v>230</v>
      </c>
      <c r="B25" s="508"/>
      <c r="C25" s="232"/>
      <c r="D25" s="31"/>
      <c r="E25" s="31"/>
      <c r="F25" s="28"/>
      <c r="G25" s="339"/>
      <c r="H25" s="234"/>
    </row>
    <row r="26" spans="1:8" ht="15.75" customHeight="1">
      <c r="A26" s="420" t="s">
        <v>534</v>
      </c>
      <c r="B26" s="421"/>
      <c r="C26" s="232"/>
      <c r="D26" s="31" t="str">
        <f ca="1">IF(D25="",D24,D24-D25)</f>
        <v/>
      </c>
      <c r="E26" s="31" t="str">
        <f ca="1">IF(E25="",E24,E24-E25)</f>
        <v/>
      </c>
      <c r="F26" s="28" t="str">
        <f t="shared" ca="1" si="0"/>
        <v/>
      </c>
      <c r="G26" s="339" t="str">
        <f t="shared" ca="1" si="1"/>
        <v/>
      </c>
      <c r="H26" s="234"/>
    </row>
    <row r="27" spans="1:8" ht="15.75" hidden="1" customHeight="1">
      <c r="A27" s="8"/>
      <c r="B27" s="7"/>
      <c r="C27" s="146"/>
      <c r="D27" s="5"/>
      <c r="E27" s="5"/>
      <c r="F27" s="28" t="str">
        <f>IF(ISERROR(E27-D27),"",IF(E27=0,"",E27-D27))</f>
        <v/>
      </c>
      <c r="G27" s="339" t="str">
        <f>IF(ISERROR(E27-D27),"",IF(E27=0,"",IF(F27="",0,ROUND(F27*100/D27,2))))</f>
        <v/>
      </c>
      <c r="H27" s="7"/>
    </row>
    <row r="28" spans="1:8" ht="15.75" hidden="1" customHeight="1">
      <c r="A28" s="8"/>
      <c r="B28" s="7"/>
      <c r="C28" s="146"/>
      <c r="D28" s="5"/>
      <c r="E28" s="5"/>
      <c r="F28" s="28" t="str">
        <f t="shared" ref="F28:F46" si="2">IF(ISERROR(E28-D28),"",IF(E28=0,"",E28-D28))</f>
        <v/>
      </c>
      <c r="G28" s="339" t="str">
        <f t="shared" ref="G28:G46" si="3">IF(ISERROR(E28-D28),"",IF(E28=0,"",IF(F28="",0,ROUND(F28*100/D28,2))))</f>
        <v/>
      </c>
      <c r="H28" s="7"/>
    </row>
    <row r="29" spans="1:8" ht="15.75" hidden="1" customHeight="1">
      <c r="A29" s="8"/>
      <c r="B29" s="7"/>
      <c r="C29" s="146"/>
      <c r="D29" s="5"/>
      <c r="E29" s="5"/>
      <c r="F29" s="28" t="str">
        <f t="shared" si="2"/>
        <v/>
      </c>
      <c r="G29" s="339" t="str">
        <f t="shared" si="3"/>
        <v/>
      </c>
      <c r="H29" s="7"/>
    </row>
    <row r="30" spans="1:8" ht="15.75" hidden="1" customHeight="1">
      <c r="A30" s="8"/>
      <c r="B30" s="7"/>
      <c r="C30" s="146"/>
      <c r="D30" s="5"/>
      <c r="E30" s="5"/>
      <c r="F30" s="28" t="str">
        <f t="shared" si="2"/>
        <v/>
      </c>
      <c r="G30" s="339" t="str">
        <f t="shared" si="3"/>
        <v/>
      </c>
      <c r="H30" s="7"/>
    </row>
    <row r="31" spans="1:8" ht="15.75" hidden="1" customHeight="1">
      <c r="A31" s="8"/>
      <c r="B31" s="7"/>
      <c r="C31" s="146"/>
      <c r="D31" s="5"/>
      <c r="E31" s="5"/>
      <c r="F31" s="28" t="str">
        <f t="shared" si="2"/>
        <v/>
      </c>
      <c r="G31" s="339" t="str">
        <f t="shared" si="3"/>
        <v/>
      </c>
      <c r="H31" s="7"/>
    </row>
    <row r="32" spans="1:8" ht="15.75" hidden="1" customHeight="1">
      <c r="A32" s="8"/>
      <c r="B32" s="7"/>
      <c r="C32" s="146"/>
      <c r="D32" s="5"/>
      <c r="E32" s="5"/>
      <c r="F32" s="28" t="str">
        <f t="shared" si="2"/>
        <v/>
      </c>
      <c r="G32" s="339" t="str">
        <f t="shared" si="3"/>
        <v/>
      </c>
      <c r="H32" s="7"/>
    </row>
    <row r="33" spans="1:8" ht="15.75" hidden="1" customHeight="1">
      <c r="A33" s="8"/>
      <c r="B33" s="7"/>
      <c r="C33" s="146"/>
      <c r="D33" s="5"/>
      <c r="E33" s="5"/>
      <c r="F33" s="28" t="str">
        <f t="shared" si="2"/>
        <v/>
      </c>
      <c r="G33" s="339" t="str">
        <f t="shared" si="3"/>
        <v/>
      </c>
      <c r="H33" s="7"/>
    </row>
    <row r="34" spans="1:8" ht="15.75" hidden="1" customHeight="1">
      <c r="A34" s="8"/>
      <c r="B34" s="7"/>
      <c r="C34" s="146"/>
      <c r="D34" s="5"/>
      <c r="E34" s="5"/>
      <c r="F34" s="28" t="str">
        <f t="shared" si="2"/>
        <v/>
      </c>
      <c r="G34" s="339" t="str">
        <f t="shared" si="3"/>
        <v/>
      </c>
      <c r="H34" s="7"/>
    </row>
    <row r="35" spans="1:8" ht="15.75" hidden="1" customHeight="1">
      <c r="A35" s="8"/>
      <c r="B35" s="7"/>
      <c r="C35" s="146"/>
      <c r="D35" s="5"/>
      <c r="E35" s="5"/>
      <c r="F35" s="28" t="str">
        <f t="shared" si="2"/>
        <v/>
      </c>
      <c r="G35" s="339" t="str">
        <f t="shared" si="3"/>
        <v/>
      </c>
      <c r="H35" s="7"/>
    </row>
    <row r="36" spans="1:8" ht="15.75" hidden="1" customHeight="1">
      <c r="A36" s="8"/>
      <c r="B36" s="7"/>
      <c r="C36" s="146"/>
      <c r="D36" s="5"/>
      <c r="E36" s="5"/>
      <c r="F36" s="28" t="str">
        <f t="shared" si="2"/>
        <v/>
      </c>
      <c r="G36" s="339" t="str">
        <f t="shared" si="3"/>
        <v/>
      </c>
      <c r="H36" s="7"/>
    </row>
    <row r="37" spans="1:8" ht="15.75" hidden="1" customHeight="1">
      <c r="A37" s="8"/>
      <c r="B37" s="7"/>
      <c r="C37" s="146"/>
      <c r="D37" s="5"/>
      <c r="E37" s="5"/>
      <c r="F37" s="28" t="str">
        <f t="shared" si="2"/>
        <v/>
      </c>
      <c r="G37" s="339" t="str">
        <f t="shared" si="3"/>
        <v/>
      </c>
      <c r="H37" s="7"/>
    </row>
    <row r="38" spans="1:8" ht="15.75" hidden="1" customHeight="1">
      <c r="A38" s="8"/>
      <c r="B38" s="7"/>
      <c r="C38" s="146"/>
      <c r="D38" s="5"/>
      <c r="E38" s="5"/>
      <c r="F38" s="28" t="str">
        <f t="shared" si="2"/>
        <v/>
      </c>
      <c r="G38" s="339" t="str">
        <f t="shared" si="3"/>
        <v/>
      </c>
      <c r="H38" s="7"/>
    </row>
    <row r="39" spans="1:8" ht="15.75" hidden="1" customHeight="1">
      <c r="A39" s="8"/>
      <c r="B39" s="7"/>
      <c r="C39" s="146"/>
      <c r="D39" s="5"/>
      <c r="E39" s="5"/>
      <c r="F39" s="28" t="str">
        <f t="shared" si="2"/>
        <v/>
      </c>
      <c r="G39" s="339" t="str">
        <f t="shared" si="3"/>
        <v/>
      </c>
      <c r="H39" s="7"/>
    </row>
    <row r="40" spans="1:8" ht="15.75" hidden="1" customHeight="1">
      <c r="A40" s="8"/>
      <c r="B40" s="7"/>
      <c r="C40" s="146"/>
      <c r="D40" s="5"/>
      <c r="E40" s="5"/>
      <c r="F40" s="28" t="str">
        <f t="shared" si="2"/>
        <v/>
      </c>
      <c r="G40" s="339" t="str">
        <f t="shared" si="3"/>
        <v/>
      </c>
      <c r="H40" s="7"/>
    </row>
    <row r="41" spans="1:8" ht="15.75" hidden="1" customHeight="1">
      <c r="A41" s="8"/>
      <c r="B41" s="7"/>
      <c r="C41" s="146"/>
      <c r="D41" s="5"/>
      <c r="E41" s="5"/>
      <c r="F41" s="28" t="str">
        <f t="shared" si="2"/>
        <v/>
      </c>
      <c r="G41" s="339" t="str">
        <f t="shared" si="3"/>
        <v/>
      </c>
      <c r="H41" s="7"/>
    </row>
    <row r="42" spans="1:8" ht="15.75" hidden="1" customHeight="1">
      <c r="A42" s="8"/>
      <c r="B42" s="7"/>
      <c r="C42" s="146"/>
      <c r="D42" s="5"/>
      <c r="E42" s="5"/>
      <c r="F42" s="28" t="str">
        <f t="shared" si="2"/>
        <v/>
      </c>
      <c r="G42" s="339" t="str">
        <f t="shared" si="3"/>
        <v/>
      </c>
      <c r="H42" s="7"/>
    </row>
    <row r="43" spans="1:8" ht="15.75" hidden="1" customHeight="1">
      <c r="A43" s="8"/>
      <c r="B43" s="7"/>
      <c r="C43" s="146"/>
      <c r="D43" s="5"/>
      <c r="E43" s="5"/>
      <c r="F43" s="28" t="str">
        <f t="shared" si="2"/>
        <v/>
      </c>
      <c r="G43" s="339" t="str">
        <f t="shared" si="3"/>
        <v/>
      </c>
      <c r="H43" s="7"/>
    </row>
    <row r="44" spans="1:8" ht="15.75" hidden="1" customHeight="1">
      <c r="A44" s="8"/>
      <c r="B44" s="7"/>
      <c r="C44" s="146"/>
      <c r="D44" s="5"/>
      <c r="E44" s="5"/>
      <c r="F44" s="28" t="str">
        <f t="shared" si="2"/>
        <v/>
      </c>
      <c r="G44" s="339" t="str">
        <f t="shared" si="3"/>
        <v/>
      </c>
      <c r="H44" s="7"/>
    </row>
    <row r="45" spans="1:8" ht="15.75" hidden="1" customHeight="1">
      <c r="A45" s="8"/>
      <c r="B45" s="7"/>
      <c r="C45" s="146"/>
      <c r="D45" s="5"/>
      <c r="E45" s="5"/>
      <c r="F45" s="28" t="str">
        <f t="shared" si="2"/>
        <v/>
      </c>
      <c r="G45" s="339" t="str">
        <f t="shared" si="3"/>
        <v/>
      </c>
      <c r="H45" s="7"/>
    </row>
    <row r="46" spans="1:8" ht="15.75" hidden="1" customHeight="1">
      <c r="A46" s="8"/>
      <c r="B46" s="7"/>
      <c r="C46" s="146"/>
      <c r="D46" s="5"/>
      <c r="E46" s="5"/>
      <c r="F46" s="28" t="str">
        <f t="shared" si="2"/>
        <v/>
      </c>
      <c r="G46" s="339" t="str">
        <f t="shared" si="3"/>
        <v/>
      </c>
      <c r="H46" s="7"/>
    </row>
  </sheetData>
  <mergeCells count="5">
    <mergeCell ref="A1:H1"/>
    <mergeCell ref="A2:H2"/>
    <mergeCell ref="A26:B26"/>
    <mergeCell ref="A24:B24"/>
    <mergeCell ref="A25:B25"/>
  </mergeCells>
  <phoneticPr fontId="6" type="noConversion"/>
  <printOptions horizontalCentered="1" verticalCentered="1"/>
  <pageMargins left="1.3779527559055118" right="0.78740157480314965" top="0.15748031496062992" bottom="0.86614173228346458" header="1.6535433070866143" footer="1.3779527559055118"/>
  <pageSetup paperSize="9" fitToHeight="0" orientation="landscape" blackAndWhite="1" horizontalDpi="1200" verticalDpi="1200" r:id="rId1"/>
  <headerFooter scaleWithDoc="0">
    <oddHeader>&amp;R&amp;"宋体,常规"&amp;10表4-16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876300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1130300</xdr:colOff>
                    <xdr:row>2</xdr:row>
                    <xdr:rowOff>0</xdr:rowOff>
                  </from>
                  <to>
                    <xdr:col>2</xdr:col>
                    <xdr:colOff>368300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AFB4B-C098-4D21-BE11-7406F8DC8C6B}">
  <sheetPr codeName="Sheet56">
    <pageSetUpPr fitToPage="1"/>
  </sheetPr>
  <dimension ref="A1:O46"/>
  <sheetViews>
    <sheetView workbookViewId="0">
      <pane ySplit="6" topLeftCell="A7" activePane="bottomLeft" state="frozen"/>
      <selection activeCell="F17" sqref="F17"/>
      <selection pane="bottomLeft" activeCell="J3" sqref="J1:J65536"/>
    </sheetView>
  </sheetViews>
  <sheetFormatPr baseColWidth="10" defaultColWidth="9" defaultRowHeight="15.75" customHeight="1"/>
  <cols>
    <col min="1" max="1" width="5.1640625" style="81" customWidth="1"/>
    <col min="2" max="2" width="21" style="81" customWidth="1"/>
    <col min="3" max="3" width="7.6640625" style="81" customWidth="1"/>
    <col min="4" max="4" width="11.1640625" style="81" customWidth="1"/>
    <col min="5" max="5" width="8.1640625" style="81" customWidth="1"/>
    <col min="6" max="6" width="14.5" style="81" customWidth="1"/>
    <col min="7" max="7" width="7" style="81" customWidth="1"/>
    <col min="8" max="8" width="14.5" style="81" customWidth="1"/>
    <col min="9" max="9" width="9.1640625" style="135" customWidth="1"/>
    <col min="10" max="10" width="8.1640625" style="340" customWidth="1"/>
    <col min="11" max="11" width="10" style="81" customWidth="1"/>
    <col min="12" max="12" width="7.6640625" style="81" customWidth="1"/>
    <col min="13" max="13" width="7.33203125" style="81" customWidth="1"/>
    <col min="14" max="14" width="11.83203125" style="81" customWidth="1"/>
    <col min="15" max="16384" width="9" style="81"/>
  </cols>
  <sheetData>
    <row r="1" spans="1:15" s="80" customFormat="1" ht="30" customHeight="1">
      <c r="A1" s="374" t="s">
        <v>1024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  <c r="I2" s="378"/>
      <c r="J2" s="378"/>
      <c r="K2" s="378"/>
    </row>
    <row r="3" spans="1:15" ht="14.25" customHeight="1">
      <c r="A3" s="40"/>
      <c r="B3" s="40"/>
      <c r="C3" s="40"/>
      <c r="D3" s="40"/>
      <c r="E3" s="40"/>
      <c r="F3" s="40"/>
      <c r="G3" s="171"/>
      <c r="H3" s="171"/>
      <c r="I3" s="172"/>
      <c r="J3" s="131"/>
      <c r="K3" s="178"/>
    </row>
    <row r="4" spans="1:15" ht="14.25" customHeight="1">
      <c r="A4" s="40"/>
      <c r="B4" s="40"/>
      <c r="C4" s="40"/>
      <c r="D4" s="40"/>
      <c r="E4" s="40"/>
      <c r="F4" s="40"/>
      <c r="G4" s="171"/>
      <c r="H4" s="171"/>
      <c r="I4" s="172"/>
      <c r="J4" s="337"/>
      <c r="K4" s="37"/>
    </row>
    <row r="5" spans="1:15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173"/>
      <c r="J5" s="218"/>
      <c r="K5" s="122"/>
    </row>
    <row r="6" spans="1:15" s="189" customFormat="1" ht="27.75" customHeight="1">
      <c r="A6" s="188" t="s">
        <v>150</v>
      </c>
      <c r="B6" s="188" t="s">
        <v>151</v>
      </c>
      <c r="C6" s="188" t="s">
        <v>152</v>
      </c>
      <c r="D6" s="188" t="s">
        <v>153</v>
      </c>
      <c r="E6" s="188" t="s">
        <v>154</v>
      </c>
      <c r="F6" s="217" t="s">
        <v>117</v>
      </c>
      <c r="G6" s="188" t="s">
        <v>155</v>
      </c>
      <c r="H6" s="188" t="s">
        <v>140</v>
      </c>
      <c r="I6" s="175" t="s">
        <v>1</v>
      </c>
      <c r="J6" s="356" t="s">
        <v>479</v>
      </c>
      <c r="K6" s="188" t="s">
        <v>156</v>
      </c>
      <c r="L6" s="275" t="s">
        <v>638</v>
      </c>
      <c r="M6" s="275" t="s">
        <v>597</v>
      </c>
      <c r="N6" s="275" t="s">
        <v>598</v>
      </c>
      <c r="O6" s="275" t="s">
        <v>599</v>
      </c>
    </row>
    <row r="7" spans="1:15" ht="15.75" customHeight="1">
      <c r="A7" s="8"/>
      <c r="B7" s="197"/>
      <c r="C7" s="146"/>
      <c r="D7" s="5"/>
      <c r="E7" s="8"/>
      <c r="F7" s="5"/>
      <c r="G7" s="8"/>
      <c r="H7" s="5"/>
      <c r="I7" s="28" t="str">
        <f>IF(ISERROR(H7-F7),"",IF(H7=0,"",H7-F7))</f>
        <v/>
      </c>
      <c r="J7" s="339" t="str">
        <f>IF(ISERROR(H7-F7),"",IF(H7=0,"",IF(I7="",0,ROUND(I7*100/F7,2))))</f>
        <v/>
      </c>
      <c r="K7" s="7"/>
    </row>
    <row r="8" spans="1:15" ht="15.75" customHeight="1">
      <c r="A8" s="8"/>
      <c r="B8" s="197"/>
      <c r="C8" s="146"/>
      <c r="D8" s="5"/>
      <c r="E8" s="8"/>
      <c r="F8" s="5"/>
      <c r="G8" s="8"/>
      <c r="H8" s="5"/>
      <c r="I8" s="28" t="str">
        <f t="shared" ref="I8:I26" si="0">IF(ISERROR(H8-F8),"",IF(H8=0,"",H8-F8))</f>
        <v/>
      </c>
      <c r="J8" s="339" t="str">
        <f t="shared" ref="J8:J26" si="1">IF(ISERROR(H8-F8),"",IF(H8=0,"",IF(I8="",0,ROUND(I8*100/F8,2))))</f>
        <v/>
      </c>
      <c r="K8" s="7"/>
    </row>
    <row r="9" spans="1:15" ht="15.75" customHeight="1">
      <c r="A9" s="8"/>
      <c r="B9" s="197"/>
      <c r="C9" s="146"/>
      <c r="D9" s="5"/>
      <c r="E9" s="8"/>
      <c r="F9" s="5"/>
      <c r="G9" s="8"/>
      <c r="H9" s="5"/>
      <c r="I9" s="28" t="str">
        <f t="shared" si="0"/>
        <v/>
      </c>
      <c r="J9" s="339" t="str">
        <f t="shared" si="1"/>
        <v/>
      </c>
      <c r="K9" s="7"/>
    </row>
    <row r="10" spans="1:15" ht="15.75" customHeight="1">
      <c r="A10" s="8"/>
      <c r="B10" s="197"/>
      <c r="C10" s="146"/>
      <c r="D10" s="5"/>
      <c r="E10" s="8"/>
      <c r="F10" s="5"/>
      <c r="G10" s="8"/>
      <c r="H10" s="5"/>
      <c r="I10" s="28" t="str">
        <f t="shared" si="0"/>
        <v/>
      </c>
      <c r="J10" s="339" t="str">
        <f t="shared" si="1"/>
        <v/>
      </c>
      <c r="K10" s="7"/>
    </row>
    <row r="11" spans="1:15" ht="15.75" customHeight="1">
      <c r="A11" s="8"/>
      <c r="B11" s="197"/>
      <c r="C11" s="146"/>
      <c r="D11" s="5"/>
      <c r="E11" s="8"/>
      <c r="F11" s="5"/>
      <c r="G11" s="8"/>
      <c r="H11" s="5"/>
      <c r="I11" s="28" t="str">
        <f t="shared" si="0"/>
        <v/>
      </c>
      <c r="J11" s="339" t="str">
        <f t="shared" si="1"/>
        <v/>
      </c>
      <c r="K11" s="7"/>
    </row>
    <row r="12" spans="1:15" ht="15.75" customHeight="1">
      <c r="A12" s="8"/>
      <c r="B12" s="197"/>
      <c r="C12" s="146"/>
      <c r="D12" s="5"/>
      <c r="E12" s="8"/>
      <c r="F12" s="5"/>
      <c r="G12" s="8"/>
      <c r="H12" s="5"/>
      <c r="I12" s="28" t="str">
        <f t="shared" si="0"/>
        <v/>
      </c>
      <c r="J12" s="339" t="str">
        <f t="shared" si="1"/>
        <v/>
      </c>
      <c r="K12" s="7"/>
    </row>
    <row r="13" spans="1:15" ht="15.75" customHeight="1">
      <c r="A13" s="8"/>
      <c r="B13" s="197"/>
      <c r="C13" s="146"/>
      <c r="D13" s="5"/>
      <c r="E13" s="8"/>
      <c r="F13" s="5"/>
      <c r="G13" s="8"/>
      <c r="H13" s="5"/>
      <c r="I13" s="28" t="str">
        <f t="shared" si="0"/>
        <v/>
      </c>
      <c r="J13" s="339" t="str">
        <f t="shared" si="1"/>
        <v/>
      </c>
      <c r="K13" s="7"/>
    </row>
    <row r="14" spans="1:15" ht="15.75" customHeight="1">
      <c r="A14" s="8"/>
      <c r="B14" s="7"/>
      <c r="C14" s="146"/>
      <c r="D14" s="5"/>
      <c r="E14" s="8"/>
      <c r="F14" s="5"/>
      <c r="G14" s="8"/>
      <c r="H14" s="5"/>
      <c r="I14" s="28" t="str">
        <f t="shared" si="0"/>
        <v/>
      </c>
      <c r="J14" s="339" t="str">
        <f t="shared" si="1"/>
        <v/>
      </c>
      <c r="K14" s="7"/>
    </row>
    <row r="15" spans="1:15" ht="15.75" customHeight="1">
      <c r="A15" s="8"/>
      <c r="B15" s="7"/>
      <c r="C15" s="146"/>
      <c r="D15" s="5"/>
      <c r="E15" s="8"/>
      <c r="F15" s="5"/>
      <c r="G15" s="8"/>
      <c r="H15" s="5"/>
      <c r="I15" s="28" t="str">
        <f t="shared" si="0"/>
        <v/>
      </c>
      <c r="J15" s="339" t="str">
        <f t="shared" si="1"/>
        <v/>
      </c>
      <c r="K15" s="7"/>
    </row>
    <row r="16" spans="1:15" ht="15.75" customHeight="1">
      <c r="A16" s="8"/>
      <c r="B16" s="7"/>
      <c r="C16" s="146"/>
      <c r="D16" s="5"/>
      <c r="E16" s="8"/>
      <c r="F16" s="5"/>
      <c r="G16" s="8"/>
      <c r="H16" s="5"/>
      <c r="I16" s="28" t="str">
        <f t="shared" si="0"/>
        <v/>
      </c>
      <c r="J16" s="339" t="str">
        <f t="shared" si="1"/>
        <v/>
      </c>
      <c r="K16" s="7"/>
    </row>
    <row r="17" spans="1:11" ht="15.75" customHeight="1">
      <c r="A17" s="8"/>
      <c r="B17" s="7"/>
      <c r="C17" s="146"/>
      <c r="D17" s="5"/>
      <c r="E17" s="8"/>
      <c r="F17" s="5"/>
      <c r="G17" s="8"/>
      <c r="H17" s="5"/>
      <c r="I17" s="28" t="str">
        <f t="shared" si="0"/>
        <v/>
      </c>
      <c r="J17" s="339" t="str">
        <f t="shared" si="1"/>
        <v/>
      </c>
      <c r="K17" s="7"/>
    </row>
    <row r="18" spans="1:11" ht="15.75" customHeight="1">
      <c r="A18" s="8"/>
      <c r="B18" s="7"/>
      <c r="C18" s="146"/>
      <c r="D18" s="5"/>
      <c r="E18" s="8"/>
      <c r="F18" s="5"/>
      <c r="G18" s="8"/>
      <c r="H18" s="5"/>
      <c r="I18" s="28" t="str">
        <f t="shared" si="0"/>
        <v/>
      </c>
      <c r="J18" s="339" t="str">
        <f t="shared" si="1"/>
        <v/>
      </c>
      <c r="K18" s="7"/>
    </row>
    <row r="19" spans="1:11" ht="15.75" customHeight="1">
      <c r="A19" s="8"/>
      <c r="B19" s="7"/>
      <c r="C19" s="146"/>
      <c r="D19" s="5"/>
      <c r="E19" s="8"/>
      <c r="F19" s="5"/>
      <c r="G19" s="8"/>
      <c r="H19" s="5"/>
      <c r="I19" s="28" t="str">
        <f t="shared" si="0"/>
        <v/>
      </c>
      <c r="J19" s="339" t="str">
        <f t="shared" si="1"/>
        <v/>
      </c>
      <c r="K19" s="7"/>
    </row>
    <row r="20" spans="1:11" ht="15.75" customHeight="1">
      <c r="A20" s="8"/>
      <c r="B20" s="7"/>
      <c r="C20" s="146"/>
      <c r="D20" s="5"/>
      <c r="E20" s="8"/>
      <c r="F20" s="5"/>
      <c r="G20" s="8"/>
      <c r="H20" s="5"/>
      <c r="I20" s="28" t="str">
        <f t="shared" si="0"/>
        <v/>
      </c>
      <c r="J20" s="339" t="str">
        <f t="shared" si="1"/>
        <v/>
      </c>
      <c r="K20" s="7"/>
    </row>
    <row r="21" spans="1:11" ht="15.75" customHeight="1">
      <c r="A21" s="8"/>
      <c r="B21" s="7"/>
      <c r="C21" s="146"/>
      <c r="D21" s="5"/>
      <c r="E21" s="8"/>
      <c r="F21" s="5"/>
      <c r="G21" s="8"/>
      <c r="H21" s="5"/>
      <c r="I21" s="28" t="str">
        <f t="shared" si="0"/>
        <v/>
      </c>
      <c r="J21" s="339" t="str">
        <f t="shared" si="1"/>
        <v/>
      </c>
      <c r="K21" s="7"/>
    </row>
    <row r="22" spans="1:11" ht="15.75" customHeight="1">
      <c r="A22" s="8"/>
      <c r="B22" s="7"/>
      <c r="C22" s="146"/>
      <c r="D22" s="5"/>
      <c r="E22" s="8"/>
      <c r="F22" s="5"/>
      <c r="G22" s="8"/>
      <c r="H22" s="5"/>
      <c r="I22" s="28" t="str">
        <f t="shared" si="0"/>
        <v/>
      </c>
      <c r="J22" s="339" t="str">
        <f t="shared" si="1"/>
        <v/>
      </c>
      <c r="K22" s="7"/>
    </row>
    <row r="23" spans="1:11" ht="15.75" customHeight="1">
      <c r="A23" s="8"/>
      <c r="B23" s="7"/>
      <c r="C23" s="146"/>
      <c r="D23" s="5"/>
      <c r="E23" s="8"/>
      <c r="F23" s="5"/>
      <c r="G23" s="8"/>
      <c r="H23" s="5"/>
      <c r="I23" s="28" t="str">
        <f t="shared" si="0"/>
        <v/>
      </c>
      <c r="J23" s="339" t="str">
        <f t="shared" si="1"/>
        <v/>
      </c>
      <c r="K23" s="7"/>
    </row>
    <row r="24" spans="1:11" ht="15.75" customHeight="1">
      <c r="A24" s="8"/>
      <c r="B24" s="7"/>
      <c r="C24" s="146"/>
      <c r="D24" s="5"/>
      <c r="E24" s="8"/>
      <c r="F24" s="5"/>
      <c r="G24" s="8"/>
      <c r="H24" s="5"/>
      <c r="I24" s="28" t="str">
        <f t="shared" si="0"/>
        <v/>
      </c>
      <c r="J24" s="339" t="str">
        <f t="shared" si="1"/>
        <v/>
      </c>
      <c r="K24" s="7"/>
    </row>
    <row r="25" spans="1:11" ht="15.75" customHeight="1">
      <c r="A25" s="8"/>
      <c r="B25" s="7"/>
      <c r="C25" s="146"/>
      <c r="D25" s="5"/>
      <c r="E25" s="8"/>
      <c r="F25" s="5"/>
      <c r="G25" s="8"/>
      <c r="H25" s="5"/>
      <c r="I25" s="28" t="str">
        <f t="shared" si="0"/>
        <v/>
      </c>
      <c r="J25" s="339" t="str">
        <f t="shared" si="1"/>
        <v/>
      </c>
      <c r="K25" s="7"/>
    </row>
    <row r="26" spans="1:11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",INDIRECT(CHAR(64+COLUMN())&amp;"1:"&amp;CHAR(64+COLUMN())&amp;ROW()-1))*2)</f>
        <v/>
      </c>
      <c r="E26" s="31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/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28" t="str">
        <f t="shared" ca="1" si="0"/>
        <v/>
      </c>
      <c r="J26" s="339" t="str">
        <f t="shared" ca="1" si="1"/>
        <v/>
      </c>
      <c r="K26" s="234"/>
    </row>
    <row r="27" spans="1:11" ht="15.75" hidden="1" customHeight="1">
      <c r="A27" s="8"/>
      <c r="B27" s="197"/>
      <c r="C27" s="146"/>
      <c r="D27" s="5"/>
      <c r="E27" s="8"/>
      <c r="F27" s="5"/>
      <c r="G27" s="8"/>
      <c r="H27" s="5"/>
      <c r="I27" s="28" t="str">
        <f>IF(ISERROR(H27-F27),"",IF(H27=0,"",H27-F27))</f>
        <v/>
      </c>
      <c r="J27" s="339" t="str">
        <f>IF(ISERROR(H27-F27),"",IF(H27=0,"",IF(I27="",0,ROUND(I27*100/F27,2))))</f>
        <v/>
      </c>
      <c r="K27" s="7"/>
    </row>
    <row r="28" spans="1:11" ht="15.75" hidden="1" customHeight="1">
      <c r="A28" s="8"/>
      <c r="B28" s="7"/>
      <c r="C28" s="146"/>
      <c r="D28" s="5"/>
      <c r="E28" s="8"/>
      <c r="F28" s="5"/>
      <c r="G28" s="8"/>
      <c r="H28" s="5"/>
      <c r="I28" s="28" t="str">
        <f t="shared" ref="I28:I46" si="2">IF(ISERROR(H28-F28),"",IF(H28=0,"",H28-F28))</f>
        <v/>
      </c>
      <c r="J28" s="339" t="str">
        <f t="shared" ref="J28:J46" si="3">IF(ISERROR(H28-F28),"",IF(H28=0,"",IF(I28="",0,ROUND(I28*100/F28,2))))</f>
        <v/>
      </c>
      <c r="K28" s="7"/>
    </row>
    <row r="29" spans="1:11" ht="15.75" hidden="1" customHeight="1">
      <c r="A29" s="8"/>
      <c r="B29" s="7"/>
      <c r="C29" s="146"/>
      <c r="D29" s="5"/>
      <c r="E29" s="8"/>
      <c r="F29" s="5"/>
      <c r="G29" s="8"/>
      <c r="H29" s="5"/>
      <c r="I29" s="28" t="str">
        <f t="shared" si="2"/>
        <v/>
      </c>
      <c r="J29" s="339" t="str">
        <f t="shared" si="3"/>
        <v/>
      </c>
      <c r="K29" s="7"/>
    </row>
    <row r="30" spans="1:11" ht="15.75" hidden="1" customHeight="1">
      <c r="A30" s="8"/>
      <c r="B30" s="7"/>
      <c r="C30" s="146"/>
      <c r="D30" s="5"/>
      <c r="E30" s="8"/>
      <c r="F30" s="5"/>
      <c r="G30" s="8"/>
      <c r="H30" s="5"/>
      <c r="I30" s="28" t="str">
        <f t="shared" si="2"/>
        <v/>
      </c>
      <c r="J30" s="339" t="str">
        <f t="shared" si="3"/>
        <v/>
      </c>
      <c r="K30" s="7"/>
    </row>
    <row r="31" spans="1:11" ht="15.75" hidden="1" customHeight="1">
      <c r="A31" s="8"/>
      <c r="B31" s="7"/>
      <c r="C31" s="146"/>
      <c r="D31" s="5"/>
      <c r="E31" s="8"/>
      <c r="F31" s="5"/>
      <c r="G31" s="8"/>
      <c r="H31" s="5"/>
      <c r="I31" s="28" t="str">
        <f t="shared" si="2"/>
        <v/>
      </c>
      <c r="J31" s="339" t="str">
        <f t="shared" si="3"/>
        <v/>
      </c>
      <c r="K31" s="7"/>
    </row>
    <row r="32" spans="1:11" ht="15.75" hidden="1" customHeight="1">
      <c r="A32" s="8"/>
      <c r="B32" s="7"/>
      <c r="C32" s="146"/>
      <c r="D32" s="5"/>
      <c r="E32" s="8"/>
      <c r="F32" s="5"/>
      <c r="G32" s="8"/>
      <c r="H32" s="5"/>
      <c r="I32" s="28" t="str">
        <f t="shared" si="2"/>
        <v/>
      </c>
      <c r="J32" s="339" t="str">
        <f t="shared" si="3"/>
        <v/>
      </c>
      <c r="K32" s="7"/>
    </row>
    <row r="33" spans="1:11" ht="15.75" hidden="1" customHeight="1">
      <c r="A33" s="8"/>
      <c r="B33" s="7"/>
      <c r="C33" s="146"/>
      <c r="D33" s="5"/>
      <c r="E33" s="8"/>
      <c r="F33" s="5"/>
      <c r="G33" s="8"/>
      <c r="H33" s="5"/>
      <c r="I33" s="28" t="str">
        <f t="shared" si="2"/>
        <v/>
      </c>
      <c r="J33" s="339" t="str">
        <f t="shared" si="3"/>
        <v/>
      </c>
      <c r="K33" s="7"/>
    </row>
    <row r="34" spans="1:11" ht="15.75" hidden="1" customHeight="1">
      <c r="A34" s="8"/>
      <c r="B34" s="7"/>
      <c r="C34" s="146"/>
      <c r="D34" s="5"/>
      <c r="E34" s="8"/>
      <c r="F34" s="5"/>
      <c r="G34" s="8"/>
      <c r="H34" s="5"/>
      <c r="I34" s="28" t="str">
        <f t="shared" si="2"/>
        <v/>
      </c>
      <c r="J34" s="339" t="str">
        <f t="shared" si="3"/>
        <v/>
      </c>
      <c r="K34" s="7"/>
    </row>
    <row r="35" spans="1:11" ht="15.75" hidden="1" customHeight="1">
      <c r="A35" s="8"/>
      <c r="B35" s="7"/>
      <c r="C35" s="146"/>
      <c r="D35" s="5"/>
      <c r="E35" s="8"/>
      <c r="F35" s="5"/>
      <c r="G35" s="8"/>
      <c r="H35" s="5"/>
      <c r="I35" s="28" t="str">
        <f t="shared" si="2"/>
        <v/>
      </c>
      <c r="J35" s="339" t="str">
        <f t="shared" si="3"/>
        <v/>
      </c>
      <c r="K35" s="7"/>
    </row>
    <row r="36" spans="1:11" ht="15.75" hidden="1" customHeight="1">
      <c r="A36" s="8"/>
      <c r="B36" s="7"/>
      <c r="C36" s="146"/>
      <c r="D36" s="5"/>
      <c r="E36" s="8"/>
      <c r="F36" s="5"/>
      <c r="G36" s="8"/>
      <c r="H36" s="5"/>
      <c r="I36" s="28" t="str">
        <f t="shared" si="2"/>
        <v/>
      </c>
      <c r="J36" s="339" t="str">
        <f t="shared" si="3"/>
        <v/>
      </c>
      <c r="K36" s="7"/>
    </row>
    <row r="37" spans="1:11" ht="15.75" hidden="1" customHeight="1">
      <c r="A37" s="8"/>
      <c r="B37" s="7"/>
      <c r="C37" s="146"/>
      <c r="D37" s="5"/>
      <c r="E37" s="8"/>
      <c r="F37" s="5"/>
      <c r="G37" s="8"/>
      <c r="H37" s="5"/>
      <c r="I37" s="28" t="str">
        <f t="shared" si="2"/>
        <v/>
      </c>
      <c r="J37" s="339" t="str">
        <f t="shared" si="3"/>
        <v/>
      </c>
      <c r="K37" s="7"/>
    </row>
    <row r="38" spans="1:11" ht="15.75" hidden="1" customHeight="1">
      <c r="A38" s="8"/>
      <c r="B38" s="7"/>
      <c r="C38" s="146"/>
      <c r="D38" s="5"/>
      <c r="E38" s="8"/>
      <c r="F38" s="5"/>
      <c r="G38" s="8"/>
      <c r="H38" s="5"/>
      <c r="I38" s="28" t="str">
        <f t="shared" si="2"/>
        <v/>
      </c>
      <c r="J38" s="339" t="str">
        <f t="shared" si="3"/>
        <v/>
      </c>
      <c r="K38" s="7"/>
    </row>
    <row r="39" spans="1:11" ht="15.75" hidden="1" customHeight="1">
      <c r="A39" s="8"/>
      <c r="B39" s="7"/>
      <c r="C39" s="146"/>
      <c r="D39" s="5"/>
      <c r="E39" s="8"/>
      <c r="F39" s="5"/>
      <c r="G39" s="8"/>
      <c r="H39" s="5"/>
      <c r="I39" s="28" t="str">
        <f t="shared" si="2"/>
        <v/>
      </c>
      <c r="J39" s="339" t="str">
        <f t="shared" si="3"/>
        <v/>
      </c>
      <c r="K39" s="7"/>
    </row>
    <row r="40" spans="1:11" ht="15.75" hidden="1" customHeight="1">
      <c r="A40" s="8"/>
      <c r="B40" s="7"/>
      <c r="C40" s="146"/>
      <c r="D40" s="5"/>
      <c r="E40" s="8"/>
      <c r="F40" s="5"/>
      <c r="G40" s="8"/>
      <c r="H40" s="5"/>
      <c r="I40" s="28" t="str">
        <f t="shared" si="2"/>
        <v/>
      </c>
      <c r="J40" s="339" t="str">
        <f t="shared" si="3"/>
        <v/>
      </c>
      <c r="K40" s="7"/>
    </row>
    <row r="41" spans="1:11" ht="15.75" hidden="1" customHeight="1">
      <c r="A41" s="8"/>
      <c r="B41" s="7"/>
      <c r="C41" s="146"/>
      <c r="D41" s="5"/>
      <c r="E41" s="8"/>
      <c r="F41" s="5"/>
      <c r="G41" s="8"/>
      <c r="H41" s="5"/>
      <c r="I41" s="28" t="str">
        <f t="shared" si="2"/>
        <v/>
      </c>
      <c r="J41" s="339" t="str">
        <f t="shared" si="3"/>
        <v/>
      </c>
      <c r="K41" s="7"/>
    </row>
    <row r="42" spans="1:11" ht="15.75" hidden="1" customHeight="1">
      <c r="A42" s="8"/>
      <c r="B42" s="7"/>
      <c r="C42" s="146"/>
      <c r="D42" s="5"/>
      <c r="E42" s="8"/>
      <c r="F42" s="5"/>
      <c r="G42" s="8"/>
      <c r="H42" s="5"/>
      <c r="I42" s="28" t="str">
        <f t="shared" si="2"/>
        <v/>
      </c>
      <c r="J42" s="339" t="str">
        <f t="shared" si="3"/>
        <v/>
      </c>
      <c r="K42" s="7"/>
    </row>
    <row r="43" spans="1:11" ht="15.75" hidden="1" customHeight="1">
      <c r="A43" s="8"/>
      <c r="B43" s="7"/>
      <c r="C43" s="146"/>
      <c r="D43" s="5"/>
      <c r="E43" s="8"/>
      <c r="F43" s="5"/>
      <c r="G43" s="8"/>
      <c r="H43" s="5"/>
      <c r="I43" s="28" t="str">
        <f t="shared" si="2"/>
        <v/>
      </c>
      <c r="J43" s="339" t="str">
        <f t="shared" si="3"/>
        <v/>
      </c>
      <c r="K43" s="7"/>
    </row>
    <row r="44" spans="1:11" ht="15.75" hidden="1" customHeight="1">
      <c r="A44" s="8"/>
      <c r="B44" s="7"/>
      <c r="C44" s="146"/>
      <c r="D44" s="5"/>
      <c r="E44" s="8"/>
      <c r="F44" s="5"/>
      <c r="G44" s="8"/>
      <c r="H44" s="5"/>
      <c r="I44" s="28" t="str">
        <f t="shared" si="2"/>
        <v/>
      </c>
      <c r="J44" s="339" t="str">
        <f t="shared" si="3"/>
        <v/>
      </c>
      <c r="K44" s="7"/>
    </row>
    <row r="45" spans="1:11" ht="15.75" hidden="1" customHeight="1">
      <c r="A45" s="8"/>
      <c r="B45" s="7"/>
      <c r="C45" s="146"/>
      <c r="D45" s="5"/>
      <c r="E45" s="8"/>
      <c r="F45" s="5"/>
      <c r="G45" s="8"/>
      <c r="H45" s="5"/>
      <c r="I45" s="28" t="str">
        <f t="shared" si="2"/>
        <v/>
      </c>
      <c r="J45" s="339" t="str">
        <f t="shared" si="3"/>
        <v/>
      </c>
      <c r="K45" s="7"/>
    </row>
    <row r="46" spans="1:11" ht="15.75" hidden="1" customHeight="1">
      <c r="A46" s="8"/>
      <c r="B46" s="7"/>
      <c r="C46" s="146"/>
      <c r="D46" s="5"/>
      <c r="E46" s="8"/>
      <c r="F46" s="5"/>
      <c r="G46" s="8"/>
      <c r="H46" s="5"/>
      <c r="I46" s="28" t="str">
        <f t="shared" si="2"/>
        <v/>
      </c>
      <c r="J46" s="339" t="str">
        <f t="shared" si="3"/>
        <v/>
      </c>
      <c r="K46" s="7"/>
    </row>
  </sheetData>
  <mergeCells count="3">
    <mergeCell ref="A1:K1"/>
    <mergeCell ref="A2:K2"/>
    <mergeCell ref="A26:B26"/>
  </mergeCells>
  <phoneticPr fontId="6" type="noConversion"/>
  <printOptions horizontalCentered="1" verticalCentered="1"/>
  <pageMargins left="1.1023622047244095" right="0.82677165354330717" top="0.35433070866141736" bottom="0.78740157480314965" header="1.6929133858267718" footer="1.1811023622047245"/>
  <pageSetup paperSize="9" fitToHeight="0" orientation="landscape" blackAndWhite="1" horizontalDpi="1200" verticalDpi="1200" r:id="rId1"/>
  <headerFooter scaleWithDoc="0">
    <oddHeader>&amp;R&amp;"宋体,常规"&amp;10表4-17
共&amp;N页 第&amp;P页
金额单位：人民币元</oddHeader>
    <oddFooter>&amp;L&amp;10被评估单位复核人：_x000D_日期：&amp;C&amp;10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1257300</xdr:colOff>
                    <xdr:row>2</xdr:row>
                    <xdr:rowOff>0</xdr:rowOff>
                  </from>
                  <to>
                    <xdr:col>3</xdr:col>
                    <xdr:colOff>76200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F0B44-7AFA-483C-BE1B-2E6F734345C1}">
  <sheetPr codeName="Sheet58">
    <pageSetUpPr fitToPage="1"/>
  </sheetPr>
  <dimension ref="A1:J46"/>
  <sheetViews>
    <sheetView workbookViewId="0">
      <pane ySplit="6" topLeftCell="A7" activePane="bottomLeft" state="frozen"/>
      <selection activeCell="F17" sqref="F17"/>
      <selection pane="bottomLeft" activeCell="E7" sqref="E7"/>
    </sheetView>
  </sheetViews>
  <sheetFormatPr baseColWidth="10" defaultColWidth="9" defaultRowHeight="15.75" customHeight="1"/>
  <cols>
    <col min="1" max="1" width="8.5" style="81" customWidth="1"/>
    <col min="2" max="2" width="30.1640625" style="81" customWidth="1"/>
    <col min="3" max="3" width="15.5" style="81" customWidth="1"/>
    <col min="4" max="4" width="20.5" style="81" customWidth="1"/>
    <col min="5" max="5" width="21.6640625" style="81" customWidth="1"/>
    <col min="6" max="6" width="16.6640625" style="81" customWidth="1"/>
    <col min="7" max="7" width="7.6640625" style="81" customWidth="1"/>
    <col min="8" max="8" width="9" style="81"/>
    <col min="9" max="9" width="16.6640625" style="277" customWidth="1"/>
    <col min="10" max="16384" width="9" style="81"/>
  </cols>
  <sheetData>
    <row r="1" spans="1:10" s="80" customFormat="1" ht="30" customHeight="1">
      <c r="A1" s="374" t="s">
        <v>1025</v>
      </c>
      <c r="B1" s="479"/>
      <c r="C1" s="479"/>
      <c r="D1" s="479"/>
      <c r="E1" s="479"/>
      <c r="F1" s="479"/>
      <c r="I1" s="277"/>
    </row>
    <row r="2" spans="1:1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10" ht="14.25" customHeight="1">
      <c r="A3" s="40"/>
      <c r="B3" s="40"/>
      <c r="C3" s="40"/>
      <c r="D3" s="40"/>
      <c r="E3" s="40"/>
      <c r="F3" s="85"/>
    </row>
    <row r="4" spans="1:10" ht="14.25" customHeight="1">
      <c r="A4" s="40"/>
      <c r="B4" s="40"/>
      <c r="C4" s="40"/>
      <c r="D4" s="40"/>
      <c r="E4" s="40"/>
      <c r="F4" s="85"/>
    </row>
    <row r="5" spans="1:10" ht="15.75" customHeight="1">
      <c r="A5" s="41" t="str">
        <f>'1-汇总表'!A4</f>
        <v>被评估单位：A有限公司</v>
      </c>
      <c r="B5" s="42"/>
      <c r="C5" s="42"/>
      <c r="D5" s="42"/>
      <c r="E5" s="42"/>
      <c r="F5" s="122"/>
    </row>
    <row r="6" spans="1:10" s="101" customFormat="1" ht="15.75" customHeight="1">
      <c r="A6" s="45" t="s">
        <v>7</v>
      </c>
      <c r="B6" s="45" t="s">
        <v>60</v>
      </c>
      <c r="C6" s="45" t="s">
        <v>36</v>
      </c>
      <c r="D6" s="217" t="s">
        <v>117</v>
      </c>
      <c r="E6" s="45" t="s">
        <v>0</v>
      </c>
      <c r="F6" s="45" t="s">
        <v>39</v>
      </c>
      <c r="G6" s="273" t="s">
        <v>639</v>
      </c>
      <c r="H6" s="273" t="s">
        <v>640</v>
      </c>
      <c r="I6" s="278" t="s">
        <v>598</v>
      </c>
      <c r="J6" s="273" t="s">
        <v>599</v>
      </c>
    </row>
    <row r="7" spans="1:10" ht="15.75" customHeight="1">
      <c r="A7" s="8"/>
      <c r="B7" s="7"/>
      <c r="C7" s="146"/>
      <c r="D7" s="31"/>
      <c r="E7" s="31"/>
      <c r="F7" s="7"/>
    </row>
    <row r="8" spans="1:10" ht="15.75" customHeight="1">
      <c r="A8" s="8"/>
      <c r="B8" s="7"/>
      <c r="C8" s="146"/>
      <c r="D8" s="31"/>
      <c r="E8" s="31"/>
      <c r="F8" s="7"/>
    </row>
    <row r="9" spans="1:10" ht="15.75" customHeight="1">
      <c r="A9" s="8"/>
      <c r="B9" s="7"/>
      <c r="C9" s="146"/>
      <c r="D9" s="31"/>
      <c r="E9" s="31"/>
      <c r="F9" s="7"/>
    </row>
    <row r="10" spans="1:10" ht="15.75" customHeight="1">
      <c r="A10" s="8"/>
      <c r="B10" s="7"/>
      <c r="C10" s="146"/>
      <c r="D10" s="31"/>
      <c r="E10" s="31"/>
      <c r="F10" s="7"/>
    </row>
    <row r="11" spans="1:10" ht="15.75" customHeight="1">
      <c r="A11" s="8"/>
      <c r="B11" s="7"/>
      <c r="C11" s="146"/>
      <c r="D11" s="31"/>
      <c r="E11" s="31"/>
      <c r="F11" s="7"/>
    </row>
    <row r="12" spans="1:10" ht="15.75" customHeight="1">
      <c r="A12" s="8"/>
      <c r="B12" s="7"/>
      <c r="C12" s="146"/>
      <c r="D12" s="31"/>
      <c r="E12" s="31"/>
      <c r="F12" s="7"/>
    </row>
    <row r="13" spans="1:10" ht="15.75" customHeight="1">
      <c r="A13" s="8"/>
      <c r="B13" s="7"/>
      <c r="C13" s="146"/>
      <c r="D13" s="31"/>
      <c r="E13" s="31"/>
      <c r="F13" s="7"/>
    </row>
    <row r="14" spans="1:10" ht="15.75" customHeight="1">
      <c r="A14" s="8"/>
      <c r="B14" s="7"/>
      <c r="C14" s="146"/>
      <c r="D14" s="31"/>
      <c r="E14" s="31"/>
      <c r="F14" s="7"/>
    </row>
    <row r="15" spans="1:10" ht="15.75" customHeight="1">
      <c r="A15" s="8"/>
      <c r="B15" s="7"/>
      <c r="C15" s="146"/>
      <c r="D15" s="31"/>
      <c r="E15" s="31"/>
      <c r="F15" s="7"/>
    </row>
    <row r="16" spans="1:10" ht="15.75" customHeight="1">
      <c r="A16" s="8"/>
      <c r="B16" s="7"/>
      <c r="C16" s="146"/>
      <c r="D16" s="31"/>
      <c r="E16" s="31"/>
      <c r="F16" s="7"/>
    </row>
    <row r="17" spans="1:6" ht="15.75" customHeight="1">
      <c r="A17" s="8"/>
      <c r="B17" s="7"/>
      <c r="C17" s="146"/>
      <c r="D17" s="31"/>
      <c r="E17" s="31"/>
      <c r="F17" s="7"/>
    </row>
    <row r="18" spans="1:6" ht="15.75" customHeight="1">
      <c r="A18" s="8"/>
      <c r="B18" s="7"/>
      <c r="C18" s="146"/>
      <c r="D18" s="31"/>
      <c r="E18" s="31"/>
      <c r="F18" s="7"/>
    </row>
    <row r="19" spans="1:6" ht="15.75" customHeight="1">
      <c r="A19" s="8"/>
      <c r="B19" s="7"/>
      <c r="C19" s="146"/>
      <c r="D19" s="31"/>
      <c r="E19" s="31"/>
      <c r="F19" s="7"/>
    </row>
    <row r="20" spans="1:6" ht="15.75" customHeight="1">
      <c r="A20" s="8"/>
      <c r="B20" s="7"/>
      <c r="C20" s="146"/>
      <c r="D20" s="31"/>
      <c r="E20" s="31"/>
      <c r="F20" s="7"/>
    </row>
    <row r="21" spans="1:6" ht="15.75" customHeight="1">
      <c r="A21" s="8"/>
      <c r="B21" s="7"/>
      <c r="C21" s="146"/>
      <c r="D21" s="31"/>
      <c r="E21" s="31"/>
      <c r="F21" s="7"/>
    </row>
    <row r="22" spans="1:6" ht="15.75" customHeight="1">
      <c r="A22" s="8"/>
      <c r="B22" s="7"/>
      <c r="C22" s="146"/>
      <c r="D22" s="31"/>
      <c r="E22" s="31"/>
      <c r="F22" s="7"/>
    </row>
    <row r="23" spans="1:6" ht="15.75" customHeight="1">
      <c r="A23" s="8"/>
      <c r="B23" s="7"/>
      <c r="C23" s="146"/>
      <c r="D23" s="31"/>
      <c r="E23" s="31"/>
      <c r="F23" s="7"/>
    </row>
    <row r="24" spans="1:6" ht="15.75" customHeight="1">
      <c r="A24" s="8"/>
      <c r="B24" s="7"/>
      <c r="C24" s="146"/>
      <c r="D24" s="31"/>
      <c r="E24" s="31"/>
      <c r="F24" s="7"/>
    </row>
    <row r="25" spans="1:6" ht="15.75" customHeight="1">
      <c r="A25" s="8"/>
      <c r="B25" s="7"/>
      <c r="C25" s="146"/>
      <c r="D25" s="31"/>
      <c r="E25" s="31"/>
      <c r="F25" s="7"/>
    </row>
    <row r="26" spans="1:6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0"/>
    </row>
    <row r="27" spans="1:6" ht="15.75" hidden="1" customHeight="1">
      <c r="A27" s="8"/>
      <c r="B27" s="7"/>
      <c r="C27" s="146"/>
      <c r="D27" s="31"/>
      <c r="E27" s="31"/>
      <c r="F27" s="7"/>
    </row>
    <row r="28" spans="1:6" ht="15.75" hidden="1" customHeight="1">
      <c r="A28" s="8"/>
      <c r="B28" s="7"/>
      <c r="C28" s="146"/>
      <c r="D28" s="31"/>
      <c r="E28" s="31"/>
      <c r="F28" s="7"/>
    </row>
    <row r="29" spans="1:6" ht="15.75" hidden="1" customHeight="1">
      <c r="A29" s="8"/>
      <c r="B29" s="7"/>
      <c r="C29" s="146"/>
      <c r="D29" s="31"/>
      <c r="E29" s="31"/>
      <c r="F29" s="7"/>
    </row>
    <row r="30" spans="1:6" ht="15.75" hidden="1" customHeight="1">
      <c r="A30" s="8"/>
      <c r="B30" s="7"/>
      <c r="C30" s="146"/>
      <c r="D30" s="31"/>
      <c r="E30" s="31"/>
      <c r="F30" s="7"/>
    </row>
    <row r="31" spans="1:6" ht="15.75" hidden="1" customHeight="1">
      <c r="A31" s="8"/>
      <c r="B31" s="7"/>
      <c r="C31" s="146"/>
      <c r="D31" s="31"/>
      <c r="E31" s="31"/>
      <c r="F31" s="7"/>
    </row>
    <row r="32" spans="1:6" ht="15.75" hidden="1" customHeight="1">
      <c r="A32" s="8"/>
      <c r="B32" s="7"/>
      <c r="C32" s="146"/>
      <c r="D32" s="31"/>
      <c r="E32" s="31"/>
      <c r="F32" s="7"/>
    </row>
    <row r="33" spans="1:6" ht="15.75" hidden="1" customHeight="1">
      <c r="A33" s="8"/>
      <c r="B33" s="7"/>
      <c r="C33" s="146"/>
      <c r="D33" s="31"/>
      <c r="E33" s="31"/>
      <c r="F33" s="7"/>
    </row>
    <row r="34" spans="1:6" ht="15.75" hidden="1" customHeight="1">
      <c r="A34" s="8"/>
      <c r="B34" s="7"/>
      <c r="C34" s="146"/>
      <c r="D34" s="31"/>
      <c r="E34" s="31"/>
      <c r="F34" s="7"/>
    </row>
    <row r="35" spans="1:6" ht="15.75" hidden="1" customHeight="1">
      <c r="A35" s="8"/>
      <c r="B35" s="7"/>
      <c r="C35" s="146"/>
      <c r="D35" s="31"/>
      <c r="E35" s="31"/>
      <c r="F35" s="7"/>
    </row>
    <row r="36" spans="1:6" ht="15.75" hidden="1" customHeight="1">
      <c r="A36" s="8"/>
      <c r="B36" s="7"/>
      <c r="C36" s="146"/>
      <c r="D36" s="31"/>
      <c r="E36" s="31"/>
      <c r="F36" s="7"/>
    </row>
    <row r="37" spans="1:6" ht="15.75" hidden="1" customHeight="1">
      <c r="A37" s="8"/>
      <c r="B37" s="7"/>
      <c r="C37" s="146"/>
      <c r="D37" s="31"/>
      <c r="E37" s="31"/>
      <c r="F37" s="7"/>
    </row>
    <row r="38" spans="1:6" ht="15.75" hidden="1" customHeight="1">
      <c r="A38" s="8"/>
      <c r="B38" s="7"/>
      <c r="C38" s="146"/>
      <c r="D38" s="31"/>
      <c r="E38" s="31"/>
      <c r="F38" s="7"/>
    </row>
    <row r="39" spans="1:6" ht="15.75" hidden="1" customHeight="1">
      <c r="A39" s="8"/>
      <c r="B39" s="7"/>
      <c r="C39" s="146"/>
      <c r="D39" s="31"/>
      <c r="E39" s="31"/>
      <c r="F39" s="7"/>
    </row>
    <row r="40" spans="1:6" ht="15.75" hidden="1" customHeight="1">
      <c r="A40" s="8"/>
      <c r="B40" s="7"/>
      <c r="C40" s="146"/>
      <c r="D40" s="31"/>
      <c r="E40" s="31"/>
      <c r="F40" s="7"/>
    </row>
    <row r="41" spans="1:6" ht="15.75" hidden="1" customHeight="1">
      <c r="A41" s="8"/>
      <c r="B41" s="7"/>
      <c r="C41" s="146"/>
      <c r="D41" s="31"/>
      <c r="E41" s="31"/>
      <c r="F41" s="7"/>
    </row>
    <row r="42" spans="1:6" ht="15.75" hidden="1" customHeight="1">
      <c r="A42" s="8"/>
      <c r="B42" s="7"/>
      <c r="C42" s="146"/>
      <c r="D42" s="31"/>
      <c r="E42" s="31"/>
      <c r="F42" s="7"/>
    </row>
    <row r="43" spans="1:6" ht="15.75" hidden="1" customHeight="1">
      <c r="A43" s="8"/>
      <c r="B43" s="7"/>
      <c r="C43" s="146"/>
      <c r="D43" s="31"/>
      <c r="E43" s="31"/>
      <c r="F43" s="7"/>
    </row>
    <row r="44" spans="1:6" ht="15.75" hidden="1" customHeight="1">
      <c r="A44" s="8"/>
      <c r="B44" s="7"/>
      <c r="C44" s="146"/>
      <c r="D44" s="31"/>
      <c r="E44" s="31"/>
      <c r="F44" s="7"/>
    </row>
    <row r="45" spans="1:6" ht="15.75" hidden="1" customHeight="1">
      <c r="A45" s="8"/>
      <c r="B45" s="7"/>
      <c r="C45" s="146"/>
      <c r="D45" s="31"/>
      <c r="E45" s="31"/>
      <c r="F45" s="7"/>
    </row>
    <row r="46" spans="1:6" ht="15.75" hidden="1" customHeight="1">
      <c r="A46" s="8"/>
      <c r="B46" s="7"/>
      <c r="C46" s="146"/>
      <c r="D46" s="31"/>
      <c r="E46" s="31"/>
      <c r="F46" s="7"/>
    </row>
  </sheetData>
  <mergeCells count="3">
    <mergeCell ref="A1:F1"/>
    <mergeCell ref="A2:F2"/>
    <mergeCell ref="A26:B26"/>
  </mergeCells>
  <phoneticPr fontId="6" type="noConversion"/>
  <printOptions horizontalCentered="1" verticalCentered="1"/>
  <pageMargins left="1.3779527559055118" right="0.82677165354330717" top="0.47244094488188981" bottom="0.78740157480314965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&amp;R&amp;"宋体,常规"&amp;10表4-18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749300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1003300</xdr:colOff>
                    <xdr:row>2</xdr:row>
                    <xdr:rowOff>0</xdr:rowOff>
                  </from>
                  <to>
                    <xdr:col>1</xdr:col>
                    <xdr:colOff>2032000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AD40F-7F3D-4824-8498-0AEBFA693728}">
  <sheetPr codeName="Sheet57">
    <pageSetUpPr fitToPage="1"/>
  </sheetPr>
  <dimension ref="A1:M46"/>
  <sheetViews>
    <sheetView workbookViewId="0">
      <pane ySplit="6" topLeftCell="A7" activePane="bottomLeft" state="frozen"/>
      <selection activeCell="F17" sqref="F17"/>
      <selection pane="bottomLeft" activeCell="G3" sqref="G1:G65536"/>
    </sheetView>
  </sheetViews>
  <sheetFormatPr baseColWidth="10" defaultColWidth="9" defaultRowHeight="15.75" customHeight="1"/>
  <cols>
    <col min="1" max="1" width="7.6640625" style="81" customWidth="1"/>
    <col min="2" max="2" width="26.6640625" style="81" customWidth="1"/>
    <col min="3" max="3" width="11" style="81" customWidth="1"/>
    <col min="4" max="5" width="13.1640625" style="81" customWidth="1"/>
    <col min="6" max="6" width="13" style="135" customWidth="1"/>
    <col min="7" max="7" width="12.5" style="340" customWidth="1"/>
    <col min="8" max="8" width="17.5" style="81" customWidth="1"/>
    <col min="9" max="9" width="7.1640625" style="81" customWidth="1"/>
    <col min="10" max="10" width="5.6640625" style="81" customWidth="1"/>
    <col min="11" max="11" width="7" style="81" customWidth="1"/>
    <col min="12" max="12" width="15.5" style="81" customWidth="1"/>
    <col min="13" max="13" width="7.5" style="81" customWidth="1"/>
    <col min="14" max="16384" width="9" style="81"/>
  </cols>
  <sheetData>
    <row r="1" spans="1:13" s="80" customFormat="1" ht="30" customHeight="1">
      <c r="A1" s="374" t="s">
        <v>1026</v>
      </c>
      <c r="B1" s="375"/>
      <c r="C1" s="375"/>
      <c r="D1" s="375"/>
      <c r="E1" s="375"/>
      <c r="F1" s="375"/>
      <c r="G1" s="375"/>
      <c r="H1" s="375"/>
    </row>
    <row r="2" spans="1:13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</row>
    <row r="3" spans="1:13" ht="14.25" customHeight="1">
      <c r="A3" s="40"/>
      <c r="B3" s="40"/>
      <c r="C3" s="40"/>
      <c r="D3" s="40"/>
      <c r="E3" s="40"/>
      <c r="F3" s="131"/>
      <c r="G3" s="131"/>
      <c r="H3" s="178"/>
    </row>
    <row r="4" spans="1:13" ht="14.25" customHeight="1">
      <c r="A4" s="40"/>
      <c r="B4" s="40"/>
      <c r="C4" s="40"/>
      <c r="D4" s="40"/>
      <c r="E4" s="40"/>
      <c r="F4" s="131"/>
      <c r="G4" s="131"/>
      <c r="H4" s="178"/>
    </row>
    <row r="5" spans="1:13" ht="15.75" customHeight="1">
      <c r="A5" s="223" t="str">
        <f>'1-汇总表'!A4</f>
        <v>被评估单位：A有限公司</v>
      </c>
      <c r="B5" s="223"/>
      <c r="C5" s="223"/>
      <c r="D5" s="223"/>
      <c r="E5" s="42"/>
      <c r="F5" s="173"/>
      <c r="G5" s="218"/>
      <c r="H5" s="122"/>
    </row>
    <row r="6" spans="1:13" s="101" customFormat="1" ht="15.75" customHeight="1">
      <c r="A6" s="45" t="s">
        <v>7</v>
      </c>
      <c r="B6" s="45" t="s">
        <v>60</v>
      </c>
      <c r="C6" s="45" t="s">
        <v>61</v>
      </c>
      <c r="D6" s="217" t="s">
        <v>117</v>
      </c>
      <c r="E6" s="45" t="s">
        <v>0</v>
      </c>
      <c r="F6" s="175" t="s">
        <v>1</v>
      </c>
      <c r="G6" s="341" t="s">
        <v>479</v>
      </c>
      <c r="H6" s="45" t="s">
        <v>39</v>
      </c>
      <c r="I6" s="274" t="s">
        <v>638</v>
      </c>
      <c r="J6" s="274" t="s">
        <v>597</v>
      </c>
      <c r="K6" s="274" t="s">
        <v>632</v>
      </c>
      <c r="L6" s="274" t="s">
        <v>598</v>
      </c>
      <c r="M6" s="274" t="s">
        <v>599</v>
      </c>
    </row>
    <row r="7" spans="1:13" ht="15.75" customHeight="1">
      <c r="A7" s="8"/>
      <c r="B7" s="7"/>
      <c r="C7" s="146"/>
      <c r="D7" s="5"/>
      <c r="E7" s="5"/>
      <c r="F7" s="28" t="str">
        <f>IF(ISERROR(E7-D7),"",IF(E7=0,"",E7-D7))</f>
        <v/>
      </c>
      <c r="G7" s="339" t="str">
        <f>IF(ISERROR(E7-D7),"",IF(E7=0,"",IF(F7="",0,ROUND(F7*100/D7,2))))</f>
        <v/>
      </c>
      <c r="H7" s="7"/>
    </row>
    <row r="8" spans="1:13" ht="15.75" customHeight="1">
      <c r="A8" s="8"/>
      <c r="B8" s="7"/>
      <c r="C8" s="146"/>
      <c r="D8" s="5"/>
      <c r="E8" s="5"/>
      <c r="F8" s="28" t="str">
        <f t="shared" ref="F8:F26" si="0">IF(ISERROR(E8-D8),"",IF(E8=0,"",E8-D8))</f>
        <v/>
      </c>
      <c r="G8" s="339" t="str">
        <f t="shared" ref="G8:G26" si="1">IF(ISERROR(E8-D8),"",IF(E8=0,"",IF(F8="",0,ROUND(F8*100/D8,2))))</f>
        <v/>
      </c>
      <c r="H8" s="7"/>
    </row>
    <row r="9" spans="1:13" ht="15.75" customHeight="1">
      <c r="A9" s="8"/>
      <c r="B9" s="7"/>
      <c r="C9" s="146"/>
      <c r="D9" s="5"/>
      <c r="E9" s="5"/>
      <c r="F9" s="28" t="str">
        <f t="shared" si="0"/>
        <v/>
      </c>
      <c r="G9" s="339" t="str">
        <f t="shared" si="1"/>
        <v/>
      </c>
      <c r="H9" s="7"/>
    </row>
    <row r="10" spans="1:13" ht="15.75" customHeight="1">
      <c r="A10" s="8"/>
      <c r="B10" s="7"/>
      <c r="C10" s="146"/>
      <c r="D10" s="5"/>
      <c r="E10" s="5"/>
      <c r="F10" s="28" t="str">
        <f t="shared" si="0"/>
        <v/>
      </c>
      <c r="G10" s="339" t="str">
        <f t="shared" si="1"/>
        <v/>
      </c>
      <c r="H10" s="7"/>
    </row>
    <row r="11" spans="1:13" ht="15.75" customHeight="1">
      <c r="A11" s="8"/>
      <c r="B11" s="7"/>
      <c r="C11" s="146"/>
      <c r="D11" s="5"/>
      <c r="E11" s="5"/>
      <c r="F11" s="28" t="str">
        <f t="shared" si="0"/>
        <v/>
      </c>
      <c r="G11" s="339" t="str">
        <f t="shared" si="1"/>
        <v/>
      </c>
      <c r="H11" s="7"/>
    </row>
    <row r="12" spans="1:13" ht="15.75" customHeight="1">
      <c r="A12" s="8"/>
      <c r="B12" s="7"/>
      <c r="C12" s="146"/>
      <c r="D12" s="5"/>
      <c r="E12" s="5"/>
      <c r="F12" s="28" t="str">
        <f t="shared" si="0"/>
        <v/>
      </c>
      <c r="G12" s="339" t="str">
        <f t="shared" si="1"/>
        <v/>
      </c>
      <c r="H12" s="7"/>
    </row>
    <row r="13" spans="1:13" ht="15.75" customHeight="1">
      <c r="A13" s="8"/>
      <c r="B13" s="7"/>
      <c r="C13" s="146"/>
      <c r="D13" s="5"/>
      <c r="E13" s="5"/>
      <c r="F13" s="28" t="str">
        <f t="shared" si="0"/>
        <v/>
      </c>
      <c r="G13" s="339" t="str">
        <f t="shared" si="1"/>
        <v/>
      </c>
      <c r="H13" s="7"/>
    </row>
    <row r="14" spans="1:13" ht="15.75" customHeight="1">
      <c r="A14" s="8"/>
      <c r="B14" s="7"/>
      <c r="C14" s="146"/>
      <c r="D14" s="5"/>
      <c r="E14" s="5"/>
      <c r="F14" s="28" t="str">
        <f t="shared" si="0"/>
        <v/>
      </c>
      <c r="G14" s="339" t="str">
        <f t="shared" si="1"/>
        <v/>
      </c>
      <c r="H14" s="7"/>
    </row>
    <row r="15" spans="1:13" ht="15.75" customHeight="1">
      <c r="A15" s="8"/>
      <c r="B15" s="7"/>
      <c r="C15" s="146"/>
      <c r="D15" s="5"/>
      <c r="E15" s="5"/>
      <c r="F15" s="28" t="str">
        <f t="shared" si="0"/>
        <v/>
      </c>
      <c r="G15" s="339" t="str">
        <f t="shared" si="1"/>
        <v/>
      </c>
      <c r="H15" s="7"/>
    </row>
    <row r="16" spans="1:13" ht="15.75" customHeight="1">
      <c r="A16" s="8"/>
      <c r="B16" s="7"/>
      <c r="C16" s="146"/>
      <c r="D16" s="5"/>
      <c r="E16" s="5"/>
      <c r="F16" s="28" t="str">
        <f t="shared" si="0"/>
        <v/>
      </c>
      <c r="G16" s="339" t="str">
        <f t="shared" si="1"/>
        <v/>
      </c>
      <c r="H16" s="7"/>
    </row>
    <row r="17" spans="1:8" ht="15.75" customHeight="1">
      <c r="A17" s="8"/>
      <c r="B17" s="7"/>
      <c r="C17" s="146"/>
      <c r="D17" s="5"/>
      <c r="E17" s="5"/>
      <c r="F17" s="28" t="str">
        <f t="shared" si="0"/>
        <v/>
      </c>
      <c r="G17" s="339" t="str">
        <f t="shared" si="1"/>
        <v/>
      </c>
      <c r="H17" s="7"/>
    </row>
    <row r="18" spans="1:8" ht="15.75" customHeight="1">
      <c r="A18" s="8"/>
      <c r="B18" s="7"/>
      <c r="C18" s="146"/>
      <c r="D18" s="5"/>
      <c r="E18" s="5"/>
      <c r="F18" s="28" t="str">
        <f t="shared" si="0"/>
        <v/>
      </c>
      <c r="G18" s="339" t="str">
        <f t="shared" si="1"/>
        <v/>
      </c>
      <c r="H18" s="7"/>
    </row>
    <row r="19" spans="1:8" ht="15.75" customHeight="1">
      <c r="A19" s="8"/>
      <c r="B19" s="7"/>
      <c r="C19" s="146"/>
      <c r="D19" s="5"/>
      <c r="E19" s="5"/>
      <c r="F19" s="28" t="str">
        <f t="shared" si="0"/>
        <v/>
      </c>
      <c r="G19" s="339" t="str">
        <f t="shared" si="1"/>
        <v/>
      </c>
      <c r="H19" s="7"/>
    </row>
    <row r="20" spans="1:8" ht="15.75" customHeight="1">
      <c r="A20" s="8"/>
      <c r="B20" s="7"/>
      <c r="C20" s="146"/>
      <c r="D20" s="5"/>
      <c r="E20" s="5"/>
      <c r="F20" s="28" t="str">
        <f t="shared" si="0"/>
        <v/>
      </c>
      <c r="G20" s="339" t="str">
        <f t="shared" si="1"/>
        <v/>
      </c>
      <c r="H20" s="7"/>
    </row>
    <row r="21" spans="1:8" ht="15.75" customHeight="1">
      <c r="A21" s="8"/>
      <c r="B21" s="7"/>
      <c r="C21" s="146"/>
      <c r="D21" s="5"/>
      <c r="E21" s="5"/>
      <c r="F21" s="28" t="str">
        <f t="shared" si="0"/>
        <v/>
      </c>
      <c r="G21" s="339" t="str">
        <f t="shared" si="1"/>
        <v/>
      </c>
      <c r="H21" s="7"/>
    </row>
    <row r="22" spans="1:8" ht="15.75" customHeight="1">
      <c r="A22" s="8"/>
      <c r="B22" s="7"/>
      <c r="C22" s="146"/>
      <c r="D22" s="5"/>
      <c r="E22" s="5"/>
      <c r="F22" s="28" t="str">
        <f t="shared" si="0"/>
        <v/>
      </c>
      <c r="G22" s="339" t="str">
        <f t="shared" si="1"/>
        <v/>
      </c>
      <c r="H22" s="7"/>
    </row>
    <row r="23" spans="1:8" ht="15.75" customHeight="1">
      <c r="A23" s="8"/>
      <c r="B23" s="7"/>
      <c r="C23" s="146"/>
      <c r="D23" s="5"/>
      <c r="E23" s="5"/>
      <c r="F23" s="28" t="str">
        <f t="shared" si="0"/>
        <v/>
      </c>
      <c r="G23" s="339" t="str">
        <f t="shared" si="1"/>
        <v/>
      </c>
      <c r="H23" s="7"/>
    </row>
    <row r="24" spans="1:8" ht="15.75" customHeight="1">
      <c r="A24" s="8"/>
      <c r="B24" s="7"/>
      <c r="C24" s="146"/>
      <c r="D24" s="5"/>
      <c r="E24" s="5"/>
      <c r="F24" s="28" t="str">
        <f t="shared" si="0"/>
        <v/>
      </c>
      <c r="G24" s="339" t="str">
        <f t="shared" si="1"/>
        <v/>
      </c>
      <c r="H24" s="7"/>
    </row>
    <row r="25" spans="1:8" ht="15.75" customHeight="1">
      <c r="A25" s="8"/>
      <c r="B25" s="7"/>
      <c r="C25" s="146"/>
      <c r="D25" s="5"/>
      <c r="E25" s="5"/>
      <c r="F25" s="28" t="str">
        <f t="shared" si="0"/>
        <v/>
      </c>
      <c r="G25" s="339" t="str">
        <f t="shared" si="1"/>
        <v/>
      </c>
      <c r="H25" s="7"/>
    </row>
    <row r="26" spans="1:8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8" t="str">
        <f t="shared" ca="1" si="0"/>
        <v/>
      </c>
      <c r="G26" s="339" t="str">
        <f t="shared" ca="1" si="1"/>
        <v/>
      </c>
      <c r="H26" s="30"/>
    </row>
    <row r="27" spans="1:8" ht="15.75" hidden="1" customHeight="1">
      <c r="A27" s="8"/>
      <c r="B27" s="7"/>
      <c r="C27" s="146"/>
      <c r="D27" s="5"/>
      <c r="E27" s="5"/>
      <c r="F27" s="28" t="str">
        <f>IF(ISERROR(E27-D27),"",IF(E27=0,"",E27-D27))</f>
        <v/>
      </c>
      <c r="G27" s="339" t="str">
        <f>IF(ISERROR(E27-D27),"",IF(E27=0,"",IF(F27="",0,ROUND(F27*100/D27,2))))</f>
        <v/>
      </c>
      <c r="H27" s="7"/>
    </row>
    <row r="28" spans="1:8" ht="15.75" hidden="1" customHeight="1">
      <c r="A28" s="8"/>
      <c r="B28" s="7"/>
      <c r="C28" s="146"/>
      <c r="D28" s="5"/>
      <c r="E28" s="5"/>
      <c r="F28" s="28" t="str">
        <f t="shared" ref="F28:F46" si="2">IF(ISERROR(E28-D28),"",IF(E28=0,"",E28-D28))</f>
        <v/>
      </c>
      <c r="G28" s="339" t="str">
        <f t="shared" ref="G28:G46" si="3">IF(ISERROR(E28-D28),"",IF(E28=0,"",IF(F28="",0,ROUND(F28*100/D28,2))))</f>
        <v/>
      </c>
      <c r="H28" s="7"/>
    </row>
    <row r="29" spans="1:8" ht="15.75" hidden="1" customHeight="1">
      <c r="A29" s="8"/>
      <c r="B29" s="7"/>
      <c r="C29" s="146"/>
      <c r="D29" s="5"/>
      <c r="E29" s="5"/>
      <c r="F29" s="28" t="str">
        <f t="shared" si="2"/>
        <v/>
      </c>
      <c r="G29" s="339" t="str">
        <f t="shared" si="3"/>
        <v/>
      </c>
      <c r="H29" s="7"/>
    </row>
    <row r="30" spans="1:8" ht="15.75" hidden="1" customHeight="1">
      <c r="A30" s="8"/>
      <c r="B30" s="7"/>
      <c r="C30" s="146"/>
      <c r="D30" s="5"/>
      <c r="E30" s="5"/>
      <c r="F30" s="28" t="str">
        <f t="shared" si="2"/>
        <v/>
      </c>
      <c r="G30" s="339" t="str">
        <f t="shared" si="3"/>
        <v/>
      </c>
      <c r="H30" s="7"/>
    </row>
    <row r="31" spans="1:8" ht="15.75" hidden="1" customHeight="1">
      <c r="A31" s="8"/>
      <c r="B31" s="7"/>
      <c r="C31" s="146"/>
      <c r="D31" s="5"/>
      <c r="E31" s="5"/>
      <c r="F31" s="28" t="str">
        <f t="shared" si="2"/>
        <v/>
      </c>
      <c r="G31" s="339" t="str">
        <f t="shared" si="3"/>
        <v/>
      </c>
      <c r="H31" s="7"/>
    </row>
    <row r="32" spans="1:8" ht="15.75" hidden="1" customHeight="1">
      <c r="A32" s="8"/>
      <c r="B32" s="7"/>
      <c r="C32" s="146"/>
      <c r="D32" s="5"/>
      <c r="E32" s="5"/>
      <c r="F32" s="28" t="str">
        <f t="shared" si="2"/>
        <v/>
      </c>
      <c r="G32" s="339" t="str">
        <f t="shared" si="3"/>
        <v/>
      </c>
      <c r="H32" s="7"/>
    </row>
    <row r="33" spans="1:8" ht="15.75" hidden="1" customHeight="1">
      <c r="A33" s="8"/>
      <c r="B33" s="7"/>
      <c r="C33" s="146"/>
      <c r="D33" s="5"/>
      <c r="E33" s="5"/>
      <c r="F33" s="28" t="str">
        <f t="shared" si="2"/>
        <v/>
      </c>
      <c r="G33" s="339" t="str">
        <f t="shared" si="3"/>
        <v/>
      </c>
      <c r="H33" s="7"/>
    </row>
    <row r="34" spans="1:8" ht="15.75" hidden="1" customHeight="1">
      <c r="A34" s="8"/>
      <c r="B34" s="7"/>
      <c r="C34" s="146"/>
      <c r="D34" s="5"/>
      <c r="E34" s="5"/>
      <c r="F34" s="28" t="str">
        <f t="shared" si="2"/>
        <v/>
      </c>
      <c r="G34" s="339" t="str">
        <f t="shared" si="3"/>
        <v/>
      </c>
      <c r="H34" s="7"/>
    </row>
    <row r="35" spans="1:8" ht="15.75" hidden="1" customHeight="1">
      <c r="A35" s="8"/>
      <c r="B35" s="7"/>
      <c r="C35" s="146"/>
      <c r="D35" s="5"/>
      <c r="E35" s="5"/>
      <c r="F35" s="28" t="str">
        <f t="shared" si="2"/>
        <v/>
      </c>
      <c r="G35" s="339" t="str">
        <f t="shared" si="3"/>
        <v/>
      </c>
      <c r="H35" s="7"/>
    </row>
    <row r="36" spans="1:8" ht="15.75" hidden="1" customHeight="1">
      <c r="A36" s="8"/>
      <c r="B36" s="7"/>
      <c r="C36" s="146"/>
      <c r="D36" s="5"/>
      <c r="E36" s="5"/>
      <c r="F36" s="28" t="str">
        <f t="shared" si="2"/>
        <v/>
      </c>
      <c r="G36" s="339" t="str">
        <f t="shared" si="3"/>
        <v/>
      </c>
      <c r="H36" s="7"/>
    </row>
    <row r="37" spans="1:8" ht="15.75" hidden="1" customHeight="1">
      <c r="A37" s="8"/>
      <c r="B37" s="7"/>
      <c r="C37" s="146"/>
      <c r="D37" s="5"/>
      <c r="E37" s="5"/>
      <c r="F37" s="28" t="str">
        <f t="shared" si="2"/>
        <v/>
      </c>
      <c r="G37" s="339" t="str">
        <f t="shared" si="3"/>
        <v/>
      </c>
      <c r="H37" s="7"/>
    </row>
    <row r="38" spans="1:8" ht="15.75" hidden="1" customHeight="1">
      <c r="A38" s="8"/>
      <c r="B38" s="7"/>
      <c r="C38" s="146"/>
      <c r="D38" s="5"/>
      <c r="E38" s="5"/>
      <c r="F38" s="28" t="str">
        <f t="shared" si="2"/>
        <v/>
      </c>
      <c r="G38" s="339" t="str">
        <f t="shared" si="3"/>
        <v/>
      </c>
      <c r="H38" s="7"/>
    </row>
    <row r="39" spans="1:8" ht="15.75" hidden="1" customHeight="1">
      <c r="A39" s="8"/>
      <c r="B39" s="7"/>
      <c r="C39" s="146"/>
      <c r="D39" s="5"/>
      <c r="E39" s="5"/>
      <c r="F39" s="28" t="str">
        <f t="shared" si="2"/>
        <v/>
      </c>
      <c r="G39" s="339" t="str">
        <f t="shared" si="3"/>
        <v/>
      </c>
      <c r="H39" s="7"/>
    </row>
    <row r="40" spans="1:8" ht="15.75" hidden="1" customHeight="1">
      <c r="A40" s="8"/>
      <c r="B40" s="7"/>
      <c r="C40" s="146"/>
      <c r="D40" s="5"/>
      <c r="E40" s="5"/>
      <c r="F40" s="28" t="str">
        <f t="shared" si="2"/>
        <v/>
      </c>
      <c r="G40" s="339" t="str">
        <f t="shared" si="3"/>
        <v/>
      </c>
      <c r="H40" s="7"/>
    </row>
    <row r="41" spans="1:8" ht="15.75" hidden="1" customHeight="1">
      <c r="A41" s="8"/>
      <c r="B41" s="7"/>
      <c r="C41" s="146"/>
      <c r="D41" s="5"/>
      <c r="E41" s="5"/>
      <c r="F41" s="28" t="str">
        <f t="shared" si="2"/>
        <v/>
      </c>
      <c r="G41" s="339" t="str">
        <f t="shared" si="3"/>
        <v/>
      </c>
      <c r="H41" s="7"/>
    </row>
    <row r="42" spans="1:8" ht="15.75" hidden="1" customHeight="1">
      <c r="A42" s="8"/>
      <c r="B42" s="7"/>
      <c r="C42" s="146"/>
      <c r="D42" s="5"/>
      <c r="E42" s="5"/>
      <c r="F42" s="28" t="str">
        <f t="shared" si="2"/>
        <v/>
      </c>
      <c r="G42" s="339" t="str">
        <f t="shared" si="3"/>
        <v/>
      </c>
      <c r="H42" s="7"/>
    </row>
    <row r="43" spans="1:8" ht="15.75" hidden="1" customHeight="1">
      <c r="A43" s="8"/>
      <c r="B43" s="7"/>
      <c r="C43" s="146"/>
      <c r="D43" s="5"/>
      <c r="E43" s="5"/>
      <c r="F43" s="28" t="str">
        <f t="shared" si="2"/>
        <v/>
      </c>
      <c r="G43" s="339" t="str">
        <f t="shared" si="3"/>
        <v/>
      </c>
      <c r="H43" s="7"/>
    </row>
    <row r="44" spans="1:8" ht="15.75" hidden="1" customHeight="1">
      <c r="A44" s="8"/>
      <c r="B44" s="7"/>
      <c r="C44" s="146"/>
      <c r="D44" s="5"/>
      <c r="E44" s="5"/>
      <c r="F44" s="28" t="str">
        <f t="shared" si="2"/>
        <v/>
      </c>
      <c r="G44" s="339" t="str">
        <f t="shared" si="3"/>
        <v/>
      </c>
      <c r="H44" s="7"/>
    </row>
    <row r="45" spans="1:8" ht="15.75" hidden="1" customHeight="1">
      <c r="A45" s="8"/>
      <c r="B45" s="7"/>
      <c r="C45" s="146"/>
      <c r="D45" s="5"/>
      <c r="E45" s="5"/>
      <c r="F45" s="28" t="str">
        <f t="shared" si="2"/>
        <v/>
      </c>
      <c r="G45" s="339" t="str">
        <f t="shared" si="3"/>
        <v/>
      </c>
      <c r="H45" s="7"/>
    </row>
    <row r="46" spans="1:8" ht="15.75" hidden="1" customHeight="1">
      <c r="A46" s="8"/>
      <c r="B46" s="7"/>
      <c r="C46" s="146"/>
      <c r="D46" s="5"/>
      <c r="E46" s="5"/>
      <c r="F46" s="28" t="str">
        <f t="shared" si="2"/>
        <v/>
      </c>
      <c r="G46" s="339" t="str">
        <f t="shared" si="3"/>
        <v/>
      </c>
      <c r="H46" s="7"/>
    </row>
  </sheetData>
  <mergeCells count="3">
    <mergeCell ref="A1:H1"/>
    <mergeCell ref="A2:H2"/>
    <mergeCell ref="A26:B26"/>
  </mergeCells>
  <phoneticPr fontId="6" type="noConversion"/>
  <printOptions horizontalCentered="1" verticalCentered="1"/>
  <pageMargins left="1.1023622047244095" right="0.94488188976377963" top="0.43307086614173229" bottom="0.78740157480314965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&amp;R&amp;"宋体,常规"&amp;10表4-19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800100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2</xdr:col>
                    <xdr:colOff>38100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6C1C-5E2A-47D2-9467-4DBA16831259}">
  <sheetPr codeName="Sheet59">
    <pageSetUpPr fitToPage="1"/>
  </sheetPr>
  <dimension ref="A1:F31"/>
  <sheetViews>
    <sheetView workbookViewId="0">
      <pane ySplit="5" topLeftCell="A19" activePane="bottomLeft" state="frozen"/>
      <selection pane="bottomLeft" activeCell="F3" sqref="F1:F65536"/>
    </sheetView>
  </sheetViews>
  <sheetFormatPr baseColWidth="10" defaultColWidth="9" defaultRowHeight="15.75" customHeight="1"/>
  <cols>
    <col min="1" max="1" width="8.5" style="81" customWidth="1"/>
    <col min="2" max="2" width="27.1640625" style="81" customWidth="1"/>
    <col min="3" max="3" width="19.1640625" style="81" customWidth="1"/>
    <col min="4" max="4" width="20.5" style="81" customWidth="1"/>
    <col min="5" max="5" width="19.1640625" style="135" customWidth="1"/>
    <col min="6" max="6" width="18.5" style="340" customWidth="1"/>
    <col min="7" max="16384" width="9" style="81"/>
  </cols>
  <sheetData>
    <row r="1" spans="1:6" s="80" customFormat="1" ht="30" customHeight="1">
      <c r="A1" s="374" t="s">
        <v>554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132" t="s">
        <v>318</v>
      </c>
    </row>
    <row r="4" spans="1:6" ht="15.75" customHeight="1">
      <c r="A4" s="223" t="str">
        <f>'1-汇总表'!A4</f>
        <v>被评估单位：A有限公司</v>
      </c>
      <c r="B4" s="223"/>
      <c r="C4" s="223"/>
      <c r="D4" s="42"/>
      <c r="E4" s="173"/>
      <c r="F4" s="359" t="s">
        <v>137</v>
      </c>
    </row>
    <row r="5" spans="1:6" s="82" customFormat="1" ht="15.75" customHeight="1">
      <c r="A5" s="43" t="s">
        <v>138</v>
      </c>
      <c r="B5" s="43" t="s">
        <v>383</v>
      </c>
      <c r="C5" s="43" t="s">
        <v>117</v>
      </c>
      <c r="D5" s="43" t="s">
        <v>140</v>
      </c>
      <c r="E5" s="224" t="s">
        <v>141</v>
      </c>
      <c r="F5" s="352" t="s">
        <v>479</v>
      </c>
    </row>
    <row r="6" spans="1:6" ht="15.75" customHeight="1">
      <c r="A6" s="1" t="s">
        <v>103</v>
      </c>
      <c r="B6" s="2" t="s">
        <v>44</v>
      </c>
      <c r="C6" s="32" t="str">
        <f ca="1">IF('5-1短期借款'!H26=0,"",'5-1短期借款'!H26)</f>
        <v/>
      </c>
      <c r="D6" s="29" t="str">
        <f ca="1">IF('5-1短期借款'!J26=0,"",'5-1短期借款'!J26)</f>
        <v/>
      </c>
      <c r="E6" s="28" t="str">
        <f ca="1">IF(ISERROR(D6-C6),"",IF(C6=0,"",D6-C6))</f>
        <v/>
      </c>
      <c r="F6" s="339" t="str">
        <f ca="1">IF(ISERROR(D6-C6),"",IF(C6=0,"",IF(E6="",0,ROUND(E6*100/C6,2))))</f>
        <v/>
      </c>
    </row>
    <row r="7" spans="1:6" ht="15.75" customHeight="1">
      <c r="A7" s="1" t="s">
        <v>324</v>
      </c>
      <c r="B7" s="2" t="s">
        <v>386</v>
      </c>
      <c r="C7" s="32" t="str">
        <f ca="1">IF('5-2交易性金融负债'!E26=0,"",'5-2交易性金融负债'!E26)</f>
        <v/>
      </c>
      <c r="D7" s="32" t="str">
        <f ca="1">IF('5-2交易性金融负债'!F26=0,"",'5-2交易性金融负债'!F26)</f>
        <v/>
      </c>
      <c r="E7" s="28" t="str">
        <f t="shared" ref="E7:E20" ca="1" si="0">IF(ISERROR(D7-C7),"",IF(C7=0,"",D7-C7))</f>
        <v/>
      </c>
      <c r="F7" s="339" t="str">
        <f t="shared" ref="F7:F29" ca="1" si="1">IF(ISERROR(D7-C7),"",IF(C7=0,"",IF(E7="",0,ROUND(E7*100/C7,2))))</f>
        <v/>
      </c>
    </row>
    <row r="8" spans="1:6" ht="15.75" customHeight="1">
      <c r="A8" s="1" t="s">
        <v>325</v>
      </c>
      <c r="B8" s="329" t="s">
        <v>882</v>
      </c>
      <c r="C8" s="32" t="str">
        <f ca="1">IF('5-3衍生金融负债'!F26=0,"",'5-3衍生金融负债'!F26)</f>
        <v/>
      </c>
      <c r="D8" s="32" t="str">
        <f ca="1">IF('5-3衍生金融负债'!G26=0,"",'5-3衍生金融负债'!G26)</f>
        <v/>
      </c>
      <c r="E8" s="28" t="str">
        <f ca="1">IF(ISERROR(D8-C8),"",IF(C8=0,"",D8-C8))</f>
        <v/>
      </c>
      <c r="F8" s="339" t="str">
        <f ca="1">IF(ISERROR(D8-C8),"",IF(C8=0,"",IF(E8="",0,ROUND(E8*100/C8,2))))</f>
        <v/>
      </c>
    </row>
    <row r="9" spans="1:6" ht="15.75" customHeight="1">
      <c r="A9" s="1" t="s">
        <v>326</v>
      </c>
      <c r="B9" s="2" t="s">
        <v>45</v>
      </c>
      <c r="C9" s="32" t="str">
        <f ca="1">IF('5-4应付票据'!F26=0,"",'5-4应付票据'!F26)</f>
        <v/>
      </c>
      <c r="D9" s="32" t="str">
        <f ca="1">IF('5-4应付票据'!G26=0,"",'5-4应付票据'!G26)</f>
        <v/>
      </c>
      <c r="E9" s="28" t="str">
        <f t="shared" ca="1" si="0"/>
        <v/>
      </c>
      <c r="F9" s="339" t="str">
        <f t="shared" ca="1" si="1"/>
        <v/>
      </c>
    </row>
    <row r="10" spans="1:6" ht="15.75" customHeight="1">
      <c r="A10" s="1" t="s">
        <v>327</v>
      </c>
      <c r="B10" s="2" t="s">
        <v>132</v>
      </c>
      <c r="C10" s="32" t="str">
        <f ca="1">IF('5-5应付账款'!E26=0,"",'5-5应付账款'!E26)</f>
        <v/>
      </c>
      <c r="D10" s="32" t="str">
        <f ca="1">IF('5-5应付账款'!F26=0,"",'5-5应付账款'!F26)</f>
        <v/>
      </c>
      <c r="E10" s="28" t="str">
        <f t="shared" ca="1" si="0"/>
        <v/>
      </c>
      <c r="F10" s="339" t="str">
        <f t="shared" ca="1" si="1"/>
        <v/>
      </c>
    </row>
    <row r="11" spans="1:6" ht="15.75" customHeight="1">
      <c r="A11" s="1" t="s">
        <v>328</v>
      </c>
      <c r="B11" s="2" t="s">
        <v>170</v>
      </c>
      <c r="C11" s="32" t="str">
        <f ca="1">IF('5-6预收账款'!E26=0,"",'5-6预收账款'!E26)</f>
        <v/>
      </c>
      <c r="D11" s="32" t="str">
        <f ca="1">IF('5-6预收账款'!F26=0,"",'5-6预收账款'!F26)</f>
        <v/>
      </c>
      <c r="E11" s="28" t="str">
        <f t="shared" ca="1" si="0"/>
        <v/>
      </c>
      <c r="F11" s="339" t="str">
        <f t="shared" ca="1" si="1"/>
        <v/>
      </c>
    </row>
    <row r="12" spans="1:6" ht="15.75" customHeight="1">
      <c r="A12" s="1" t="s">
        <v>329</v>
      </c>
      <c r="B12" s="329" t="s">
        <v>861</v>
      </c>
      <c r="C12" s="32" t="str">
        <f ca="1">IF('5-7合同负债'!E26=0,"",'5-7合同负债'!E26)</f>
        <v/>
      </c>
      <c r="D12" s="32" t="str">
        <f ca="1">IF('5-7合同负债'!F26=0,"",'5-7合同负债'!F26)</f>
        <v/>
      </c>
      <c r="E12" s="28" t="str">
        <f ca="1">IF(ISERROR(D12-C12),"",IF(C12=0,"",D12-C12))</f>
        <v/>
      </c>
      <c r="F12" s="339" t="str">
        <f ca="1">IF(ISERROR(D12-C12),"",IF(C12=0,"",IF(E12="",0,ROUND(E12*100/C12,2))))</f>
        <v/>
      </c>
    </row>
    <row r="13" spans="1:6" ht="15.75" customHeight="1">
      <c r="A13" s="1" t="s">
        <v>330</v>
      </c>
      <c r="B13" s="2" t="s">
        <v>387</v>
      </c>
      <c r="C13" s="32" t="str">
        <f ca="1">IF('5-8职工薪酬'!D26=0,"",'5-8职工薪酬'!D26)</f>
        <v/>
      </c>
      <c r="D13" s="32" t="str">
        <f ca="1">IF('5-8职工薪酬'!E26=0,"",'5-8职工薪酬'!E26)</f>
        <v/>
      </c>
      <c r="E13" s="28" t="str">
        <f t="shared" ca="1" si="0"/>
        <v/>
      </c>
      <c r="F13" s="339" t="str">
        <f t="shared" ca="1" si="1"/>
        <v/>
      </c>
    </row>
    <row r="14" spans="1:6" ht="15.75" customHeight="1">
      <c r="A14" s="1" t="s">
        <v>331</v>
      </c>
      <c r="B14" s="2" t="s">
        <v>231</v>
      </c>
      <c r="C14" s="32" t="str">
        <f ca="1">IF('5-9应交税费'!E26=0,"",'5-9应交税费'!E26)</f>
        <v/>
      </c>
      <c r="D14" s="32" t="str">
        <f ca="1">IF('5-9应交税费'!F26=0,"",'5-9应交税费'!F26)</f>
        <v/>
      </c>
      <c r="E14" s="28" t="str">
        <f t="shared" ca="1" si="0"/>
        <v/>
      </c>
      <c r="F14" s="339" t="str">
        <f t="shared" ca="1" si="1"/>
        <v/>
      </c>
    </row>
    <row r="15" spans="1:6" ht="15.75" customHeight="1">
      <c r="A15" s="1" t="s">
        <v>332</v>
      </c>
      <c r="B15" s="2" t="s">
        <v>232</v>
      </c>
      <c r="C15" s="32" t="str">
        <f ca="1">IF('5-10应付利息'!G26=0,"",'5-10应付利息'!G26)</f>
        <v/>
      </c>
      <c r="D15" s="32" t="str">
        <f ca="1">IF('5-10应付利息'!H26=0,"",'5-10应付利息'!H26)</f>
        <v/>
      </c>
      <c r="E15" s="28" t="str">
        <f t="shared" ca="1" si="0"/>
        <v/>
      </c>
      <c r="F15" s="339" t="str">
        <f t="shared" ca="1" si="1"/>
        <v/>
      </c>
    </row>
    <row r="16" spans="1:6" ht="15.75" customHeight="1">
      <c r="A16" s="1" t="s">
        <v>333</v>
      </c>
      <c r="B16" s="2" t="s">
        <v>261</v>
      </c>
      <c r="C16" s="32" t="str">
        <f ca="1">IF('5-11应付股利（利润）'!E26=0,"",'5-11应付股利（利润）'!E26)</f>
        <v/>
      </c>
      <c r="D16" s="32" t="str">
        <f ca="1">IF('5-11应付股利（利润）'!F26=0,"",'5-11应付股利（利润）'!F26)</f>
        <v/>
      </c>
      <c r="E16" s="28" t="str">
        <f t="shared" ca="1" si="0"/>
        <v/>
      </c>
      <c r="F16" s="339" t="str">
        <f t="shared" ca="1" si="1"/>
        <v/>
      </c>
    </row>
    <row r="17" spans="1:6" ht="15.75" customHeight="1">
      <c r="A17" s="1" t="s">
        <v>334</v>
      </c>
      <c r="B17" s="2" t="s">
        <v>233</v>
      </c>
      <c r="C17" s="32" t="str">
        <f ca="1">IF('5-12其他应付款'!E26=0,"",'5-12其他应付款'!E26)</f>
        <v/>
      </c>
      <c r="D17" s="32" t="str">
        <f ca="1">IF('5-12其他应付款'!F26=0,"",'5-12其他应付款'!F26)</f>
        <v/>
      </c>
      <c r="E17" s="28" t="str">
        <f t="shared" ca="1" si="0"/>
        <v/>
      </c>
      <c r="F17" s="339" t="str">
        <f t="shared" ca="1" si="1"/>
        <v/>
      </c>
    </row>
    <row r="18" spans="1:6" ht="15.75" customHeight="1">
      <c r="A18" s="1" t="s">
        <v>863</v>
      </c>
      <c r="B18" s="329" t="s">
        <v>862</v>
      </c>
      <c r="C18" s="32" t="str">
        <f ca="1">IF('5-13持有待售负债'!E26=0,"",'5-13持有待售负债'!E26)</f>
        <v/>
      </c>
      <c r="D18" s="32" t="str">
        <f ca="1">IF('5-13持有待售负债'!F26=0,"",'5-13持有待售负债'!F26)</f>
        <v/>
      </c>
      <c r="E18" s="28" t="str">
        <f ca="1">IF(ISERROR(D18-C18),"",IF(C18=0,"",D18-C18))</f>
        <v/>
      </c>
      <c r="F18" s="339" t="str">
        <f ca="1">IF(ISERROR(D18-C18),"",IF(C18=0,"",IF(E18="",0,ROUND(E18*100/C18,2))))</f>
        <v/>
      </c>
    </row>
    <row r="19" spans="1:6" ht="15.75" customHeight="1">
      <c r="A19" s="1" t="s">
        <v>864</v>
      </c>
      <c r="B19" s="2" t="s">
        <v>234</v>
      </c>
      <c r="C19" s="32" t="str">
        <f ca="1">IF('5-14一年到期非流动负债'!F26=0,"",'5-14一年到期非流动负债'!F26)</f>
        <v/>
      </c>
      <c r="D19" s="32" t="str">
        <f ca="1">IF('5-14一年到期非流动负债'!G26=0,"",'5-14一年到期非流动负债'!G26)</f>
        <v/>
      </c>
      <c r="E19" s="28" t="str">
        <f t="shared" ca="1" si="0"/>
        <v/>
      </c>
      <c r="F19" s="339" t="str">
        <f t="shared" ca="1" si="1"/>
        <v/>
      </c>
    </row>
    <row r="20" spans="1:6" ht="15.75" customHeight="1">
      <c r="A20" s="1" t="s">
        <v>865</v>
      </c>
      <c r="B20" s="2" t="s">
        <v>235</v>
      </c>
      <c r="C20" s="32" t="str">
        <f ca="1">IF('5-15其他流动负债'!E26=0,"",'5-15其他流动负债'!E26)</f>
        <v/>
      </c>
      <c r="D20" s="32" t="str">
        <f ca="1">IF('5-15其他流动负债'!F26=0,"",'5-15其他流动负债'!F26)</f>
        <v/>
      </c>
      <c r="E20" s="28" t="str">
        <f t="shared" ca="1" si="0"/>
        <v/>
      </c>
      <c r="F20" s="339" t="str">
        <f t="shared" ca="1" si="1"/>
        <v/>
      </c>
    </row>
    <row r="21" spans="1:6" ht="15.75" customHeight="1">
      <c r="A21" s="46"/>
      <c r="B21" s="2"/>
      <c r="C21" s="32"/>
      <c r="D21" s="29"/>
      <c r="E21" s="31"/>
      <c r="F21" s="339"/>
    </row>
    <row r="22" spans="1:6" ht="15.75" customHeight="1">
      <c r="A22" s="46"/>
      <c r="B22" s="2"/>
      <c r="C22" s="32"/>
      <c r="D22" s="29"/>
      <c r="E22" s="31"/>
      <c r="F22" s="339"/>
    </row>
    <row r="23" spans="1:6" ht="15.75" customHeight="1">
      <c r="A23" s="46"/>
      <c r="B23" s="2"/>
      <c r="C23" s="32"/>
      <c r="D23" s="29"/>
      <c r="E23" s="31"/>
      <c r="F23" s="339"/>
    </row>
    <row r="24" spans="1:6" ht="15.75" customHeight="1">
      <c r="A24" s="46"/>
      <c r="B24" s="2"/>
      <c r="C24" s="32"/>
      <c r="D24" s="29"/>
      <c r="E24" s="31"/>
      <c r="F24" s="339"/>
    </row>
    <row r="25" spans="1:6" ht="15.75" customHeight="1">
      <c r="A25" s="46"/>
      <c r="B25" s="2"/>
      <c r="C25" s="32"/>
      <c r="D25" s="29"/>
      <c r="E25" s="31"/>
      <c r="F25" s="339"/>
    </row>
    <row r="26" spans="1:6" ht="15.75" customHeight="1">
      <c r="A26" s="46"/>
      <c r="B26" s="2"/>
      <c r="C26" s="32"/>
      <c r="D26" s="29"/>
      <c r="E26" s="31"/>
      <c r="F26" s="339"/>
    </row>
    <row r="27" spans="1:6" ht="15.75" customHeight="1">
      <c r="A27" s="1"/>
      <c r="B27" s="198"/>
      <c r="C27" s="32"/>
      <c r="D27" s="29"/>
      <c r="E27" s="31"/>
      <c r="F27" s="339"/>
    </row>
    <row r="28" spans="1:6" ht="15.75" customHeight="1">
      <c r="A28" s="1"/>
      <c r="B28" s="198"/>
      <c r="C28" s="32"/>
      <c r="D28" s="29"/>
      <c r="E28" s="31"/>
      <c r="F28" s="339"/>
    </row>
    <row r="29" spans="1:6" ht="15.75" customHeight="1">
      <c r="A29" s="544" t="s">
        <v>388</v>
      </c>
      <c r="B29" s="545"/>
      <c r="C29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9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9" s="28" t="str">
        <f ca="1">IF(ISERROR(D29-C29),"",IF(C29=0,"",D29-C29))</f>
        <v/>
      </c>
      <c r="F29" s="339" t="str">
        <f t="shared" ca="1" si="1"/>
        <v/>
      </c>
    </row>
    <row r="30" spans="1:6" ht="15.75" customHeight="1">
      <c r="A30" s="83"/>
      <c r="D30" s="25"/>
      <c r="E30" s="26"/>
      <c r="F30" s="353"/>
    </row>
    <row r="31" spans="1:6" ht="15.75" customHeight="1">
      <c r="A31" s="83"/>
    </row>
  </sheetData>
  <mergeCells count="3">
    <mergeCell ref="A1:F1"/>
    <mergeCell ref="A2:F2"/>
    <mergeCell ref="A29:B29"/>
  </mergeCells>
  <phoneticPr fontId="6" type="noConversion"/>
  <printOptions horizontalCentered="1" verticalCentered="1"/>
  <pageMargins left="1.1023622047244095" right="0.51181102362204722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1003300</xdr:colOff>
                    <xdr:row>2</xdr:row>
                    <xdr:rowOff>0</xdr:rowOff>
                  </from>
                  <to>
                    <xdr:col>1</xdr:col>
                    <xdr:colOff>2019300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E2EF7-02D9-4B51-83AE-CC176D3F7677}">
  <sheetPr codeName="Sheet60">
    <pageSetUpPr fitToPage="1"/>
  </sheetPr>
  <dimension ref="A1:S46"/>
  <sheetViews>
    <sheetView workbookViewId="0">
      <pane ySplit="6" topLeftCell="A7" activePane="bottomLeft" state="frozen"/>
      <selection activeCell="F17" sqref="F17"/>
      <selection pane="bottomLeft" activeCell="I10" sqref="I10"/>
    </sheetView>
  </sheetViews>
  <sheetFormatPr baseColWidth="10" defaultColWidth="9" defaultRowHeight="15.75" customHeight="1"/>
  <cols>
    <col min="1" max="1" width="5.5" style="81" customWidth="1"/>
    <col min="2" max="2" width="19.6640625" style="81" customWidth="1"/>
    <col min="3" max="3" width="7.5" style="81" customWidth="1"/>
    <col min="4" max="4" width="7.6640625" style="81" customWidth="1"/>
    <col min="5" max="5" width="11" style="81" customWidth="1"/>
    <col min="6" max="6" width="7.1640625" style="81" customWidth="1"/>
    <col min="7" max="7" width="10.6640625" style="81" customWidth="1"/>
    <col min="8" max="8" width="13.1640625" style="81" bestFit="1" customWidth="1"/>
    <col min="9" max="9" width="13.6640625" style="81" customWidth="1"/>
    <col min="10" max="10" width="13" style="81" customWidth="1"/>
    <col min="11" max="11" width="10.6640625" style="81" customWidth="1"/>
    <col min="12" max="12" width="10.5" style="81" customWidth="1"/>
    <col min="13" max="13" width="10.1640625" style="81" customWidth="1"/>
    <col min="14" max="14" width="7.5" style="81" customWidth="1"/>
    <col min="15" max="15" width="17.1640625" style="81" customWidth="1"/>
    <col min="16" max="16" width="10.1640625" style="81" customWidth="1"/>
    <col min="17" max="17" width="8.1640625" style="81" customWidth="1"/>
    <col min="18" max="18" width="9" style="81"/>
    <col min="19" max="19" width="7.83203125" style="81" customWidth="1"/>
    <col min="20" max="16384" width="9" style="81"/>
  </cols>
  <sheetData>
    <row r="1" spans="1:19" s="80" customFormat="1" ht="30" customHeight="1">
      <c r="A1" s="374" t="s">
        <v>1027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8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1"/>
      <c r="J4" s="37"/>
      <c r="K4" s="37"/>
    </row>
    <row r="5" spans="1:19" ht="15.75" customHeight="1">
      <c r="A5" s="225" t="str">
        <f>'1-汇总表'!A4</f>
        <v>被评估单位：A有限公司</v>
      </c>
      <c r="B5" s="42"/>
      <c r="C5" s="42"/>
      <c r="D5" s="42"/>
      <c r="E5" s="42"/>
      <c r="F5" s="42"/>
      <c r="G5" s="42"/>
      <c r="H5" s="42"/>
      <c r="I5" s="42"/>
      <c r="J5" s="42"/>
      <c r="K5" s="122"/>
      <c r="L5" s="564" t="s">
        <v>722</v>
      </c>
      <c r="M5" s="565"/>
      <c r="N5" s="565"/>
      <c r="O5" s="566"/>
      <c r="P5" s="564" t="s">
        <v>622</v>
      </c>
      <c r="Q5" s="565"/>
      <c r="R5" s="562" t="s">
        <v>641</v>
      </c>
      <c r="S5" s="562" t="s">
        <v>642</v>
      </c>
    </row>
    <row r="6" spans="1:19" s="101" customFormat="1" ht="15.75" customHeight="1">
      <c r="A6" s="45" t="s">
        <v>7</v>
      </c>
      <c r="B6" s="45" t="s">
        <v>345</v>
      </c>
      <c r="C6" s="45" t="s">
        <v>36</v>
      </c>
      <c r="D6" s="45" t="s">
        <v>54</v>
      </c>
      <c r="E6" s="174" t="s">
        <v>484</v>
      </c>
      <c r="F6" s="45" t="s">
        <v>22</v>
      </c>
      <c r="G6" s="45" t="s">
        <v>55</v>
      </c>
      <c r="H6" s="217" t="s">
        <v>117</v>
      </c>
      <c r="I6" s="45" t="s">
        <v>56</v>
      </c>
      <c r="J6" s="45" t="s">
        <v>0</v>
      </c>
      <c r="K6" s="45" t="s">
        <v>39</v>
      </c>
      <c r="L6" s="279" t="s">
        <v>723</v>
      </c>
      <c r="M6" s="279" t="s">
        <v>643</v>
      </c>
      <c r="N6" s="279" t="s">
        <v>644</v>
      </c>
      <c r="O6" s="279" t="s">
        <v>645</v>
      </c>
      <c r="P6" s="296" t="s">
        <v>695</v>
      </c>
      <c r="Q6" s="296" t="s">
        <v>596</v>
      </c>
      <c r="R6" s="563"/>
      <c r="S6" s="563"/>
    </row>
    <row r="7" spans="1:19" ht="15.75" customHeight="1">
      <c r="A7" s="8"/>
      <c r="B7" s="7"/>
      <c r="C7" s="146"/>
      <c r="D7" s="146"/>
      <c r="E7" s="146"/>
      <c r="F7" s="8"/>
      <c r="G7" s="5"/>
      <c r="H7" s="5"/>
      <c r="I7" s="195"/>
      <c r="J7" s="31"/>
      <c r="K7" s="7"/>
    </row>
    <row r="8" spans="1:19" ht="15.75" customHeight="1">
      <c r="A8" s="8"/>
      <c r="B8" s="7"/>
      <c r="C8" s="146"/>
      <c r="D8" s="146"/>
      <c r="E8" s="8"/>
      <c r="F8" s="8"/>
      <c r="G8" s="5"/>
      <c r="H8" s="5"/>
      <c r="I8" s="195"/>
      <c r="J8" s="31"/>
      <c r="K8" s="7"/>
    </row>
    <row r="9" spans="1:19" ht="15.75" customHeight="1">
      <c r="A9" s="8"/>
      <c r="B9" s="7"/>
      <c r="C9" s="146"/>
      <c r="D9" s="146"/>
      <c r="E9" s="8"/>
      <c r="F9" s="8"/>
      <c r="G9" s="5"/>
      <c r="H9" s="5"/>
      <c r="I9" s="195"/>
      <c r="J9" s="31"/>
      <c r="K9" s="7"/>
    </row>
    <row r="10" spans="1:19" ht="15.75" customHeight="1">
      <c r="A10" s="8"/>
      <c r="B10" s="7"/>
      <c r="C10" s="146"/>
      <c r="D10" s="146"/>
      <c r="E10" s="8"/>
      <c r="F10" s="8"/>
      <c r="G10" s="5"/>
      <c r="H10" s="5"/>
      <c r="I10" s="195"/>
      <c r="J10" s="31"/>
      <c r="K10" s="7"/>
    </row>
    <row r="11" spans="1:19" ht="15.75" customHeight="1">
      <c r="A11" s="8"/>
      <c r="B11" s="7"/>
      <c r="C11" s="146"/>
      <c r="D11" s="146"/>
      <c r="E11" s="8"/>
      <c r="F11" s="8"/>
      <c r="G11" s="5"/>
      <c r="H11" s="5"/>
      <c r="I11" s="195"/>
      <c r="J11" s="31"/>
      <c r="K11" s="7"/>
    </row>
    <row r="12" spans="1:19" ht="15.75" customHeight="1">
      <c r="A12" s="8"/>
      <c r="B12" s="7"/>
      <c r="C12" s="146"/>
      <c r="D12" s="146"/>
      <c r="E12" s="8"/>
      <c r="F12" s="8"/>
      <c r="G12" s="5"/>
      <c r="H12" s="5"/>
      <c r="I12" s="195"/>
      <c r="J12" s="31"/>
      <c r="K12" s="7"/>
    </row>
    <row r="13" spans="1:19" ht="15.75" customHeight="1">
      <c r="A13" s="8"/>
      <c r="B13" s="7"/>
      <c r="C13" s="146"/>
      <c r="D13" s="146"/>
      <c r="E13" s="8"/>
      <c r="F13" s="8"/>
      <c r="G13" s="5"/>
      <c r="H13" s="5"/>
      <c r="I13" s="195"/>
      <c r="J13" s="31"/>
      <c r="K13" s="7"/>
    </row>
    <row r="14" spans="1:19" ht="15.75" customHeight="1">
      <c r="A14" s="8"/>
      <c r="B14" s="7"/>
      <c r="C14" s="146"/>
      <c r="D14" s="146"/>
      <c r="E14" s="8"/>
      <c r="F14" s="8"/>
      <c r="G14" s="5"/>
      <c r="H14" s="5"/>
      <c r="I14" s="195"/>
      <c r="J14" s="31"/>
      <c r="K14" s="7"/>
    </row>
    <row r="15" spans="1:19" ht="15.75" customHeight="1">
      <c r="A15" s="8"/>
      <c r="B15" s="7"/>
      <c r="C15" s="146"/>
      <c r="D15" s="146"/>
      <c r="E15" s="8"/>
      <c r="F15" s="8"/>
      <c r="G15" s="5"/>
      <c r="H15" s="5"/>
      <c r="I15" s="195"/>
      <c r="J15" s="31"/>
      <c r="K15" s="7"/>
    </row>
    <row r="16" spans="1:19" ht="15.75" customHeight="1">
      <c r="A16" s="8"/>
      <c r="B16" s="7"/>
      <c r="C16" s="146"/>
      <c r="D16" s="146"/>
      <c r="E16" s="8"/>
      <c r="F16" s="8"/>
      <c r="G16" s="5"/>
      <c r="H16" s="5"/>
      <c r="I16" s="195"/>
      <c r="J16" s="31"/>
      <c r="K16" s="7"/>
    </row>
    <row r="17" spans="1:11" ht="15.75" customHeight="1">
      <c r="A17" s="8"/>
      <c r="B17" s="7"/>
      <c r="C17" s="146"/>
      <c r="D17" s="146"/>
      <c r="E17" s="8"/>
      <c r="F17" s="8"/>
      <c r="G17" s="5"/>
      <c r="H17" s="5"/>
      <c r="I17" s="195"/>
      <c r="J17" s="31"/>
      <c r="K17" s="7"/>
    </row>
    <row r="18" spans="1:11" ht="15.75" customHeight="1">
      <c r="A18" s="8"/>
      <c r="B18" s="7"/>
      <c r="C18" s="146"/>
      <c r="D18" s="146"/>
      <c r="E18" s="8"/>
      <c r="F18" s="8"/>
      <c r="G18" s="5"/>
      <c r="H18" s="5"/>
      <c r="I18" s="195"/>
      <c r="J18" s="31"/>
      <c r="K18" s="7"/>
    </row>
    <row r="19" spans="1:11" ht="15.75" customHeight="1">
      <c r="A19" s="8"/>
      <c r="B19" s="7"/>
      <c r="C19" s="146"/>
      <c r="D19" s="146"/>
      <c r="E19" s="8"/>
      <c r="F19" s="8"/>
      <c r="G19" s="5"/>
      <c r="H19" s="5"/>
      <c r="I19" s="195"/>
      <c r="J19" s="31"/>
      <c r="K19" s="7"/>
    </row>
    <row r="20" spans="1:11" ht="15.75" customHeight="1">
      <c r="A20" s="8"/>
      <c r="B20" s="7"/>
      <c r="C20" s="146"/>
      <c r="D20" s="146"/>
      <c r="E20" s="8"/>
      <c r="F20" s="8"/>
      <c r="G20" s="5"/>
      <c r="H20" s="5"/>
      <c r="I20" s="195"/>
      <c r="J20" s="31"/>
      <c r="K20" s="7"/>
    </row>
    <row r="21" spans="1:11" ht="15.75" customHeight="1">
      <c r="A21" s="8"/>
      <c r="B21" s="7"/>
      <c r="C21" s="146"/>
      <c r="D21" s="146"/>
      <c r="E21" s="8"/>
      <c r="F21" s="8"/>
      <c r="G21" s="5"/>
      <c r="H21" s="5"/>
      <c r="I21" s="195"/>
      <c r="J21" s="31"/>
      <c r="K21" s="7"/>
    </row>
    <row r="22" spans="1:11" ht="15.75" customHeight="1">
      <c r="A22" s="8"/>
      <c r="B22" s="7"/>
      <c r="C22" s="146"/>
      <c r="D22" s="146"/>
      <c r="E22" s="8"/>
      <c r="F22" s="8"/>
      <c r="G22" s="5"/>
      <c r="H22" s="5"/>
      <c r="I22" s="195"/>
      <c r="J22" s="31"/>
      <c r="K22" s="7"/>
    </row>
    <row r="23" spans="1:11" ht="15.75" customHeight="1">
      <c r="A23" s="8"/>
      <c r="B23" s="7"/>
      <c r="C23" s="146"/>
      <c r="D23" s="146"/>
      <c r="E23" s="8"/>
      <c r="F23" s="8"/>
      <c r="G23" s="5"/>
      <c r="H23" s="5"/>
      <c r="I23" s="195"/>
      <c r="J23" s="31"/>
      <c r="K23" s="7"/>
    </row>
    <row r="24" spans="1:11" ht="15.75" customHeight="1">
      <c r="A24" s="8"/>
      <c r="B24" s="7"/>
      <c r="C24" s="146"/>
      <c r="D24" s="146"/>
      <c r="E24" s="8"/>
      <c r="F24" s="8"/>
      <c r="G24" s="5"/>
      <c r="H24" s="5"/>
      <c r="I24" s="195"/>
      <c r="J24" s="31"/>
      <c r="K24" s="7"/>
    </row>
    <row r="25" spans="1:11" ht="15.75" customHeight="1">
      <c r="A25" s="8"/>
      <c r="B25" s="7"/>
      <c r="C25" s="146"/>
      <c r="D25" s="146"/>
      <c r="E25" s="8"/>
      <c r="F25" s="8"/>
      <c r="G25" s="5"/>
      <c r="H25" s="5"/>
      <c r="I25" s="195"/>
      <c r="J25" s="31"/>
      <c r="K25" s="7"/>
    </row>
    <row r="26" spans="1:11" ht="15.75" customHeight="1">
      <c r="A26" s="420" t="s">
        <v>534</v>
      </c>
      <c r="B26" s="421"/>
      <c r="C26" s="232"/>
      <c r="D26" s="232"/>
      <c r="E26" s="237"/>
      <c r="F26" s="237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31"/>
      <c r="J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6" s="30"/>
    </row>
    <row r="27" spans="1:11" ht="15.75" hidden="1" customHeight="1">
      <c r="A27" s="8"/>
      <c r="B27" s="7"/>
      <c r="C27" s="146"/>
      <c r="D27" s="146"/>
      <c r="E27" s="8"/>
      <c r="F27" s="8"/>
      <c r="G27" s="5"/>
      <c r="H27" s="5"/>
      <c r="I27" s="195"/>
      <c r="J27" s="31"/>
      <c r="K27" s="7"/>
    </row>
    <row r="28" spans="1:11" ht="15.75" hidden="1" customHeight="1">
      <c r="A28" s="8"/>
      <c r="B28" s="7"/>
      <c r="C28" s="146"/>
      <c r="D28" s="146"/>
      <c r="E28" s="8"/>
      <c r="F28" s="8"/>
      <c r="G28" s="5"/>
      <c r="H28" s="5"/>
      <c r="I28" s="195"/>
      <c r="J28" s="31"/>
      <c r="K28" s="7"/>
    </row>
    <row r="29" spans="1:11" ht="15.75" hidden="1" customHeight="1">
      <c r="A29" s="8"/>
      <c r="B29" s="7"/>
      <c r="C29" s="146"/>
      <c r="D29" s="146"/>
      <c r="E29" s="8"/>
      <c r="F29" s="8"/>
      <c r="G29" s="5"/>
      <c r="H29" s="5"/>
      <c r="I29" s="195"/>
      <c r="J29" s="31"/>
      <c r="K29" s="7"/>
    </row>
    <row r="30" spans="1:11" ht="15.75" hidden="1" customHeight="1">
      <c r="A30" s="8"/>
      <c r="B30" s="7"/>
      <c r="C30" s="146"/>
      <c r="D30" s="146"/>
      <c r="E30" s="8"/>
      <c r="F30" s="8"/>
      <c r="G30" s="5"/>
      <c r="H30" s="5"/>
      <c r="I30" s="195"/>
      <c r="J30" s="31"/>
      <c r="K30" s="7"/>
    </row>
    <row r="31" spans="1:11" ht="15.75" hidden="1" customHeight="1">
      <c r="A31" s="8"/>
      <c r="B31" s="7"/>
      <c r="C31" s="146"/>
      <c r="D31" s="146"/>
      <c r="E31" s="8"/>
      <c r="F31" s="8"/>
      <c r="G31" s="5"/>
      <c r="H31" s="5"/>
      <c r="I31" s="195"/>
      <c r="J31" s="31"/>
      <c r="K31" s="7"/>
    </row>
    <row r="32" spans="1:11" ht="15.75" hidden="1" customHeight="1">
      <c r="A32" s="8"/>
      <c r="B32" s="7"/>
      <c r="C32" s="146"/>
      <c r="D32" s="146"/>
      <c r="E32" s="8"/>
      <c r="F32" s="8"/>
      <c r="G32" s="5"/>
      <c r="H32" s="5"/>
      <c r="I32" s="195"/>
      <c r="J32" s="31"/>
      <c r="K32" s="7"/>
    </row>
    <row r="33" spans="1:11" ht="15.75" hidden="1" customHeight="1">
      <c r="A33" s="8"/>
      <c r="B33" s="7"/>
      <c r="C33" s="146"/>
      <c r="D33" s="146"/>
      <c r="E33" s="8"/>
      <c r="F33" s="8"/>
      <c r="G33" s="5"/>
      <c r="H33" s="5"/>
      <c r="I33" s="195"/>
      <c r="J33" s="31"/>
      <c r="K33" s="7"/>
    </row>
    <row r="34" spans="1:11" ht="15.75" hidden="1" customHeight="1">
      <c r="A34" s="8"/>
      <c r="B34" s="7"/>
      <c r="C34" s="146"/>
      <c r="D34" s="146"/>
      <c r="E34" s="8"/>
      <c r="F34" s="8"/>
      <c r="G34" s="5"/>
      <c r="H34" s="5"/>
      <c r="I34" s="195"/>
      <c r="J34" s="31"/>
      <c r="K34" s="7"/>
    </row>
    <row r="35" spans="1:11" ht="15.75" hidden="1" customHeight="1">
      <c r="A35" s="8"/>
      <c r="B35" s="7"/>
      <c r="C35" s="146"/>
      <c r="D35" s="146"/>
      <c r="E35" s="8"/>
      <c r="F35" s="8"/>
      <c r="G35" s="5"/>
      <c r="H35" s="5"/>
      <c r="I35" s="195"/>
      <c r="J35" s="31"/>
      <c r="K35" s="7"/>
    </row>
    <row r="36" spans="1:11" ht="15.75" hidden="1" customHeight="1">
      <c r="A36" s="8"/>
      <c r="B36" s="7"/>
      <c r="C36" s="146"/>
      <c r="D36" s="146"/>
      <c r="E36" s="8"/>
      <c r="F36" s="8"/>
      <c r="G36" s="5"/>
      <c r="H36" s="5"/>
      <c r="I36" s="195"/>
      <c r="J36" s="31"/>
      <c r="K36" s="7"/>
    </row>
    <row r="37" spans="1:11" ht="15.75" hidden="1" customHeight="1">
      <c r="A37" s="8"/>
      <c r="B37" s="7"/>
      <c r="C37" s="146"/>
      <c r="D37" s="146"/>
      <c r="E37" s="8"/>
      <c r="F37" s="8"/>
      <c r="G37" s="5"/>
      <c r="H37" s="5"/>
      <c r="I37" s="195"/>
      <c r="J37" s="31"/>
      <c r="K37" s="7"/>
    </row>
    <row r="38" spans="1:11" ht="15.75" hidden="1" customHeight="1">
      <c r="A38" s="8"/>
      <c r="B38" s="7"/>
      <c r="C38" s="146"/>
      <c r="D38" s="146"/>
      <c r="E38" s="8"/>
      <c r="F38" s="8"/>
      <c r="G38" s="5"/>
      <c r="H38" s="5"/>
      <c r="I38" s="195"/>
      <c r="J38" s="31"/>
      <c r="K38" s="7"/>
    </row>
    <row r="39" spans="1:11" ht="15.75" hidden="1" customHeight="1">
      <c r="A39" s="8"/>
      <c r="B39" s="7"/>
      <c r="C39" s="146"/>
      <c r="D39" s="146"/>
      <c r="E39" s="8"/>
      <c r="F39" s="8"/>
      <c r="G39" s="5"/>
      <c r="H39" s="5"/>
      <c r="I39" s="195"/>
      <c r="J39" s="31"/>
      <c r="K39" s="7"/>
    </row>
    <row r="40" spans="1:11" ht="15.75" hidden="1" customHeight="1">
      <c r="A40" s="8"/>
      <c r="B40" s="7"/>
      <c r="C40" s="146"/>
      <c r="D40" s="146"/>
      <c r="E40" s="8"/>
      <c r="F40" s="8"/>
      <c r="G40" s="5"/>
      <c r="H40" s="5"/>
      <c r="I40" s="195"/>
      <c r="J40" s="31"/>
      <c r="K40" s="7"/>
    </row>
    <row r="41" spans="1:11" ht="15.75" hidden="1" customHeight="1">
      <c r="A41" s="8"/>
      <c r="B41" s="7"/>
      <c r="C41" s="146"/>
      <c r="D41" s="146"/>
      <c r="E41" s="8"/>
      <c r="F41" s="8"/>
      <c r="G41" s="5"/>
      <c r="H41" s="5"/>
      <c r="I41" s="195"/>
      <c r="J41" s="31"/>
      <c r="K41" s="7"/>
    </row>
    <row r="42" spans="1:11" ht="15.75" hidden="1" customHeight="1">
      <c r="A42" s="8"/>
      <c r="B42" s="7"/>
      <c r="C42" s="146"/>
      <c r="D42" s="146"/>
      <c r="E42" s="8"/>
      <c r="F42" s="8"/>
      <c r="G42" s="5"/>
      <c r="H42" s="5"/>
      <c r="I42" s="195"/>
      <c r="J42" s="31"/>
      <c r="K42" s="7"/>
    </row>
    <row r="43" spans="1:11" ht="15.75" hidden="1" customHeight="1">
      <c r="A43" s="8"/>
      <c r="B43" s="7"/>
      <c r="C43" s="146"/>
      <c r="D43" s="146"/>
      <c r="E43" s="8"/>
      <c r="F43" s="8"/>
      <c r="G43" s="5"/>
      <c r="H43" s="5"/>
      <c r="I43" s="195"/>
      <c r="J43" s="31"/>
      <c r="K43" s="7"/>
    </row>
    <row r="44" spans="1:11" ht="15.75" hidden="1" customHeight="1">
      <c r="A44" s="8"/>
      <c r="B44" s="7"/>
      <c r="C44" s="146"/>
      <c r="D44" s="146"/>
      <c r="E44" s="8"/>
      <c r="F44" s="8"/>
      <c r="G44" s="5"/>
      <c r="H44" s="5"/>
      <c r="I44" s="195"/>
      <c r="J44" s="31"/>
      <c r="K44" s="7"/>
    </row>
    <row r="45" spans="1:11" ht="15.75" hidden="1" customHeight="1">
      <c r="A45" s="8"/>
      <c r="B45" s="7"/>
      <c r="C45" s="146"/>
      <c r="D45" s="146"/>
      <c r="E45" s="8"/>
      <c r="F45" s="8"/>
      <c r="G45" s="5"/>
      <c r="H45" s="5"/>
      <c r="I45" s="195"/>
      <c r="J45" s="31"/>
      <c r="K45" s="7"/>
    </row>
    <row r="46" spans="1:11" ht="15.75" hidden="1" customHeight="1">
      <c r="A46" s="8"/>
      <c r="B46" s="7"/>
      <c r="C46" s="146"/>
      <c r="D46" s="146"/>
      <c r="E46" s="8"/>
      <c r="F46" s="8"/>
      <c r="G46" s="5"/>
      <c r="H46" s="5"/>
      <c r="I46" s="195"/>
      <c r="J46" s="31"/>
      <c r="K46" s="7"/>
    </row>
  </sheetData>
  <mergeCells count="7">
    <mergeCell ref="R5:R6"/>
    <mergeCell ref="S5:S6"/>
    <mergeCell ref="A26:B26"/>
    <mergeCell ref="A1:K1"/>
    <mergeCell ref="A2:K2"/>
    <mergeCell ref="L5:O5"/>
    <mergeCell ref="P5:Q5"/>
  </mergeCells>
  <phoneticPr fontId="6" type="noConversion"/>
  <printOptions horizontalCentered="1" verticalCentered="1"/>
  <pageMargins left="0.98425196850393704" right="0.70866141732283472" top="0.15748031496062992" bottom="0.5905511811023622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&amp;R&amp;"宋体,常规"&amp;10表5-1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3</xdr:col>
                    <xdr:colOff>177800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CFE24-908C-47B8-9B3D-42334530B516}">
  <sheetPr codeName="Sheet84">
    <pageSetUpPr fitToPage="1"/>
  </sheetPr>
  <dimension ref="A1:M46"/>
  <sheetViews>
    <sheetView workbookViewId="0">
      <pane ySplit="6" topLeftCell="A7" activePane="bottomLeft" state="frozen"/>
      <selection activeCell="F17" sqref="F17"/>
      <selection pane="bottomLeft" sqref="A1:G26"/>
    </sheetView>
  </sheetViews>
  <sheetFormatPr baseColWidth="10" defaultColWidth="9" defaultRowHeight="15.75" customHeight="1"/>
  <cols>
    <col min="1" max="1" width="5.6640625" style="81" customWidth="1"/>
    <col min="2" max="2" width="27" style="81" customWidth="1"/>
    <col min="3" max="3" width="13" style="81" customWidth="1"/>
    <col min="4" max="4" width="18" style="81" customWidth="1"/>
    <col min="5" max="5" width="16.5" style="81" customWidth="1"/>
    <col min="6" max="6" width="17.5" style="81" customWidth="1"/>
    <col min="7" max="7" width="17" style="81" customWidth="1"/>
    <col min="8" max="8" width="7.1640625" style="81" customWidth="1"/>
    <col min="9" max="9" width="7.6640625" style="81" customWidth="1"/>
    <col min="10" max="10" width="7.1640625" style="81" customWidth="1"/>
    <col min="11" max="11" width="7.83203125" style="81" customWidth="1"/>
    <col min="12" max="12" width="9" style="81" customWidth="1"/>
    <col min="13" max="16384" width="9" style="81"/>
  </cols>
  <sheetData>
    <row r="1" spans="1:13" s="80" customFormat="1" ht="30" customHeight="1">
      <c r="A1" s="374" t="s">
        <v>1028</v>
      </c>
      <c r="B1" s="375"/>
      <c r="C1" s="375"/>
      <c r="D1" s="375"/>
      <c r="E1" s="375"/>
      <c r="F1" s="375"/>
      <c r="G1" s="375"/>
    </row>
    <row r="2" spans="1:13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3" ht="14.25" customHeight="1">
      <c r="A3" s="40"/>
      <c r="B3" s="40"/>
      <c r="C3" s="40"/>
      <c r="D3" s="40"/>
      <c r="E3" s="40"/>
      <c r="F3" s="40"/>
      <c r="G3" s="178"/>
    </row>
    <row r="4" spans="1:13" ht="14.25" customHeight="1">
      <c r="A4" s="40"/>
      <c r="B4" s="40"/>
      <c r="C4" s="40"/>
      <c r="D4" s="40"/>
      <c r="E4" s="40"/>
      <c r="F4" s="40"/>
      <c r="G4" s="178"/>
    </row>
    <row r="5" spans="1:13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</row>
    <row r="6" spans="1:13" s="101" customFormat="1" ht="15.75" customHeight="1">
      <c r="A6" s="45" t="s">
        <v>226</v>
      </c>
      <c r="B6" s="45" t="s">
        <v>236</v>
      </c>
      <c r="C6" s="45" t="s">
        <v>237</v>
      </c>
      <c r="D6" s="45" t="s">
        <v>238</v>
      </c>
      <c r="E6" s="217" t="s">
        <v>117</v>
      </c>
      <c r="F6" s="45" t="s">
        <v>228</v>
      </c>
      <c r="G6" s="45" t="s">
        <v>229</v>
      </c>
      <c r="H6" s="274" t="s">
        <v>646</v>
      </c>
      <c r="I6" s="274" t="s">
        <v>647</v>
      </c>
      <c r="J6" s="274" t="s">
        <v>648</v>
      </c>
      <c r="K6" s="274" t="s">
        <v>649</v>
      </c>
      <c r="L6" s="274" t="s">
        <v>641</v>
      </c>
      <c r="M6" s="274" t="s">
        <v>642</v>
      </c>
    </row>
    <row r="7" spans="1:13" ht="15.75" customHeight="1">
      <c r="A7" s="8"/>
      <c r="B7" s="7"/>
      <c r="C7" s="146"/>
      <c r="D7" s="8"/>
      <c r="E7" s="31"/>
      <c r="F7" s="31"/>
      <c r="G7" s="7"/>
    </row>
    <row r="8" spans="1:13" ht="15.75" customHeight="1">
      <c r="A8" s="8"/>
      <c r="B8" s="7"/>
      <c r="C8" s="146"/>
      <c r="D8" s="8"/>
      <c r="E8" s="31"/>
      <c r="F8" s="31"/>
      <c r="G8" s="7"/>
    </row>
    <row r="9" spans="1:13" ht="15.75" customHeight="1">
      <c r="A9" s="8"/>
      <c r="B9" s="7"/>
      <c r="C9" s="146"/>
      <c r="D9" s="8"/>
      <c r="E9" s="31"/>
      <c r="F9" s="31"/>
      <c r="G9" s="7"/>
    </row>
    <row r="10" spans="1:13" ht="15.75" customHeight="1">
      <c r="A10" s="8"/>
      <c r="B10" s="7"/>
      <c r="C10" s="146"/>
      <c r="D10" s="8"/>
      <c r="E10" s="31"/>
      <c r="F10" s="31"/>
      <c r="G10" s="7"/>
    </row>
    <row r="11" spans="1:13" ht="15.75" customHeight="1">
      <c r="A11" s="8"/>
      <c r="B11" s="7"/>
      <c r="C11" s="146"/>
      <c r="D11" s="8"/>
      <c r="E11" s="31"/>
      <c r="F11" s="31"/>
      <c r="G11" s="7"/>
    </row>
    <row r="12" spans="1:13" ht="15.75" customHeight="1">
      <c r="A12" s="8"/>
      <c r="B12" s="7"/>
      <c r="C12" s="146"/>
      <c r="D12" s="8"/>
      <c r="E12" s="31"/>
      <c r="F12" s="31"/>
      <c r="G12" s="7"/>
    </row>
    <row r="13" spans="1:13" ht="15.75" customHeight="1">
      <c r="A13" s="8"/>
      <c r="B13" s="7"/>
      <c r="C13" s="146"/>
      <c r="D13" s="8"/>
      <c r="E13" s="31"/>
      <c r="F13" s="31"/>
      <c r="G13" s="7"/>
    </row>
    <row r="14" spans="1:13" ht="15.75" customHeight="1">
      <c r="A14" s="8"/>
      <c r="B14" s="7"/>
      <c r="C14" s="146"/>
      <c r="D14" s="8"/>
      <c r="E14" s="31"/>
      <c r="F14" s="31"/>
      <c r="G14" s="7"/>
    </row>
    <row r="15" spans="1:13" ht="15.75" customHeight="1">
      <c r="A15" s="8"/>
      <c r="B15" s="7"/>
      <c r="C15" s="146"/>
      <c r="D15" s="8"/>
      <c r="E15" s="31"/>
      <c r="F15" s="31"/>
      <c r="G15" s="7"/>
    </row>
    <row r="16" spans="1:13" ht="15.75" customHeight="1">
      <c r="A16" s="8"/>
      <c r="B16" s="7"/>
      <c r="C16" s="146"/>
      <c r="D16" s="8"/>
      <c r="E16" s="31"/>
      <c r="F16" s="31"/>
      <c r="G16" s="7"/>
    </row>
    <row r="17" spans="1:7" ht="15.75" customHeight="1">
      <c r="A17" s="8"/>
      <c r="B17" s="7"/>
      <c r="C17" s="146"/>
      <c r="D17" s="8"/>
      <c r="E17" s="31"/>
      <c r="F17" s="31"/>
      <c r="G17" s="7"/>
    </row>
    <row r="18" spans="1:7" ht="15.75" customHeight="1">
      <c r="A18" s="8"/>
      <c r="B18" s="7"/>
      <c r="C18" s="146"/>
      <c r="D18" s="8"/>
      <c r="E18" s="31"/>
      <c r="F18" s="31"/>
      <c r="G18" s="7"/>
    </row>
    <row r="19" spans="1:7" ht="15.75" customHeight="1">
      <c r="A19" s="8"/>
      <c r="B19" s="7"/>
      <c r="C19" s="146"/>
      <c r="D19" s="8"/>
      <c r="E19" s="31"/>
      <c r="F19" s="31"/>
      <c r="G19" s="7"/>
    </row>
    <row r="20" spans="1:7" ht="15.75" customHeight="1">
      <c r="A20" s="8"/>
      <c r="B20" s="7"/>
      <c r="C20" s="146"/>
      <c r="D20" s="8"/>
      <c r="E20" s="31"/>
      <c r="F20" s="31"/>
      <c r="G20" s="7"/>
    </row>
    <row r="21" spans="1:7" ht="15.75" customHeight="1">
      <c r="A21" s="8"/>
      <c r="B21" s="7"/>
      <c r="C21" s="146"/>
      <c r="D21" s="8"/>
      <c r="E21" s="31"/>
      <c r="F21" s="31"/>
      <c r="G21" s="7"/>
    </row>
    <row r="22" spans="1:7" ht="15.75" customHeight="1">
      <c r="A22" s="8"/>
      <c r="B22" s="7"/>
      <c r="C22" s="146"/>
      <c r="D22" s="8"/>
      <c r="E22" s="31"/>
      <c r="F22" s="31"/>
      <c r="G22" s="7"/>
    </row>
    <row r="23" spans="1:7" ht="15.75" customHeight="1">
      <c r="A23" s="8"/>
      <c r="B23" s="7"/>
      <c r="C23" s="146"/>
      <c r="D23" s="8"/>
      <c r="E23" s="31"/>
      <c r="F23" s="31"/>
      <c r="G23" s="7"/>
    </row>
    <row r="24" spans="1:7" ht="15.75" customHeight="1">
      <c r="A24" s="8"/>
      <c r="B24" s="7"/>
      <c r="C24" s="146"/>
      <c r="D24" s="8"/>
      <c r="E24" s="31"/>
      <c r="F24" s="31"/>
      <c r="G24" s="7"/>
    </row>
    <row r="25" spans="1:7" ht="15.75" customHeight="1">
      <c r="A25" s="8"/>
      <c r="B25" s="7"/>
      <c r="C25" s="146"/>
      <c r="D25" s="8"/>
      <c r="E25" s="31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0"/>
    </row>
    <row r="27" spans="1:7" ht="15.75" hidden="1" customHeight="1">
      <c r="A27" s="8"/>
      <c r="B27" s="7"/>
      <c r="C27" s="146"/>
      <c r="D27" s="8"/>
      <c r="E27" s="39"/>
      <c r="F27" s="39"/>
      <c r="G27" s="7"/>
    </row>
    <row r="28" spans="1:7" ht="15.75" hidden="1" customHeight="1">
      <c r="A28" s="8"/>
      <c r="B28" s="7"/>
      <c r="C28" s="146"/>
      <c r="D28" s="8"/>
      <c r="E28" s="31"/>
      <c r="F28" s="31"/>
      <c r="G28" s="7"/>
    </row>
    <row r="29" spans="1:7" ht="15.75" hidden="1" customHeight="1">
      <c r="A29" s="8"/>
      <c r="B29" s="7"/>
      <c r="C29" s="146"/>
      <c r="D29" s="8"/>
      <c r="E29" s="31"/>
      <c r="F29" s="31"/>
      <c r="G29" s="7"/>
    </row>
    <row r="30" spans="1:7" ht="15.75" hidden="1" customHeight="1">
      <c r="A30" s="8"/>
      <c r="B30" s="7"/>
      <c r="C30" s="146"/>
      <c r="D30" s="8"/>
      <c r="E30" s="31"/>
      <c r="F30" s="31"/>
      <c r="G30" s="7"/>
    </row>
    <row r="31" spans="1:7" ht="15.75" hidden="1" customHeight="1">
      <c r="A31" s="8"/>
      <c r="B31" s="7"/>
      <c r="C31" s="146"/>
      <c r="D31" s="8"/>
      <c r="E31" s="31"/>
      <c r="F31" s="31"/>
      <c r="G31" s="7"/>
    </row>
    <row r="32" spans="1:7" ht="15.75" hidden="1" customHeight="1">
      <c r="A32" s="8"/>
      <c r="B32" s="7"/>
      <c r="C32" s="146"/>
      <c r="D32" s="8"/>
      <c r="E32" s="31"/>
      <c r="F32" s="31"/>
      <c r="G32" s="7"/>
    </row>
    <row r="33" spans="1:7" ht="15.75" hidden="1" customHeight="1">
      <c r="A33" s="8"/>
      <c r="B33" s="7"/>
      <c r="C33" s="146"/>
      <c r="D33" s="8"/>
      <c r="E33" s="31"/>
      <c r="F33" s="31"/>
      <c r="G33" s="7"/>
    </row>
    <row r="34" spans="1:7" ht="15.75" hidden="1" customHeight="1">
      <c r="A34" s="8"/>
      <c r="B34" s="7"/>
      <c r="C34" s="146"/>
      <c r="D34" s="8"/>
      <c r="E34" s="31"/>
      <c r="F34" s="31"/>
      <c r="G34" s="7"/>
    </row>
    <row r="35" spans="1:7" ht="15.75" hidden="1" customHeight="1">
      <c r="A35" s="8"/>
      <c r="B35" s="7"/>
      <c r="C35" s="146"/>
      <c r="D35" s="8"/>
      <c r="E35" s="31"/>
      <c r="F35" s="31"/>
      <c r="G35" s="7"/>
    </row>
    <row r="36" spans="1:7" ht="15.75" hidden="1" customHeight="1">
      <c r="A36" s="8"/>
      <c r="B36" s="7"/>
      <c r="C36" s="146"/>
      <c r="D36" s="8"/>
      <c r="E36" s="31"/>
      <c r="F36" s="31"/>
      <c r="G36" s="7"/>
    </row>
    <row r="37" spans="1:7" ht="15.75" hidden="1" customHeight="1">
      <c r="A37" s="8"/>
      <c r="B37" s="7"/>
      <c r="C37" s="146"/>
      <c r="D37" s="8"/>
      <c r="E37" s="31"/>
      <c r="F37" s="31"/>
      <c r="G37" s="7"/>
    </row>
    <row r="38" spans="1:7" ht="15.75" hidden="1" customHeight="1">
      <c r="A38" s="8"/>
      <c r="B38" s="7"/>
      <c r="C38" s="146"/>
      <c r="D38" s="8"/>
      <c r="E38" s="31"/>
      <c r="F38" s="31"/>
      <c r="G38" s="7"/>
    </row>
    <row r="39" spans="1:7" ht="15.75" hidden="1" customHeight="1">
      <c r="A39" s="8"/>
      <c r="B39" s="7"/>
      <c r="C39" s="146"/>
      <c r="D39" s="8"/>
      <c r="E39" s="31"/>
      <c r="F39" s="31"/>
      <c r="G39" s="7"/>
    </row>
    <row r="40" spans="1:7" ht="15.75" hidden="1" customHeight="1">
      <c r="A40" s="8"/>
      <c r="B40" s="7"/>
      <c r="C40" s="146"/>
      <c r="D40" s="8"/>
      <c r="E40" s="31"/>
      <c r="F40" s="31"/>
      <c r="G40" s="7"/>
    </row>
    <row r="41" spans="1:7" ht="15.75" hidden="1" customHeight="1">
      <c r="A41" s="8"/>
      <c r="B41" s="7"/>
      <c r="C41" s="146"/>
      <c r="D41" s="8"/>
      <c r="E41" s="31"/>
      <c r="F41" s="31"/>
      <c r="G41" s="7"/>
    </row>
    <row r="42" spans="1:7" ht="15.75" hidden="1" customHeight="1">
      <c r="A42" s="8"/>
      <c r="B42" s="7"/>
      <c r="C42" s="146"/>
      <c r="D42" s="8"/>
      <c r="E42" s="31"/>
      <c r="F42" s="31"/>
      <c r="G42" s="7"/>
    </row>
    <row r="43" spans="1:7" ht="15.75" hidden="1" customHeight="1">
      <c r="A43" s="8"/>
      <c r="B43" s="7"/>
      <c r="C43" s="146"/>
      <c r="D43" s="8"/>
      <c r="E43" s="31"/>
      <c r="F43" s="31"/>
      <c r="G43" s="7"/>
    </row>
    <row r="44" spans="1:7" ht="15.75" hidden="1" customHeight="1">
      <c r="A44" s="8"/>
      <c r="B44" s="7"/>
      <c r="C44" s="146"/>
      <c r="D44" s="8"/>
      <c r="E44" s="31"/>
      <c r="F44" s="31"/>
      <c r="G44" s="7"/>
    </row>
    <row r="45" spans="1:7" ht="15.75" hidden="1" customHeight="1">
      <c r="A45" s="8"/>
      <c r="B45" s="7"/>
      <c r="C45" s="146"/>
      <c r="D45" s="8"/>
      <c r="E45" s="31"/>
      <c r="F45" s="31"/>
      <c r="G45" s="7"/>
    </row>
    <row r="46" spans="1:7" ht="15.75" hidden="1" customHeight="1">
      <c r="A46" s="8"/>
      <c r="B46" s="7"/>
      <c r="C46" s="146"/>
      <c r="D46" s="8"/>
      <c r="E46" s="31"/>
      <c r="F46" s="31"/>
      <c r="G46" s="7"/>
    </row>
  </sheetData>
  <mergeCells count="3">
    <mergeCell ref="A1:G1"/>
    <mergeCell ref="A2:G2"/>
    <mergeCell ref="A26:B26"/>
  </mergeCells>
  <phoneticPr fontId="6" type="noConversion"/>
  <printOptions horizontalCentered="1" verticalCentered="1"/>
  <pageMargins left="1.2204724409448819" right="0.82677165354330717" top="0.23622047244094491" bottom="0.64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&amp;R&amp;"宋体,常规"&amp;10表5-2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0</xdr:rowOff>
                  </from>
                  <to>
                    <xdr:col>2</xdr:col>
                    <xdr:colOff>165100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2CF1-57A0-4D27-BE5B-855164B87EC0}">
  <sheetPr codeName="Sheet93">
    <pageSetUpPr fitToPage="1"/>
  </sheetPr>
  <dimension ref="A1:N46"/>
  <sheetViews>
    <sheetView zoomScaleNormal="100" workbookViewId="0">
      <selection activeCell="O10" sqref="O10"/>
    </sheetView>
  </sheetViews>
  <sheetFormatPr baseColWidth="10" defaultColWidth="9" defaultRowHeight="15.75" customHeight="1"/>
  <cols>
    <col min="1" max="1" width="5.6640625" style="81" customWidth="1"/>
    <col min="2" max="2" width="22.1640625" style="81" customWidth="1"/>
    <col min="3" max="3" width="13.1640625" style="81" customWidth="1"/>
    <col min="4" max="4" width="11.6640625" style="81" customWidth="1"/>
    <col min="5" max="5" width="10.1640625" style="81" customWidth="1"/>
    <col min="6" max="7" width="12.6640625" style="81" customWidth="1"/>
    <col min="8" max="8" width="8.6640625" style="135" customWidth="1"/>
    <col min="9" max="9" width="9.6640625" style="340" customWidth="1"/>
    <col min="10" max="10" width="11.6640625" style="81" customWidth="1"/>
    <col min="11" max="11" width="8" style="81" customWidth="1"/>
    <col min="12" max="12" width="5.1640625" style="81" customWidth="1"/>
    <col min="13" max="13" width="13.6640625" style="81" customWidth="1"/>
    <col min="14" max="14" width="8.33203125" style="81" customWidth="1"/>
    <col min="15" max="16384" width="9" style="81"/>
  </cols>
  <sheetData>
    <row r="1" spans="1:14" s="80" customFormat="1" ht="30" customHeight="1">
      <c r="A1" s="374" t="s">
        <v>1029</v>
      </c>
      <c r="B1" s="375"/>
      <c r="C1" s="375"/>
      <c r="D1" s="375"/>
      <c r="E1" s="375"/>
      <c r="F1" s="375"/>
      <c r="G1" s="375"/>
      <c r="H1" s="375"/>
      <c r="I1" s="375"/>
      <c r="J1" s="375"/>
    </row>
    <row r="2" spans="1:1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8"/>
      <c r="G2" s="378"/>
      <c r="H2" s="378"/>
      <c r="I2" s="378"/>
      <c r="J2" s="378"/>
    </row>
    <row r="3" spans="1:14" ht="14.25" customHeight="1">
      <c r="A3" s="40"/>
      <c r="B3" s="40"/>
      <c r="C3" s="40"/>
      <c r="D3" s="40"/>
      <c r="E3" s="40"/>
      <c r="F3" s="171"/>
      <c r="G3" s="171"/>
      <c r="H3" s="172"/>
      <c r="I3" s="131"/>
      <c r="J3" s="178"/>
    </row>
    <row r="4" spans="1:14" ht="14.25" customHeight="1">
      <c r="A4" s="40"/>
      <c r="B4" s="40"/>
      <c r="C4" s="40"/>
      <c r="D4" s="40"/>
      <c r="E4" s="40"/>
      <c r="F4" s="171"/>
      <c r="G4" s="171"/>
      <c r="H4" s="172"/>
      <c r="I4" s="337"/>
      <c r="J4" s="37"/>
    </row>
    <row r="5" spans="1:14" ht="15.75" customHeight="1">
      <c r="A5" s="41" t="str">
        <f>'1-汇总表'!A4</f>
        <v>被评估单位：A有限公司</v>
      </c>
      <c r="B5" s="42"/>
      <c r="C5" s="42"/>
      <c r="D5" s="42"/>
      <c r="E5" s="42"/>
      <c r="F5" s="42"/>
      <c r="G5" s="42"/>
      <c r="H5" s="173"/>
      <c r="I5" s="218"/>
      <c r="J5" s="122"/>
      <c r="K5" s="441" t="s">
        <v>707</v>
      </c>
      <c r="L5" s="441" t="s">
        <v>597</v>
      </c>
      <c r="M5" s="425" t="s">
        <v>598</v>
      </c>
      <c r="N5" s="425" t="s">
        <v>599</v>
      </c>
    </row>
    <row r="6" spans="1:14" s="101" customFormat="1" ht="15" customHeight="1">
      <c r="A6" s="45" t="s">
        <v>7</v>
      </c>
      <c r="B6" s="360" t="s">
        <v>930</v>
      </c>
      <c r="C6" s="45" t="s">
        <v>35</v>
      </c>
      <c r="D6" s="45" t="s">
        <v>945</v>
      </c>
      <c r="E6" s="361" t="s">
        <v>43</v>
      </c>
      <c r="F6" s="188" t="s">
        <v>117</v>
      </c>
      <c r="G6" s="45" t="s">
        <v>0</v>
      </c>
      <c r="H6" s="175" t="s">
        <v>1</v>
      </c>
      <c r="I6" s="341" t="s">
        <v>479</v>
      </c>
      <c r="J6" s="45" t="s">
        <v>39</v>
      </c>
      <c r="K6" s="443"/>
      <c r="L6" s="443"/>
      <c r="M6" s="426"/>
      <c r="N6" s="426"/>
    </row>
    <row r="7" spans="1:14" ht="15.75" customHeight="1">
      <c r="A7" s="8"/>
      <c r="B7" s="7"/>
      <c r="C7" s="8"/>
      <c r="D7" s="146"/>
      <c r="E7" s="8"/>
      <c r="F7" s="5"/>
      <c r="G7" s="5"/>
      <c r="H7" s="28" t="str">
        <f>IF(ISERROR(G7-F7),"",IF(G7=0,"",G7-F7))</f>
        <v/>
      </c>
      <c r="I7" s="339" t="str">
        <f>IF(ISERROR(G7-F7),"",IF(G7=0,"",IF(H7="",0,ROUND(H7*100/F7,2))))</f>
        <v/>
      </c>
      <c r="J7" s="7"/>
    </row>
    <row r="8" spans="1:14" ht="15.75" customHeight="1">
      <c r="A8" s="8"/>
      <c r="B8" s="7"/>
      <c r="C8" s="8"/>
      <c r="D8" s="146"/>
      <c r="E8" s="8"/>
      <c r="F8" s="5"/>
      <c r="G8" s="5"/>
      <c r="H8" s="28" t="str">
        <f t="shared" ref="H8:H26" si="0">IF(ISERROR(G8-F8),"",IF(G8=0,"",G8-F8))</f>
        <v/>
      </c>
      <c r="I8" s="339" t="str">
        <f t="shared" ref="I8:I26" si="1">IF(ISERROR(G8-F8),"",IF(G8=0,"",IF(H8="",0,ROUND(H8*100/F8,2))))</f>
        <v/>
      </c>
      <c r="J8" s="7"/>
    </row>
    <row r="9" spans="1:14" ht="15.75" customHeight="1">
      <c r="A9" s="8"/>
      <c r="B9" s="7"/>
      <c r="C9" s="8"/>
      <c r="D9" s="146"/>
      <c r="E9" s="8"/>
      <c r="F9" s="5"/>
      <c r="G9" s="5"/>
      <c r="H9" s="28" t="str">
        <f t="shared" si="0"/>
        <v/>
      </c>
      <c r="I9" s="339" t="str">
        <f t="shared" si="1"/>
        <v/>
      </c>
      <c r="J9" s="7"/>
    </row>
    <row r="10" spans="1:14" ht="15.75" customHeight="1">
      <c r="A10" s="8"/>
      <c r="B10" s="7"/>
      <c r="C10" s="8"/>
      <c r="D10" s="146"/>
      <c r="E10" s="8"/>
      <c r="F10" s="5"/>
      <c r="G10" s="5"/>
      <c r="H10" s="28" t="str">
        <f t="shared" si="0"/>
        <v/>
      </c>
      <c r="I10" s="339" t="str">
        <f t="shared" si="1"/>
        <v/>
      </c>
      <c r="J10" s="7"/>
    </row>
    <row r="11" spans="1:14" ht="15.75" customHeight="1">
      <c r="A11" s="8"/>
      <c r="B11" s="7"/>
      <c r="C11" s="8"/>
      <c r="D11" s="146"/>
      <c r="E11" s="8"/>
      <c r="F11" s="5"/>
      <c r="G11" s="5"/>
      <c r="H11" s="28" t="str">
        <f t="shared" si="0"/>
        <v/>
      </c>
      <c r="I11" s="339" t="str">
        <f t="shared" si="1"/>
        <v/>
      </c>
      <c r="J11" s="7"/>
    </row>
    <row r="12" spans="1:14" ht="15.75" customHeight="1">
      <c r="A12" s="8"/>
      <c r="B12" s="7"/>
      <c r="C12" s="8"/>
      <c r="D12" s="146"/>
      <c r="E12" s="8"/>
      <c r="F12" s="5"/>
      <c r="G12" s="5"/>
      <c r="H12" s="28" t="str">
        <f t="shared" si="0"/>
        <v/>
      </c>
      <c r="I12" s="339" t="str">
        <f t="shared" si="1"/>
        <v/>
      </c>
      <c r="J12" s="7"/>
    </row>
    <row r="13" spans="1:14" ht="15.75" customHeight="1">
      <c r="A13" s="8"/>
      <c r="B13" s="7"/>
      <c r="C13" s="8"/>
      <c r="D13" s="146"/>
      <c r="E13" s="8"/>
      <c r="F13" s="5"/>
      <c r="G13" s="5"/>
      <c r="H13" s="28" t="str">
        <f t="shared" si="0"/>
        <v/>
      </c>
      <c r="I13" s="339" t="str">
        <f t="shared" si="1"/>
        <v/>
      </c>
      <c r="J13" s="7"/>
    </row>
    <row r="14" spans="1:14" ht="15.75" customHeight="1">
      <c r="A14" s="8"/>
      <c r="B14" s="7"/>
      <c r="C14" s="8"/>
      <c r="D14" s="146"/>
      <c r="E14" s="8"/>
      <c r="F14" s="5"/>
      <c r="G14" s="5"/>
      <c r="H14" s="28" t="str">
        <f t="shared" si="0"/>
        <v/>
      </c>
      <c r="I14" s="339" t="str">
        <f t="shared" si="1"/>
        <v/>
      </c>
      <c r="J14" s="7"/>
    </row>
    <row r="15" spans="1:14" ht="15.75" customHeight="1">
      <c r="A15" s="8"/>
      <c r="B15" s="7"/>
      <c r="C15" s="8"/>
      <c r="D15" s="146"/>
      <c r="E15" s="8"/>
      <c r="F15" s="5"/>
      <c r="G15" s="5"/>
      <c r="H15" s="28" t="str">
        <f t="shared" si="0"/>
        <v/>
      </c>
      <c r="I15" s="339" t="str">
        <f t="shared" si="1"/>
        <v/>
      </c>
      <c r="J15" s="7"/>
    </row>
    <row r="16" spans="1:14" ht="15.75" customHeight="1">
      <c r="A16" s="8"/>
      <c r="B16" s="7"/>
      <c r="C16" s="8"/>
      <c r="D16" s="146"/>
      <c r="E16" s="8"/>
      <c r="F16" s="5"/>
      <c r="G16" s="5"/>
      <c r="H16" s="28" t="str">
        <f t="shared" si="0"/>
        <v/>
      </c>
      <c r="I16" s="339" t="str">
        <f t="shared" si="1"/>
        <v/>
      </c>
      <c r="J16" s="7"/>
    </row>
    <row r="17" spans="1:10" ht="15.75" customHeight="1">
      <c r="A17" s="8"/>
      <c r="B17" s="7"/>
      <c r="C17" s="8"/>
      <c r="D17" s="146"/>
      <c r="E17" s="8"/>
      <c r="F17" s="5"/>
      <c r="G17" s="5"/>
      <c r="H17" s="28" t="str">
        <f t="shared" si="0"/>
        <v/>
      </c>
      <c r="I17" s="339" t="str">
        <f t="shared" si="1"/>
        <v/>
      </c>
      <c r="J17" s="7"/>
    </row>
    <row r="18" spans="1:10" ht="15.75" customHeight="1">
      <c r="A18" s="8"/>
      <c r="B18" s="7"/>
      <c r="C18" s="8"/>
      <c r="D18" s="146"/>
      <c r="E18" s="8"/>
      <c r="F18" s="5"/>
      <c r="G18" s="5"/>
      <c r="H18" s="28" t="str">
        <f t="shared" si="0"/>
        <v/>
      </c>
      <c r="I18" s="339" t="str">
        <f t="shared" si="1"/>
        <v/>
      </c>
      <c r="J18" s="7"/>
    </row>
    <row r="19" spans="1:10" ht="15.75" customHeight="1">
      <c r="A19" s="8"/>
      <c r="B19" s="7"/>
      <c r="C19" s="8"/>
      <c r="D19" s="146"/>
      <c r="E19" s="8"/>
      <c r="F19" s="5"/>
      <c r="G19" s="5"/>
      <c r="H19" s="28" t="str">
        <f t="shared" si="0"/>
        <v/>
      </c>
      <c r="I19" s="339" t="str">
        <f t="shared" si="1"/>
        <v/>
      </c>
      <c r="J19" s="7"/>
    </row>
    <row r="20" spans="1:10" ht="15.75" customHeight="1">
      <c r="A20" s="8"/>
      <c r="B20" s="7"/>
      <c r="C20" s="8"/>
      <c r="D20" s="146"/>
      <c r="E20" s="8"/>
      <c r="F20" s="5"/>
      <c r="G20" s="5"/>
      <c r="H20" s="28" t="str">
        <f t="shared" si="0"/>
        <v/>
      </c>
      <c r="I20" s="339" t="str">
        <f t="shared" si="1"/>
        <v/>
      </c>
      <c r="J20" s="7"/>
    </row>
    <row r="21" spans="1:10" ht="15.75" customHeight="1">
      <c r="A21" s="8"/>
      <c r="B21" s="7"/>
      <c r="C21" s="8"/>
      <c r="D21" s="146"/>
      <c r="E21" s="8"/>
      <c r="F21" s="5"/>
      <c r="G21" s="5"/>
      <c r="H21" s="28" t="str">
        <f t="shared" si="0"/>
        <v/>
      </c>
      <c r="I21" s="339" t="str">
        <f t="shared" si="1"/>
        <v/>
      </c>
      <c r="J21" s="7"/>
    </row>
    <row r="22" spans="1:10" ht="15.75" customHeight="1">
      <c r="A22" s="8"/>
      <c r="B22" s="7"/>
      <c r="C22" s="8"/>
      <c r="D22" s="146"/>
      <c r="E22" s="8"/>
      <c r="F22" s="5"/>
      <c r="G22" s="5"/>
      <c r="H22" s="28" t="str">
        <f t="shared" si="0"/>
        <v/>
      </c>
      <c r="I22" s="339" t="str">
        <f t="shared" si="1"/>
        <v/>
      </c>
      <c r="J22" s="7"/>
    </row>
    <row r="23" spans="1:10" ht="15.75" customHeight="1">
      <c r="A23" s="8"/>
      <c r="B23" s="7"/>
      <c r="C23" s="8"/>
      <c r="D23" s="146"/>
      <c r="E23" s="8"/>
      <c r="F23" s="5"/>
      <c r="G23" s="5"/>
      <c r="H23" s="28" t="str">
        <f t="shared" si="0"/>
        <v/>
      </c>
      <c r="I23" s="339" t="str">
        <f t="shared" si="1"/>
        <v/>
      </c>
      <c r="J23" s="7"/>
    </row>
    <row r="24" spans="1:10" ht="15.75" customHeight="1">
      <c r="A24" s="420" t="s">
        <v>534</v>
      </c>
      <c r="B24" s="421"/>
      <c r="C24" s="244"/>
      <c r="D24" s="235"/>
      <c r="E24" s="235"/>
      <c r="F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4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4" s="28" t="str">
        <f ca="1">IF(ISERROR(G24-F24),"",IF(G24=0,"",G24-F24))</f>
        <v/>
      </c>
      <c r="I24" s="339" t="str">
        <f t="shared" ca="1" si="1"/>
        <v/>
      </c>
      <c r="J24" s="234"/>
    </row>
    <row r="25" spans="1:10" ht="15.75" customHeight="1">
      <c r="A25" s="439" t="s">
        <v>432</v>
      </c>
      <c r="B25" s="567"/>
      <c r="C25" s="244"/>
      <c r="D25" s="235"/>
      <c r="E25" s="235"/>
      <c r="F25" s="233"/>
      <c r="G25" s="233"/>
      <c r="H25" s="28"/>
      <c r="I25" s="339"/>
      <c r="J25" s="234"/>
    </row>
    <row r="26" spans="1:10" ht="15.75" customHeight="1">
      <c r="A26" s="420" t="s">
        <v>534</v>
      </c>
      <c r="B26" s="421"/>
      <c r="C26" s="244"/>
      <c r="D26" s="235"/>
      <c r="E26" s="235"/>
      <c r="F26" s="233" t="str">
        <f ca="1">IF(F25="",F24,F24-F25)</f>
        <v/>
      </c>
      <c r="G26" s="233" t="str">
        <f ca="1">IF(G25="",G24,G24-G25)</f>
        <v/>
      </c>
      <c r="H26" s="28" t="str">
        <f t="shared" ca="1" si="0"/>
        <v/>
      </c>
      <c r="I26" s="339" t="str">
        <f t="shared" ca="1" si="1"/>
        <v/>
      </c>
      <c r="J26" s="234"/>
    </row>
    <row r="27" spans="1:10" ht="15.75" hidden="1" customHeight="1">
      <c r="A27" s="8"/>
      <c r="B27" s="7"/>
      <c r="C27" s="8"/>
      <c r="D27" s="146"/>
      <c r="E27" s="8"/>
      <c r="F27" s="5"/>
      <c r="G27" s="5"/>
      <c r="H27" s="28" t="str">
        <f>IF(ISERROR(G27-F27),"",IF(G27=0,"",G27-F27))</f>
        <v/>
      </c>
      <c r="I27" s="339" t="str">
        <f>IF(ISERROR(G27-F27),"",IF(G27=0,"",IF(H27="",0,ROUND(H27*100/F27,2))))</f>
        <v/>
      </c>
      <c r="J27" s="7"/>
    </row>
    <row r="28" spans="1:10" ht="15.75" hidden="1" customHeight="1">
      <c r="A28" s="8"/>
      <c r="B28" s="7"/>
      <c r="C28" s="8"/>
      <c r="D28" s="146"/>
      <c r="E28" s="8"/>
      <c r="F28" s="5"/>
      <c r="G28" s="5"/>
      <c r="H28" s="28" t="str">
        <f t="shared" ref="H28:H46" si="2">IF(ISERROR(G28-F28),"",IF(G28=0,"",G28-F28))</f>
        <v/>
      </c>
      <c r="I28" s="339" t="str">
        <f t="shared" ref="I28:I46" si="3">IF(ISERROR(G28-F28),"",IF(G28=0,"",IF(H28="",0,ROUND(H28*100/F28,2))))</f>
        <v/>
      </c>
      <c r="J28" s="7"/>
    </row>
    <row r="29" spans="1:10" ht="15.75" hidden="1" customHeight="1">
      <c r="A29" s="8"/>
      <c r="B29" s="7"/>
      <c r="C29" s="8"/>
      <c r="D29" s="146"/>
      <c r="E29" s="8"/>
      <c r="F29" s="5"/>
      <c r="G29" s="5"/>
      <c r="H29" s="28" t="str">
        <f t="shared" si="2"/>
        <v/>
      </c>
      <c r="I29" s="339" t="str">
        <f t="shared" si="3"/>
        <v/>
      </c>
      <c r="J29" s="7"/>
    </row>
    <row r="30" spans="1:10" ht="15.75" hidden="1" customHeight="1">
      <c r="A30" s="8"/>
      <c r="B30" s="7"/>
      <c r="C30" s="8"/>
      <c r="D30" s="146"/>
      <c r="E30" s="8"/>
      <c r="F30" s="5"/>
      <c r="G30" s="5"/>
      <c r="H30" s="28" t="str">
        <f t="shared" si="2"/>
        <v/>
      </c>
      <c r="I30" s="339" t="str">
        <f t="shared" si="3"/>
        <v/>
      </c>
      <c r="J30" s="7"/>
    </row>
    <row r="31" spans="1:10" ht="15.75" hidden="1" customHeight="1">
      <c r="A31" s="8"/>
      <c r="B31" s="7"/>
      <c r="C31" s="8"/>
      <c r="D31" s="146"/>
      <c r="E31" s="8"/>
      <c r="F31" s="5"/>
      <c r="G31" s="5"/>
      <c r="H31" s="28" t="str">
        <f t="shared" si="2"/>
        <v/>
      </c>
      <c r="I31" s="339" t="str">
        <f t="shared" si="3"/>
        <v/>
      </c>
      <c r="J31" s="7"/>
    </row>
    <row r="32" spans="1:10" ht="15.75" hidden="1" customHeight="1">
      <c r="A32" s="8"/>
      <c r="B32" s="7"/>
      <c r="C32" s="8"/>
      <c r="D32" s="146"/>
      <c r="E32" s="8"/>
      <c r="F32" s="5"/>
      <c r="G32" s="5"/>
      <c r="H32" s="28" t="str">
        <f t="shared" si="2"/>
        <v/>
      </c>
      <c r="I32" s="339" t="str">
        <f t="shared" si="3"/>
        <v/>
      </c>
      <c r="J32" s="7"/>
    </row>
    <row r="33" spans="1:10" ht="15.75" hidden="1" customHeight="1">
      <c r="A33" s="8"/>
      <c r="B33" s="7"/>
      <c r="C33" s="8"/>
      <c r="D33" s="146"/>
      <c r="E33" s="8"/>
      <c r="F33" s="5"/>
      <c r="G33" s="5"/>
      <c r="H33" s="28" t="str">
        <f t="shared" si="2"/>
        <v/>
      </c>
      <c r="I33" s="339" t="str">
        <f t="shared" si="3"/>
        <v/>
      </c>
      <c r="J33" s="7"/>
    </row>
    <row r="34" spans="1:10" ht="15.75" hidden="1" customHeight="1">
      <c r="A34" s="8"/>
      <c r="B34" s="7"/>
      <c r="C34" s="8"/>
      <c r="D34" s="146"/>
      <c r="E34" s="8"/>
      <c r="F34" s="5"/>
      <c r="G34" s="5"/>
      <c r="H34" s="28" t="str">
        <f t="shared" si="2"/>
        <v/>
      </c>
      <c r="I34" s="339" t="str">
        <f t="shared" si="3"/>
        <v/>
      </c>
      <c r="J34" s="7"/>
    </row>
    <row r="35" spans="1:10" ht="15.75" hidden="1" customHeight="1">
      <c r="A35" s="8"/>
      <c r="B35" s="7"/>
      <c r="C35" s="8"/>
      <c r="D35" s="146"/>
      <c r="E35" s="8"/>
      <c r="F35" s="5"/>
      <c r="G35" s="5"/>
      <c r="H35" s="28" t="str">
        <f t="shared" si="2"/>
        <v/>
      </c>
      <c r="I35" s="339" t="str">
        <f t="shared" si="3"/>
        <v/>
      </c>
      <c r="J35" s="7"/>
    </row>
    <row r="36" spans="1:10" ht="15.75" hidden="1" customHeight="1">
      <c r="A36" s="8"/>
      <c r="B36" s="7"/>
      <c r="C36" s="8"/>
      <c r="D36" s="146"/>
      <c r="E36" s="8"/>
      <c r="F36" s="5"/>
      <c r="G36" s="5"/>
      <c r="H36" s="28" t="str">
        <f t="shared" si="2"/>
        <v/>
      </c>
      <c r="I36" s="339" t="str">
        <f t="shared" si="3"/>
        <v/>
      </c>
      <c r="J36" s="7"/>
    </row>
    <row r="37" spans="1:10" ht="15.75" hidden="1" customHeight="1">
      <c r="A37" s="8"/>
      <c r="B37" s="7"/>
      <c r="C37" s="8"/>
      <c r="D37" s="146"/>
      <c r="E37" s="8"/>
      <c r="F37" s="5"/>
      <c r="G37" s="5"/>
      <c r="H37" s="28" t="str">
        <f t="shared" si="2"/>
        <v/>
      </c>
      <c r="I37" s="339" t="str">
        <f t="shared" si="3"/>
        <v/>
      </c>
      <c r="J37" s="7"/>
    </row>
    <row r="38" spans="1:10" ht="15.75" hidden="1" customHeight="1">
      <c r="A38" s="8"/>
      <c r="B38" s="7"/>
      <c r="C38" s="8"/>
      <c r="D38" s="146"/>
      <c r="E38" s="8"/>
      <c r="F38" s="5"/>
      <c r="G38" s="5"/>
      <c r="H38" s="28" t="str">
        <f t="shared" si="2"/>
        <v/>
      </c>
      <c r="I38" s="339" t="str">
        <f t="shared" si="3"/>
        <v/>
      </c>
      <c r="J38" s="7"/>
    </row>
    <row r="39" spans="1:10" ht="15.75" hidden="1" customHeight="1">
      <c r="A39" s="8"/>
      <c r="B39" s="7"/>
      <c r="C39" s="8"/>
      <c r="D39" s="146"/>
      <c r="E39" s="8"/>
      <c r="F39" s="5"/>
      <c r="G39" s="5"/>
      <c r="H39" s="28" t="str">
        <f t="shared" si="2"/>
        <v/>
      </c>
      <c r="I39" s="339" t="str">
        <f t="shared" si="3"/>
        <v/>
      </c>
      <c r="J39" s="7"/>
    </row>
    <row r="40" spans="1:10" ht="15.75" hidden="1" customHeight="1">
      <c r="A40" s="8"/>
      <c r="B40" s="7"/>
      <c r="C40" s="8"/>
      <c r="D40" s="146"/>
      <c r="E40" s="8"/>
      <c r="F40" s="5"/>
      <c r="G40" s="5"/>
      <c r="H40" s="28" t="str">
        <f t="shared" si="2"/>
        <v/>
      </c>
      <c r="I40" s="339" t="str">
        <f t="shared" si="3"/>
        <v/>
      </c>
      <c r="J40" s="7"/>
    </row>
    <row r="41" spans="1:10" ht="15.75" hidden="1" customHeight="1">
      <c r="A41" s="8"/>
      <c r="B41" s="7"/>
      <c r="C41" s="8"/>
      <c r="D41" s="146"/>
      <c r="E41" s="8"/>
      <c r="F41" s="5"/>
      <c r="G41" s="5"/>
      <c r="H41" s="28" t="str">
        <f t="shared" si="2"/>
        <v/>
      </c>
      <c r="I41" s="339" t="str">
        <f t="shared" si="3"/>
        <v/>
      </c>
      <c r="J41" s="7"/>
    </row>
    <row r="42" spans="1:10" ht="15.75" hidden="1" customHeight="1">
      <c r="A42" s="8"/>
      <c r="B42" s="7"/>
      <c r="C42" s="8"/>
      <c r="D42" s="146"/>
      <c r="E42" s="8"/>
      <c r="F42" s="5"/>
      <c r="G42" s="5"/>
      <c r="H42" s="28" t="str">
        <f t="shared" si="2"/>
        <v/>
      </c>
      <c r="I42" s="339" t="str">
        <f t="shared" si="3"/>
        <v/>
      </c>
      <c r="J42" s="7"/>
    </row>
    <row r="43" spans="1:10" ht="15.75" hidden="1" customHeight="1">
      <c r="A43" s="8"/>
      <c r="B43" s="7"/>
      <c r="C43" s="8"/>
      <c r="D43" s="146"/>
      <c r="E43" s="8"/>
      <c r="F43" s="5"/>
      <c r="G43" s="5"/>
      <c r="H43" s="28" t="str">
        <f t="shared" si="2"/>
        <v/>
      </c>
      <c r="I43" s="339" t="str">
        <f t="shared" si="3"/>
        <v/>
      </c>
      <c r="J43" s="7"/>
    </row>
    <row r="44" spans="1:10" ht="15.75" hidden="1" customHeight="1">
      <c r="A44" s="8"/>
      <c r="B44" s="7"/>
      <c r="C44" s="8"/>
      <c r="D44" s="146"/>
      <c r="E44" s="8"/>
      <c r="F44" s="5"/>
      <c r="G44" s="5"/>
      <c r="H44" s="28" t="str">
        <f t="shared" si="2"/>
        <v/>
      </c>
      <c r="I44" s="339" t="str">
        <f t="shared" si="3"/>
        <v/>
      </c>
      <c r="J44" s="7"/>
    </row>
    <row r="45" spans="1:10" ht="15.75" hidden="1" customHeight="1">
      <c r="A45" s="8"/>
      <c r="B45" s="7"/>
      <c r="C45" s="8"/>
      <c r="D45" s="146"/>
      <c r="E45" s="8"/>
      <c r="F45" s="5"/>
      <c r="G45" s="5"/>
      <c r="H45" s="28" t="str">
        <f t="shared" si="2"/>
        <v/>
      </c>
      <c r="I45" s="339" t="str">
        <f t="shared" si="3"/>
        <v/>
      </c>
      <c r="J45" s="7"/>
    </row>
    <row r="46" spans="1:10" ht="15.75" hidden="1" customHeight="1">
      <c r="A46" s="8"/>
      <c r="B46" s="7"/>
      <c r="C46" s="8"/>
      <c r="D46" s="146"/>
      <c r="E46" s="8"/>
      <c r="F46" s="5"/>
      <c r="G46" s="5"/>
      <c r="H46" s="28" t="str">
        <f t="shared" si="2"/>
        <v/>
      </c>
      <c r="I46" s="339" t="str">
        <f t="shared" si="3"/>
        <v/>
      </c>
      <c r="J46" s="7"/>
    </row>
  </sheetData>
  <mergeCells count="9">
    <mergeCell ref="N5:N6"/>
    <mergeCell ref="A24:B24"/>
    <mergeCell ref="A25:B25"/>
    <mergeCell ref="A26:B26"/>
    <mergeCell ref="A1:J1"/>
    <mergeCell ref="A2:J2"/>
    <mergeCell ref="K5:K6"/>
    <mergeCell ref="L5:L6"/>
    <mergeCell ref="M5:M6"/>
  </mergeCells>
  <phoneticPr fontId="52" type="noConversion"/>
  <printOptions horizontalCentered="1" verticalCentered="1"/>
  <pageMargins left="1.1023622047244095" right="0.82677165354330717" top="0.62992125984251968" bottom="1.0629921259842521" header="1.7716535433070868" footer="1.1811023622047245"/>
  <pageSetup paperSize="9" scale="99" fitToHeight="0" orientation="landscape" blackAndWhite="1" horizontalDpi="1200" verticalDpi="1200" r:id="rId1"/>
  <headerFooter scaleWithDoc="0">
    <oddHeader>&amp;R&amp;"宋体,常规"&amp;10表5-3
共&amp;N页 第&amp;P页
金额单位：人民币元</oddHeader>
    <oddFooter>&amp;L&amp;10产权持有单位填表人：_x000D_填表日期：</oddFooter>
  </headerFooter>
  <rowBreaks count="1" manualBreakCount="1">
    <brk id="2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SetFun">
                <anchor moveWithCells="1" sizeWithCells="1">
                  <from>
                    <xdr:col>2</xdr:col>
                    <xdr:colOff>63500</xdr:colOff>
                    <xdr:row>2</xdr:row>
                    <xdr:rowOff>0</xdr:rowOff>
                  </from>
                  <to>
                    <xdr:col>3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EBB26-2A18-44C9-950A-03E8410CFDB1}">
  <sheetPr codeName="Sheet61">
    <pageSetUpPr fitToPage="1"/>
  </sheetPr>
  <dimension ref="A1:O46"/>
  <sheetViews>
    <sheetView workbookViewId="0">
      <pane ySplit="6" topLeftCell="A17" activePane="bottomLeft" state="frozen"/>
      <selection activeCell="F17" sqref="F17"/>
      <selection pane="bottomLeft" sqref="A1:H26"/>
    </sheetView>
  </sheetViews>
  <sheetFormatPr baseColWidth="10" defaultColWidth="9" defaultRowHeight="15.75" customHeight="1"/>
  <cols>
    <col min="1" max="1" width="6.1640625" style="81" customWidth="1"/>
    <col min="2" max="2" width="23.1640625" style="81" customWidth="1"/>
    <col min="3" max="4" width="12.5" style="81" customWidth="1"/>
    <col min="5" max="5" width="11.6640625" style="81" customWidth="1"/>
    <col min="6" max="6" width="17" style="81" customWidth="1"/>
    <col min="7" max="7" width="16.6640625" style="81" customWidth="1"/>
    <col min="8" max="8" width="16.5" style="81" customWidth="1"/>
    <col min="9" max="9" width="7.5" style="81" customWidth="1"/>
    <col min="10" max="10" width="10.1640625" style="81" customWidth="1"/>
    <col min="11" max="11" width="12.6640625" style="81" customWidth="1"/>
    <col min="12" max="12" width="13.1640625" style="81" customWidth="1"/>
    <col min="13" max="13" width="6.5" style="81" customWidth="1"/>
    <col min="14" max="14" width="7" style="81" customWidth="1"/>
    <col min="15" max="15" width="8.1640625" style="81" customWidth="1"/>
    <col min="16" max="16384" width="9" style="81"/>
  </cols>
  <sheetData>
    <row r="1" spans="1:15" s="80" customFormat="1" ht="30" customHeight="1">
      <c r="A1" s="374" t="s">
        <v>1030</v>
      </c>
      <c r="B1" s="375"/>
      <c r="C1" s="375"/>
      <c r="D1" s="375"/>
      <c r="E1" s="375"/>
      <c r="F1" s="375"/>
      <c r="G1" s="375"/>
      <c r="H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</row>
    <row r="3" spans="1:15" ht="14.25" customHeight="1">
      <c r="A3" s="40"/>
      <c r="B3" s="40"/>
      <c r="C3" s="40"/>
      <c r="D3" s="40"/>
      <c r="E3" s="40"/>
      <c r="F3" s="40"/>
      <c r="G3" s="171"/>
      <c r="H3" s="178"/>
    </row>
    <row r="4" spans="1:15" ht="14.25" customHeight="1">
      <c r="A4" s="40"/>
      <c r="B4" s="40"/>
      <c r="C4" s="40"/>
      <c r="D4" s="40"/>
      <c r="E4" s="40"/>
      <c r="F4" s="40"/>
      <c r="G4" s="171"/>
      <c r="H4" s="178"/>
    </row>
    <row r="5" spans="1:15" ht="15.75" customHeight="1">
      <c r="A5" s="223" t="str">
        <f>'1-汇总表'!A4</f>
        <v>被评估单位：A有限公司</v>
      </c>
      <c r="B5" s="223"/>
      <c r="C5" s="223"/>
      <c r="D5" s="42"/>
      <c r="E5" s="42"/>
      <c r="F5" s="42"/>
      <c r="G5" s="42"/>
      <c r="H5" s="122"/>
      <c r="I5" s="449" t="s">
        <v>691</v>
      </c>
      <c r="J5" s="449"/>
      <c r="K5" s="319" t="s">
        <v>693</v>
      </c>
      <c r="L5" s="302" t="s">
        <v>692</v>
      </c>
      <c r="M5" s="447" t="s">
        <v>597</v>
      </c>
      <c r="N5" s="562" t="s">
        <v>641</v>
      </c>
      <c r="O5" s="562" t="s">
        <v>642</v>
      </c>
    </row>
    <row r="6" spans="1:15" s="101" customFormat="1" ht="15.75" customHeight="1">
      <c r="A6" s="45" t="s">
        <v>7</v>
      </c>
      <c r="B6" s="45" t="s">
        <v>51</v>
      </c>
      <c r="C6" s="45" t="s">
        <v>36</v>
      </c>
      <c r="D6" s="45" t="s">
        <v>54</v>
      </c>
      <c r="E6" s="174" t="s">
        <v>483</v>
      </c>
      <c r="F6" s="217" t="s">
        <v>117</v>
      </c>
      <c r="G6" s="45" t="s">
        <v>0</v>
      </c>
      <c r="H6" s="45" t="s">
        <v>39</v>
      </c>
      <c r="I6" s="281" t="s">
        <v>694</v>
      </c>
      <c r="J6" s="281" t="s">
        <v>695</v>
      </c>
      <c r="K6" s="297" t="s">
        <v>724</v>
      </c>
      <c r="L6" s="289" t="s">
        <v>696</v>
      </c>
      <c r="M6" s="448"/>
      <c r="N6" s="563"/>
      <c r="O6" s="563"/>
    </row>
    <row r="7" spans="1:15" ht="15.75" customHeight="1">
      <c r="A7" s="8"/>
      <c r="B7" s="7"/>
      <c r="C7" s="9"/>
      <c r="D7" s="9"/>
      <c r="E7" s="8"/>
      <c r="F7" s="31"/>
      <c r="G7" s="31"/>
      <c r="H7" s="7"/>
    </row>
    <row r="8" spans="1:15" ht="15.75" customHeight="1">
      <c r="A8" s="8"/>
      <c r="B8" s="7"/>
      <c r="C8" s="9"/>
      <c r="D8" s="9"/>
      <c r="E8" s="8"/>
      <c r="F8" s="31"/>
      <c r="G8" s="31"/>
      <c r="H8" s="7"/>
    </row>
    <row r="9" spans="1:15" ht="15.75" customHeight="1">
      <c r="A9" s="8"/>
      <c r="B9" s="7"/>
      <c r="C9" s="9"/>
      <c r="D9" s="146"/>
      <c r="E9" s="8"/>
      <c r="F9" s="31"/>
      <c r="G9" s="31"/>
      <c r="H9" s="7"/>
    </row>
    <row r="10" spans="1:15" ht="15.75" customHeight="1">
      <c r="A10" s="8"/>
      <c r="B10" s="7"/>
      <c r="C10" s="9"/>
      <c r="D10" s="146"/>
      <c r="E10" s="8"/>
      <c r="F10" s="31"/>
      <c r="G10" s="31"/>
      <c r="H10" s="7"/>
    </row>
    <row r="11" spans="1:15" ht="15.75" customHeight="1">
      <c r="A11" s="8"/>
      <c r="B11" s="7"/>
      <c r="C11" s="9"/>
      <c r="D11" s="146"/>
      <c r="E11" s="8"/>
      <c r="F11" s="31"/>
      <c r="G11" s="31"/>
      <c r="H11" s="7"/>
    </row>
    <row r="12" spans="1:15" ht="15.75" customHeight="1">
      <c r="A12" s="8"/>
      <c r="B12" s="7"/>
      <c r="C12" s="9"/>
      <c r="D12" s="146"/>
      <c r="E12" s="8"/>
      <c r="F12" s="31"/>
      <c r="G12" s="31"/>
      <c r="H12" s="7"/>
    </row>
    <row r="13" spans="1:15" ht="15.75" customHeight="1">
      <c r="A13" s="8"/>
      <c r="B13" s="7"/>
      <c r="C13" s="9"/>
      <c r="D13" s="146"/>
      <c r="E13" s="8"/>
      <c r="F13" s="31"/>
      <c r="G13" s="31"/>
      <c r="H13" s="7"/>
    </row>
    <row r="14" spans="1:15" ht="15.75" customHeight="1">
      <c r="A14" s="8"/>
      <c r="B14" s="7"/>
      <c r="C14" s="9"/>
      <c r="D14" s="146"/>
      <c r="E14" s="8"/>
      <c r="F14" s="31"/>
      <c r="G14" s="31"/>
      <c r="H14" s="7"/>
    </row>
    <row r="15" spans="1:15" ht="15.75" customHeight="1">
      <c r="A15" s="8"/>
      <c r="B15" s="7"/>
      <c r="C15" s="9"/>
      <c r="D15" s="146"/>
      <c r="E15" s="8"/>
      <c r="F15" s="31"/>
      <c r="G15" s="31"/>
      <c r="H15" s="7"/>
    </row>
    <row r="16" spans="1:15" ht="15.75" customHeight="1">
      <c r="A16" s="8"/>
      <c r="B16" s="7"/>
      <c r="C16" s="9"/>
      <c r="D16" s="146"/>
      <c r="E16" s="8"/>
      <c r="F16" s="31"/>
      <c r="G16" s="31"/>
      <c r="H16" s="7"/>
    </row>
    <row r="17" spans="1:8" ht="15.75" customHeight="1">
      <c r="A17" s="8"/>
      <c r="B17" s="7"/>
      <c r="C17" s="9"/>
      <c r="D17" s="146"/>
      <c r="E17" s="8"/>
      <c r="F17" s="31"/>
      <c r="G17" s="31"/>
      <c r="H17" s="7"/>
    </row>
    <row r="18" spans="1:8" ht="15.75" customHeight="1">
      <c r="A18" s="8"/>
      <c r="B18" s="7"/>
      <c r="C18" s="9"/>
      <c r="D18" s="146"/>
      <c r="E18" s="8"/>
      <c r="F18" s="31"/>
      <c r="G18" s="31"/>
      <c r="H18" s="7"/>
    </row>
    <row r="19" spans="1:8" ht="15.75" customHeight="1">
      <c r="A19" s="8"/>
      <c r="B19" s="7"/>
      <c r="C19" s="9"/>
      <c r="D19" s="146"/>
      <c r="E19" s="8"/>
      <c r="F19" s="31"/>
      <c r="G19" s="31"/>
      <c r="H19" s="7"/>
    </row>
    <row r="20" spans="1:8" ht="15.75" customHeight="1">
      <c r="A20" s="8"/>
      <c r="B20" s="7"/>
      <c r="C20" s="9"/>
      <c r="D20" s="146"/>
      <c r="E20" s="8"/>
      <c r="F20" s="31"/>
      <c r="G20" s="31"/>
      <c r="H20" s="7"/>
    </row>
    <row r="21" spans="1:8" ht="15.75" customHeight="1">
      <c r="A21" s="8"/>
      <c r="B21" s="7"/>
      <c r="C21" s="9"/>
      <c r="D21" s="146"/>
      <c r="E21" s="8"/>
      <c r="F21" s="31"/>
      <c r="G21" s="31"/>
      <c r="H21" s="7"/>
    </row>
    <row r="22" spans="1:8" ht="15.75" customHeight="1">
      <c r="A22" s="8"/>
      <c r="B22" s="7"/>
      <c r="C22" s="9"/>
      <c r="D22" s="146"/>
      <c r="E22" s="8"/>
      <c r="F22" s="31"/>
      <c r="G22" s="31"/>
      <c r="H22" s="7"/>
    </row>
    <row r="23" spans="1:8" ht="15.75" customHeight="1">
      <c r="A23" s="8"/>
      <c r="B23" s="7"/>
      <c r="C23" s="9"/>
      <c r="D23" s="146"/>
      <c r="E23" s="8"/>
      <c r="F23" s="31"/>
      <c r="G23" s="31"/>
      <c r="H23" s="7"/>
    </row>
    <row r="24" spans="1:8" ht="15.75" customHeight="1">
      <c r="A24" s="8"/>
      <c r="B24" s="7"/>
      <c r="C24" s="9"/>
      <c r="D24" s="146"/>
      <c r="E24" s="8"/>
      <c r="F24" s="31"/>
      <c r="G24" s="31"/>
      <c r="H24" s="7"/>
    </row>
    <row r="25" spans="1:8" ht="15.75" customHeight="1">
      <c r="A25" s="8"/>
      <c r="B25" s="7"/>
      <c r="C25" s="9"/>
      <c r="D25" s="146"/>
      <c r="E25" s="8"/>
      <c r="F25" s="31"/>
      <c r="G25" s="31"/>
      <c r="H25" s="7"/>
    </row>
    <row r="26" spans="1:8" ht="15.75" customHeight="1">
      <c r="A26" s="420" t="s">
        <v>534</v>
      </c>
      <c r="B26" s="421"/>
      <c r="C26" s="249"/>
      <c r="D26" s="232"/>
      <c r="E26" s="237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234"/>
    </row>
    <row r="27" spans="1:8" ht="15.75" hidden="1" customHeight="1">
      <c r="A27" s="8"/>
      <c r="B27" s="7"/>
      <c r="C27" s="9"/>
      <c r="D27" s="146"/>
      <c r="E27" s="8"/>
      <c r="F27" s="31"/>
      <c r="G27" s="31"/>
      <c r="H27" s="7"/>
    </row>
    <row r="28" spans="1:8" ht="15.75" hidden="1" customHeight="1">
      <c r="A28" s="8"/>
      <c r="B28" s="7"/>
      <c r="C28" s="9"/>
      <c r="D28" s="146"/>
      <c r="E28" s="8"/>
      <c r="F28" s="31"/>
      <c r="G28" s="31"/>
      <c r="H28" s="7"/>
    </row>
    <row r="29" spans="1:8" ht="15.75" hidden="1" customHeight="1">
      <c r="A29" s="8"/>
      <c r="B29" s="7"/>
      <c r="C29" s="9"/>
      <c r="D29" s="146"/>
      <c r="E29" s="8"/>
      <c r="F29" s="31"/>
      <c r="G29" s="31"/>
      <c r="H29" s="7"/>
    </row>
    <row r="30" spans="1:8" ht="15.75" hidden="1" customHeight="1">
      <c r="A30" s="8"/>
      <c r="B30" s="7"/>
      <c r="C30" s="9"/>
      <c r="D30" s="146"/>
      <c r="E30" s="8"/>
      <c r="F30" s="31"/>
      <c r="G30" s="31"/>
      <c r="H30" s="7"/>
    </row>
    <row r="31" spans="1:8" ht="15.75" hidden="1" customHeight="1">
      <c r="A31" s="8"/>
      <c r="B31" s="7"/>
      <c r="C31" s="9"/>
      <c r="D31" s="146"/>
      <c r="E31" s="8"/>
      <c r="F31" s="31"/>
      <c r="G31" s="31"/>
      <c r="H31" s="7"/>
    </row>
    <row r="32" spans="1:8" ht="15.75" hidden="1" customHeight="1">
      <c r="A32" s="8"/>
      <c r="B32" s="7"/>
      <c r="C32" s="9"/>
      <c r="D32" s="146"/>
      <c r="E32" s="8"/>
      <c r="F32" s="31"/>
      <c r="G32" s="31"/>
      <c r="H32" s="7"/>
    </row>
    <row r="33" spans="1:8" ht="15.75" hidden="1" customHeight="1">
      <c r="A33" s="8"/>
      <c r="B33" s="7"/>
      <c r="C33" s="9"/>
      <c r="D33" s="146"/>
      <c r="E33" s="8"/>
      <c r="F33" s="31"/>
      <c r="G33" s="31"/>
      <c r="H33" s="7"/>
    </row>
    <row r="34" spans="1:8" ht="15.75" hidden="1" customHeight="1">
      <c r="A34" s="8"/>
      <c r="B34" s="7"/>
      <c r="C34" s="9"/>
      <c r="D34" s="146"/>
      <c r="E34" s="8"/>
      <c r="F34" s="31"/>
      <c r="G34" s="31"/>
      <c r="H34" s="7"/>
    </row>
    <row r="35" spans="1:8" ht="15.75" hidden="1" customHeight="1">
      <c r="A35" s="8"/>
      <c r="B35" s="7"/>
      <c r="C35" s="9"/>
      <c r="D35" s="146"/>
      <c r="E35" s="8"/>
      <c r="F35" s="31"/>
      <c r="G35" s="31"/>
      <c r="H35" s="7"/>
    </row>
    <row r="36" spans="1:8" ht="15.75" hidden="1" customHeight="1">
      <c r="A36" s="8"/>
      <c r="B36" s="7"/>
      <c r="C36" s="9"/>
      <c r="D36" s="146"/>
      <c r="E36" s="8"/>
      <c r="F36" s="31"/>
      <c r="G36" s="31"/>
      <c r="H36" s="7"/>
    </row>
    <row r="37" spans="1:8" ht="15.75" hidden="1" customHeight="1">
      <c r="A37" s="8"/>
      <c r="B37" s="7"/>
      <c r="C37" s="9"/>
      <c r="D37" s="146"/>
      <c r="E37" s="8"/>
      <c r="F37" s="31"/>
      <c r="G37" s="31"/>
      <c r="H37" s="7"/>
    </row>
    <row r="38" spans="1:8" ht="15.75" hidden="1" customHeight="1">
      <c r="A38" s="8"/>
      <c r="B38" s="7"/>
      <c r="C38" s="9"/>
      <c r="D38" s="146"/>
      <c r="E38" s="8"/>
      <c r="F38" s="31"/>
      <c r="G38" s="31"/>
      <c r="H38" s="7"/>
    </row>
    <row r="39" spans="1:8" ht="15.75" hidden="1" customHeight="1">
      <c r="A39" s="8"/>
      <c r="B39" s="7"/>
      <c r="C39" s="9"/>
      <c r="D39" s="146"/>
      <c r="E39" s="8"/>
      <c r="F39" s="31"/>
      <c r="G39" s="31"/>
      <c r="H39" s="7"/>
    </row>
    <row r="40" spans="1:8" ht="15.75" hidden="1" customHeight="1">
      <c r="A40" s="8"/>
      <c r="B40" s="7"/>
      <c r="C40" s="9"/>
      <c r="D40" s="146"/>
      <c r="E40" s="8"/>
      <c r="F40" s="31"/>
      <c r="G40" s="31"/>
      <c r="H40" s="7"/>
    </row>
    <row r="41" spans="1:8" ht="15.75" hidden="1" customHeight="1">
      <c r="A41" s="8"/>
      <c r="B41" s="7"/>
      <c r="C41" s="9"/>
      <c r="D41" s="146"/>
      <c r="E41" s="8"/>
      <c r="F41" s="31"/>
      <c r="G41" s="31"/>
      <c r="H41" s="7"/>
    </row>
    <row r="42" spans="1:8" ht="15.75" hidden="1" customHeight="1">
      <c r="A42" s="8"/>
      <c r="B42" s="7"/>
      <c r="C42" s="9"/>
      <c r="D42" s="146"/>
      <c r="E42" s="8"/>
      <c r="F42" s="31"/>
      <c r="G42" s="31"/>
      <c r="H42" s="7"/>
    </row>
    <row r="43" spans="1:8" ht="15.75" hidden="1" customHeight="1">
      <c r="A43" s="8"/>
      <c r="B43" s="7"/>
      <c r="C43" s="9"/>
      <c r="D43" s="146"/>
      <c r="E43" s="8"/>
      <c r="F43" s="31"/>
      <c r="G43" s="31"/>
      <c r="H43" s="7"/>
    </row>
    <row r="44" spans="1:8" ht="15.75" hidden="1" customHeight="1">
      <c r="A44" s="8"/>
      <c r="B44" s="7"/>
      <c r="C44" s="9"/>
      <c r="D44" s="146"/>
      <c r="E44" s="8"/>
      <c r="F44" s="31"/>
      <c r="G44" s="31"/>
      <c r="H44" s="7"/>
    </row>
    <row r="45" spans="1:8" ht="15.75" hidden="1" customHeight="1">
      <c r="A45" s="8"/>
      <c r="B45" s="7"/>
      <c r="C45" s="9"/>
      <c r="D45" s="146"/>
      <c r="E45" s="8"/>
      <c r="F45" s="31"/>
      <c r="G45" s="31"/>
      <c r="H45" s="7"/>
    </row>
    <row r="46" spans="1:8" ht="15.75" hidden="1" customHeight="1">
      <c r="A46" s="8"/>
      <c r="B46" s="7"/>
      <c r="C46" s="9"/>
      <c r="D46" s="146"/>
      <c r="E46" s="8"/>
      <c r="F46" s="31"/>
      <c r="G46" s="31"/>
      <c r="H46" s="7"/>
    </row>
  </sheetData>
  <mergeCells count="7">
    <mergeCell ref="N5:N6"/>
    <mergeCell ref="O5:O6"/>
    <mergeCell ref="A26:B26"/>
    <mergeCell ref="A1:H1"/>
    <mergeCell ref="A2:H2"/>
    <mergeCell ref="I5:J5"/>
    <mergeCell ref="M5:M6"/>
  </mergeCells>
  <phoneticPr fontId="6" type="noConversion"/>
  <dataValidations count="1">
    <dataValidation allowBlank="1" showInputMessage="1" showErrorMessage="1" prompt="C：  发函_x000a_C√：发函,且回函相符_x000a_C×：发函,且回函不符" sqref="J6" xr:uid="{93A1A501-240C-4632-8A8C-2BB2E72C8776}"/>
  </dataValidations>
  <printOptions horizontalCentered="1" verticalCentered="1"/>
  <pageMargins left="1.1023622047244095" right="0.78740157480314965" top="0.15748031496062992" bottom="0.55118110236220474" header="1.8110236220472442" footer="1.2204724409448819"/>
  <pageSetup paperSize="9" fitToHeight="0" orientation="landscape" blackAndWhite="1" horizontalDpi="1200" verticalDpi="1200" r:id="rId1"/>
  <headerFooter scaleWithDoc="0">
    <oddHeader>&amp;R&amp;"宋体,常规"&amp;10表5-4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901700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1168400</xdr:colOff>
                    <xdr:row>2</xdr:row>
                    <xdr:rowOff>0</xdr:rowOff>
                  </from>
                  <to>
                    <xdr:col>2</xdr:col>
                    <xdr:colOff>406400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0F42-8D22-47C3-BD96-41100B857B7B}">
  <sheetPr codeName="Sheet62">
    <pageSetUpPr fitToPage="1"/>
  </sheetPr>
  <dimension ref="A1:P46"/>
  <sheetViews>
    <sheetView workbookViewId="0">
      <pane ySplit="6" topLeftCell="A7" activePane="bottomLeft" state="frozen"/>
      <selection activeCell="F17" sqref="F17"/>
      <selection pane="bottomLeft" activeCell="D11" sqref="D11"/>
    </sheetView>
  </sheetViews>
  <sheetFormatPr baseColWidth="10" defaultColWidth="9" defaultRowHeight="15.75" customHeight="1"/>
  <cols>
    <col min="1" max="1" width="4.1640625" style="81" customWidth="1"/>
    <col min="2" max="2" width="26.6640625" style="81" customWidth="1"/>
    <col min="3" max="3" width="14.5" style="81" customWidth="1"/>
    <col min="4" max="4" width="19" style="81" customWidth="1"/>
    <col min="5" max="5" width="18.1640625" style="81" customWidth="1"/>
    <col min="6" max="6" width="16.5" style="81" customWidth="1"/>
    <col min="7" max="7" width="15.1640625" style="81" customWidth="1"/>
    <col min="8" max="8" width="7.6640625" style="81" customWidth="1"/>
    <col min="9" max="9" width="9.6640625" style="81" customWidth="1"/>
    <col min="10" max="10" width="12.6640625" style="81" customWidth="1"/>
    <col min="11" max="11" width="12.83203125" style="81" customWidth="1"/>
    <col min="12" max="12" width="6.1640625" style="81" customWidth="1"/>
    <col min="13" max="13" width="9" style="81" customWidth="1"/>
    <col min="14" max="14" width="7.6640625" style="81" customWidth="1"/>
    <col min="15" max="15" width="8.6640625" style="81" customWidth="1"/>
    <col min="16" max="16384" width="9" style="81"/>
  </cols>
  <sheetData>
    <row r="1" spans="1:16" s="80" customFormat="1" ht="30" customHeight="1">
      <c r="A1" s="374" t="s">
        <v>1031</v>
      </c>
      <c r="B1" s="375"/>
      <c r="C1" s="375"/>
      <c r="D1" s="375"/>
      <c r="E1" s="375"/>
      <c r="F1" s="375"/>
      <c r="G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6" ht="14.25" customHeight="1">
      <c r="A3" s="40"/>
      <c r="B3" s="40"/>
      <c r="C3" s="40"/>
      <c r="D3" s="40"/>
      <c r="E3" s="40"/>
      <c r="F3" s="40"/>
      <c r="G3" s="178"/>
    </row>
    <row r="4" spans="1:16" ht="14.25" customHeight="1">
      <c r="A4" s="40"/>
      <c r="B4" s="40"/>
      <c r="C4" s="40"/>
      <c r="D4" s="40"/>
      <c r="E4" s="40"/>
      <c r="F4" s="40"/>
      <c r="G4" s="178"/>
    </row>
    <row r="5" spans="1:16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68" t="s">
        <v>691</v>
      </c>
      <c r="I5" s="569"/>
      <c r="J5" s="302" t="s">
        <v>692</v>
      </c>
      <c r="K5" s="308" t="s">
        <v>693</v>
      </c>
      <c r="L5" s="447" t="s">
        <v>597</v>
      </c>
      <c r="M5" s="447" t="s">
        <v>650</v>
      </c>
      <c r="N5" s="447" t="s">
        <v>651</v>
      </c>
      <c r="O5" s="562" t="s">
        <v>641</v>
      </c>
      <c r="P5" s="562" t="s">
        <v>642</v>
      </c>
    </row>
    <row r="6" spans="1:16" s="101" customFormat="1" ht="15.75" customHeight="1">
      <c r="A6" s="45" t="s">
        <v>7</v>
      </c>
      <c r="B6" s="45" t="s">
        <v>51</v>
      </c>
      <c r="C6" s="45" t="s">
        <v>36</v>
      </c>
      <c r="D6" s="45" t="s">
        <v>35</v>
      </c>
      <c r="E6" s="217" t="s">
        <v>117</v>
      </c>
      <c r="F6" s="45" t="s">
        <v>0</v>
      </c>
      <c r="G6" s="45" t="s">
        <v>39</v>
      </c>
      <c r="H6" s="281" t="s">
        <v>694</v>
      </c>
      <c r="I6" s="281" t="s">
        <v>695</v>
      </c>
      <c r="J6" s="289" t="s">
        <v>696</v>
      </c>
      <c r="K6" s="291" t="s">
        <v>725</v>
      </c>
      <c r="L6" s="448"/>
      <c r="M6" s="448"/>
      <c r="N6" s="448"/>
      <c r="O6" s="563"/>
      <c r="P6" s="563"/>
    </row>
    <row r="7" spans="1:16" ht="15.75" customHeight="1">
      <c r="A7" s="8"/>
      <c r="B7" s="7"/>
      <c r="C7" s="146"/>
      <c r="D7" s="8"/>
      <c r="E7" s="31"/>
      <c r="F7" s="31"/>
      <c r="G7" s="7"/>
    </row>
    <row r="8" spans="1:16" ht="15.75" customHeight="1">
      <c r="A8" s="8"/>
      <c r="B8" s="7"/>
      <c r="C8" s="146"/>
      <c r="D8" s="8"/>
      <c r="E8" s="31"/>
      <c r="F8" s="31"/>
      <c r="G8" s="7"/>
    </row>
    <row r="9" spans="1:16" ht="15.75" customHeight="1">
      <c r="A9" s="8"/>
      <c r="B9" s="7"/>
      <c r="C9" s="146"/>
      <c r="D9" s="8"/>
      <c r="E9" s="31"/>
      <c r="F9" s="31"/>
      <c r="G9" s="7"/>
    </row>
    <row r="10" spans="1:16" ht="15.75" customHeight="1">
      <c r="A10" s="8"/>
      <c r="B10" s="7"/>
      <c r="C10" s="146"/>
      <c r="D10" s="8"/>
      <c r="E10" s="31"/>
      <c r="F10" s="31"/>
      <c r="G10" s="7"/>
    </row>
    <row r="11" spans="1:16" ht="15.75" customHeight="1">
      <c r="A11" s="8"/>
      <c r="B11" s="7"/>
      <c r="C11" s="146"/>
      <c r="D11" s="8"/>
      <c r="E11" s="31"/>
      <c r="F11" s="31"/>
      <c r="G11" s="7"/>
    </row>
    <row r="12" spans="1:16" ht="15.75" customHeight="1">
      <c r="A12" s="8"/>
      <c r="B12" s="7"/>
      <c r="C12" s="146"/>
      <c r="D12" s="8"/>
      <c r="E12" s="31"/>
      <c r="F12" s="31"/>
      <c r="G12" s="7"/>
    </row>
    <row r="13" spans="1:16" ht="15.75" customHeight="1">
      <c r="A13" s="8"/>
      <c r="B13" s="7"/>
      <c r="C13" s="146"/>
      <c r="D13" s="8"/>
      <c r="E13" s="31"/>
      <c r="F13" s="31"/>
      <c r="G13" s="7"/>
    </row>
    <row r="14" spans="1:16" ht="15.75" customHeight="1">
      <c r="A14" s="8"/>
      <c r="B14" s="7"/>
      <c r="C14" s="146"/>
      <c r="D14" s="8"/>
      <c r="E14" s="31"/>
      <c r="F14" s="31"/>
      <c r="G14" s="7"/>
    </row>
    <row r="15" spans="1:16" ht="15.75" customHeight="1">
      <c r="A15" s="8"/>
      <c r="B15" s="7"/>
      <c r="C15" s="146"/>
      <c r="D15" s="8"/>
      <c r="E15" s="31"/>
      <c r="F15" s="31"/>
      <c r="G15" s="7"/>
    </row>
    <row r="16" spans="1:16" ht="15.75" customHeight="1">
      <c r="A16" s="8"/>
      <c r="B16" s="7"/>
      <c r="C16" s="146"/>
      <c r="D16" s="8"/>
      <c r="E16" s="31"/>
      <c r="F16" s="31"/>
      <c r="G16" s="7"/>
    </row>
    <row r="17" spans="1:7" ht="15.75" customHeight="1">
      <c r="A17" s="8"/>
      <c r="B17" s="7"/>
      <c r="C17" s="146"/>
      <c r="D17" s="8"/>
      <c r="E17" s="31"/>
      <c r="F17" s="31"/>
      <c r="G17" s="7"/>
    </row>
    <row r="18" spans="1:7" ht="15.75" customHeight="1">
      <c r="A18" s="8"/>
      <c r="B18" s="7"/>
      <c r="C18" s="146"/>
      <c r="D18" s="8"/>
      <c r="E18" s="31"/>
      <c r="F18" s="31"/>
      <c r="G18" s="7"/>
    </row>
    <row r="19" spans="1:7" ht="15.75" customHeight="1">
      <c r="A19" s="8"/>
      <c r="B19" s="7"/>
      <c r="C19" s="146"/>
      <c r="D19" s="8"/>
      <c r="E19" s="31"/>
      <c r="F19" s="31"/>
      <c r="G19" s="7"/>
    </row>
    <row r="20" spans="1:7" ht="15.75" customHeight="1">
      <c r="A20" s="8"/>
      <c r="B20" s="7"/>
      <c r="C20" s="146"/>
      <c r="D20" s="8"/>
      <c r="E20" s="31"/>
      <c r="F20" s="31"/>
      <c r="G20" s="7"/>
    </row>
    <row r="21" spans="1:7" ht="15.75" customHeight="1">
      <c r="A21" s="8"/>
      <c r="B21" s="7"/>
      <c r="C21" s="146"/>
      <c r="D21" s="8"/>
      <c r="E21" s="31"/>
      <c r="F21" s="31"/>
      <c r="G21" s="7"/>
    </row>
    <row r="22" spans="1:7" ht="15.75" customHeight="1">
      <c r="A22" s="8"/>
      <c r="B22" s="7"/>
      <c r="C22" s="146"/>
      <c r="D22" s="8"/>
      <c r="E22" s="31"/>
      <c r="F22" s="31"/>
      <c r="G22" s="7"/>
    </row>
    <row r="23" spans="1:7" ht="15.75" customHeight="1">
      <c r="A23" s="8"/>
      <c r="B23" s="7"/>
      <c r="C23" s="146"/>
      <c r="D23" s="8"/>
      <c r="E23" s="31"/>
      <c r="F23" s="31"/>
      <c r="G23" s="7"/>
    </row>
    <row r="24" spans="1:7" ht="15.75" customHeight="1">
      <c r="A24" s="8"/>
      <c r="B24" s="7"/>
      <c r="C24" s="146"/>
      <c r="D24" s="8"/>
      <c r="E24" s="31"/>
      <c r="F24" s="31"/>
      <c r="G24" s="7"/>
    </row>
    <row r="25" spans="1:7" ht="15.75" customHeight="1">
      <c r="A25" s="8"/>
      <c r="B25" s="7"/>
      <c r="C25" s="146"/>
      <c r="D25" s="8"/>
      <c r="E25" s="31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31"/>
      <c r="F27" s="31"/>
      <c r="G27" s="7"/>
    </row>
    <row r="28" spans="1:7" ht="15.75" hidden="1" customHeight="1">
      <c r="A28" s="8"/>
      <c r="B28" s="7"/>
      <c r="C28" s="146"/>
      <c r="D28" s="8"/>
      <c r="E28" s="31"/>
      <c r="F28" s="31"/>
      <c r="G28" s="7"/>
    </row>
    <row r="29" spans="1:7" ht="15.75" hidden="1" customHeight="1">
      <c r="A29" s="8"/>
      <c r="B29" s="7"/>
      <c r="C29" s="146"/>
      <c r="D29" s="8"/>
      <c r="E29" s="31"/>
      <c r="F29" s="31"/>
      <c r="G29" s="7"/>
    </row>
    <row r="30" spans="1:7" ht="15.75" hidden="1" customHeight="1">
      <c r="A30" s="8"/>
      <c r="B30" s="7"/>
      <c r="C30" s="146"/>
      <c r="D30" s="8"/>
      <c r="E30" s="31"/>
      <c r="F30" s="31"/>
      <c r="G30" s="7"/>
    </row>
    <row r="31" spans="1:7" ht="15.75" hidden="1" customHeight="1">
      <c r="A31" s="8"/>
      <c r="B31" s="7"/>
      <c r="C31" s="146"/>
      <c r="D31" s="8"/>
      <c r="E31" s="31"/>
      <c r="F31" s="31"/>
      <c r="G31" s="7"/>
    </row>
    <row r="32" spans="1:7" ht="15.75" hidden="1" customHeight="1">
      <c r="A32" s="8"/>
      <c r="B32" s="7"/>
      <c r="C32" s="146"/>
      <c r="D32" s="8"/>
      <c r="E32" s="31"/>
      <c r="F32" s="31"/>
      <c r="G32" s="7"/>
    </row>
    <row r="33" spans="1:7" ht="15.75" hidden="1" customHeight="1">
      <c r="A33" s="8"/>
      <c r="B33" s="7"/>
      <c r="C33" s="146"/>
      <c r="D33" s="8"/>
      <c r="E33" s="31"/>
      <c r="F33" s="31"/>
      <c r="G33" s="7"/>
    </row>
    <row r="34" spans="1:7" ht="15.75" hidden="1" customHeight="1">
      <c r="A34" s="8"/>
      <c r="B34" s="7"/>
      <c r="C34" s="146"/>
      <c r="D34" s="8"/>
      <c r="E34" s="31"/>
      <c r="F34" s="31"/>
      <c r="G34" s="7"/>
    </row>
    <row r="35" spans="1:7" ht="15.75" hidden="1" customHeight="1">
      <c r="A35" s="8"/>
      <c r="B35" s="7"/>
      <c r="C35" s="146"/>
      <c r="D35" s="8"/>
      <c r="E35" s="31"/>
      <c r="F35" s="31"/>
      <c r="G35" s="7"/>
    </row>
    <row r="36" spans="1:7" ht="15.75" hidden="1" customHeight="1">
      <c r="A36" s="8"/>
      <c r="B36" s="7"/>
      <c r="C36" s="146"/>
      <c r="D36" s="8"/>
      <c r="E36" s="31"/>
      <c r="F36" s="31"/>
      <c r="G36" s="7"/>
    </row>
    <row r="37" spans="1:7" ht="15.75" hidden="1" customHeight="1">
      <c r="A37" s="8"/>
      <c r="B37" s="7"/>
      <c r="C37" s="146"/>
      <c r="D37" s="8"/>
      <c r="E37" s="31"/>
      <c r="F37" s="31"/>
      <c r="G37" s="7"/>
    </row>
    <row r="38" spans="1:7" ht="15.75" hidden="1" customHeight="1">
      <c r="A38" s="8"/>
      <c r="B38" s="7"/>
      <c r="C38" s="146"/>
      <c r="D38" s="8"/>
      <c r="E38" s="31"/>
      <c r="F38" s="31"/>
      <c r="G38" s="7"/>
    </row>
    <row r="39" spans="1:7" ht="15.75" hidden="1" customHeight="1">
      <c r="A39" s="8"/>
      <c r="B39" s="7"/>
      <c r="C39" s="146"/>
      <c r="D39" s="8"/>
      <c r="E39" s="31"/>
      <c r="F39" s="31"/>
      <c r="G39" s="7"/>
    </row>
    <row r="40" spans="1:7" ht="15.75" hidden="1" customHeight="1">
      <c r="A40" s="8"/>
      <c r="B40" s="7"/>
      <c r="C40" s="146"/>
      <c r="D40" s="8"/>
      <c r="E40" s="31"/>
      <c r="F40" s="31"/>
      <c r="G40" s="7"/>
    </row>
    <row r="41" spans="1:7" ht="15.75" hidden="1" customHeight="1">
      <c r="A41" s="8"/>
      <c r="B41" s="7"/>
      <c r="C41" s="146"/>
      <c r="D41" s="8"/>
      <c r="E41" s="31"/>
      <c r="F41" s="31"/>
      <c r="G41" s="7"/>
    </row>
    <row r="42" spans="1:7" ht="15.75" hidden="1" customHeight="1">
      <c r="A42" s="8"/>
      <c r="B42" s="7"/>
      <c r="C42" s="146"/>
      <c r="D42" s="8"/>
      <c r="E42" s="31"/>
      <c r="F42" s="31"/>
      <c r="G42" s="7"/>
    </row>
    <row r="43" spans="1:7" ht="15.75" hidden="1" customHeight="1">
      <c r="A43" s="8"/>
      <c r="B43" s="7"/>
      <c r="C43" s="146"/>
      <c r="D43" s="8"/>
      <c r="E43" s="31"/>
      <c r="F43" s="31"/>
      <c r="G43" s="7"/>
    </row>
    <row r="44" spans="1:7" ht="15.75" hidden="1" customHeight="1">
      <c r="A44" s="8"/>
      <c r="B44" s="7"/>
      <c r="C44" s="146"/>
      <c r="D44" s="8"/>
      <c r="E44" s="31"/>
      <c r="F44" s="31"/>
      <c r="G44" s="7"/>
    </row>
    <row r="45" spans="1:7" ht="15.75" hidden="1" customHeight="1">
      <c r="A45" s="8"/>
      <c r="B45" s="7"/>
      <c r="C45" s="146"/>
      <c r="D45" s="8"/>
      <c r="E45" s="31"/>
      <c r="F45" s="31"/>
      <c r="G45" s="7"/>
    </row>
    <row r="46" spans="1:7" ht="15.75" hidden="1" customHeight="1">
      <c r="A46" s="8"/>
      <c r="B46" s="7"/>
      <c r="C46" s="146"/>
      <c r="D46" s="8"/>
      <c r="E46" s="31"/>
      <c r="F46" s="31"/>
      <c r="G46" s="7"/>
    </row>
  </sheetData>
  <mergeCells count="9">
    <mergeCell ref="A26:B26"/>
    <mergeCell ref="H5:I5"/>
    <mergeCell ref="L5:L6"/>
    <mergeCell ref="M5:M6"/>
    <mergeCell ref="N5:N6"/>
    <mergeCell ref="O5:O6"/>
    <mergeCell ref="P5:P6"/>
    <mergeCell ref="A1:G1"/>
    <mergeCell ref="A2:G2"/>
  </mergeCells>
  <phoneticPr fontId="6" type="noConversion"/>
  <dataValidations count="1">
    <dataValidation allowBlank="1" showInputMessage="1" showErrorMessage="1" prompt="C：  发函_x000a_C√：发函,且回函相符_x000a_C×：发函,且回函不符" sqref="I6" xr:uid="{DAD97815-23BF-4106-AF7E-DADC808EB7AA}"/>
  </dataValidations>
  <printOptions horizontalCentered="1" verticalCentered="1"/>
  <pageMargins left="1.2598425196850394" right="0.82677165354330717" top="0.15748031496062992" bottom="0.47244094488188981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&amp;R&amp;"宋体,常规"&amp;10表5-5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OpenFun">
                <anchor moveWithCells="1" sizeWithCells="1">
                  <from>
                    <xdr:col>1</xdr:col>
                    <xdr:colOff>38100</xdr:colOff>
                    <xdr:row>2</xdr:row>
                    <xdr:rowOff>0</xdr:rowOff>
                  </from>
                  <to>
                    <xdr:col>1</xdr:col>
                    <xdr:colOff>1054100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1308100</xdr:colOff>
                    <xdr:row>2</xdr:row>
                    <xdr:rowOff>0</xdr:rowOff>
                  </from>
                  <to>
                    <xdr:col>2</xdr:col>
                    <xdr:colOff>304800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9979-840B-4F27-8F4A-94592D8B2CF1}">
  <sheetPr codeName="Sheet63">
    <pageSetUpPr fitToPage="1"/>
  </sheetPr>
  <dimension ref="A1:N46"/>
  <sheetViews>
    <sheetView workbookViewId="0">
      <pane ySplit="6" topLeftCell="A17" activePane="bottomLeft" state="frozen"/>
      <selection activeCell="F17" sqref="F17"/>
      <selection pane="bottomLeft" activeCell="H52" sqref="H52"/>
    </sheetView>
  </sheetViews>
  <sheetFormatPr baseColWidth="10" defaultColWidth="9" defaultRowHeight="15.75" customHeight="1"/>
  <cols>
    <col min="1" max="1" width="5.5" style="81" customWidth="1"/>
    <col min="2" max="2" width="26" style="81" customWidth="1"/>
    <col min="3" max="3" width="15.1640625" style="81" customWidth="1"/>
    <col min="4" max="4" width="16" style="81" customWidth="1"/>
    <col min="5" max="5" width="18.1640625" style="81" customWidth="1"/>
    <col min="6" max="6" width="16.6640625" style="81" customWidth="1"/>
    <col min="7" max="7" width="16.5" style="81" customWidth="1"/>
    <col min="8" max="8" width="7.5" style="81" customWidth="1"/>
    <col min="9" max="9" width="10" style="81" customWidth="1"/>
    <col min="10" max="10" width="13" style="81" customWidth="1"/>
    <col min="11" max="11" width="15.6640625" style="81" customWidth="1"/>
    <col min="12" max="12" width="5.6640625" style="81" customWidth="1"/>
    <col min="13" max="13" width="6.5" style="81" customWidth="1"/>
    <col min="14" max="14" width="7.5" style="81" customWidth="1"/>
    <col min="15" max="16384" width="9" style="81"/>
  </cols>
  <sheetData>
    <row r="1" spans="1:14" s="80" customFormat="1" ht="30" customHeight="1">
      <c r="A1" s="374" t="s">
        <v>1032</v>
      </c>
      <c r="B1" s="375"/>
      <c r="C1" s="375"/>
      <c r="D1" s="375"/>
      <c r="E1" s="375"/>
      <c r="F1" s="375"/>
      <c r="G1" s="375"/>
    </row>
    <row r="2" spans="1:1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4" ht="14.25" customHeight="1">
      <c r="A3" s="40"/>
      <c r="B3" s="40"/>
      <c r="C3" s="40"/>
      <c r="D3" s="40"/>
      <c r="E3" s="40"/>
      <c r="F3" s="40"/>
      <c r="G3" s="178"/>
    </row>
    <row r="4" spans="1:14" ht="14.25" customHeight="1">
      <c r="A4" s="40"/>
      <c r="B4" s="40"/>
      <c r="C4" s="40"/>
      <c r="D4" s="40"/>
      <c r="E4" s="40"/>
      <c r="F4" s="40"/>
      <c r="G4" s="178"/>
    </row>
    <row r="5" spans="1:14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68" t="s">
        <v>691</v>
      </c>
      <c r="I5" s="569"/>
      <c r="J5" s="302" t="s">
        <v>692</v>
      </c>
      <c r="K5" s="308" t="s">
        <v>693</v>
      </c>
      <c r="L5" s="570" t="s">
        <v>597</v>
      </c>
      <c r="M5" s="562" t="s">
        <v>641</v>
      </c>
      <c r="N5" s="562" t="s">
        <v>642</v>
      </c>
    </row>
    <row r="6" spans="1:14" s="101" customFormat="1" ht="15.75" customHeight="1">
      <c r="A6" s="45" t="s">
        <v>150</v>
      </c>
      <c r="B6" s="45" t="s">
        <v>157</v>
      </c>
      <c r="C6" s="45" t="s">
        <v>158</v>
      </c>
      <c r="D6" s="45" t="s">
        <v>159</v>
      </c>
      <c r="E6" s="217" t="s">
        <v>117</v>
      </c>
      <c r="F6" s="45" t="s">
        <v>140</v>
      </c>
      <c r="G6" s="45" t="s">
        <v>156</v>
      </c>
      <c r="H6" s="281" t="s">
        <v>694</v>
      </c>
      <c r="I6" s="281" t="s">
        <v>695</v>
      </c>
      <c r="J6" s="289" t="s">
        <v>696</v>
      </c>
      <c r="K6" s="282" t="s">
        <v>726</v>
      </c>
      <c r="L6" s="570"/>
      <c r="M6" s="563"/>
      <c r="N6" s="563"/>
    </row>
    <row r="7" spans="1:14" ht="15.75" customHeight="1">
      <c r="A7" s="8"/>
      <c r="B7" s="7"/>
      <c r="C7" s="146"/>
      <c r="D7" s="8"/>
      <c r="E7" s="235"/>
      <c r="F7" s="235"/>
      <c r="G7" s="7"/>
    </row>
    <row r="8" spans="1:14" ht="15.75" customHeight="1">
      <c r="A8" s="8"/>
      <c r="B8" s="7"/>
      <c r="C8" s="146"/>
      <c r="D8" s="8"/>
      <c r="E8" s="235"/>
      <c r="F8" s="235"/>
      <c r="G8" s="7"/>
    </row>
    <row r="9" spans="1:14" ht="15.75" customHeight="1">
      <c r="A9" s="8"/>
      <c r="B9" s="7"/>
      <c r="C9" s="146"/>
      <c r="D9" s="8"/>
      <c r="E9" s="235"/>
      <c r="F9" s="235"/>
      <c r="G9" s="7"/>
    </row>
    <row r="10" spans="1:14" ht="15.75" customHeight="1">
      <c r="A10" s="8"/>
      <c r="B10" s="7"/>
      <c r="C10" s="146"/>
      <c r="D10" s="8"/>
      <c r="E10" s="235"/>
      <c r="F10" s="235"/>
      <c r="G10" s="7"/>
    </row>
    <row r="11" spans="1:14" ht="15.75" customHeight="1">
      <c r="A11" s="8"/>
      <c r="B11" s="7"/>
      <c r="C11" s="146"/>
      <c r="D11" s="8"/>
      <c r="E11" s="235"/>
      <c r="F11" s="235"/>
      <c r="G11" s="7"/>
    </row>
    <row r="12" spans="1:14" ht="15.75" customHeight="1">
      <c r="A12" s="8"/>
      <c r="B12" s="7"/>
      <c r="C12" s="146"/>
      <c r="D12" s="8"/>
      <c r="E12" s="235"/>
      <c r="F12" s="235"/>
      <c r="G12" s="7"/>
    </row>
    <row r="13" spans="1:14" ht="15.75" customHeight="1">
      <c r="A13" s="8"/>
      <c r="B13" s="7"/>
      <c r="C13" s="146"/>
      <c r="D13" s="8"/>
      <c r="E13" s="235"/>
      <c r="F13" s="235"/>
      <c r="G13" s="7"/>
    </row>
    <row r="14" spans="1:14" ht="15.75" customHeight="1">
      <c r="A14" s="8"/>
      <c r="B14" s="7"/>
      <c r="C14" s="146"/>
      <c r="D14" s="8"/>
      <c r="E14" s="235"/>
      <c r="F14" s="235"/>
      <c r="G14" s="7"/>
    </row>
    <row r="15" spans="1:14" ht="15.75" customHeight="1">
      <c r="A15" s="8"/>
      <c r="B15" s="7"/>
      <c r="C15" s="146"/>
      <c r="D15" s="8"/>
      <c r="E15" s="235"/>
      <c r="F15" s="235"/>
      <c r="G15" s="7"/>
    </row>
    <row r="16" spans="1:14" ht="15.75" customHeight="1">
      <c r="A16" s="8"/>
      <c r="B16" s="7"/>
      <c r="C16" s="146"/>
      <c r="D16" s="8"/>
      <c r="E16" s="235"/>
      <c r="F16" s="235"/>
      <c r="G16" s="7"/>
    </row>
    <row r="17" spans="1:7" ht="15.75" customHeight="1">
      <c r="A17" s="8"/>
      <c r="B17" s="7"/>
      <c r="C17" s="146"/>
      <c r="D17" s="8"/>
      <c r="E17" s="235"/>
      <c r="F17" s="235"/>
      <c r="G17" s="7"/>
    </row>
    <row r="18" spans="1:7" ht="15.75" customHeight="1">
      <c r="A18" s="8"/>
      <c r="B18" s="7"/>
      <c r="C18" s="146"/>
      <c r="D18" s="8"/>
      <c r="E18" s="235"/>
      <c r="F18" s="235"/>
      <c r="G18" s="7"/>
    </row>
    <row r="19" spans="1:7" ht="15.75" customHeight="1">
      <c r="A19" s="8"/>
      <c r="B19" s="7"/>
      <c r="C19" s="146"/>
      <c r="D19" s="8"/>
      <c r="E19" s="235"/>
      <c r="F19" s="235"/>
      <c r="G19" s="7"/>
    </row>
    <row r="20" spans="1:7" ht="15.75" customHeight="1">
      <c r="A20" s="8"/>
      <c r="B20" s="7"/>
      <c r="C20" s="146"/>
      <c r="D20" s="8"/>
      <c r="E20" s="235"/>
      <c r="F20" s="235"/>
      <c r="G20" s="7"/>
    </row>
    <row r="21" spans="1:7" ht="15.75" customHeight="1">
      <c r="A21" s="8"/>
      <c r="B21" s="7"/>
      <c r="C21" s="146"/>
      <c r="D21" s="8"/>
      <c r="E21" s="235"/>
      <c r="F21" s="235"/>
      <c r="G21" s="7"/>
    </row>
    <row r="22" spans="1:7" ht="15.75" customHeight="1">
      <c r="A22" s="8"/>
      <c r="B22" s="7"/>
      <c r="C22" s="146"/>
      <c r="D22" s="8"/>
      <c r="E22" s="235"/>
      <c r="F22" s="235"/>
      <c r="G22" s="7"/>
    </row>
    <row r="23" spans="1:7" ht="15.75" customHeight="1">
      <c r="A23" s="8"/>
      <c r="B23" s="7"/>
      <c r="C23" s="146"/>
      <c r="D23" s="8"/>
      <c r="E23" s="235"/>
      <c r="F23" s="235"/>
      <c r="G23" s="7"/>
    </row>
    <row r="24" spans="1:7" ht="15.75" customHeight="1">
      <c r="A24" s="8"/>
      <c r="B24" s="7"/>
      <c r="C24" s="146"/>
      <c r="D24" s="8"/>
      <c r="E24" s="235"/>
      <c r="F24" s="235"/>
      <c r="G24" s="7"/>
    </row>
    <row r="25" spans="1:7" ht="15.75" customHeight="1">
      <c r="A25" s="8"/>
      <c r="B25" s="7"/>
      <c r="C25" s="146"/>
      <c r="D25" s="8"/>
      <c r="E25" s="235"/>
      <c r="F25" s="235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35"/>
      <c r="F27" s="235"/>
      <c r="G27" s="7"/>
    </row>
    <row r="28" spans="1:7" ht="15.75" hidden="1" customHeight="1">
      <c r="A28" s="8"/>
      <c r="B28" s="7"/>
      <c r="C28" s="146"/>
      <c r="D28" s="8"/>
      <c r="E28" s="235"/>
      <c r="F28" s="235"/>
      <c r="G28" s="7"/>
    </row>
    <row r="29" spans="1:7" ht="15.75" hidden="1" customHeight="1">
      <c r="A29" s="8"/>
      <c r="B29" s="7"/>
      <c r="C29" s="146"/>
      <c r="D29" s="8"/>
      <c r="E29" s="235"/>
      <c r="F29" s="235"/>
      <c r="G29" s="7"/>
    </row>
    <row r="30" spans="1:7" ht="15.75" hidden="1" customHeight="1">
      <c r="A30" s="8"/>
      <c r="B30" s="7"/>
      <c r="C30" s="146"/>
      <c r="D30" s="8"/>
      <c r="E30" s="235"/>
      <c r="F30" s="235"/>
      <c r="G30" s="7"/>
    </row>
    <row r="31" spans="1:7" ht="15.75" hidden="1" customHeight="1">
      <c r="A31" s="8"/>
      <c r="B31" s="7"/>
      <c r="C31" s="146"/>
      <c r="D31" s="8"/>
      <c r="E31" s="235"/>
      <c r="F31" s="235"/>
      <c r="G31" s="7"/>
    </row>
    <row r="32" spans="1:7" ht="15.75" hidden="1" customHeight="1">
      <c r="A32" s="8"/>
      <c r="B32" s="7"/>
      <c r="C32" s="146"/>
      <c r="D32" s="8"/>
      <c r="E32" s="235"/>
      <c r="F32" s="235"/>
      <c r="G32" s="7"/>
    </row>
    <row r="33" spans="1:7" ht="15.75" hidden="1" customHeight="1">
      <c r="A33" s="8"/>
      <c r="B33" s="7"/>
      <c r="C33" s="146"/>
      <c r="D33" s="8"/>
      <c r="E33" s="235"/>
      <c r="F33" s="235"/>
      <c r="G33" s="7"/>
    </row>
    <row r="34" spans="1:7" ht="15.75" hidden="1" customHeight="1">
      <c r="A34" s="8"/>
      <c r="B34" s="7"/>
      <c r="C34" s="146"/>
      <c r="D34" s="8"/>
      <c r="E34" s="235"/>
      <c r="F34" s="235"/>
      <c r="G34" s="7"/>
    </row>
    <row r="35" spans="1:7" ht="15.75" hidden="1" customHeight="1">
      <c r="A35" s="8"/>
      <c r="B35" s="7"/>
      <c r="C35" s="146"/>
      <c r="D35" s="8"/>
      <c r="E35" s="235"/>
      <c r="F35" s="235"/>
      <c r="G35" s="7"/>
    </row>
    <row r="36" spans="1:7" ht="15.75" hidden="1" customHeight="1">
      <c r="A36" s="8"/>
      <c r="B36" s="7"/>
      <c r="C36" s="146"/>
      <c r="D36" s="8"/>
      <c r="E36" s="235"/>
      <c r="F36" s="235"/>
      <c r="G36" s="7"/>
    </row>
    <row r="37" spans="1:7" ht="15.75" hidden="1" customHeight="1">
      <c r="A37" s="8"/>
      <c r="B37" s="7"/>
      <c r="C37" s="146"/>
      <c r="D37" s="8"/>
      <c r="E37" s="235"/>
      <c r="F37" s="235"/>
      <c r="G37" s="7"/>
    </row>
    <row r="38" spans="1:7" ht="15.75" hidden="1" customHeight="1">
      <c r="A38" s="8"/>
      <c r="B38" s="7"/>
      <c r="C38" s="146"/>
      <c r="D38" s="8"/>
      <c r="E38" s="235"/>
      <c r="F38" s="235"/>
      <c r="G38" s="7"/>
    </row>
    <row r="39" spans="1:7" ht="15.75" hidden="1" customHeight="1">
      <c r="A39" s="8"/>
      <c r="B39" s="7"/>
      <c r="C39" s="146"/>
      <c r="D39" s="8"/>
      <c r="E39" s="235"/>
      <c r="F39" s="235"/>
      <c r="G39" s="7"/>
    </row>
    <row r="40" spans="1:7" ht="15.75" hidden="1" customHeight="1">
      <c r="A40" s="8"/>
      <c r="B40" s="7"/>
      <c r="C40" s="146"/>
      <c r="D40" s="8"/>
      <c r="E40" s="235"/>
      <c r="F40" s="235"/>
      <c r="G40" s="7"/>
    </row>
    <row r="41" spans="1:7" ht="15.75" hidden="1" customHeight="1">
      <c r="A41" s="8"/>
      <c r="B41" s="7"/>
      <c r="C41" s="146"/>
      <c r="D41" s="8"/>
      <c r="E41" s="235"/>
      <c r="F41" s="235"/>
      <c r="G41" s="7"/>
    </row>
    <row r="42" spans="1:7" ht="15.75" hidden="1" customHeight="1">
      <c r="A42" s="8"/>
      <c r="B42" s="7"/>
      <c r="C42" s="146"/>
      <c r="D42" s="8"/>
      <c r="E42" s="235"/>
      <c r="F42" s="235"/>
      <c r="G42" s="7"/>
    </row>
    <row r="43" spans="1:7" ht="15.75" hidden="1" customHeight="1">
      <c r="A43" s="8"/>
      <c r="B43" s="7"/>
      <c r="C43" s="146"/>
      <c r="D43" s="8"/>
      <c r="E43" s="235"/>
      <c r="F43" s="235"/>
      <c r="G43" s="7"/>
    </row>
    <row r="44" spans="1:7" ht="15.75" hidden="1" customHeight="1">
      <c r="A44" s="8"/>
      <c r="B44" s="7"/>
      <c r="C44" s="146"/>
      <c r="D44" s="8"/>
      <c r="E44" s="235"/>
      <c r="F44" s="235"/>
      <c r="G44" s="7"/>
    </row>
    <row r="45" spans="1:7" ht="15.75" hidden="1" customHeight="1">
      <c r="A45" s="8"/>
      <c r="B45" s="7"/>
      <c r="C45" s="146"/>
      <c r="D45" s="8"/>
      <c r="E45" s="235"/>
      <c r="F45" s="235"/>
      <c r="G45" s="7"/>
    </row>
    <row r="46" spans="1:7" ht="15.75" hidden="1" customHeight="1">
      <c r="A46" s="8"/>
      <c r="B46" s="7"/>
      <c r="C46" s="146"/>
      <c r="D46" s="8"/>
      <c r="E46" s="235"/>
      <c r="F46" s="235"/>
      <c r="G46" s="7"/>
    </row>
  </sheetData>
  <mergeCells count="7">
    <mergeCell ref="M5:M6"/>
    <mergeCell ref="N5:N6"/>
    <mergeCell ref="A1:G1"/>
    <mergeCell ref="A2:G2"/>
    <mergeCell ref="A26:B26"/>
    <mergeCell ref="H5:I5"/>
    <mergeCell ref="L5:L6"/>
  </mergeCells>
  <phoneticPr fontId="6" type="noConversion"/>
  <dataValidations count="1">
    <dataValidation allowBlank="1" showInputMessage="1" showErrorMessage="1" prompt="C：  发函_x000a_C√：发函,且回函相符_x000a_C×：发函,且回函不符" sqref="I6" xr:uid="{B37762C0-4067-4A4E-8133-51C001517EC1}"/>
  </dataValidations>
  <printOptions horizontalCentered="1" verticalCentered="1"/>
  <pageMargins left="1.1417322834645669" right="0.9055118110236221" top="0.27559055118110237" bottom="0.59055118110236227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&amp;R&amp;"宋体,常规"&amp;10表5-6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977900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2</xdr:row>
                    <xdr:rowOff>0</xdr:rowOff>
                  </from>
                  <to>
                    <xdr:col>2</xdr:col>
                    <xdr:colOff>279400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3D86-2E12-4EF0-9B57-40585DB7B313}">
  <sheetPr codeName="Sheet91">
    <pageSetUpPr fitToPage="1"/>
  </sheetPr>
  <dimension ref="A1:N46"/>
  <sheetViews>
    <sheetView workbookViewId="0">
      <pane ySplit="6" topLeftCell="A7" activePane="bottomLeft" state="frozen"/>
      <selection activeCell="F17" sqref="F17"/>
      <selection pane="bottomLeft" sqref="A1:G26"/>
    </sheetView>
  </sheetViews>
  <sheetFormatPr baseColWidth="10" defaultColWidth="9" defaultRowHeight="15.75" customHeight="1"/>
  <cols>
    <col min="1" max="1" width="5.5" style="81" customWidth="1"/>
    <col min="2" max="2" width="26" style="81" customWidth="1"/>
    <col min="3" max="3" width="15.1640625" style="81" customWidth="1"/>
    <col min="4" max="4" width="16" style="81" customWidth="1"/>
    <col min="5" max="5" width="18.1640625" style="81" customWidth="1"/>
    <col min="6" max="6" width="16.6640625" style="81" customWidth="1"/>
    <col min="7" max="7" width="16.5" style="81" customWidth="1"/>
    <col min="8" max="8" width="7.5" style="81" customWidth="1"/>
    <col min="9" max="9" width="10" style="81" customWidth="1"/>
    <col min="10" max="10" width="13" style="81" customWidth="1"/>
    <col min="11" max="11" width="15.6640625" style="81" customWidth="1"/>
    <col min="12" max="12" width="5.6640625" style="81" customWidth="1"/>
    <col min="13" max="13" width="6.5" style="81" customWidth="1"/>
    <col min="14" max="14" width="7.5" style="81" customWidth="1"/>
    <col min="15" max="16384" width="9" style="81"/>
  </cols>
  <sheetData>
    <row r="1" spans="1:14" s="80" customFormat="1" ht="30" customHeight="1">
      <c r="A1" s="374" t="s">
        <v>1033</v>
      </c>
      <c r="B1" s="375"/>
      <c r="C1" s="375"/>
      <c r="D1" s="375"/>
      <c r="E1" s="375"/>
      <c r="F1" s="375"/>
      <c r="G1" s="375"/>
    </row>
    <row r="2" spans="1:14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4" ht="14.25" customHeight="1">
      <c r="A3" s="40"/>
      <c r="B3" s="40"/>
      <c r="C3" s="40"/>
      <c r="D3" s="40"/>
      <c r="E3" s="40"/>
      <c r="F3" s="40"/>
      <c r="G3" s="178"/>
    </row>
    <row r="4" spans="1:14" ht="14.25" customHeight="1">
      <c r="A4" s="40"/>
      <c r="B4" s="40"/>
      <c r="C4" s="40"/>
      <c r="D4" s="40"/>
      <c r="E4" s="40"/>
      <c r="F4" s="40"/>
      <c r="G4" s="178"/>
    </row>
    <row r="5" spans="1:14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68" t="s">
        <v>691</v>
      </c>
      <c r="I5" s="569"/>
      <c r="J5" s="302" t="s">
        <v>692</v>
      </c>
      <c r="K5" s="308" t="s">
        <v>693</v>
      </c>
      <c r="L5" s="570" t="s">
        <v>597</v>
      </c>
      <c r="M5" s="562" t="s">
        <v>641</v>
      </c>
      <c r="N5" s="562" t="s">
        <v>642</v>
      </c>
    </row>
    <row r="6" spans="1:14" s="101" customFormat="1" ht="15.75" customHeight="1">
      <c r="A6" s="45" t="s">
        <v>7</v>
      </c>
      <c r="B6" s="45" t="s">
        <v>51</v>
      </c>
      <c r="C6" s="45" t="s">
        <v>36</v>
      </c>
      <c r="D6" s="45" t="s">
        <v>35</v>
      </c>
      <c r="E6" s="217" t="s">
        <v>117</v>
      </c>
      <c r="F6" s="45" t="s">
        <v>0</v>
      </c>
      <c r="G6" s="45" t="s">
        <v>39</v>
      </c>
      <c r="H6" s="281" t="s">
        <v>694</v>
      </c>
      <c r="I6" s="281" t="s">
        <v>695</v>
      </c>
      <c r="J6" s="289" t="s">
        <v>696</v>
      </c>
      <c r="K6" s="282" t="s">
        <v>726</v>
      </c>
      <c r="L6" s="570"/>
      <c r="M6" s="563"/>
      <c r="N6" s="563"/>
    </row>
    <row r="7" spans="1:14" ht="15.75" customHeight="1">
      <c r="A7" s="8"/>
      <c r="B7" s="7"/>
      <c r="C7" s="146"/>
      <c r="D7" s="8"/>
      <c r="E7" s="235"/>
      <c r="F7" s="235"/>
      <c r="G7" s="7"/>
    </row>
    <row r="8" spans="1:14" ht="15.75" customHeight="1">
      <c r="A8" s="8"/>
      <c r="B8" s="7"/>
      <c r="C8" s="146"/>
      <c r="D8" s="8"/>
      <c r="E8" s="235"/>
      <c r="F8" s="235"/>
      <c r="G8" s="7"/>
    </row>
    <row r="9" spans="1:14" ht="15.75" customHeight="1">
      <c r="A9" s="8"/>
      <c r="B9" s="7"/>
      <c r="C9" s="146"/>
      <c r="D9" s="8"/>
      <c r="E9" s="235"/>
      <c r="F9" s="235"/>
      <c r="G9" s="7"/>
    </row>
    <row r="10" spans="1:14" ht="15.75" customHeight="1">
      <c r="A10" s="8"/>
      <c r="B10" s="7"/>
      <c r="C10" s="146"/>
      <c r="D10" s="8"/>
      <c r="E10" s="235"/>
      <c r="F10" s="235"/>
      <c r="G10" s="7"/>
    </row>
    <row r="11" spans="1:14" ht="15.75" customHeight="1">
      <c r="A11" s="8"/>
      <c r="B11" s="7"/>
      <c r="C11" s="146"/>
      <c r="D11" s="8"/>
      <c r="E11" s="235"/>
      <c r="F11" s="235"/>
      <c r="G11" s="7"/>
    </row>
    <row r="12" spans="1:14" ht="15.75" customHeight="1">
      <c r="A12" s="8"/>
      <c r="B12" s="7"/>
      <c r="C12" s="146"/>
      <c r="D12" s="8"/>
      <c r="E12" s="235"/>
      <c r="F12" s="235"/>
      <c r="G12" s="7"/>
    </row>
    <row r="13" spans="1:14" ht="15.75" customHeight="1">
      <c r="A13" s="8"/>
      <c r="B13" s="7"/>
      <c r="C13" s="146"/>
      <c r="D13" s="8"/>
      <c r="E13" s="235"/>
      <c r="F13" s="235"/>
      <c r="G13" s="7"/>
    </row>
    <row r="14" spans="1:14" ht="15.75" customHeight="1">
      <c r="A14" s="8"/>
      <c r="B14" s="7"/>
      <c r="C14" s="146"/>
      <c r="D14" s="8"/>
      <c r="E14" s="235"/>
      <c r="F14" s="235"/>
      <c r="G14" s="7"/>
    </row>
    <row r="15" spans="1:14" ht="15.75" customHeight="1">
      <c r="A15" s="8"/>
      <c r="B15" s="7"/>
      <c r="C15" s="146"/>
      <c r="D15" s="8"/>
      <c r="E15" s="235"/>
      <c r="F15" s="235"/>
      <c r="G15" s="7"/>
    </row>
    <row r="16" spans="1:14" ht="15.75" customHeight="1">
      <c r="A16" s="8"/>
      <c r="B16" s="7"/>
      <c r="C16" s="146"/>
      <c r="D16" s="8"/>
      <c r="E16" s="235"/>
      <c r="F16" s="235"/>
      <c r="G16" s="7"/>
    </row>
    <row r="17" spans="1:7" ht="15.75" customHeight="1">
      <c r="A17" s="8"/>
      <c r="B17" s="7"/>
      <c r="C17" s="146"/>
      <c r="D17" s="8"/>
      <c r="E17" s="235"/>
      <c r="F17" s="235"/>
      <c r="G17" s="7"/>
    </row>
    <row r="18" spans="1:7" ht="15.75" customHeight="1">
      <c r="A18" s="8"/>
      <c r="B18" s="7"/>
      <c r="C18" s="146"/>
      <c r="D18" s="8"/>
      <c r="E18" s="235"/>
      <c r="F18" s="235"/>
      <c r="G18" s="7"/>
    </row>
    <row r="19" spans="1:7" ht="15.75" customHeight="1">
      <c r="A19" s="8"/>
      <c r="B19" s="7"/>
      <c r="C19" s="146"/>
      <c r="D19" s="8"/>
      <c r="E19" s="235"/>
      <c r="F19" s="235"/>
      <c r="G19" s="7"/>
    </row>
    <row r="20" spans="1:7" ht="15.75" customHeight="1">
      <c r="A20" s="8"/>
      <c r="B20" s="7"/>
      <c r="C20" s="146"/>
      <c r="D20" s="8"/>
      <c r="E20" s="235"/>
      <c r="F20" s="235"/>
      <c r="G20" s="7"/>
    </row>
    <row r="21" spans="1:7" ht="15.75" customHeight="1">
      <c r="A21" s="8"/>
      <c r="B21" s="7"/>
      <c r="C21" s="146"/>
      <c r="D21" s="8"/>
      <c r="E21" s="235"/>
      <c r="F21" s="235"/>
      <c r="G21" s="7"/>
    </row>
    <row r="22" spans="1:7" ht="15.75" customHeight="1">
      <c r="A22" s="8"/>
      <c r="B22" s="7"/>
      <c r="C22" s="146"/>
      <c r="D22" s="8"/>
      <c r="E22" s="235"/>
      <c r="F22" s="235"/>
      <c r="G22" s="7"/>
    </row>
    <row r="23" spans="1:7" ht="15.75" customHeight="1">
      <c r="A23" s="8"/>
      <c r="B23" s="7"/>
      <c r="C23" s="146"/>
      <c r="D23" s="8"/>
      <c r="E23" s="235"/>
      <c r="F23" s="235"/>
      <c r="G23" s="7"/>
    </row>
    <row r="24" spans="1:7" ht="15.75" customHeight="1">
      <c r="A24" s="8"/>
      <c r="B24" s="7"/>
      <c r="C24" s="146"/>
      <c r="D24" s="8"/>
      <c r="E24" s="235"/>
      <c r="F24" s="235"/>
      <c r="G24" s="7"/>
    </row>
    <row r="25" spans="1:7" ht="15.75" customHeight="1">
      <c r="A25" s="8"/>
      <c r="B25" s="7"/>
      <c r="C25" s="146"/>
      <c r="D25" s="8"/>
      <c r="E25" s="235"/>
      <c r="F25" s="235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35"/>
      <c r="F27" s="235"/>
      <c r="G27" s="7"/>
    </row>
    <row r="28" spans="1:7" ht="15.75" hidden="1" customHeight="1">
      <c r="A28" s="8"/>
      <c r="B28" s="7"/>
      <c r="C28" s="146"/>
      <c r="D28" s="8"/>
      <c r="E28" s="235"/>
      <c r="F28" s="235"/>
      <c r="G28" s="7"/>
    </row>
    <row r="29" spans="1:7" ht="15.75" hidden="1" customHeight="1">
      <c r="A29" s="8"/>
      <c r="B29" s="7"/>
      <c r="C29" s="146"/>
      <c r="D29" s="8"/>
      <c r="E29" s="235"/>
      <c r="F29" s="235"/>
      <c r="G29" s="7"/>
    </row>
    <row r="30" spans="1:7" ht="15.75" hidden="1" customHeight="1">
      <c r="A30" s="8"/>
      <c r="B30" s="7"/>
      <c r="C30" s="146"/>
      <c r="D30" s="8"/>
      <c r="E30" s="235"/>
      <c r="F30" s="235"/>
      <c r="G30" s="7"/>
    </row>
    <row r="31" spans="1:7" ht="15.75" hidden="1" customHeight="1">
      <c r="A31" s="8"/>
      <c r="B31" s="7"/>
      <c r="C31" s="146"/>
      <c r="D31" s="8"/>
      <c r="E31" s="235"/>
      <c r="F31" s="235"/>
      <c r="G31" s="7"/>
    </row>
    <row r="32" spans="1:7" ht="15.75" hidden="1" customHeight="1">
      <c r="A32" s="8"/>
      <c r="B32" s="7"/>
      <c r="C32" s="146"/>
      <c r="D32" s="8"/>
      <c r="E32" s="235"/>
      <c r="F32" s="235"/>
      <c r="G32" s="7"/>
    </row>
    <row r="33" spans="1:7" ht="15.75" hidden="1" customHeight="1">
      <c r="A33" s="8"/>
      <c r="B33" s="7"/>
      <c r="C33" s="146"/>
      <c r="D33" s="8"/>
      <c r="E33" s="235"/>
      <c r="F33" s="235"/>
      <c r="G33" s="7"/>
    </row>
    <row r="34" spans="1:7" ht="15.75" hidden="1" customHeight="1">
      <c r="A34" s="8"/>
      <c r="B34" s="7"/>
      <c r="C34" s="146"/>
      <c r="D34" s="8"/>
      <c r="E34" s="235"/>
      <c r="F34" s="235"/>
      <c r="G34" s="7"/>
    </row>
    <row r="35" spans="1:7" ht="15.75" hidden="1" customHeight="1">
      <c r="A35" s="8"/>
      <c r="B35" s="7"/>
      <c r="C35" s="146"/>
      <c r="D35" s="8"/>
      <c r="E35" s="235"/>
      <c r="F35" s="235"/>
      <c r="G35" s="7"/>
    </row>
    <row r="36" spans="1:7" ht="15.75" hidden="1" customHeight="1">
      <c r="A36" s="8"/>
      <c r="B36" s="7"/>
      <c r="C36" s="146"/>
      <c r="D36" s="8"/>
      <c r="E36" s="235"/>
      <c r="F36" s="235"/>
      <c r="G36" s="7"/>
    </row>
    <row r="37" spans="1:7" ht="15.75" hidden="1" customHeight="1">
      <c r="A37" s="8"/>
      <c r="B37" s="7"/>
      <c r="C37" s="146"/>
      <c r="D37" s="8"/>
      <c r="E37" s="235"/>
      <c r="F37" s="235"/>
      <c r="G37" s="7"/>
    </row>
    <row r="38" spans="1:7" ht="15.75" hidden="1" customHeight="1">
      <c r="A38" s="8"/>
      <c r="B38" s="7"/>
      <c r="C38" s="146"/>
      <c r="D38" s="8"/>
      <c r="E38" s="235"/>
      <c r="F38" s="235"/>
      <c r="G38" s="7"/>
    </row>
    <row r="39" spans="1:7" ht="15.75" hidden="1" customHeight="1">
      <c r="A39" s="8"/>
      <c r="B39" s="7"/>
      <c r="C39" s="146"/>
      <c r="D39" s="8"/>
      <c r="E39" s="235"/>
      <c r="F39" s="235"/>
      <c r="G39" s="7"/>
    </row>
    <row r="40" spans="1:7" ht="15.75" hidden="1" customHeight="1">
      <c r="A40" s="8"/>
      <c r="B40" s="7"/>
      <c r="C40" s="146"/>
      <c r="D40" s="8"/>
      <c r="E40" s="235"/>
      <c r="F40" s="235"/>
      <c r="G40" s="7"/>
    </row>
    <row r="41" spans="1:7" ht="15.75" hidden="1" customHeight="1">
      <c r="A41" s="8"/>
      <c r="B41" s="7"/>
      <c r="C41" s="146"/>
      <c r="D41" s="8"/>
      <c r="E41" s="235"/>
      <c r="F41" s="235"/>
      <c r="G41" s="7"/>
    </row>
    <row r="42" spans="1:7" ht="15.75" hidden="1" customHeight="1">
      <c r="A42" s="8"/>
      <c r="B42" s="7"/>
      <c r="C42" s="146"/>
      <c r="D42" s="8"/>
      <c r="E42" s="235"/>
      <c r="F42" s="235"/>
      <c r="G42" s="7"/>
    </row>
    <row r="43" spans="1:7" ht="15.75" hidden="1" customHeight="1">
      <c r="A43" s="8"/>
      <c r="B43" s="7"/>
      <c r="C43" s="146"/>
      <c r="D43" s="8"/>
      <c r="E43" s="235"/>
      <c r="F43" s="235"/>
      <c r="G43" s="7"/>
    </row>
    <row r="44" spans="1:7" ht="15.75" hidden="1" customHeight="1">
      <c r="A44" s="8"/>
      <c r="B44" s="7"/>
      <c r="C44" s="146"/>
      <c r="D44" s="8"/>
      <c r="E44" s="235"/>
      <c r="F44" s="235"/>
      <c r="G44" s="7"/>
    </row>
    <row r="45" spans="1:7" ht="15.75" hidden="1" customHeight="1">
      <c r="A45" s="8"/>
      <c r="B45" s="7"/>
      <c r="C45" s="146"/>
      <c r="D45" s="8"/>
      <c r="E45" s="235"/>
      <c r="F45" s="235"/>
      <c r="G45" s="7"/>
    </row>
    <row r="46" spans="1:7" ht="15.75" hidden="1" customHeight="1">
      <c r="A46" s="8"/>
      <c r="B46" s="7"/>
      <c r="C46" s="146"/>
      <c r="D46" s="8"/>
      <c r="E46" s="235"/>
      <c r="F46" s="235"/>
      <c r="G46" s="7"/>
    </row>
  </sheetData>
  <mergeCells count="7">
    <mergeCell ref="N5:N6"/>
    <mergeCell ref="A26:B26"/>
    <mergeCell ref="A1:G1"/>
    <mergeCell ref="A2:G2"/>
    <mergeCell ref="H5:I5"/>
    <mergeCell ref="L5:L6"/>
    <mergeCell ref="M5:M6"/>
  </mergeCells>
  <phoneticPr fontId="52" type="noConversion"/>
  <dataValidations count="1">
    <dataValidation allowBlank="1" showInputMessage="1" showErrorMessage="1" prompt="C：  发函_x000a_C√：发函,且回函相符_x000a_C×：发函,且回函不符" sqref="I6" xr:uid="{077BD72C-16D5-4CD7-BCA6-5C0DF215582D}"/>
  </dataValidations>
  <printOptions horizontalCentered="1" verticalCentered="1"/>
  <pageMargins left="1.1417322834645669" right="0.9055118110236221" top="0.27559055118110237" bottom="0.59055118110236227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&amp;R&amp;"宋体,常规"&amp;10表5-7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977900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1231900</xdr:colOff>
                    <xdr:row>2</xdr:row>
                    <xdr:rowOff>0</xdr:rowOff>
                  </from>
                  <to>
                    <xdr:col>2</xdr:col>
                    <xdr:colOff>279400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2BCB-75CC-4C9B-9F96-ABE9BCA02091}">
  <sheetPr codeName="Sheet65">
    <pageSetUpPr fitToPage="1"/>
  </sheetPr>
  <dimension ref="A1:J46"/>
  <sheetViews>
    <sheetView workbookViewId="0">
      <pane ySplit="6" topLeftCell="A10" activePane="bottomLeft" state="frozen"/>
      <selection activeCell="F17" sqref="F17"/>
      <selection pane="bottomLeft" activeCell="C18" sqref="C18"/>
    </sheetView>
  </sheetViews>
  <sheetFormatPr baseColWidth="10" defaultColWidth="9" defaultRowHeight="15.75" customHeight="1"/>
  <cols>
    <col min="1" max="1" width="8" style="81" customWidth="1"/>
    <col min="2" max="2" width="30" style="81" customWidth="1"/>
    <col min="3" max="3" width="15.6640625" style="81" customWidth="1"/>
    <col min="4" max="5" width="21.6640625" style="81" customWidth="1"/>
    <col min="6" max="6" width="18.1640625" style="81" customWidth="1"/>
    <col min="7" max="7" width="10.1640625" style="81" customWidth="1"/>
    <col min="8" max="8" width="18.5" style="81" customWidth="1"/>
    <col min="9" max="9" width="10.33203125" style="81" customWidth="1"/>
    <col min="10" max="16384" width="9" style="81"/>
  </cols>
  <sheetData>
    <row r="1" spans="1:10" s="80" customFormat="1" ht="30" customHeight="1">
      <c r="A1" s="374" t="s">
        <v>1034</v>
      </c>
      <c r="B1" s="375"/>
      <c r="C1" s="375"/>
      <c r="D1" s="375"/>
      <c r="E1" s="375"/>
      <c r="F1" s="375"/>
    </row>
    <row r="2" spans="1:10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10" ht="14.25" customHeight="1">
      <c r="A3" s="40"/>
      <c r="B3" s="40"/>
      <c r="C3" s="40"/>
      <c r="D3" s="40"/>
      <c r="E3" s="40"/>
      <c r="F3" s="332" t="s">
        <v>897</v>
      </c>
    </row>
    <row r="4" spans="1:10" ht="14.25" customHeight="1">
      <c r="A4" s="40"/>
      <c r="B4" s="40"/>
      <c r="C4" s="40"/>
      <c r="D4" s="40"/>
      <c r="E4" s="40"/>
      <c r="F4" s="178" t="s">
        <v>462</v>
      </c>
    </row>
    <row r="5" spans="1:10" ht="15.75" customHeight="1">
      <c r="A5" s="225" t="str">
        <f>'1-汇总表'!A4</f>
        <v>被评估单位：A有限公司</v>
      </c>
      <c r="B5" s="42"/>
      <c r="C5" s="42"/>
      <c r="D5" s="42"/>
      <c r="E5" s="42"/>
      <c r="F5" s="122" t="s">
        <v>6</v>
      </c>
    </row>
    <row r="6" spans="1:10" s="101" customFormat="1" ht="15.75" customHeight="1">
      <c r="A6" s="45" t="s">
        <v>7</v>
      </c>
      <c r="B6" s="45" t="s">
        <v>239</v>
      </c>
      <c r="C6" s="45" t="s">
        <v>36</v>
      </c>
      <c r="D6" s="217" t="s">
        <v>117</v>
      </c>
      <c r="E6" s="45" t="s">
        <v>0</v>
      </c>
      <c r="F6" s="45" t="s">
        <v>39</v>
      </c>
      <c r="G6" s="274" t="s">
        <v>652</v>
      </c>
      <c r="H6" s="274" t="s">
        <v>653</v>
      </c>
      <c r="I6" s="274" t="s">
        <v>641</v>
      </c>
      <c r="J6" s="274" t="s">
        <v>642</v>
      </c>
    </row>
    <row r="7" spans="1:10" ht="15.75" customHeight="1">
      <c r="A7" s="8">
        <v>1</v>
      </c>
      <c r="B7" s="197" t="s">
        <v>246</v>
      </c>
      <c r="C7" s="146"/>
      <c r="D7" s="31"/>
      <c r="E7" s="31"/>
      <c r="F7" s="7"/>
    </row>
    <row r="8" spans="1:10" ht="15.75" customHeight="1">
      <c r="A8" s="8">
        <v>2</v>
      </c>
      <c r="B8" s="197" t="s">
        <v>247</v>
      </c>
      <c r="C8" s="146"/>
      <c r="D8" s="31"/>
      <c r="E8" s="31"/>
      <c r="F8" s="7"/>
    </row>
    <row r="9" spans="1:10" ht="15.75" customHeight="1">
      <c r="A9" s="8">
        <v>3</v>
      </c>
      <c r="B9" s="197" t="s">
        <v>248</v>
      </c>
      <c r="C9" s="146"/>
      <c r="D9" s="31"/>
      <c r="E9" s="31"/>
      <c r="F9" s="7"/>
    </row>
    <row r="10" spans="1:10" ht="15.75" customHeight="1">
      <c r="A10" s="8">
        <v>4</v>
      </c>
      <c r="B10" s="197" t="s">
        <v>249</v>
      </c>
      <c r="C10" s="146"/>
      <c r="D10" s="31"/>
      <c r="E10" s="31"/>
      <c r="F10" s="7"/>
    </row>
    <row r="11" spans="1:10" ht="15.75" customHeight="1">
      <c r="A11" s="8">
        <v>5</v>
      </c>
      <c r="B11" s="197" t="s">
        <v>250</v>
      </c>
      <c r="C11" s="146"/>
      <c r="D11" s="31"/>
      <c r="E11" s="31"/>
      <c r="F11" s="7"/>
    </row>
    <row r="12" spans="1:10" ht="15.75" customHeight="1">
      <c r="A12" s="8">
        <v>6</v>
      </c>
      <c r="B12" s="197" t="s">
        <v>251</v>
      </c>
      <c r="C12" s="146"/>
      <c r="D12" s="31"/>
      <c r="E12" s="31"/>
      <c r="F12" s="7"/>
    </row>
    <row r="13" spans="1:10" ht="15.75" customHeight="1">
      <c r="A13" s="8">
        <v>7</v>
      </c>
      <c r="B13" s="197" t="s">
        <v>252</v>
      </c>
      <c r="C13" s="146"/>
      <c r="D13" s="31"/>
      <c r="E13" s="31"/>
      <c r="F13" s="7"/>
    </row>
    <row r="14" spans="1:10" ht="15.75" customHeight="1">
      <c r="A14" s="8">
        <v>8</v>
      </c>
      <c r="B14" s="197" t="s">
        <v>253</v>
      </c>
      <c r="C14" s="146"/>
      <c r="D14" s="31"/>
      <c r="E14" s="31"/>
      <c r="F14" s="7"/>
    </row>
    <row r="15" spans="1:10" ht="15.75" customHeight="1">
      <c r="A15" s="8">
        <v>9</v>
      </c>
      <c r="B15" s="197" t="s">
        <v>240</v>
      </c>
      <c r="C15" s="146"/>
      <c r="D15" s="31"/>
      <c r="E15" s="31"/>
      <c r="F15" s="7"/>
    </row>
    <row r="16" spans="1:10" ht="15.75" customHeight="1">
      <c r="A16" s="8">
        <v>10</v>
      </c>
      <c r="B16" s="197" t="s">
        <v>241</v>
      </c>
      <c r="C16" s="146"/>
      <c r="D16" s="31"/>
      <c r="E16" s="31"/>
      <c r="F16" s="7"/>
    </row>
    <row r="17" spans="1:6" ht="15.75" customHeight="1">
      <c r="A17" s="8">
        <v>11</v>
      </c>
      <c r="B17" s="197" t="s">
        <v>242</v>
      </c>
      <c r="C17" s="146"/>
      <c r="D17" s="31"/>
      <c r="E17" s="31"/>
      <c r="F17" s="7"/>
    </row>
    <row r="18" spans="1:6" ht="15.75" customHeight="1">
      <c r="A18" s="8">
        <v>12</v>
      </c>
      <c r="B18" s="197" t="s">
        <v>243</v>
      </c>
      <c r="C18" s="146"/>
      <c r="D18" s="31"/>
      <c r="E18" s="31"/>
      <c r="F18" s="7"/>
    </row>
    <row r="19" spans="1:6" ht="15.75" customHeight="1">
      <c r="A19" s="8">
        <v>13</v>
      </c>
      <c r="B19" s="197" t="s">
        <v>244</v>
      </c>
      <c r="C19" s="146"/>
      <c r="D19" s="31"/>
      <c r="E19" s="31"/>
      <c r="F19" s="7"/>
    </row>
    <row r="20" spans="1:6" ht="15.75" customHeight="1">
      <c r="A20" s="8">
        <v>14</v>
      </c>
      <c r="B20" s="197" t="s">
        <v>245</v>
      </c>
      <c r="C20" s="146"/>
      <c r="D20" s="31"/>
      <c r="E20" s="31"/>
      <c r="F20" s="7"/>
    </row>
    <row r="21" spans="1:6" ht="15.75" customHeight="1">
      <c r="A21" s="8">
        <v>15</v>
      </c>
      <c r="B21" s="197" t="s">
        <v>346</v>
      </c>
      <c r="C21" s="146"/>
      <c r="D21" s="31"/>
      <c r="E21" s="31"/>
      <c r="F21" s="7"/>
    </row>
    <row r="22" spans="1:6" ht="15.75" customHeight="1">
      <c r="A22" s="8"/>
      <c r="B22" s="7"/>
      <c r="C22" s="146"/>
      <c r="D22" s="31"/>
      <c r="E22" s="31"/>
      <c r="F22" s="7"/>
    </row>
    <row r="23" spans="1:6" ht="15.75" customHeight="1">
      <c r="A23" s="8"/>
      <c r="B23" s="7"/>
      <c r="C23" s="146"/>
      <c r="D23" s="31"/>
      <c r="E23" s="31"/>
      <c r="F23" s="7"/>
    </row>
    <row r="24" spans="1:6" ht="15.75" customHeight="1">
      <c r="A24" s="8"/>
      <c r="B24" s="7"/>
      <c r="C24" s="146"/>
      <c r="D24" s="31"/>
      <c r="E24" s="31"/>
      <c r="F24" s="7"/>
    </row>
    <row r="25" spans="1:6" ht="15.75" customHeight="1">
      <c r="A25" s="8"/>
      <c r="B25" s="7"/>
      <c r="C25" s="146"/>
      <c r="D25" s="31"/>
      <c r="E25" s="31"/>
      <c r="F25" s="7"/>
    </row>
    <row r="26" spans="1:6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34"/>
    </row>
    <row r="27" spans="1:6" ht="15.75" hidden="1" customHeight="1">
      <c r="A27" s="8"/>
      <c r="B27" s="7"/>
      <c r="C27" s="146"/>
      <c r="D27" s="31"/>
      <c r="E27" s="31"/>
      <c r="F27" s="7"/>
    </row>
    <row r="28" spans="1:6" ht="15.75" hidden="1" customHeight="1">
      <c r="A28" s="8"/>
      <c r="B28" s="7"/>
      <c r="C28" s="146"/>
      <c r="D28" s="31"/>
      <c r="E28" s="31"/>
      <c r="F28" s="7"/>
    </row>
    <row r="29" spans="1:6" ht="15.75" hidden="1" customHeight="1">
      <c r="A29" s="8"/>
      <c r="B29" s="7"/>
      <c r="C29" s="146"/>
      <c r="D29" s="31"/>
      <c r="E29" s="31"/>
      <c r="F29" s="7"/>
    </row>
    <row r="30" spans="1:6" ht="15.75" hidden="1" customHeight="1">
      <c r="A30" s="8"/>
      <c r="B30" s="7"/>
      <c r="C30" s="146"/>
      <c r="D30" s="31"/>
      <c r="E30" s="31"/>
      <c r="F30" s="7"/>
    </row>
    <row r="31" spans="1:6" ht="15.75" hidden="1" customHeight="1">
      <c r="A31" s="8"/>
      <c r="B31" s="7"/>
      <c r="C31" s="146"/>
      <c r="D31" s="31"/>
      <c r="E31" s="31"/>
      <c r="F31" s="7"/>
    </row>
    <row r="32" spans="1:6" ht="15.75" hidden="1" customHeight="1">
      <c r="A32" s="8"/>
      <c r="B32" s="7"/>
      <c r="C32" s="146"/>
      <c r="D32" s="31"/>
      <c r="E32" s="31"/>
      <c r="F32" s="7"/>
    </row>
    <row r="33" spans="1:6" ht="15.75" hidden="1" customHeight="1">
      <c r="A33" s="8"/>
      <c r="B33" s="7"/>
      <c r="C33" s="146"/>
      <c r="D33" s="31"/>
      <c r="E33" s="31"/>
      <c r="F33" s="7"/>
    </row>
    <row r="34" spans="1:6" ht="15.75" hidden="1" customHeight="1">
      <c r="A34" s="8"/>
      <c r="B34" s="7"/>
      <c r="C34" s="146"/>
      <c r="D34" s="31"/>
      <c r="E34" s="31"/>
      <c r="F34" s="7"/>
    </row>
    <row r="35" spans="1:6" ht="15.75" hidden="1" customHeight="1">
      <c r="A35" s="8"/>
      <c r="B35" s="7"/>
      <c r="C35" s="146"/>
      <c r="D35" s="31"/>
      <c r="E35" s="31"/>
      <c r="F35" s="7"/>
    </row>
    <row r="36" spans="1:6" ht="15.75" hidden="1" customHeight="1">
      <c r="A36" s="8"/>
      <c r="B36" s="7"/>
      <c r="C36" s="146"/>
      <c r="D36" s="31"/>
      <c r="E36" s="31"/>
      <c r="F36" s="7"/>
    </row>
    <row r="37" spans="1:6" ht="15.75" hidden="1" customHeight="1">
      <c r="A37" s="8"/>
      <c r="B37" s="7"/>
      <c r="C37" s="146"/>
      <c r="D37" s="31"/>
      <c r="E37" s="31"/>
      <c r="F37" s="7"/>
    </row>
    <row r="38" spans="1:6" ht="15.75" hidden="1" customHeight="1">
      <c r="A38" s="8"/>
      <c r="B38" s="7"/>
      <c r="C38" s="146"/>
      <c r="D38" s="31"/>
      <c r="E38" s="31"/>
      <c r="F38" s="7"/>
    </row>
    <row r="39" spans="1:6" ht="15.75" hidden="1" customHeight="1">
      <c r="A39" s="8"/>
      <c r="B39" s="7"/>
      <c r="C39" s="146"/>
      <c r="D39" s="31"/>
      <c r="E39" s="31"/>
      <c r="F39" s="7"/>
    </row>
    <row r="40" spans="1:6" ht="15.75" hidden="1" customHeight="1">
      <c r="A40" s="8"/>
      <c r="B40" s="7"/>
      <c r="C40" s="146"/>
      <c r="D40" s="31"/>
      <c r="E40" s="31"/>
      <c r="F40" s="7"/>
    </row>
    <row r="41" spans="1:6" ht="15.75" hidden="1" customHeight="1">
      <c r="A41" s="8"/>
      <c r="B41" s="7"/>
      <c r="C41" s="146"/>
      <c r="D41" s="31"/>
      <c r="E41" s="31"/>
      <c r="F41" s="7"/>
    </row>
    <row r="42" spans="1:6" ht="15.75" hidden="1" customHeight="1">
      <c r="A42" s="8"/>
      <c r="B42" s="7"/>
      <c r="C42" s="146"/>
      <c r="D42" s="31"/>
      <c r="E42" s="31"/>
      <c r="F42" s="7"/>
    </row>
    <row r="43" spans="1:6" ht="15.75" hidden="1" customHeight="1">
      <c r="A43" s="8"/>
      <c r="B43" s="7"/>
      <c r="C43" s="146"/>
      <c r="D43" s="31"/>
      <c r="E43" s="31"/>
      <c r="F43" s="7"/>
    </row>
    <row r="44" spans="1:6" ht="15.75" hidden="1" customHeight="1">
      <c r="A44" s="8"/>
      <c r="B44" s="7"/>
      <c r="C44" s="146"/>
      <c r="D44" s="31"/>
      <c r="E44" s="31"/>
      <c r="F44" s="7"/>
    </row>
    <row r="45" spans="1:6" ht="15.75" hidden="1" customHeight="1">
      <c r="A45" s="8"/>
      <c r="B45" s="7"/>
      <c r="C45" s="146"/>
      <c r="D45" s="31"/>
      <c r="E45" s="31"/>
      <c r="F45" s="7"/>
    </row>
    <row r="46" spans="1:6" ht="15.75" hidden="1" customHeight="1">
      <c r="A46" s="8"/>
      <c r="B46" s="7"/>
      <c r="C46" s="146"/>
      <c r="D46" s="31"/>
      <c r="E46" s="31"/>
      <c r="F46" s="7"/>
    </row>
  </sheetData>
  <mergeCells count="3">
    <mergeCell ref="A1:F1"/>
    <mergeCell ref="A2:F2"/>
    <mergeCell ref="A26:B26"/>
  </mergeCells>
  <phoneticPr fontId="6" type="noConversion"/>
  <printOptions horizontalCentered="1" verticalCentered="1"/>
  <pageMargins left="1.299212598425197" right="0.70866141732283472" top="0.39370078740157483" bottom="0.82677165354330717" header="1.4566929133858268" footer="1.2204724409448819"/>
  <pageSetup paperSize="9" fitToHeight="0" orientation="landscape" blackAndWhite="1" horizontalDpi="1200" verticalDpi="1200" r:id="rId1"/>
  <headerFooter scaleWithDoc="0"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787400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1041400</xdr:colOff>
                    <xdr:row>2</xdr:row>
                    <xdr:rowOff>0</xdr:rowOff>
                  </from>
                  <to>
                    <xdr:col>1</xdr:col>
                    <xdr:colOff>2057400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B824-294B-4549-B742-7E8ABB7C90E3}">
  <sheetPr codeName="Sheet67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activeCell="D16" sqref="D16"/>
    </sheetView>
  </sheetViews>
  <sheetFormatPr baseColWidth="10" defaultColWidth="9" defaultRowHeight="15.75" customHeight="1"/>
  <cols>
    <col min="1" max="1" width="8.5" style="81" customWidth="1"/>
    <col min="2" max="2" width="26.1640625" style="81" customWidth="1"/>
    <col min="3" max="3" width="14.5" style="81" customWidth="1"/>
    <col min="4" max="4" width="14.1640625" style="81" customWidth="1"/>
    <col min="5" max="6" width="18.1640625" style="81" customWidth="1"/>
    <col min="7" max="7" width="15.5" style="81" customWidth="1"/>
    <col min="8" max="8" width="18.5" style="81" customWidth="1"/>
    <col min="9" max="9" width="17.83203125" style="81" customWidth="1"/>
    <col min="10" max="10" width="10.6640625" style="81" customWidth="1"/>
    <col min="11" max="11" width="8.83203125" style="81" customWidth="1"/>
    <col min="12" max="12" width="9.1640625" style="81" customWidth="1"/>
    <col min="13" max="16384" width="9" style="81"/>
  </cols>
  <sheetData>
    <row r="1" spans="1:12" s="80" customFormat="1" ht="30" customHeight="1">
      <c r="A1" s="374" t="s">
        <v>1035</v>
      </c>
      <c r="B1" s="375"/>
      <c r="C1" s="375"/>
      <c r="D1" s="375"/>
      <c r="E1" s="375"/>
      <c r="F1" s="375"/>
      <c r="G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2" ht="14.25" customHeight="1">
      <c r="A3" s="40"/>
      <c r="B3" s="40"/>
      <c r="C3" s="40"/>
      <c r="D3" s="40"/>
      <c r="E3" s="40"/>
      <c r="F3" s="40"/>
      <c r="G3" s="178"/>
    </row>
    <row r="4" spans="1:12" ht="14.25" customHeight="1">
      <c r="A4" s="40"/>
      <c r="B4" s="40"/>
      <c r="C4" s="40"/>
      <c r="D4" s="40"/>
      <c r="E4" s="40"/>
      <c r="F4" s="40"/>
      <c r="G4" s="178"/>
    </row>
    <row r="5" spans="1:12" ht="15.75" customHeight="1">
      <c r="A5" s="225" t="str">
        <f>'1-汇总表'!A4</f>
        <v>被评估单位：A有限公司</v>
      </c>
      <c r="B5" s="42"/>
      <c r="C5" s="42"/>
      <c r="D5" s="42"/>
      <c r="E5" s="42"/>
      <c r="F5" s="42"/>
      <c r="G5" s="122"/>
    </row>
    <row r="6" spans="1:12" s="101" customFormat="1" ht="15.75" customHeight="1">
      <c r="A6" s="45" t="s">
        <v>7</v>
      </c>
      <c r="B6" s="45" t="s">
        <v>59</v>
      </c>
      <c r="C6" s="45" t="s">
        <v>36</v>
      </c>
      <c r="D6" s="45" t="s">
        <v>254</v>
      </c>
      <c r="E6" s="217" t="s">
        <v>117</v>
      </c>
      <c r="F6" s="45" t="s">
        <v>0</v>
      </c>
      <c r="G6" s="45" t="s">
        <v>39</v>
      </c>
      <c r="H6" s="274" t="s">
        <v>654</v>
      </c>
      <c r="I6" s="274" t="s">
        <v>653</v>
      </c>
      <c r="J6" s="274" t="s">
        <v>655</v>
      </c>
      <c r="K6" s="274" t="s">
        <v>641</v>
      </c>
      <c r="L6" s="274" t="s">
        <v>642</v>
      </c>
    </row>
    <row r="7" spans="1:12" ht="15.75" customHeight="1">
      <c r="A7" s="8"/>
      <c r="B7" s="7"/>
      <c r="C7" s="146"/>
      <c r="D7" s="8"/>
      <c r="E7" s="31"/>
      <c r="F7" s="31"/>
      <c r="G7" s="7"/>
    </row>
    <row r="8" spans="1:12" ht="15.75" customHeight="1">
      <c r="A8" s="8"/>
      <c r="B8" s="7"/>
      <c r="C8" s="146"/>
      <c r="D8" s="8"/>
      <c r="E8" s="31"/>
      <c r="F8" s="31"/>
      <c r="G8" s="7"/>
    </row>
    <row r="9" spans="1:12" ht="15.75" customHeight="1">
      <c r="A9" s="8"/>
      <c r="B9" s="7"/>
      <c r="C9" s="146"/>
      <c r="D9" s="8"/>
      <c r="E9" s="31"/>
      <c r="F9" s="31"/>
      <c r="G9" s="7"/>
    </row>
    <row r="10" spans="1:12" ht="15.75" customHeight="1">
      <c r="A10" s="8"/>
      <c r="B10" s="7"/>
      <c r="C10" s="146"/>
      <c r="D10" s="8"/>
      <c r="E10" s="31"/>
      <c r="F10" s="31"/>
      <c r="G10" s="7"/>
    </row>
    <row r="11" spans="1:12" ht="15.75" customHeight="1">
      <c r="A11" s="8"/>
      <c r="B11" s="7"/>
      <c r="C11" s="146"/>
      <c r="D11" s="8"/>
      <c r="E11" s="31"/>
      <c r="F11" s="31"/>
      <c r="G11" s="7"/>
    </row>
    <row r="12" spans="1:12" ht="15.75" customHeight="1">
      <c r="A12" s="8"/>
      <c r="B12" s="7"/>
      <c r="C12" s="146"/>
      <c r="D12" s="8"/>
      <c r="E12" s="31"/>
      <c r="F12" s="31"/>
      <c r="G12" s="7"/>
    </row>
    <row r="13" spans="1:12" ht="15.75" customHeight="1">
      <c r="A13" s="8"/>
      <c r="B13" s="7"/>
      <c r="C13" s="146"/>
      <c r="D13" s="8"/>
      <c r="E13" s="31"/>
      <c r="F13" s="31"/>
      <c r="G13" s="7"/>
    </row>
    <row r="14" spans="1:12" ht="15.75" customHeight="1">
      <c r="A14" s="8"/>
      <c r="B14" s="7"/>
      <c r="C14" s="146"/>
      <c r="D14" s="8"/>
      <c r="E14" s="31"/>
      <c r="F14" s="31"/>
      <c r="G14" s="7"/>
    </row>
    <row r="15" spans="1:12" ht="15.75" customHeight="1">
      <c r="A15" s="8"/>
      <c r="B15" s="7"/>
      <c r="C15" s="146"/>
      <c r="D15" s="8"/>
      <c r="E15" s="31"/>
      <c r="F15" s="31"/>
      <c r="G15" s="7"/>
    </row>
    <row r="16" spans="1:12" ht="15.75" customHeight="1">
      <c r="A16" s="8"/>
      <c r="B16" s="7"/>
      <c r="C16" s="146"/>
      <c r="D16" s="8"/>
      <c r="E16" s="31"/>
      <c r="F16" s="31"/>
      <c r="G16" s="7"/>
    </row>
    <row r="17" spans="1:7" ht="15.75" customHeight="1">
      <c r="A17" s="8"/>
      <c r="B17" s="7"/>
      <c r="C17" s="146"/>
      <c r="D17" s="8"/>
      <c r="E17" s="31"/>
      <c r="F17" s="31"/>
      <c r="G17" s="7"/>
    </row>
    <row r="18" spans="1:7" ht="15.75" customHeight="1">
      <c r="A18" s="8"/>
      <c r="B18" s="7"/>
      <c r="C18" s="146"/>
      <c r="D18" s="8"/>
      <c r="E18" s="31"/>
      <c r="F18" s="31"/>
      <c r="G18" s="7"/>
    </row>
    <row r="19" spans="1:7" ht="15.75" customHeight="1">
      <c r="A19" s="8"/>
      <c r="B19" s="7"/>
      <c r="C19" s="146"/>
      <c r="D19" s="8"/>
      <c r="E19" s="31"/>
      <c r="F19" s="31"/>
      <c r="G19" s="7"/>
    </row>
    <row r="20" spans="1:7" ht="15.75" customHeight="1">
      <c r="A20" s="8"/>
      <c r="B20" s="7"/>
      <c r="C20" s="146"/>
      <c r="D20" s="8"/>
      <c r="E20" s="31"/>
      <c r="F20" s="31"/>
      <c r="G20" s="7"/>
    </row>
    <row r="21" spans="1:7" ht="15.75" customHeight="1">
      <c r="A21" s="8"/>
      <c r="B21" s="7"/>
      <c r="C21" s="146"/>
      <c r="D21" s="8"/>
      <c r="E21" s="31"/>
      <c r="F21" s="31"/>
      <c r="G21" s="7"/>
    </row>
    <row r="22" spans="1:7" ht="15.75" customHeight="1">
      <c r="A22" s="8"/>
      <c r="B22" s="7"/>
      <c r="C22" s="146"/>
      <c r="D22" s="8"/>
      <c r="E22" s="31"/>
      <c r="F22" s="31"/>
      <c r="G22" s="7"/>
    </row>
    <row r="23" spans="1:7" ht="15.75" customHeight="1">
      <c r="A23" s="8"/>
      <c r="B23" s="7"/>
      <c r="C23" s="146"/>
      <c r="D23" s="8"/>
      <c r="E23" s="31"/>
      <c r="F23" s="31"/>
      <c r="G23" s="7"/>
    </row>
    <row r="24" spans="1:7" ht="15.75" customHeight="1">
      <c r="A24" s="8"/>
      <c r="B24" s="7"/>
      <c r="C24" s="146"/>
      <c r="D24" s="8"/>
      <c r="E24" s="31"/>
      <c r="F24" s="31"/>
      <c r="G24" s="7"/>
    </row>
    <row r="25" spans="1:7" ht="15.75" customHeight="1">
      <c r="A25" s="8"/>
      <c r="B25" s="7"/>
      <c r="C25" s="146"/>
      <c r="D25" s="8"/>
      <c r="E25" s="31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31"/>
      <c r="F27" s="31"/>
      <c r="G27" s="7"/>
    </row>
    <row r="28" spans="1:7" ht="15.75" hidden="1" customHeight="1">
      <c r="A28" s="8"/>
      <c r="B28" s="7"/>
      <c r="C28" s="146"/>
      <c r="D28" s="8"/>
      <c r="E28" s="31"/>
      <c r="F28" s="31"/>
      <c r="G28" s="7"/>
    </row>
    <row r="29" spans="1:7" ht="15.75" hidden="1" customHeight="1">
      <c r="A29" s="8"/>
      <c r="B29" s="7"/>
      <c r="C29" s="146"/>
      <c r="D29" s="8"/>
      <c r="E29" s="31"/>
      <c r="F29" s="31"/>
      <c r="G29" s="7"/>
    </row>
    <row r="30" spans="1:7" ht="15.75" hidden="1" customHeight="1">
      <c r="A30" s="8"/>
      <c r="B30" s="7"/>
      <c r="C30" s="146"/>
      <c r="D30" s="8"/>
      <c r="E30" s="31"/>
      <c r="F30" s="31"/>
      <c r="G30" s="7"/>
    </row>
    <row r="31" spans="1:7" ht="15.75" hidden="1" customHeight="1">
      <c r="A31" s="8"/>
      <c r="B31" s="7"/>
      <c r="C31" s="146"/>
      <c r="D31" s="8"/>
      <c r="E31" s="31"/>
      <c r="F31" s="31"/>
      <c r="G31" s="7"/>
    </row>
    <row r="32" spans="1:7" ht="15.75" hidden="1" customHeight="1">
      <c r="A32" s="8"/>
      <c r="B32" s="7"/>
      <c r="C32" s="146"/>
      <c r="D32" s="8"/>
      <c r="E32" s="31"/>
      <c r="F32" s="31"/>
      <c r="G32" s="7"/>
    </row>
    <row r="33" spans="1:7" ht="15.75" hidden="1" customHeight="1">
      <c r="A33" s="8"/>
      <c r="B33" s="7"/>
      <c r="C33" s="146"/>
      <c r="D33" s="8"/>
      <c r="E33" s="31"/>
      <c r="F33" s="31"/>
      <c r="G33" s="7"/>
    </row>
    <row r="34" spans="1:7" ht="15.75" hidden="1" customHeight="1">
      <c r="A34" s="8"/>
      <c r="B34" s="7"/>
      <c r="C34" s="146"/>
      <c r="D34" s="8"/>
      <c r="E34" s="31"/>
      <c r="F34" s="31"/>
      <c r="G34" s="7"/>
    </row>
    <row r="35" spans="1:7" ht="15.75" hidden="1" customHeight="1">
      <c r="A35" s="8"/>
      <c r="B35" s="7"/>
      <c r="C35" s="146"/>
      <c r="D35" s="8"/>
      <c r="E35" s="31"/>
      <c r="F35" s="31"/>
      <c r="G35" s="7"/>
    </row>
    <row r="36" spans="1:7" ht="15.75" hidden="1" customHeight="1">
      <c r="A36" s="8"/>
      <c r="B36" s="7"/>
      <c r="C36" s="146"/>
      <c r="D36" s="8"/>
      <c r="E36" s="31"/>
      <c r="F36" s="31"/>
      <c r="G36" s="7"/>
    </row>
    <row r="37" spans="1:7" ht="15.75" hidden="1" customHeight="1">
      <c r="A37" s="8"/>
      <c r="B37" s="7"/>
      <c r="C37" s="146"/>
      <c r="D37" s="8"/>
      <c r="E37" s="31"/>
      <c r="F37" s="31"/>
      <c r="G37" s="7"/>
    </row>
    <row r="38" spans="1:7" ht="15.75" hidden="1" customHeight="1">
      <c r="A38" s="8"/>
      <c r="B38" s="7"/>
      <c r="C38" s="146"/>
      <c r="D38" s="8"/>
      <c r="E38" s="31"/>
      <c r="F38" s="31"/>
      <c r="G38" s="7"/>
    </row>
    <row r="39" spans="1:7" ht="15.75" hidden="1" customHeight="1">
      <c r="A39" s="8"/>
      <c r="B39" s="7"/>
      <c r="C39" s="146"/>
      <c r="D39" s="8"/>
      <c r="E39" s="31"/>
      <c r="F39" s="31"/>
      <c r="G39" s="7"/>
    </row>
    <row r="40" spans="1:7" ht="15.75" hidden="1" customHeight="1">
      <c r="A40" s="8"/>
      <c r="B40" s="7"/>
      <c r="C40" s="146"/>
      <c r="D40" s="8"/>
      <c r="E40" s="31"/>
      <c r="F40" s="31"/>
      <c r="G40" s="7"/>
    </row>
    <row r="41" spans="1:7" ht="15.75" hidden="1" customHeight="1">
      <c r="A41" s="8"/>
      <c r="B41" s="7"/>
      <c r="C41" s="146"/>
      <c r="D41" s="8"/>
      <c r="E41" s="31"/>
      <c r="F41" s="31"/>
      <c r="G41" s="7"/>
    </row>
    <row r="42" spans="1:7" ht="15.75" hidden="1" customHeight="1">
      <c r="A42" s="8"/>
      <c r="B42" s="7"/>
      <c r="C42" s="146"/>
      <c r="D42" s="8"/>
      <c r="E42" s="31"/>
      <c r="F42" s="31"/>
      <c r="G42" s="7"/>
    </row>
    <row r="43" spans="1:7" ht="15.75" hidden="1" customHeight="1">
      <c r="A43" s="8"/>
      <c r="B43" s="7"/>
      <c r="C43" s="146"/>
      <c r="D43" s="8"/>
      <c r="E43" s="31"/>
      <c r="F43" s="31"/>
      <c r="G43" s="7"/>
    </row>
    <row r="44" spans="1:7" ht="15.75" hidden="1" customHeight="1">
      <c r="A44" s="8"/>
      <c r="B44" s="7"/>
      <c r="C44" s="146"/>
      <c r="D44" s="8"/>
      <c r="E44" s="31"/>
      <c r="F44" s="31"/>
      <c r="G44" s="7"/>
    </row>
    <row r="45" spans="1:7" ht="15.75" hidden="1" customHeight="1">
      <c r="A45" s="8"/>
      <c r="B45" s="7"/>
      <c r="C45" s="146"/>
      <c r="D45" s="8"/>
      <c r="E45" s="31"/>
      <c r="F45" s="31"/>
      <c r="G45" s="7"/>
    </row>
    <row r="46" spans="1:7" ht="15.75" hidden="1" customHeight="1">
      <c r="A46" s="8"/>
      <c r="B46" s="7"/>
      <c r="C46" s="146"/>
      <c r="D46" s="8"/>
      <c r="E46" s="31"/>
      <c r="F46" s="31"/>
      <c r="G46" s="7"/>
    </row>
  </sheetData>
  <mergeCells count="3">
    <mergeCell ref="A1:G1"/>
    <mergeCell ref="A2:G2"/>
    <mergeCell ref="A26:B26"/>
  </mergeCells>
  <phoneticPr fontId="6" type="noConversion"/>
  <printOptions horizontalCentered="1" verticalCentered="1"/>
  <pageMargins left="1.0629921259842521" right="0.94488188976377963" top="0.27559055118110237" bottom="0.6692913385826772" header="1.7716535433070868" footer="1.2204724409448819"/>
  <pageSetup paperSize="9" fitToHeight="0" orientation="landscape" blackAndWhite="1" horizontalDpi="1200" verticalDpi="1200" r:id="rId1"/>
  <headerFooter scaleWithDoc="0">
    <oddHeader>&amp;R&amp;"宋体,常规"&amp;10表5-9
共&amp;N页 第&amp;P页
金额单位：人民币元</oddHeader>
    <oddFooter>&amp;L&amp;10复核人：_x000D_复核日期：&amp;C&amp;10　　　　　　　　　　　　　　　　　　　　　　　　　　　　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749300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1003300</xdr:colOff>
                    <xdr:row>2</xdr:row>
                    <xdr:rowOff>0</xdr:rowOff>
                  </from>
                  <to>
                    <xdr:col>2</xdr:col>
                    <xdr:colOff>38100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D6A8-C368-4C63-94A3-8E127C9DF611}">
  <sheetPr codeName="Sheet85">
    <pageSetUpPr fitToPage="1"/>
  </sheetPr>
  <dimension ref="A1:M46"/>
  <sheetViews>
    <sheetView workbookViewId="0">
      <pane ySplit="6" topLeftCell="A7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6.5" style="81" customWidth="1"/>
    <col min="2" max="2" width="23.5" style="81" customWidth="1"/>
    <col min="3" max="3" width="12.5" style="81" customWidth="1"/>
    <col min="4" max="4" width="15" style="81" customWidth="1"/>
    <col min="5" max="5" width="13" style="81" customWidth="1"/>
    <col min="6" max="6" width="10" style="81" customWidth="1"/>
    <col min="7" max="7" width="13.1640625" style="81" customWidth="1"/>
    <col min="8" max="8" width="13" style="81" customWidth="1"/>
    <col min="9" max="9" width="9.6640625" style="81" customWidth="1"/>
    <col min="10" max="10" width="7" style="81" customWidth="1"/>
    <col min="11" max="11" width="8" style="81" customWidth="1"/>
    <col min="12" max="12" width="10.1640625" style="81" customWidth="1"/>
    <col min="13" max="13" width="8" style="81" customWidth="1"/>
    <col min="14" max="16384" width="9" style="81"/>
  </cols>
  <sheetData>
    <row r="1" spans="1:13" s="80" customFormat="1" ht="30" customHeight="1">
      <c r="A1" s="374" t="s">
        <v>1036</v>
      </c>
      <c r="B1" s="375"/>
      <c r="C1" s="375"/>
      <c r="D1" s="375"/>
      <c r="E1" s="375"/>
      <c r="F1" s="375"/>
      <c r="G1" s="375"/>
      <c r="H1" s="375"/>
      <c r="I1" s="375"/>
    </row>
    <row r="2" spans="1:13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</row>
    <row r="3" spans="1:13" ht="14.25" customHeight="1">
      <c r="A3" s="40"/>
      <c r="B3" s="40"/>
      <c r="C3" s="40"/>
      <c r="D3" s="40"/>
      <c r="E3" s="40"/>
      <c r="F3" s="40"/>
      <c r="G3" s="40"/>
      <c r="H3" s="171"/>
      <c r="I3" s="178"/>
    </row>
    <row r="4" spans="1:13" ht="14.25" customHeight="1">
      <c r="A4" s="40"/>
      <c r="B4" s="40"/>
      <c r="C4" s="40"/>
      <c r="D4" s="40"/>
      <c r="E4" s="40"/>
      <c r="F4" s="40"/>
      <c r="G4" s="40"/>
      <c r="H4" s="37"/>
      <c r="I4" s="37"/>
    </row>
    <row r="5" spans="1:13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42"/>
      <c r="H5" s="42"/>
      <c r="I5" s="122"/>
    </row>
    <row r="6" spans="1:13" s="101" customFormat="1" ht="15.75" customHeight="1">
      <c r="A6" s="45" t="s">
        <v>255</v>
      </c>
      <c r="B6" s="45" t="s">
        <v>51</v>
      </c>
      <c r="C6" s="45" t="s">
        <v>256</v>
      </c>
      <c r="D6" s="45" t="s">
        <v>257</v>
      </c>
      <c r="E6" s="45" t="s">
        <v>258</v>
      </c>
      <c r="F6" s="174" t="s">
        <v>485</v>
      </c>
      <c r="G6" s="124" t="s">
        <v>117</v>
      </c>
      <c r="H6" s="45" t="s">
        <v>259</v>
      </c>
      <c r="I6" s="45" t="s">
        <v>260</v>
      </c>
      <c r="J6" s="274" t="s">
        <v>656</v>
      </c>
      <c r="K6" s="274" t="s">
        <v>637</v>
      </c>
      <c r="L6" s="274" t="s">
        <v>641</v>
      </c>
      <c r="M6" s="274" t="s">
        <v>642</v>
      </c>
    </row>
    <row r="7" spans="1:13" ht="15.75" customHeight="1">
      <c r="A7" s="8"/>
      <c r="B7" s="7"/>
      <c r="C7" s="146"/>
      <c r="D7" s="5"/>
      <c r="E7" s="8"/>
      <c r="F7" s="8"/>
      <c r="G7" s="31"/>
      <c r="H7" s="31"/>
      <c r="I7" s="7"/>
    </row>
    <row r="8" spans="1:13" ht="15.75" customHeight="1">
      <c r="A8" s="8"/>
      <c r="B8" s="7"/>
      <c r="C8" s="146"/>
      <c r="D8" s="5"/>
      <c r="E8" s="8"/>
      <c r="F8" s="8"/>
      <c r="G8" s="31"/>
      <c r="H8" s="31"/>
      <c r="I8" s="7"/>
    </row>
    <row r="9" spans="1:13" ht="15.75" customHeight="1">
      <c r="A9" s="8"/>
      <c r="B9" s="7"/>
      <c r="C9" s="146"/>
      <c r="D9" s="5"/>
      <c r="E9" s="8"/>
      <c r="F9" s="8"/>
      <c r="G9" s="31"/>
      <c r="H9" s="31"/>
      <c r="I9" s="7"/>
    </row>
    <row r="10" spans="1:13" ht="15.75" customHeight="1">
      <c r="A10" s="8"/>
      <c r="B10" s="7"/>
      <c r="C10" s="146"/>
      <c r="D10" s="5"/>
      <c r="E10" s="8"/>
      <c r="F10" s="8"/>
      <c r="G10" s="31"/>
      <c r="H10" s="31"/>
      <c r="I10" s="7"/>
    </row>
    <row r="11" spans="1:13" ht="15.75" customHeight="1">
      <c r="A11" s="8"/>
      <c r="B11" s="7"/>
      <c r="C11" s="146"/>
      <c r="D11" s="5"/>
      <c r="E11" s="8"/>
      <c r="F11" s="8"/>
      <c r="G11" s="31"/>
      <c r="H11" s="31"/>
      <c r="I11" s="7"/>
    </row>
    <row r="12" spans="1:13" ht="15.75" customHeight="1">
      <c r="A12" s="8"/>
      <c r="B12" s="7"/>
      <c r="C12" s="146"/>
      <c r="D12" s="5"/>
      <c r="E12" s="8"/>
      <c r="F12" s="8"/>
      <c r="G12" s="31"/>
      <c r="H12" s="31"/>
      <c r="I12" s="7"/>
    </row>
    <row r="13" spans="1:13" ht="15.75" customHeight="1">
      <c r="A13" s="8"/>
      <c r="B13" s="7"/>
      <c r="C13" s="146"/>
      <c r="D13" s="5"/>
      <c r="E13" s="8"/>
      <c r="F13" s="8"/>
      <c r="G13" s="31"/>
      <c r="H13" s="31"/>
      <c r="I13" s="7"/>
    </row>
    <row r="14" spans="1:13" ht="15.75" customHeight="1">
      <c r="A14" s="8"/>
      <c r="B14" s="7"/>
      <c r="C14" s="146"/>
      <c r="D14" s="5"/>
      <c r="E14" s="8"/>
      <c r="F14" s="8"/>
      <c r="G14" s="31"/>
      <c r="H14" s="31"/>
      <c r="I14" s="7"/>
    </row>
    <row r="15" spans="1:13" ht="15.75" customHeight="1">
      <c r="A15" s="8"/>
      <c r="B15" s="7"/>
      <c r="C15" s="146"/>
      <c r="D15" s="5"/>
      <c r="E15" s="8"/>
      <c r="F15" s="8"/>
      <c r="G15" s="31"/>
      <c r="H15" s="31"/>
      <c r="I15" s="7"/>
    </row>
    <row r="16" spans="1:13" ht="15.75" customHeight="1">
      <c r="A16" s="8"/>
      <c r="B16" s="7"/>
      <c r="C16" s="146"/>
      <c r="D16" s="5"/>
      <c r="E16" s="8"/>
      <c r="F16" s="8"/>
      <c r="G16" s="31"/>
      <c r="H16" s="31"/>
      <c r="I16" s="7"/>
    </row>
    <row r="17" spans="1:9" ht="15.75" customHeight="1">
      <c r="A17" s="8"/>
      <c r="B17" s="7"/>
      <c r="C17" s="146"/>
      <c r="D17" s="5"/>
      <c r="E17" s="8"/>
      <c r="F17" s="8"/>
      <c r="G17" s="31"/>
      <c r="H17" s="31"/>
      <c r="I17" s="7"/>
    </row>
    <row r="18" spans="1:9" ht="15.75" customHeight="1">
      <c r="A18" s="8"/>
      <c r="B18" s="7"/>
      <c r="C18" s="146"/>
      <c r="D18" s="5"/>
      <c r="E18" s="8"/>
      <c r="F18" s="8"/>
      <c r="G18" s="31"/>
      <c r="H18" s="31"/>
      <c r="I18" s="7"/>
    </row>
    <row r="19" spans="1:9" ht="15.75" customHeight="1">
      <c r="A19" s="8"/>
      <c r="B19" s="7"/>
      <c r="C19" s="146"/>
      <c r="D19" s="5"/>
      <c r="E19" s="8"/>
      <c r="F19" s="8"/>
      <c r="G19" s="31"/>
      <c r="H19" s="31"/>
      <c r="I19" s="7"/>
    </row>
    <row r="20" spans="1:9" ht="15.75" customHeight="1">
      <c r="A20" s="8"/>
      <c r="B20" s="7"/>
      <c r="C20" s="146"/>
      <c r="D20" s="5"/>
      <c r="E20" s="8"/>
      <c r="F20" s="8"/>
      <c r="G20" s="31"/>
      <c r="H20" s="31"/>
      <c r="I20" s="7"/>
    </row>
    <row r="21" spans="1:9" ht="15.75" customHeight="1">
      <c r="A21" s="8"/>
      <c r="B21" s="7"/>
      <c r="C21" s="146"/>
      <c r="D21" s="5"/>
      <c r="E21" s="8"/>
      <c r="F21" s="8"/>
      <c r="G21" s="31"/>
      <c r="H21" s="31"/>
      <c r="I21" s="7"/>
    </row>
    <row r="22" spans="1:9" ht="15.75" customHeight="1">
      <c r="A22" s="8"/>
      <c r="B22" s="7"/>
      <c r="C22" s="146"/>
      <c r="D22" s="5"/>
      <c r="E22" s="8"/>
      <c r="F22" s="8"/>
      <c r="G22" s="31"/>
      <c r="H22" s="31"/>
      <c r="I22" s="7"/>
    </row>
    <row r="23" spans="1:9" ht="15.75" customHeight="1">
      <c r="A23" s="8"/>
      <c r="B23" s="7"/>
      <c r="C23" s="146"/>
      <c r="D23" s="5"/>
      <c r="E23" s="8"/>
      <c r="F23" s="8"/>
      <c r="G23" s="31"/>
      <c r="H23" s="31"/>
      <c r="I23" s="7"/>
    </row>
    <row r="24" spans="1:9" ht="15.75" customHeight="1">
      <c r="A24" s="8"/>
      <c r="B24" s="7"/>
      <c r="C24" s="146"/>
      <c r="D24" s="5"/>
      <c r="E24" s="8"/>
      <c r="F24" s="8"/>
      <c r="G24" s="31"/>
      <c r="H24" s="31"/>
      <c r="I24" s="7"/>
    </row>
    <row r="25" spans="1:9" ht="15.75" customHeight="1">
      <c r="A25" s="8"/>
      <c r="B25" s="7"/>
      <c r="C25" s="146"/>
      <c r="D25" s="5"/>
      <c r="E25" s="8"/>
      <c r="F25" s="8"/>
      <c r="G25" s="31"/>
      <c r="H25" s="31"/>
      <c r="I25" s="7"/>
    </row>
    <row r="26" spans="1:9" ht="15.75" customHeight="1">
      <c r="A26" s="420" t="s">
        <v>534</v>
      </c>
      <c r="B26" s="421"/>
      <c r="C26" s="30"/>
      <c r="D26" s="31"/>
      <c r="E26" s="30"/>
      <c r="F26" s="30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234"/>
    </row>
    <row r="27" spans="1:9" ht="15.75" hidden="1" customHeight="1">
      <c r="A27" s="8"/>
      <c r="B27" s="7"/>
      <c r="C27" s="146"/>
      <c r="D27" s="5"/>
      <c r="E27" s="8"/>
      <c r="F27" s="8"/>
      <c r="G27" s="31"/>
      <c r="H27" s="31"/>
      <c r="I27" s="7"/>
    </row>
    <row r="28" spans="1:9" ht="15.75" hidden="1" customHeight="1">
      <c r="A28" s="8"/>
      <c r="B28" s="7"/>
      <c r="C28" s="146"/>
      <c r="D28" s="5"/>
      <c r="E28" s="8"/>
      <c r="F28" s="8"/>
      <c r="G28" s="31"/>
      <c r="H28" s="31"/>
      <c r="I28" s="7"/>
    </row>
    <row r="29" spans="1:9" ht="15.75" hidden="1" customHeight="1">
      <c r="A29" s="8"/>
      <c r="B29" s="7"/>
      <c r="C29" s="146"/>
      <c r="D29" s="5"/>
      <c r="E29" s="8"/>
      <c r="F29" s="8"/>
      <c r="G29" s="31"/>
      <c r="H29" s="31"/>
      <c r="I29" s="7"/>
    </row>
    <row r="30" spans="1:9" ht="15.75" hidden="1" customHeight="1">
      <c r="A30" s="8"/>
      <c r="B30" s="7"/>
      <c r="C30" s="146"/>
      <c r="D30" s="5"/>
      <c r="E30" s="8"/>
      <c r="F30" s="8"/>
      <c r="G30" s="31"/>
      <c r="H30" s="31"/>
      <c r="I30" s="7"/>
    </row>
    <row r="31" spans="1:9" ht="15.75" hidden="1" customHeight="1">
      <c r="A31" s="8"/>
      <c r="B31" s="7"/>
      <c r="C31" s="146"/>
      <c r="D31" s="5"/>
      <c r="E31" s="8"/>
      <c r="F31" s="8"/>
      <c r="G31" s="31"/>
      <c r="H31" s="31"/>
      <c r="I31" s="7"/>
    </row>
    <row r="32" spans="1:9" ht="15.75" hidden="1" customHeight="1">
      <c r="A32" s="8"/>
      <c r="B32" s="7"/>
      <c r="C32" s="146"/>
      <c r="D32" s="5"/>
      <c r="E32" s="8"/>
      <c r="F32" s="8"/>
      <c r="G32" s="31"/>
      <c r="H32" s="31"/>
      <c r="I32" s="7"/>
    </row>
    <row r="33" spans="1:9" ht="15.75" hidden="1" customHeight="1">
      <c r="A33" s="8"/>
      <c r="B33" s="7"/>
      <c r="C33" s="146"/>
      <c r="D33" s="5"/>
      <c r="E33" s="8"/>
      <c r="F33" s="8"/>
      <c r="G33" s="31"/>
      <c r="H33" s="31"/>
      <c r="I33" s="7"/>
    </row>
    <row r="34" spans="1:9" ht="15.75" hidden="1" customHeight="1">
      <c r="A34" s="8"/>
      <c r="B34" s="7"/>
      <c r="C34" s="146"/>
      <c r="D34" s="5"/>
      <c r="E34" s="8"/>
      <c r="F34" s="8"/>
      <c r="G34" s="31"/>
      <c r="H34" s="31"/>
      <c r="I34" s="7"/>
    </row>
    <row r="35" spans="1:9" ht="15.75" hidden="1" customHeight="1">
      <c r="A35" s="8"/>
      <c r="B35" s="7"/>
      <c r="C35" s="146"/>
      <c r="D35" s="5"/>
      <c r="E35" s="8"/>
      <c r="F35" s="8"/>
      <c r="G35" s="31"/>
      <c r="H35" s="31"/>
      <c r="I35" s="7"/>
    </row>
    <row r="36" spans="1:9" ht="15.75" hidden="1" customHeight="1">
      <c r="A36" s="8"/>
      <c r="B36" s="7"/>
      <c r="C36" s="146"/>
      <c r="D36" s="5"/>
      <c r="E36" s="8"/>
      <c r="F36" s="8"/>
      <c r="G36" s="31"/>
      <c r="H36" s="31"/>
      <c r="I36" s="7"/>
    </row>
    <row r="37" spans="1:9" ht="15.75" hidden="1" customHeight="1">
      <c r="A37" s="8"/>
      <c r="B37" s="7"/>
      <c r="C37" s="146"/>
      <c r="D37" s="5"/>
      <c r="E37" s="8"/>
      <c r="F37" s="8"/>
      <c r="G37" s="31"/>
      <c r="H37" s="31"/>
      <c r="I37" s="7"/>
    </row>
    <row r="38" spans="1:9" ht="15.75" hidden="1" customHeight="1">
      <c r="A38" s="8"/>
      <c r="B38" s="7"/>
      <c r="C38" s="146"/>
      <c r="D38" s="5"/>
      <c r="E38" s="8"/>
      <c r="F38" s="8"/>
      <c r="G38" s="31"/>
      <c r="H38" s="31"/>
      <c r="I38" s="7"/>
    </row>
    <row r="39" spans="1:9" ht="15.75" hidden="1" customHeight="1">
      <c r="A39" s="8"/>
      <c r="B39" s="7"/>
      <c r="C39" s="146"/>
      <c r="D39" s="5"/>
      <c r="E39" s="8"/>
      <c r="F39" s="8"/>
      <c r="G39" s="31"/>
      <c r="H39" s="31"/>
      <c r="I39" s="7"/>
    </row>
    <row r="40" spans="1:9" ht="15.75" hidden="1" customHeight="1">
      <c r="A40" s="8"/>
      <c r="B40" s="7"/>
      <c r="C40" s="146"/>
      <c r="D40" s="5"/>
      <c r="E40" s="8"/>
      <c r="F40" s="8"/>
      <c r="G40" s="31"/>
      <c r="H40" s="31"/>
      <c r="I40" s="7"/>
    </row>
    <row r="41" spans="1:9" ht="15.75" hidden="1" customHeight="1">
      <c r="A41" s="8"/>
      <c r="B41" s="7"/>
      <c r="C41" s="146"/>
      <c r="D41" s="5"/>
      <c r="E41" s="8"/>
      <c r="F41" s="8"/>
      <c r="G41" s="31"/>
      <c r="H41" s="31"/>
      <c r="I41" s="7"/>
    </row>
    <row r="42" spans="1:9" ht="15.75" hidden="1" customHeight="1">
      <c r="A42" s="8"/>
      <c r="B42" s="7"/>
      <c r="C42" s="146"/>
      <c r="D42" s="5"/>
      <c r="E42" s="8"/>
      <c r="F42" s="8"/>
      <c r="G42" s="31"/>
      <c r="H42" s="31"/>
      <c r="I42" s="7"/>
    </row>
    <row r="43" spans="1:9" ht="15.75" hidden="1" customHeight="1">
      <c r="A43" s="8"/>
      <c r="B43" s="7"/>
      <c r="C43" s="146"/>
      <c r="D43" s="5"/>
      <c r="E43" s="8"/>
      <c r="F43" s="8"/>
      <c r="G43" s="31"/>
      <c r="H43" s="31"/>
      <c r="I43" s="7"/>
    </row>
    <row r="44" spans="1:9" ht="15.75" hidden="1" customHeight="1">
      <c r="A44" s="8"/>
      <c r="B44" s="7"/>
      <c r="C44" s="146"/>
      <c r="D44" s="5"/>
      <c r="E44" s="8"/>
      <c r="F44" s="8"/>
      <c r="G44" s="31"/>
      <c r="H44" s="31"/>
      <c r="I44" s="7"/>
    </row>
    <row r="45" spans="1:9" ht="15.75" hidden="1" customHeight="1">
      <c r="A45" s="8"/>
      <c r="B45" s="7"/>
      <c r="C45" s="146"/>
      <c r="D45" s="5"/>
      <c r="E45" s="8"/>
      <c r="F45" s="8"/>
      <c r="G45" s="31"/>
      <c r="H45" s="31"/>
      <c r="I45" s="7"/>
    </row>
    <row r="46" spans="1:9" ht="15.75" hidden="1" customHeight="1">
      <c r="A46" s="8"/>
      <c r="B46" s="7"/>
      <c r="C46" s="146"/>
      <c r="D46" s="5"/>
      <c r="E46" s="8"/>
      <c r="F46" s="8"/>
      <c r="G46" s="31"/>
      <c r="H46" s="31"/>
      <c r="I46" s="7"/>
    </row>
  </sheetData>
  <mergeCells count="3">
    <mergeCell ref="A1:I1"/>
    <mergeCell ref="A2:I2"/>
    <mergeCell ref="A26:B26"/>
  </mergeCells>
  <phoneticPr fontId="6" type="noConversion"/>
  <printOptions horizontalCentered="1" verticalCentered="1"/>
  <pageMargins left="1.1417322834645669" right="0.82677165354330717" top="0.15748031496062992" bottom="0.59055118110236227" header="1.7716535433070868" footer="1.2204724409448819"/>
  <pageSetup paperSize="9" fitToHeight="0" orientation="landscape" blackAndWhite="1" horizontalDpi="1200" verticalDpi="1200" r:id="rId1"/>
  <headerFooter scaleWithDoc="0">
    <oddHeader>&amp;R&amp;"宋体,常规"&amp;10表5-10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889000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1143000</xdr:colOff>
                    <xdr:row>2</xdr:row>
                    <xdr:rowOff>0</xdr:rowOff>
                  </from>
                  <to>
                    <xdr:col>2</xdr:col>
                    <xdr:colOff>381000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07D18-3FB2-410E-9316-E16166A1B4C8}">
  <sheetPr codeName="Sheet68">
    <pageSetUpPr fitToPage="1"/>
  </sheetPr>
  <dimension ref="A1:K46"/>
  <sheetViews>
    <sheetView workbookViewId="0">
      <pane ySplit="6" topLeftCell="A7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7" style="81" customWidth="1"/>
    <col min="2" max="2" width="24.5" style="81" customWidth="1"/>
    <col min="3" max="3" width="14.6640625" style="81" customWidth="1"/>
    <col min="4" max="4" width="15.6640625" style="81" customWidth="1"/>
    <col min="5" max="5" width="18" style="81" customWidth="1"/>
    <col min="6" max="7" width="18.1640625" style="81" customWidth="1"/>
    <col min="8" max="8" width="10" style="81" customWidth="1"/>
    <col min="9" max="9" width="8.1640625" style="81" customWidth="1"/>
    <col min="10" max="10" width="7" style="81" customWidth="1"/>
    <col min="11" max="11" width="7.6640625" style="81" customWidth="1"/>
    <col min="12" max="16384" width="9" style="81"/>
  </cols>
  <sheetData>
    <row r="1" spans="1:11" s="80" customFormat="1" ht="30" customHeight="1">
      <c r="A1" s="374" t="s">
        <v>1037</v>
      </c>
      <c r="B1" s="375"/>
      <c r="C1" s="375"/>
      <c r="D1" s="375"/>
      <c r="E1" s="375"/>
      <c r="F1" s="375"/>
      <c r="G1" s="375"/>
    </row>
    <row r="2" spans="1:1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1" ht="14.25" customHeight="1">
      <c r="A3" s="40"/>
      <c r="B3" s="40"/>
      <c r="C3" s="40"/>
      <c r="D3" s="40"/>
      <c r="E3" s="40"/>
      <c r="F3" s="40"/>
      <c r="G3" s="178"/>
    </row>
    <row r="4" spans="1:11" ht="14.25" customHeight="1">
      <c r="A4" s="40"/>
      <c r="B4" s="40"/>
      <c r="C4" s="40"/>
      <c r="D4" s="40"/>
      <c r="E4" s="40"/>
      <c r="F4" s="40"/>
      <c r="G4" s="178"/>
    </row>
    <row r="5" spans="1:11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71" t="s">
        <v>652</v>
      </c>
      <c r="I5" s="320" t="s">
        <v>693</v>
      </c>
      <c r="J5" s="562" t="s">
        <v>641</v>
      </c>
      <c r="K5" s="562" t="s">
        <v>642</v>
      </c>
    </row>
    <row r="6" spans="1:11" s="101" customFormat="1" ht="15.75" customHeight="1">
      <c r="A6" s="45" t="s">
        <v>7</v>
      </c>
      <c r="B6" s="45" t="s">
        <v>168</v>
      </c>
      <c r="C6" s="45" t="s">
        <v>36</v>
      </c>
      <c r="D6" s="45" t="s">
        <v>58</v>
      </c>
      <c r="E6" s="217" t="s">
        <v>117</v>
      </c>
      <c r="F6" s="45" t="s">
        <v>0</v>
      </c>
      <c r="G6" s="45" t="s">
        <v>39</v>
      </c>
      <c r="H6" s="571"/>
      <c r="I6" s="320" t="s">
        <v>597</v>
      </c>
      <c r="J6" s="563"/>
      <c r="K6" s="563"/>
    </row>
    <row r="7" spans="1:11" ht="15.75" customHeight="1">
      <c r="A7" s="8"/>
      <c r="B7" s="7"/>
      <c r="C7" s="146"/>
      <c r="D7" s="8"/>
      <c r="E7" s="31"/>
      <c r="F7" s="31"/>
      <c r="G7" s="7"/>
      <c r="I7" s="283"/>
    </row>
    <row r="8" spans="1:11" ht="15.75" customHeight="1">
      <c r="A8" s="8"/>
      <c r="B8" s="7"/>
      <c r="C8" s="146"/>
      <c r="D8" s="8"/>
      <c r="E8" s="31"/>
      <c r="F8" s="31"/>
      <c r="G8" s="7"/>
    </row>
    <row r="9" spans="1:11" ht="15.75" customHeight="1">
      <c r="A9" s="8"/>
      <c r="B9" s="7"/>
      <c r="C9" s="146"/>
      <c r="D9" s="8"/>
      <c r="E9" s="31"/>
      <c r="F9" s="31"/>
      <c r="G9" s="7"/>
    </row>
    <row r="10" spans="1:11" ht="15.75" customHeight="1">
      <c r="A10" s="8"/>
      <c r="B10" s="7"/>
      <c r="C10" s="146"/>
      <c r="D10" s="8"/>
      <c r="E10" s="31"/>
      <c r="F10" s="31"/>
      <c r="G10" s="7"/>
    </row>
    <row r="11" spans="1:11" ht="15.75" customHeight="1">
      <c r="A11" s="8"/>
      <c r="B11" s="7"/>
      <c r="C11" s="146"/>
      <c r="D11" s="8"/>
      <c r="E11" s="31"/>
      <c r="F11" s="31"/>
      <c r="G11" s="7"/>
    </row>
    <row r="12" spans="1:11" ht="15.75" customHeight="1">
      <c r="A12" s="8"/>
      <c r="B12" s="7"/>
      <c r="C12" s="146"/>
      <c r="D12" s="8"/>
      <c r="E12" s="31"/>
      <c r="F12" s="31"/>
      <c r="G12" s="7"/>
    </row>
    <row r="13" spans="1:11" ht="15.75" customHeight="1">
      <c r="A13" s="8"/>
      <c r="B13" s="7"/>
      <c r="C13" s="146"/>
      <c r="D13" s="8"/>
      <c r="E13" s="31"/>
      <c r="F13" s="31"/>
      <c r="G13" s="7"/>
    </row>
    <row r="14" spans="1:11" ht="15.75" customHeight="1">
      <c r="A14" s="8"/>
      <c r="B14" s="7"/>
      <c r="C14" s="146"/>
      <c r="D14" s="8"/>
      <c r="E14" s="31"/>
      <c r="F14" s="31"/>
      <c r="G14" s="7"/>
    </row>
    <row r="15" spans="1:11" ht="15.75" customHeight="1">
      <c r="A15" s="8"/>
      <c r="B15" s="7"/>
      <c r="C15" s="146"/>
      <c r="D15" s="8"/>
      <c r="E15" s="31"/>
      <c r="F15" s="31"/>
      <c r="G15" s="7"/>
    </row>
    <row r="16" spans="1:11" ht="15.75" customHeight="1">
      <c r="A16" s="8"/>
      <c r="B16" s="7"/>
      <c r="C16" s="146"/>
      <c r="D16" s="8"/>
      <c r="E16" s="31"/>
      <c r="F16" s="31"/>
      <c r="G16" s="7"/>
    </row>
    <row r="17" spans="1:7" ht="15.75" customHeight="1">
      <c r="A17" s="8"/>
      <c r="B17" s="7"/>
      <c r="C17" s="146"/>
      <c r="D17" s="8"/>
      <c r="E17" s="31"/>
      <c r="F17" s="31"/>
      <c r="G17" s="7"/>
    </row>
    <row r="18" spans="1:7" ht="15.75" customHeight="1">
      <c r="A18" s="8"/>
      <c r="B18" s="7"/>
      <c r="C18" s="146"/>
      <c r="D18" s="8"/>
      <c r="E18" s="31"/>
      <c r="F18" s="31"/>
      <c r="G18" s="7"/>
    </row>
    <row r="19" spans="1:7" ht="15.75" customHeight="1">
      <c r="A19" s="8"/>
      <c r="B19" s="7"/>
      <c r="C19" s="146"/>
      <c r="D19" s="8"/>
      <c r="E19" s="31"/>
      <c r="F19" s="31"/>
      <c r="G19" s="7"/>
    </row>
    <row r="20" spans="1:7" ht="15.75" customHeight="1">
      <c r="A20" s="8"/>
      <c r="B20" s="7"/>
      <c r="C20" s="146"/>
      <c r="D20" s="8"/>
      <c r="E20" s="31"/>
      <c r="F20" s="31"/>
      <c r="G20" s="7"/>
    </row>
    <row r="21" spans="1:7" ht="15.75" customHeight="1">
      <c r="A21" s="8"/>
      <c r="B21" s="7"/>
      <c r="C21" s="146"/>
      <c r="D21" s="8"/>
      <c r="E21" s="31"/>
      <c r="F21" s="31"/>
      <c r="G21" s="7"/>
    </row>
    <row r="22" spans="1:7" ht="15.75" customHeight="1">
      <c r="A22" s="8"/>
      <c r="B22" s="7"/>
      <c r="C22" s="146"/>
      <c r="D22" s="8"/>
      <c r="E22" s="31"/>
      <c r="F22" s="31"/>
      <c r="G22" s="7"/>
    </row>
    <row r="23" spans="1:7" ht="15.75" customHeight="1">
      <c r="A23" s="8"/>
      <c r="B23" s="7"/>
      <c r="C23" s="146"/>
      <c r="D23" s="8"/>
      <c r="E23" s="31"/>
      <c r="F23" s="31"/>
      <c r="G23" s="7"/>
    </row>
    <row r="24" spans="1:7" ht="15.75" customHeight="1">
      <c r="A24" s="8"/>
      <c r="B24" s="7"/>
      <c r="C24" s="146"/>
      <c r="D24" s="8"/>
      <c r="E24" s="31"/>
      <c r="F24" s="31"/>
      <c r="G24" s="7"/>
    </row>
    <row r="25" spans="1:7" ht="15.75" customHeight="1">
      <c r="A25" s="8"/>
      <c r="B25" s="7"/>
      <c r="C25" s="146"/>
      <c r="D25" s="8"/>
      <c r="E25" s="31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31"/>
      <c r="F27" s="31"/>
      <c r="G27" s="7"/>
    </row>
    <row r="28" spans="1:7" ht="15.75" hidden="1" customHeight="1">
      <c r="A28" s="8"/>
      <c r="B28" s="7"/>
      <c r="C28" s="146"/>
      <c r="D28" s="8"/>
      <c r="E28" s="31"/>
      <c r="F28" s="31"/>
      <c r="G28" s="7"/>
    </row>
    <row r="29" spans="1:7" ht="15.75" hidden="1" customHeight="1">
      <c r="A29" s="8"/>
      <c r="B29" s="7"/>
      <c r="C29" s="146"/>
      <c r="D29" s="8"/>
      <c r="E29" s="31"/>
      <c r="F29" s="31"/>
      <c r="G29" s="7"/>
    </row>
    <row r="30" spans="1:7" ht="15.75" hidden="1" customHeight="1">
      <c r="A30" s="8"/>
      <c r="B30" s="7"/>
      <c r="C30" s="146"/>
      <c r="D30" s="8"/>
      <c r="E30" s="31"/>
      <c r="F30" s="31"/>
      <c r="G30" s="7"/>
    </row>
    <row r="31" spans="1:7" ht="15.75" hidden="1" customHeight="1">
      <c r="A31" s="8"/>
      <c r="B31" s="7"/>
      <c r="C31" s="146"/>
      <c r="D31" s="8"/>
      <c r="E31" s="31"/>
      <c r="F31" s="31"/>
      <c r="G31" s="7"/>
    </row>
    <row r="32" spans="1:7" ht="15.75" hidden="1" customHeight="1">
      <c r="A32" s="8"/>
      <c r="B32" s="7"/>
      <c r="C32" s="146"/>
      <c r="D32" s="8"/>
      <c r="E32" s="31"/>
      <c r="F32" s="31"/>
      <c r="G32" s="7"/>
    </row>
    <row r="33" spans="1:7" ht="15.75" hidden="1" customHeight="1">
      <c r="A33" s="8"/>
      <c r="B33" s="7"/>
      <c r="C33" s="146"/>
      <c r="D33" s="8"/>
      <c r="E33" s="31"/>
      <c r="F33" s="31"/>
      <c r="G33" s="7"/>
    </row>
    <row r="34" spans="1:7" ht="15.75" hidden="1" customHeight="1">
      <c r="A34" s="8"/>
      <c r="B34" s="7"/>
      <c r="C34" s="146"/>
      <c r="D34" s="8"/>
      <c r="E34" s="31"/>
      <c r="F34" s="31"/>
      <c r="G34" s="7"/>
    </row>
    <row r="35" spans="1:7" ht="15.75" hidden="1" customHeight="1">
      <c r="A35" s="8"/>
      <c r="B35" s="7"/>
      <c r="C35" s="146"/>
      <c r="D35" s="8"/>
      <c r="E35" s="31"/>
      <c r="F35" s="31"/>
      <c r="G35" s="7"/>
    </row>
    <row r="36" spans="1:7" ht="15.75" hidden="1" customHeight="1">
      <c r="A36" s="8"/>
      <c r="B36" s="7"/>
      <c r="C36" s="146"/>
      <c r="D36" s="8"/>
      <c r="E36" s="31"/>
      <c r="F36" s="31"/>
      <c r="G36" s="7"/>
    </row>
    <row r="37" spans="1:7" ht="15.75" hidden="1" customHeight="1">
      <c r="A37" s="8"/>
      <c r="B37" s="7"/>
      <c r="C37" s="146"/>
      <c r="D37" s="8"/>
      <c r="E37" s="31"/>
      <c r="F37" s="31"/>
      <c r="G37" s="7"/>
    </row>
    <row r="38" spans="1:7" ht="15.75" hidden="1" customHeight="1">
      <c r="A38" s="8"/>
      <c r="B38" s="7"/>
      <c r="C38" s="146"/>
      <c r="D38" s="8"/>
      <c r="E38" s="31"/>
      <c r="F38" s="31"/>
      <c r="G38" s="7"/>
    </row>
    <row r="39" spans="1:7" ht="15.75" hidden="1" customHeight="1">
      <c r="A39" s="8"/>
      <c r="B39" s="7"/>
      <c r="C39" s="146"/>
      <c r="D39" s="8"/>
      <c r="E39" s="31"/>
      <c r="F39" s="31"/>
      <c r="G39" s="7"/>
    </row>
    <row r="40" spans="1:7" ht="15.75" hidden="1" customHeight="1">
      <c r="A40" s="8"/>
      <c r="B40" s="7"/>
      <c r="C40" s="146"/>
      <c r="D40" s="8"/>
      <c r="E40" s="31"/>
      <c r="F40" s="31"/>
      <c r="G40" s="7"/>
    </row>
    <row r="41" spans="1:7" ht="15.75" hidden="1" customHeight="1">
      <c r="A41" s="8"/>
      <c r="B41" s="7"/>
      <c r="C41" s="146"/>
      <c r="D41" s="8"/>
      <c r="E41" s="31"/>
      <c r="F41" s="31"/>
      <c r="G41" s="7"/>
    </row>
    <row r="42" spans="1:7" ht="15.75" hidden="1" customHeight="1">
      <c r="A42" s="8"/>
      <c r="B42" s="7"/>
      <c r="C42" s="146"/>
      <c r="D42" s="8"/>
      <c r="E42" s="31"/>
      <c r="F42" s="31"/>
      <c r="G42" s="7"/>
    </row>
    <row r="43" spans="1:7" ht="15.75" hidden="1" customHeight="1">
      <c r="A43" s="8"/>
      <c r="B43" s="7"/>
      <c r="C43" s="146"/>
      <c r="D43" s="8"/>
      <c r="E43" s="31"/>
      <c r="F43" s="31"/>
      <c r="G43" s="7"/>
    </row>
    <row r="44" spans="1:7" ht="15.75" hidden="1" customHeight="1">
      <c r="A44" s="8"/>
      <c r="B44" s="7"/>
      <c r="C44" s="146"/>
      <c r="D44" s="8"/>
      <c r="E44" s="31"/>
      <c r="F44" s="31"/>
      <c r="G44" s="7"/>
    </row>
    <row r="45" spans="1:7" ht="15.75" hidden="1" customHeight="1">
      <c r="A45" s="8"/>
      <c r="B45" s="7"/>
      <c r="C45" s="146"/>
      <c r="D45" s="8"/>
      <c r="E45" s="31"/>
      <c r="F45" s="31"/>
      <c r="G45" s="7"/>
    </row>
    <row r="46" spans="1:7" ht="15.75" hidden="1" customHeight="1">
      <c r="A46" s="8"/>
      <c r="B46" s="7"/>
      <c r="C46" s="146"/>
      <c r="D46" s="8"/>
      <c r="E46" s="31"/>
      <c r="F46" s="31"/>
      <c r="G46" s="7"/>
    </row>
  </sheetData>
  <mergeCells count="6">
    <mergeCell ref="K5:K6"/>
    <mergeCell ref="A1:G1"/>
    <mergeCell ref="A2:G2"/>
    <mergeCell ref="A26:B26"/>
    <mergeCell ref="H5:H6"/>
    <mergeCell ref="J5:J6"/>
  </mergeCells>
  <phoneticPr fontId="6" type="noConversion"/>
  <printOptions horizontalCentered="1" verticalCentered="1"/>
  <pageMargins left="1.1417322834645669" right="0.78740157480314965" top="0.23622047244094491" bottom="0.62992125984251968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&amp;R&amp;"宋体,常规"&amp;10表5-11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863600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1117600</xdr:colOff>
                    <xdr:row>2</xdr:row>
                    <xdr:rowOff>0</xdr:rowOff>
                  </from>
                  <to>
                    <xdr:col>2</xdr:col>
                    <xdr:colOff>266700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033C-3572-455C-9C15-139D74D2475E}">
  <sheetPr codeName="Sheet64">
    <pageSetUpPr fitToPage="1"/>
  </sheetPr>
  <dimension ref="A1:O46"/>
  <sheetViews>
    <sheetView workbookViewId="0">
      <pane ySplit="6" topLeftCell="A7" activePane="bottomLeft" state="frozen"/>
      <selection activeCell="F17" sqref="F17"/>
      <selection pane="bottomLeft" activeCell="G12" sqref="G12"/>
    </sheetView>
  </sheetViews>
  <sheetFormatPr baseColWidth="10" defaultColWidth="9" defaultRowHeight="15.75" customHeight="1"/>
  <cols>
    <col min="1" max="1" width="6" style="81" customWidth="1"/>
    <col min="2" max="2" width="25.1640625" style="81" customWidth="1"/>
    <col min="3" max="3" width="13.6640625" style="81" customWidth="1"/>
    <col min="4" max="4" width="17.6640625" style="81" customWidth="1"/>
    <col min="5" max="5" width="17.5" style="81" customWidth="1"/>
    <col min="6" max="6" width="17.6640625" style="81" customWidth="1"/>
    <col min="7" max="7" width="16.6640625" style="81" customWidth="1"/>
    <col min="8" max="8" width="7.1640625" style="81" customWidth="1"/>
    <col min="9" max="9" width="10" style="81" customWidth="1"/>
    <col min="10" max="10" width="12.6640625" style="81" customWidth="1"/>
    <col min="11" max="11" width="13.5" style="81" customWidth="1"/>
    <col min="12" max="12" width="5.1640625" style="81" customWidth="1"/>
    <col min="13" max="13" width="9.6640625" style="81" customWidth="1"/>
    <col min="14" max="14" width="5.83203125" style="81" customWidth="1"/>
    <col min="15" max="15" width="7.6640625" style="81" customWidth="1"/>
    <col min="16" max="16384" width="9" style="81"/>
  </cols>
  <sheetData>
    <row r="1" spans="1:15" s="80" customFormat="1" ht="30" customHeight="1">
      <c r="A1" s="374" t="s">
        <v>1038</v>
      </c>
      <c r="B1" s="375"/>
      <c r="C1" s="375"/>
      <c r="D1" s="375"/>
      <c r="E1" s="375"/>
      <c r="F1" s="375"/>
      <c r="G1" s="375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5" ht="14.25" customHeight="1">
      <c r="A3" s="40"/>
      <c r="B3" s="40"/>
      <c r="C3" s="40"/>
      <c r="D3" s="40"/>
      <c r="E3" s="40"/>
      <c r="F3" s="40"/>
      <c r="G3" s="178"/>
    </row>
    <row r="4" spans="1:15" ht="14.25" customHeight="1">
      <c r="A4" s="40"/>
      <c r="B4" s="40"/>
      <c r="C4" s="40"/>
      <c r="D4" s="40"/>
      <c r="E4" s="40"/>
      <c r="F4" s="40"/>
      <c r="G4" s="178"/>
    </row>
    <row r="5" spans="1:15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68" t="s">
        <v>691</v>
      </c>
      <c r="I5" s="569"/>
      <c r="J5" s="302" t="s">
        <v>692</v>
      </c>
      <c r="K5" s="308" t="s">
        <v>693</v>
      </c>
      <c r="L5" s="572" t="s">
        <v>597</v>
      </c>
      <c r="M5" s="447" t="s">
        <v>650</v>
      </c>
      <c r="N5" s="562" t="s">
        <v>641</v>
      </c>
      <c r="O5" s="562" t="s">
        <v>642</v>
      </c>
    </row>
    <row r="6" spans="1:15" s="101" customFormat="1" ht="15.75" customHeight="1">
      <c r="A6" s="45" t="s">
        <v>150</v>
      </c>
      <c r="B6" s="45" t="s">
        <v>157</v>
      </c>
      <c r="C6" s="45" t="s">
        <v>158</v>
      </c>
      <c r="D6" s="45" t="s">
        <v>159</v>
      </c>
      <c r="E6" s="217" t="s">
        <v>117</v>
      </c>
      <c r="F6" s="45" t="s">
        <v>140</v>
      </c>
      <c r="G6" s="45" t="s">
        <v>156</v>
      </c>
      <c r="H6" s="281" t="s">
        <v>694</v>
      </c>
      <c r="I6" s="281" t="s">
        <v>695</v>
      </c>
      <c r="J6" s="289" t="s">
        <v>696</v>
      </c>
      <c r="K6" s="282" t="s">
        <v>725</v>
      </c>
      <c r="L6" s="573"/>
      <c r="M6" s="448"/>
      <c r="N6" s="563"/>
      <c r="O6" s="563"/>
    </row>
    <row r="7" spans="1:15" ht="15.75" customHeight="1">
      <c r="A7" s="8"/>
      <c r="B7" s="7"/>
      <c r="C7" s="146"/>
      <c r="D7" s="8"/>
      <c r="E7" s="31"/>
      <c r="F7" s="31"/>
      <c r="G7" s="7"/>
    </row>
    <row r="8" spans="1:15" ht="15.75" customHeight="1">
      <c r="A8" s="8"/>
      <c r="B8" s="7"/>
      <c r="C8" s="146"/>
      <c r="D8" s="8"/>
      <c r="E8" s="31"/>
      <c r="F8" s="31"/>
      <c r="G8" s="7"/>
    </row>
    <row r="9" spans="1:15" ht="15.75" customHeight="1">
      <c r="A9" s="8"/>
      <c r="B9" s="7"/>
      <c r="C9" s="146"/>
      <c r="D9" s="8"/>
      <c r="E9" s="31"/>
      <c r="F9" s="31"/>
      <c r="G9" s="7"/>
    </row>
    <row r="10" spans="1:15" ht="15.75" customHeight="1">
      <c r="A10" s="8"/>
      <c r="B10" s="7"/>
      <c r="C10" s="146"/>
      <c r="D10" s="8"/>
      <c r="E10" s="31"/>
      <c r="F10" s="31"/>
      <c r="G10" s="7"/>
    </row>
    <row r="11" spans="1:15" ht="15.75" customHeight="1">
      <c r="A11" s="8"/>
      <c r="B11" s="7"/>
      <c r="C11" s="146"/>
      <c r="D11" s="8"/>
      <c r="E11" s="31"/>
      <c r="F11" s="31"/>
      <c r="G11" s="7"/>
    </row>
    <row r="12" spans="1:15" ht="15.75" customHeight="1">
      <c r="A12" s="8"/>
      <c r="B12" s="7"/>
      <c r="C12" s="146"/>
      <c r="D12" s="8"/>
      <c r="E12" s="31"/>
      <c r="F12" s="31"/>
      <c r="G12" s="7"/>
    </row>
    <row r="13" spans="1:15" ht="15.75" customHeight="1">
      <c r="A13" s="8"/>
      <c r="B13" s="7"/>
      <c r="C13" s="146"/>
      <c r="D13" s="8"/>
      <c r="E13" s="31"/>
      <c r="F13" s="31"/>
      <c r="G13" s="7"/>
    </row>
    <row r="14" spans="1:15" ht="15.75" customHeight="1">
      <c r="A14" s="8"/>
      <c r="B14" s="7"/>
      <c r="C14" s="146"/>
      <c r="D14" s="8"/>
      <c r="E14" s="31"/>
      <c r="F14" s="31"/>
      <c r="G14" s="7"/>
    </row>
    <row r="15" spans="1:15" ht="15.75" customHeight="1">
      <c r="A15" s="8"/>
      <c r="B15" s="7"/>
      <c r="C15" s="146"/>
      <c r="D15" s="8"/>
      <c r="E15" s="31"/>
      <c r="F15" s="31"/>
      <c r="G15" s="7"/>
    </row>
    <row r="16" spans="1:15" ht="15.75" customHeight="1">
      <c r="A16" s="8"/>
      <c r="B16" s="7"/>
      <c r="C16" s="146"/>
      <c r="D16" s="8"/>
      <c r="E16" s="31"/>
      <c r="F16" s="31"/>
      <c r="G16" s="7"/>
    </row>
    <row r="17" spans="1:7" ht="15.75" customHeight="1">
      <c r="A17" s="8"/>
      <c r="B17" s="7"/>
      <c r="C17" s="146"/>
      <c r="D17" s="8"/>
      <c r="E17" s="31"/>
      <c r="F17" s="31"/>
      <c r="G17" s="7"/>
    </row>
    <row r="18" spans="1:7" ht="15.75" customHeight="1">
      <c r="A18" s="8"/>
      <c r="B18" s="7"/>
      <c r="C18" s="146"/>
      <c r="D18" s="8"/>
      <c r="E18" s="31"/>
      <c r="F18" s="31"/>
      <c r="G18" s="7"/>
    </row>
    <row r="19" spans="1:7" ht="15.75" customHeight="1">
      <c r="A19" s="8"/>
      <c r="B19" s="7"/>
      <c r="C19" s="146"/>
      <c r="D19" s="8"/>
      <c r="E19" s="31"/>
      <c r="F19" s="31"/>
      <c r="G19" s="7"/>
    </row>
    <row r="20" spans="1:7" ht="15.75" customHeight="1">
      <c r="A20" s="8"/>
      <c r="B20" s="7"/>
      <c r="C20" s="146"/>
      <c r="D20" s="8"/>
      <c r="E20" s="31"/>
      <c r="F20" s="31"/>
      <c r="G20" s="7"/>
    </row>
    <row r="21" spans="1:7" ht="15.75" customHeight="1">
      <c r="A21" s="8"/>
      <c r="B21" s="7"/>
      <c r="C21" s="146"/>
      <c r="D21" s="8"/>
      <c r="E21" s="31"/>
      <c r="F21" s="31"/>
      <c r="G21" s="7"/>
    </row>
    <row r="22" spans="1:7" ht="15.75" customHeight="1">
      <c r="A22" s="8"/>
      <c r="B22" s="7"/>
      <c r="C22" s="146"/>
      <c r="D22" s="8"/>
      <c r="E22" s="31"/>
      <c r="F22" s="31"/>
      <c r="G22" s="7"/>
    </row>
    <row r="23" spans="1:7" ht="15.75" customHeight="1">
      <c r="A23" s="8"/>
      <c r="B23" s="7"/>
      <c r="C23" s="146"/>
      <c r="D23" s="8"/>
      <c r="E23" s="31"/>
      <c r="F23" s="31"/>
      <c r="G23" s="7"/>
    </row>
    <row r="24" spans="1:7" ht="15.75" customHeight="1">
      <c r="A24" s="8"/>
      <c r="B24" s="7"/>
      <c r="C24" s="146"/>
      <c r="D24" s="8"/>
      <c r="E24" s="31"/>
      <c r="F24" s="31"/>
      <c r="G24" s="7"/>
    </row>
    <row r="25" spans="1:7" ht="15.75" customHeight="1">
      <c r="A25" s="8"/>
      <c r="B25" s="7"/>
      <c r="C25" s="146"/>
      <c r="D25" s="8"/>
      <c r="E25" s="31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31"/>
      <c r="F27" s="31"/>
      <c r="G27" s="7"/>
    </row>
    <row r="28" spans="1:7" ht="15.75" hidden="1" customHeight="1">
      <c r="A28" s="8"/>
      <c r="B28" s="7"/>
      <c r="C28" s="146"/>
      <c r="D28" s="8"/>
      <c r="E28" s="31"/>
      <c r="F28" s="31"/>
      <c r="G28" s="7"/>
    </row>
    <row r="29" spans="1:7" ht="15.75" hidden="1" customHeight="1">
      <c r="A29" s="8"/>
      <c r="B29" s="7"/>
      <c r="C29" s="146"/>
      <c r="D29" s="8"/>
      <c r="E29" s="31"/>
      <c r="F29" s="31"/>
      <c r="G29" s="7"/>
    </row>
    <row r="30" spans="1:7" ht="15.75" hidden="1" customHeight="1">
      <c r="A30" s="8"/>
      <c r="B30" s="7"/>
      <c r="C30" s="146"/>
      <c r="D30" s="8"/>
      <c r="E30" s="31"/>
      <c r="F30" s="31"/>
      <c r="G30" s="7"/>
    </row>
    <row r="31" spans="1:7" ht="15.75" hidden="1" customHeight="1">
      <c r="A31" s="8"/>
      <c r="B31" s="7"/>
      <c r="C31" s="146"/>
      <c r="D31" s="8"/>
      <c r="E31" s="31"/>
      <c r="F31" s="31"/>
      <c r="G31" s="7"/>
    </row>
    <row r="32" spans="1:7" ht="15.75" hidden="1" customHeight="1">
      <c r="A32" s="8"/>
      <c r="B32" s="7"/>
      <c r="C32" s="146"/>
      <c r="D32" s="8"/>
      <c r="E32" s="31"/>
      <c r="F32" s="31"/>
      <c r="G32" s="7"/>
    </row>
    <row r="33" spans="1:7" ht="15.75" hidden="1" customHeight="1">
      <c r="A33" s="8"/>
      <c r="B33" s="7"/>
      <c r="C33" s="146"/>
      <c r="D33" s="8"/>
      <c r="E33" s="31"/>
      <c r="F33" s="31"/>
      <c r="G33" s="7"/>
    </row>
    <row r="34" spans="1:7" ht="15.75" hidden="1" customHeight="1">
      <c r="A34" s="8"/>
      <c r="B34" s="7"/>
      <c r="C34" s="146"/>
      <c r="D34" s="8"/>
      <c r="E34" s="31"/>
      <c r="F34" s="31"/>
      <c r="G34" s="7"/>
    </row>
    <row r="35" spans="1:7" ht="15.75" hidden="1" customHeight="1">
      <c r="A35" s="8"/>
      <c r="B35" s="7"/>
      <c r="C35" s="146"/>
      <c r="D35" s="8"/>
      <c r="E35" s="31"/>
      <c r="F35" s="31"/>
      <c r="G35" s="7"/>
    </row>
    <row r="36" spans="1:7" ht="15.75" hidden="1" customHeight="1">
      <c r="A36" s="8"/>
      <c r="B36" s="7"/>
      <c r="C36" s="146"/>
      <c r="D36" s="8"/>
      <c r="E36" s="31"/>
      <c r="F36" s="31"/>
      <c r="G36" s="7"/>
    </row>
    <row r="37" spans="1:7" ht="15.75" hidden="1" customHeight="1">
      <c r="A37" s="8"/>
      <c r="B37" s="7"/>
      <c r="C37" s="146"/>
      <c r="D37" s="8"/>
      <c r="E37" s="31"/>
      <c r="F37" s="31"/>
      <c r="G37" s="7"/>
    </row>
    <row r="38" spans="1:7" ht="15.75" hidden="1" customHeight="1">
      <c r="A38" s="8"/>
      <c r="B38" s="7"/>
      <c r="C38" s="146"/>
      <c r="D38" s="8"/>
      <c r="E38" s="31"/>
      <c r="F38" s="31"/>
      <c r="G38" s="7"/>
    </row>
    <row r="39" spans="1:7" ht="15.75" hidden="1" customHeight="1">
      <c r="A39" s="8"/>
      <c r="B39" s="7"/>
      <c r="C39" s="146"/>
      <c r="D39" s="8"/>
      <c r="E39" s="31"/>
      <c r="F39" s="31"/>
      <c r="G39" s="7"/>
    </row>
    <row r="40" spans="1:7" ht="15.75" hidden="1" customHeight="1">
      <c r="A40" s="8"/>
      <c r="B40" s="7"/>
      <c r="C40" s="146"/>
      <c r="D40" s="8"/>
      <c r="E40" s="31"/>
      <c r="F40" s="31"/>
      <c r="G40" s="7"/>
    </row>
    <row r="41" spans="1:7" ht="15.75" hidden="1" customHeight="1">
      <c r="A41" s="8"/>
      <c r="B41" s="7"/>
      <c r="C41" s="146"/>
      <c r="D41" s="8"/>
      <c r="E41" s="31"/>
      <c r="F41" s="31"/>
      <c r="G41" s="7"/>
    </row>
    <row r="42" spans="1:7" ht="15.75" hidden="1" customHeight="1">
      <c r="A42" s="8"/>
      <c r="B42" s="7"/>
      <c r="C42" s="146"/>
      <c r="D42" s="8"/>
      <c r="E42" s="31"/>
      <c r="F42" s="31"/>
      <c r="G42" s="7"/>
    </row>
    <row r="43" spans="1:7" ht="15.75" hidden="1" customHeight="1">
      <c r="A43" s="8"/>
      <c r="B43" s="7"/>
      <c r="C43" s="146"/>
      <c r="D43" s="8"/>
      <c r="E43" s="31"/>
      <c r="F43" s="31"/>
      <c r="G43" s="7"/>
    </row>
    <row r="44" spans="1:7" ht="15.75" hidden="1" customHeight="1">
      <c r="A44" s="8"/>
      <c r="B44" s="7"/>
      <c r="C44" s="146"/>
      <c r="D44" s="8"/>
      <c r="E44" s="31"/>
      <c r="F44" s="31"/>
      <c r="G44" s="7"/>
    </row>
    <row r="45" spans="1:7" ht="15.75" hidden="1" customHeight="1">
      <c r="A45" s="8"/>
      <c r="B45" s="7"/>
      <c r="C45" s="146"/>
      <c r="D45" s="8"/>
      <c r="E45" s="31"/>
      <c r="F45" s="31"/>
      <c r="G45" s="7"/>
    </row>
    <row r="46" spans="1:7" ht="15.75" hidden="1" customHeight="1">
      <c r="A46" s="8"/>
      <c r="B46" s="7"/>
      <c r="C46" s="146"/>
      <c r="D46" s="8"/>
      <c r="E46" s="31"/>
      <c r="F46" s="31"/>
      <c r="G46" s="7"/>
    </row>
  </sheetData>
  <mergeCells count="8">
    <mergeCell ref="N5:N6"/>
    <mergeCell ref="O5:O6"/>
    <mergeCell ref="A1:G1"/>
    <mergeCell ref="A2:G2"/>
    <mergeCell ref="A26:B26"/>
    <mergeCell ref="H5:I5"/>
    <mergeCell ref="L5:L6"/>
    <mergeCell ref="M5:M6"/>
  </mergeCells>
  <phoneticPr fontId="6" type="noConversion"/>
  <dataValidations count="1">
    <dataValidation allowBlank="1" showInputMessage="1" showErrorMessage="1" prompt="C：  发函_x000a_C√：发函,且回函相符_x000a_C×：发函,且回函不符" sqref="I6" xr:uid="{EB1D685A-79AE-4504-978C-373B924933F4}"/>
  </dataValidations>
  <printOptions horizontalCentered="1" verticalCentered="1"/>
  <pageMargins left="1.1417322834645669" right="0.9055118110236221" top="0.39370078740157483" bottom="0.70866141732283472" header="1.8110236220472442" footer="1.1023622047244095"/>
  <pageSetup paperSize="9" fitToHeight="0" orientation="landscape" blackAndWhite="1" horizontalDpi="1200" verticalDpi="1200" r:id="rId1"/>
  <headerFooter scaleWithDoc="0">
    <oddHeader>&amp;R&amp;"宋体,常规"&amp;10表5-12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927100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1181100</xdr:colOff>
                    <xdr:row>2</xdr:row>
                    <xdr:rowOff>0</xdr:rowOff>
                  </from>
                  <to>
                    <xdr:col>2</xdr:col>
                    <xdr:colOff>292100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705B-0B26-4DB7-945E-064CBBB4F92C}">
  <sheetPr codeName="Sheet98">
    <pageSetUpPr fitToPage="1"/>
  </sheetPr>
  <dimension ref="A1:K46"/>
  <sheetViews>
    <sheetView workbookViewId="0">
      <pane ySplit="6" topLeftCell="A7" activePane="bottomLeft" state="frozen"/>
      <selection activeCell="F17" sqref="F17"/>
      <selection pane="bottomLeft" activeCell="J9" sqref="J9"/>
    </sheetView>
  </sheetViews>
  <sheetFormatPr baseColWidth="10" defaultColWidth="9" defaultRowHeight="15.75" customHeight="1"/>
  <cols>
    <col min="1" max="1" width="5.6640625" style="81" customWidth="1"/>
    <col min="2" max="2" width="26" style="81" customWidth="1"/>
    <col min="3" max="3" width="13.1640625" style="81" customWidth="1"/>
    <col min="4" max="4" width="18.6640625" style="81" customWidth="1"/>
    <col min="5" max="5" width="17.6640625" style="81" customWidth="1"/>
    <col min="6" max="6" width="16.5" style="81" customWidth="1"/>
    <col min="7" max="7" width="15.5" style="81" customWidth="1"/>
    <col min="8" max="8" width="9.83203125" style="81" customWidth="1"/>
    <col min="9" max="9" width="8.5" style="81" customWidth="1"/>
    <col min="10" max="10" width="12" style="81" customWidth="1"/>
    <col min="11" max="11" width="11.1640625" style="81" customWidth="1"/>
    <col min="12" max="16384" width="9" style="81"/>
  </cols>
  <sheetData>
    <row r="1" spans="1:11" s="80" customFormat="1" ht="30" customHeight="1">
      <c r="A1" s="374" t="s">
        <v>1039</v>
      </c>
      <c r="B1" s="375"/>
      <c r="C1" s="375"/>
      <c r="D1" s="375"/>
      <c r="E1" s="375"/>
      <c r="F1" s="375"/>
      <c r="G1" s="375"/>
    </row>
    <row r="2" spans="1:1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1" ht="14.25" customHeight="1">
      <c r="A3" s="40"/>
      <c r="B3" s="40"/>
      <c r="C3" s="40"/>
      <c r="D3" s="40"/>
      <c r="E3" s="40"/>
      <c r="F3" s="40"/>
      <c r="G3" s="178"/>
    </row>
    <row r="4" spans="1:11" ht="14.25" customHeight="1">
      <c r="A4" s="40"/>
      <c r="B4" s="40"/>
      <c r="C4" s="40"/>
      <c r="D4" s="40"/>
      <c r="E4" s="40"/>
      <c r="F4" s="40"/>
      <c r="G4" s="178"/>
    </row>
    <row r="5" spans="1:11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574" t="s">
        <v>947</v>
      </c>
      <c r="I5" s="575" t="s">
        <v>721</v>
      </c>
      <c r="J5" s="562" t="s">
        <v>641</v>
      </c>
      <c r="K5" s="562" t="s">
        <v>642</v>
      </c>
    </row>
    <row r="6" spans="1:11" s="101" customFormat="1" ht="15.75" customHeight="1">
      <c r="A6" s="45" t="s">
        <v>7</v>
      </c>
      <c r="B6" s="45" t="s">
        <v>51</v>
      </c>
      <c r="C6" s="45" t="s">
        <v>36</v>
      </c>
      <c r="D6" s="45" t="s">
        <v>160</v>
      </c>
      <c r="E6" s="217" t="s">
        <v>117</v>
      </c>
      <c r="F6" s="45" t="s">
        <v>0</v>
      </c>
      <c r="G6" s="45" t="s">
        <v>39</v>
      </c>
      <c r="H6" s="574"/>
      <c r="I6" s="576"/>
      <c r="J6" s="563"/>
      <c r="K6" s="563"/>
    </row>
    <row r="7" spans="1:11" ht="15.75" customHeight="1">
      <c r="A7" s="8"/>
      <c r="B7" s="7"/>
      <c r="C7" s="146"/>
      <c r="D7" s="8"/>
      <c r="E7" s="243"/>
      <c r="F7" s="31"/>
      <c r="G7" s="7"/>
    </row>
    <row r="8" spans="1:11" ht="15.75" customHeight="1">
      <c r="A8" s="8"/>
      <c r="B8" s="7"/>
      <c r="C8" s="146"/>
      <c r="D8" s="8"/>
      <c r="E8" s="243"/>
      <c r="F8" s="31"/>
      <c r="G8" s="7"/>
    </row>
    <row r="9" spans="1:11" ht="15.75" customHeight="1">
      <c r="A9" s="8"/>
      <c r="B9" s="7"/>
      <c r="C9" s="146"/>
      <c r="D9" s="8"/>
      <c r="E9" s="243"/>
      <c r="F9" s="31"/>
      <c r="G9" s="7"/>
    </row>
    <row r="10" spans="1:11" ht="15.75" customHeight="1">
      <c r="A10" s="8"/>
      <c r="B10" s="7"/>
      <c r="C10" s="146"/>
      <c r="D10" s="8"/>
      <c r="E10" s="243"/>
      <c r="F10" s="31"/>
      <c r="G10" s="7"/>
    </row>
    <row r="11" spans="1:11" ht="15.75" customHeight="1">
      <c r="A11" s="8"/>
      <c r="B11" s="7"/>
      <c r="C11" s="146"/>
      <c r="D11" s="8"/>
      <c r="E11" s="243"/>
      <c r="F11" s="31"/>
      <c r="G11" s="7"/>
    </row>
    <row r="12" spans="1:11" ht="15.75" customHeight="1">
      <c r="A12" s="8"/>
      <c r="B12" s="7"/>
      <c r="C12" s="146"/>
      <c r="D12" s="8"/>
      <c r="E12" s="243"/>
      <c r="F12" s="31"/>
      <c r="G12" s="7"/>
    </row>
    <row r="13" spans="1:11" ht="15.75" customHeight="1">
      <c r="A13" s="8"/>
      <c r="B13" s="7"/>
      <c r="C13" s="146"/>
      <c r="D13" s="8"/>
      <c r="E13" s="243"/>
      <c r="F13" s="31"/>
      <c r="G13" s="7"/>
    </row>
    <row r="14" spans="1:11" ht="15.75" customHeight="1">
      <c r="A14" s="8"/>
      <c r="B14" s="7"/>
      <c r="C14" s="146"/>
      <c r="D14" s="8"/>
      <c r="E14" s="243"/>
      <c r="F14" s="31"/>
      <c r="G14" s="7"/>
    </row>
    <row r="15" spans="1:11" ht="15.75" customHeight="1">
      <c r="A15" s="8"/>
      <c r="B15" s="7"/>
      <c r="C15" s="146"/>
      <c r="D15" s="8"/>
      <c r="E15" s="243"/>
      <c r="F15" s="31"/>
      <c r="G15" s="7"/>
    </row>
    <row r="16" spans="1:11" ht="15.75" customHeight="1">
      <c r="A16" s="8"/>
      <c r="B16" s="7"/>
      <c r="C16" s="146"/>
      <c r="D16" s="8"/>
      <c r="E16" s="243"/>
      <c r="F16" s="31"/>
      <c r="G16" s="7"/>
    </row>
    <row r="17" spans="1:7" ht="15.75" customHeight="1">
      <c r="A17" s="8"/>
      <c r="B17" s="7"/>
      <c r="C17" s="146"/>
      <c r="D17" s="8"/>
      <c r="E17" s="243"/>
      <c r="F17" s="31"/>
      <c r="G17" s="7"/>
    </row>
    <row r="18" spans="1:7" ht="15.75" customHeight="1">
      <c r="A18" s="8"/>
      <c r="B18" s="7"/>
      <c r="C18" s="146"/>
      <c r="D18" s="8"/>
      <c r="E18" s="243"/>
      <c r="F18" s="31"/>
      <c r="G18" s="7"/>
    </row>
    <row r="19" spans="1:7" ht="15.75" customHeight="1">
      <c r="A19" s="8"/>
      <c r="B19" s="7"/>
      <c r="C19" s="146"/>
      <c r="D19" s="8"/>
      <c r="E19" s="243"/>
      <c r="F19" s="31"/>
      <c r="G19" s="7"/>
    </row>
    <row r="20" spans="1:7" ht="15.75" customHeight="1">
      <c r="A20" s="8"/>
      <c r="B20" s="7"/>
      <c r="C20" s="146"/>
      <c r="D20" s="8"/>
      <c r="E20" s="243"/>
      <c r="F20" s="31"/>
      <c r="G20" s="7"/>
    </row>
    <row r="21" spans="1:7" ht="15.75" customHeight="1">
      <c r="A21" s="8"/>
      <c r="B21" s="7"/>
      <c r="C21" s="146"/>
      <c r="D21" s="8"/>
      <c r="E21" s="243"/>
      <c r="F21" s="31"/>
      <c r="G21" s="7"/>
    </row>
    <row r="22" spans="1:7" ht="15.75" customHeight="1">
      <c r="A22" s="8"/>
      <c r="B22" s="7"/>
      <c r="C22" s="146"/>
      <c r="D22" s="8"/>
      <c r="E22" s="243"/>
      <c r="F22" s="31"/>
      <c r="G22" s="7"/>
    </row>
    <row r="23" spans="1:7" ht="15.75" customHeight="1">
      <c r="A23" s="8"/>
      <c r="B23" s="7"/>
      <c r="C23" s="146"/>
      <c r="D23" s="8"/>
      <c r="E23" s="243"/>
      <c r="F23" s="31"/>
      <c r="G23" s="7"/>
    </row>
    <row r="24" spans="1:7" ht="15.75" customHeight="1">
      <c r="A24" s="8"/>
      <c r="B24" s="7"/>
      <c r="C24" s="146"/>
      <c r="D24" s="8"/>
      <c r="E24" s="243"/>
      <c r="F24" s="31"/>
      <c r="G24" s="7"/>
    </row>
    <row r="25" spans="1:7" ht="15.75" customHeight="1">
      <c r="A25" s="8"/>
      <c r="B25" s="7"/>
      <c r="C25" s="146"/>
      <c r="D25" s="8"/>
      <c r="E25" s="243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43"/>
      <c r="F27" s="31"/>
      <c r="G27" s="7"/>
    </row>
    <row r="28" spans="1:7" ht="15.75" hidden="1" customHeight="1">
      <c r="A28" s="8"/>
      <c r="B28" s="7"/>
      <c r="C28" s="146"/>
      <c r="D28" s="8"/>
      <c r="E28" s="243"/>
      <c r="F28" s="31"/>
      <c r="G28" s="7"/>
    </row>
    <row r="29" spans="1:7" ht="15.75" hidden="1" customHeight="1">
      <c r="A29" s="8"/>
      <c r="B29" s="7"/>
      <c r="C29" s="146"/>
      <c r="D29" s="8"/>
      <c r="E29" s="243"/>
      <c r="F29" s="31"/>
      <c r="G29" s="7"/>
    </row>
    <row r="30" spans="1:7" ht="15.75" hidden="1" customHeight="1">
      <c r="A30" s="8"/>
      <c r="B30" s="7"/>
      <c r="C30" s="146"/>
      <c r="D30" s="8"/>
      <c r="E30" s="243"/>
      <c r="F30" s="31"/>
      <c r="G30" s="7"/>
    </row>
    <row r="31" spans="1:7" ht="15.75" hidden="1" customHeight="1">
      <c r="A31" s="8"/>
      <c r="B31" s="7"/>
      <c r="C31" s="146"/>
      <c r="D31" s="8"/>
      <c r="E31" s="243"/>
      <c r="F31" s="31"/>
      <c r="G31" s="7"/>
    </row>
    <row r="32" spans="1:7" ht="15.75" hidden="1" customHeight="1">
      <c r="A32" s="8"/>
      <c r="B32" s="7"/>
      <c r="C32" s="146"/>
      <c r="D32" s="8"/>
      <c r="E32" s="243"/>
      <c r="F32" s="31"/>
      <c r="G32" s="7"/>
    </row>
    <row r="33" spans="1:7" ht="15.75" hidden="1" customHeight="1">
      <c r="A33" s="8"/>
      <c r="B33" s="7"/>
      <c r="C33" s="146"/>
      <c r="D33" s="8"/>
      <c r="E33" s="243"/>
      <c r="F33" s="31"/>
      <c r="G33" s="7"/>
    </row>
    <row r="34" spans="1:7" ht="15.75" hidden="1" customHeight="1">
      <c r="A34" s="8"/>
      <c r="B34" s="7"/>
      <c r="C34" s="146"/>
      <c r="D34" s="8"/>
      <c r="E34" s="243"/>
      <c r="F34" s="31"/>
      <c r="G34" s="7"/>
    </row>
    <row r="35" spans="1:7" ht="15.75" hidden="1" customHeight="1">
      <c r="A35" s="8"/>
      <c r="B35" s="7"/>
      <c r="C35" s="146"/>
      <c r="D35" s="8"/>
      <c r="E35" s="243"/>
      <c r="F35" s="31"/>
      <c r="G35" s="7"/>
    </row>
    <row r="36" spans="1:7" ht="15.75" hidden="1" customHeight="1">
      <c r="A36" s="8"/>
      <c r="B36" s="7"/>
      <c r="C36" s="146"/>
      <c r="D36" s="8"/>
      <c r="E36" s="243"/>
      <c r="F36" s="31"/>
      <c r="G36" s="7"/>
    </row>
    <row r="37" spans="1:7" ht="15.75" hidden="1" customHeight="1">
      <c r="A37" s="8"/>
      <c r="B37" s="7"/>
      <c r="C37" s="146"/>
      <c r="D37" s="8"/>
      <c r="E37" s="243"/>
      <c r="F37" s="31"/>
      <c r="G37" s="7"/>
    </row>
    <row r="38" spans="1:7" ht="15.75" hidden="1" customHeight="1">
      <c r="A38" s="8"/>
      <c r="B38" s="7"/>
      <c r="C38" s="146"/>
      <c r="D38" s="8"/>
      <c r="E38" s="243"/>
      <c r="F38" s="31"/>
      <c r="G38" s="7"/>
    </row>
    <row r="39" spans="1:7" ht="15.75" hidden="1" customHeight="1">
      <c r="A39" s="8"/>
      <c r="B39" s="7"/>
      <c r="C39" s="146"/>
      <c r="D39" s="8"/>
      <c r="E39" s="243"/>
      <c r="F39" s="31"/>
      <c r="G39" s="7"/>
    </row>
    <row r="40" spans="1:7" ht="15.75" hidden="1" customHeight="1">
      <c r="A40" s="8"/>
      <c r="B40" s="7"/>
      <c r="C40" s="146"/>
      <c r="D40" s="8"/>
      <c r="E40" s="243"/>
      <c r="F40" s="31"/>
      <c r="G40" s="7"/>
    </row>
    <row r="41" spans="1:7" ht="15.75" hidden="1" customHeight="1">
      <c r="A41" s="8"/>
      <c r="B41" s="7"/>
      <c r="C41" s="146"/>
      <c r="D41" s="8"/>
      <c r="E41" s="243"/>
      <c r="F41" s="31"/>
      <c r="G41" s="7"/>
    </row>
    <row r="42" spans="1:7" ht="15.75" hidden="1" customHeight="1">
      <c r="A42" s="8"/>
      <c r="B42" s="7"/>
      <c r="C42" s="146"/>
      <c r="D42" s="8"/>
      <c r="E42" s="243"/>
      <c r="F42" s="31"/>
      <c r="G42" s="7"/>
    </row>
    <row r="43" spans="1:7" ht="15.75" hidden="1" customHeight="1">
      <c r="A43" s="8"/>
      <c r="B43" s="7"/>
      <c r="C43" s="146"/>
      <c r="D43" s="8"/>
      <c r="E43" s="243"/>
      <c r="F43" s="31"/>
      <c r="G43" s="7"/>
    </row>
    <row r="44" spans="1:7" ht="15.75" hidden="1" customHeight="1">
      <c r="A44" s="8"/>
      <c r="B44" s="7"/>
      <c r="C44" s="146"/>
      <c r="D44" s="8"/>
      <c r="E44" s="243"/>
      <c r="F44" s="31"/>
      <c r="G44" s="7"/>
    </row>
    <row r="45" spans="1:7" ht="15.75" hidden="1" customHeight="1">
      <c r="A45" s="8"/>
      <c r="B45" s="7"/>
      <c r="C45" s="146"/>
      <c r="D45" s="8"/>
      <c r="E45" s="243"/>
      <c r="F45" s="31"/>
      <c r="G45" s="7"/>
    </row>
    <row r="46" spans="1:7" ht="15.75" hidden="1" customHeight="1">
      <c r="A46" s="8"/>
      <c r="B46" s="7"/>
      <c r="C46" s="146"/>
      <c r="D46" s="8"/>
      <c r="E46" s="243"/>
      <c r="F46" s="31"/>
      <c r="G46" s="7"/>
    </row>
  </sheetData>
  <mergeCells count="7">
    <mergeCell ref="A26:B26"/>
    <mergeCell ref="I5:I6"/>
    <mergeCell ref="A1:G1"/>
    <mergeCell ref="A2:G2"/>
    <mergeCell ref="H5:H6"/>
    <mergeCell ref="J5:J6"/>
    <mergeCell ref="K5:K6"/>
  </mergeCells>
  <phoneticPr fontId="52" type="noConversion"/>
  <printOptions horizontalCentered="1" verticalCentered="1"/>
  <pageMargins left="1.299212598425197" right="0.9055118110236221" top="0.23622047244094491" bottom="0.55118110236220474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&amp;R&amp;"宋体,常规"&amp;10表5-13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266700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CAFB-9897-4515-A67D-D2858E8DE94C}">
  <sheetPr codeName="Sheet71">
    <pageSetUpPr fitToPage="1"/>
  </sheetPr>
  <dimension ref="A1:M46"/>
  <sheetViews>
    <sheetView workbookViewId="0">
      <pane ySplit="6" topLeftCell="A25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7.6640625" style="81" customWidth="1"/>
    <col min="2" max="2" width="22.5" style="81" customWidth="1"/>
    <col min="3" max="3" width="13.6640625" style="81" customWidth="1"/>
    <col min="4" max="5" width="14.1640625" style="81" customWidth="1"/>
    <col min="6" max="6" width="16.5" style="81" customWidth="1"/>
    <col min="7" max="7" width="15.1640625" style="81" customWidth="1"/>
    <col min="8" max="8" width="14.5" style="81" customWidth="1"/>
    <col min="9" max="9" width="7.5" style="81" customWidth="1"/>
    <col min="10" max="10" width="9.83203125" style="81" customWidth="1"/>
    <col min="11" max="11" width="10.5" style="81" customWidth="1"/>
    <col min="12" max="12" width="6.1640625" style="81" customWidth="1"/>
    <col min="13" max="13" width="7.83203125" style="81" customWidth="1"/>
    <col min="14" max="16384" width="9" style="81"/>
  </cols>
  <sheetData>
    <row r="1" spans="1:13" s="80" customFormat="1" ht="30" customHeight="1">
      <c r="A1" s="374" t="s">
        <v>1040</v>
      </c>
      <c r="B1" s="375"/>
      <c r="C1" s="375"/>
      <c r="D1" s="375"/>
      <c r="E1" s="375"/>
      <c r="F1" s="375"/>
      <c r="G1" s="375"/>
      <c r="H1" s="375"/>
    </row>
    <row r="2" spans="1:13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  <c r="H2" s="378"/>
    </row>
    <row r="3" spans="1:13" ht="14.25" customHeight="1">
      <c r="A3" s="40"/>
      <c r="B3" s="40"/>
      <c r="C3" s="40"/>
      <c r="D3" s="40"/>
      <c r="E3" s="40"/>
      <c r="F3" s="40"/>
      <c r="G3" s="171"/>
      <c r="H3" s="178"/>
    </row>
    <row r="4" spans="1:13" ht="14.25" customHeight="1">
      <c r="A4" s="40"/>
      <c r="B4" s="40"/>
      <c r="C4" s="40"/>
      <c r="D4" s="40"/>
      <c r="E4" s="40"/>
      <c r="F4" s="40"/>
      <c r="G4" s="42"/>
      <c r="H4" s="187"/>
    </row>
    <row r="5" spans="1:13" ht="15.75" customHeight="1">
      <c r="A5" s="223" t="str">
        <f>'1-汇总表'!A4</f>
        <v>被评估单位：A有限公司</v>
      </c>
      <c r="B5" s="223"/>
      <c r="C5" s="223"/>
      <c r="D5" s="42"/>
      <c r="E5" s="42"/>
      <c r="F5" s="42"/>
      <c r="G5" s="42"/>
      <c r="H5" s="122"/>
      <c r="I5" s="296" t="s">
        <v>622</v>
      </c>
      <c r="J5" s="296" t="s">
        <v>692</v>
      </c>
      <c r="K5" s="296" t="s">
        <v>693</v>
      </c>
      <c r="L5" s="562" t="s">
        <v>641</v>
      </c>
      <c r="M5" s="562" t="s">
        <v>642</v>
      </c>
    </row>
    <row r="6" spans="1:13" s="101" customFormat="1" ht="15.75" customHeight="1">
      <c r="A6" s="45" t="s">
        <v>7</v>
      </c>
      <c r="B6" s="45" t="s">
        <v>262</v>
      </c>
      <c r="C6" s="45" t="s">
        <v>36</v>
      </c>
      <c r="D6" s="45" t="s">
        <v>54</v>
      </c>
      <c r="E6" s="120" t="s">
        <v>514</v>
      </c>
      <c r="F6" s="217" t="s">
        <v>117</v>
      </c>
      <c r="G6" s="45" t="s">
        <v>0</v>
      </c>
      <c r="H6" s="45" t="s">
        <v>39</v>
      </c>
      <c r="I6" s="296" t="s">
        <v>596</v>
      </c>
      <c r="J6" s="296" t="s">
        <v>658</v>
      </c>
      <c r="K6" s="296" t="s">
        <v>657</v>
      </c>
      <c r="L6" s="563"/>
      <c r="M6" s="563"/>
    </row>
    <row r="7" spans="1:13" ht="15.75" customHeight="1">
      <c r="A7" s="8"/>
      <c r="B7" s="7"/>
      <c r="C7" s="146"/>
      <c r="D7" s="146"/>
      <c r="E7" s="8"/>
      <c r="F7" s="31"/>
      <c r="G7" s="31"/>
      <c r="H7" s="7"/>
    </row>
    <row r="8" spans="1:13" ht="15.75" customHeight="1">
      <c r="A8" s="8"/>
      <c r="B8" s="7"/>
      <c r="C8" s="146"/>
      <c r="D8" s="146"/>
      <c r="E8" s="8"/>
      <c r="F8" s="31"/>
      <c r="G8" s="31"/>
      <c r="H8" s="7"/>
    </row>
    <row r="9" spans="1:13" ht="15.75" customHeight="1">
      <c r="A9" s="8"/>
      <c r="B9" s="7"/>
      <c r="C9" s="146"/>
      <c r="D9" s="146"/>
      <c r="E9" s="8"/>
      <c r="F9" s="31"/>
      <c r="G9" s="31"/>
      <c r="H9" s="7"/>
    </row>
    <row r="10" spans="1:13" ht="15.75" customHeight="1">
      <c r="A10" s="8"/>
      <c r="B10" s="7"/>
      <c r="C10" s="146"/>
      <c r="D10" s="146"/>
      <c r="E10" s="8"/>
      <c r="F10" s="31"/>
      <c r="G10" s="31"/>
      <c r="H10" s="7"/>
    </row>
    <row r="11" spans="1:13" ht="15.75" customHeight="1">
      <c r="A11" s="8"/>
      <c r="B11" s="7"/>
      <c r="C11" s="146"/>
      <c r="D11" s="146"/>
      <c r="E11" s="8"/>
      <c r="F11" s="31"/>
      <c r="G11" s="31"/>
      <c r="H11" s="7"/>
    </row>
    <row r="12" spans="1:13" ht="15.75" customHeight="1">
      <c r="A12" s="8"/>
      <c r="B12" s="7"/>
      <c r="C12" s="146"/>
      <c r="D12" s="146"/>
      <c r="E12" s="8"/>
      <c r="F12" s="31"/>
      <c r="G12" s="31"/>
      <c r="H12" s="7"/>
    </row>
    <row r="13" spans="1:13" ht="15.75" customHeight="1">
      <c r="A13" s="8"/>
      <c r="B13" s="7"/>
      <c r="C13" s="146"/>
      <c r="D13" s="146"/>
      <c r="E13" s="8"/>
      <c r="F13" s="31"/>
      <c r="G13" s="31"/>
      <c r="H13" s="7"/>
    </row>
    <row r="14" spans="1:13" ht="15.75" customHeight="1">
      <c r="A14" s="8"/>
      <c r="B14" s="7"/>
      <c r="C14" s="146"/>
      <c r="D14" s="146"/>
      <c r="E14" s="8"/>
      <c r="F14" s="31"/>
      <c r="G14" s="31"/>
      <c r="H14" s="7"/>
    </row>
    <row r="15" spans="1:13" ht="15.75" customHeight="1">
      <c r="A15" s="8"/>
      <c r="B15" s="7"/>
      <c r="C15" s="146"/>
      <c r="D15" s="146"/>
      <c r="E15" s="8"/>
      <c r="F15" s="31"/>
      <c r="G15" s="31"/>
      <c r="H15" s="7"/>
    </row>
    <row r="16" spans="1:13" ht="15.75" customHeight="1">
      <c r="A16" s="8"/>
      <c r="B16" s="7"/>
      <c r="C16" s="146"/>
      <c r="D16" s="146"/>
      <c r="E16" s="8"/>
      <c r="F16" s="31"/>
      <c r="G16" s="31"/>
      <c r="H16" s="7"/>
    </row>
    <row r="17" spans="1:8" ht="15.75" customHeight="1">
      <c r="A17" s="8"/>
      <c r="B17" s="7"/>
      <c r="C17" s="146"/>
      <c r="D17" s="146"/>
      <c r="E17" s="8"/>
      <c r="F17" s="31"/>
      <c r="G17" s="31"/>
      <c r="H17" s="7"/>
    </row>
    <row r="18" spans="1:8" ht="15.75" customHeight="1">
      <c r="A18" s="8"/>
      <c r="B18" s="7"/>
      <c r="C18" s="146"/>
      <c r="D18" s="146"/>
      <c r="E18" s="8"/>
      <c r="F18" s="31"/>
      <c r="G18" s="31"/>
      <c r="H18" s="7"/>
    </row>
    <row r="19" spans="1:8" ht="15.75" customHeight="1">
      <c r="A19" s="8"/>
      <c r="B19" s="7"/>
      <c r="C19" s="146"/>
      <c r="D19" s="146"/>
      <c r="E19" s="8"/>
      <c r="F19" s="31"/>
      <c r="G19" s="31"/>
      <c r="H19" s="7"/>
    </row>
    <row r="20" spans="1:8" ht="15.75" customHeight="1">
      <c r="A20" s="8"/>
      <c r="B20" s="7"/>
      <c r="C20" s="146"/>
      <c r="D20" s="146"/>
      <c r="E20" s="8"/>
      <c r="F20" s="31"/>
      <c r="G20" s="31"/>
      <c r="H20" s="7"/>
    </row>
    <row r="21" spans="1:8" ht="15.75" customHeight="1">
      <c r="A21" s="8"/>
      <c r="B21" s="7"/>
      <c r="C21" s="146"/>
      <c r="D21" s="146"/>
      <c r="E21" s="8"/>
      <c r="F21" s="31"/>
      <c r="G21" s="31"/>
      <c r="H21" s="7"/>
    </row>
    <row r="22" spans="1:8" ht="15.75" customHeight="1">
      <c r="A22" s="8"/>
      <c r="B22" s="7"/>
      <c r="C22" s="146"/>
      <c r="D22" s="146"/>
      <c r="E22" s="8"/>
      <c r="F22" s="31"/>
      <c r="G22" s="31"/>
      <c r="H22" s="7"/>
    </row>
    <row r="23" spans="1:8" ht="15.75" customHeight="1">
      <c r="A23" s="8"/>
      <c r="B23" s="7"/>
      <c r="C23" s="146"/>
      <c r="D23" s="146"/>
      <c r="E23" s="8"/>
      <c r="F23" s="31"/>
      <c r="G23" s="31"/>
      <c r="H23" s="7"/>
    </row>
    <row r="24" spans="1:8" ht="15.75" customHeight="1">
      <c r="A24" s="8"/>
      <c r="B24" s="7"/>
      <c r="C24" s="146"/>
      <c r="D24" s="146"/>
      <c r="E24" s="8"/>
      <c r="F24" s="31"/>
      <c r="G24" s="31"/>
      <c r="H24" s="7"/>
    </row>
    <row r="25" spans="1:8" ht="15.75" customHeight="1">
      <c r="A25" s="8"/>
      <c r="B25" s="7"/>
      <c r="C25" s="146"/>
      <c r="D25" s="146"/>
      <c r="E25" s="8"/>
      <c r="F25" s="31"/>
      <c r="G25" s="31"/>
      <c r="H25" s="7"/>
    </row>
    <row r="26" spans="1:8" ht="15.75" customHeight="1">
      <c r="A26" s="420" t="s">
        <v>534</v>
      </c>
      <c r="B26" s="421"/>
      <c r="C26" s="232"/>
      <c r="D26" s="232"/>
      <c r="E26" s="30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234"/>
    </row>
    <row r="27" spans="1:8" ht="15.75" hidden="1" customHeight="1">
      <c r="A27" s="8"/>
      <c r="B27" s="7"/>
      <c r="C27" s="146"/>
      <c r="D27" s="146"/>
      <c r="E27" s="8"/>
      <c r="F27" s="31"/>
      <c r="G27" s="31"/>
      <c r="H27" s="7"/>
    </row>
    <row r="28" spans="1:8" ht="15.75" hidden="1" customHeight="1">
      <c r="A28" s="8"/>
      <c r="B28" s="7"/>
      <c r="C28" s="146"/>
      <c r="D28" s="146"/>
      <c r="E28" s="8"/>
      <c r="F28" s="31"/>
      <c r="G28" s="31"/>
      <c r="H28" s="7"/>
    </row>
    <row r="29" spans="1:8" ht="15.75" hidden="1" customHeight="1">
      <c r="A29" s="8"/>
      <c r="B29" s="7"/>
      <c r="C29" s="146"/>
      <c r="D29" s="146"/>
      <c r="E29" s="8"/>
      <c r="F29" s="31"/>
      <c r="G29" s="31"/>
      <c r="H29" s="7"/>
    </row>
    <row r="30" spans="1:8" ht="15.75" hidden="1" customHeight="1">
      <c r="A30" s="8"/>
      <c r="B30" s="7"/>
      <c r="C30" s="146"/>
      <c r="D30" s="146"/>
      <c r="E30" s="8"/>
      <c r="F30" s="31"/>
      <c r="G30" s="31"/>
      <c r="H30" s="7"/>
    </row>
    <row r="31" spans="1:8" ht="15.75" hidden="1" customHeight="1">
      <c r="A31" s="8"/>
      <c r="B31" s="7"/>
      <c r="C31" s="146"/>
      <c r="D31" s="146"/>
      <c r="E31" s="8"/>
      <c r="F31" s="31"/>
      <c r="G31" s="31"/>
      <c r="H31" s="7"/>
    </row>
    <row r="32" spans="1:8" ht="15.75" hidden="1" customHeight="1">
      <c r="A32" s="8"/>
      <c r="B32" s="7"/>
      <c r="C32" s="146"/>
      <c r="D32" s="146"/>
      <c r="E32" s="8"/>
      <c r="F32" s="31"/>
      <c r="G32" s="31"/>
      <c r="H32" s="7"/>
    </row>
    <row r="33" spans="1:8" ht="15.75" hidden="1" customHeight="1">
      <c r="A33" s="8"/>
      <c r="B33" s="7"/>
      <c r="C33" s="146"/>
      <c r="D33" s="146"/>
      <c r="E33" s="8"/>
      <c r="F33" s="31"/>
      <c r="G33" s="31"/>
      <c r="H33" s="7"/>
    </row>
    <row r="34" spans="1:8" ht="15.75" hidden="1" customHeight="1">
      <c r="A34" s="8"/>
      <c r="B34" s="7"/>
      <c r="C34" s="146"/>
      <c r="D34" s="146"/>
      <c r="E34" s="8"/>
      <c r="F34" s="31"/>
      <c r="G34" s="31"/>
      <c r="H34" s="7"/>
    </row>
    <row r="35" spans="1:8" ht="15.75" hidden="1" customHeight="1">
      <c r="A35" s="8"/>
      <c r="B35" s="7"/>
      <c r="C35" s="146"/>
      <c r="D35" s="146"/>
      <c r="E35" s="8"/>
      <c r="F35" s="31"/>
      <c r="G35" s="31"/>
      <c r="H35" s="7"/>
    </row>
    <row r="36" spans="1:8" ht="15.75" hidden="1" customHeight="1">
      <c r="A36" s="8"/>
      <c r="B36" s="7"/>
      <c r="C36" s="146"/>
      <c r="D36" s="146"/>
      <c r="E36" s="8"/>
      <c r="F36" s="31"/>
      <c r="G36" s="31"/>
      <c r="H36" s="7"/>
    </row>
    <row r="37" spans="1:8" ht="15.75" hidden="1" customHeight="1">
      <c r="A37" s="8"/>
      <c r="B37" s="7"/>
      <c r="C37" s="146"/>
      <c r="D37" s="146"/>
      <c r="E37" s="8"/>
      <c r="F37" s="31"/>
      <c r="G37" s="31"/>
      <c r="H37" s="7"/>
    </row>
    <row r="38" spans="1:8" ht="15.75" hidden="1" customHeight="1">
      <c r="A38" s="8"/>
      <c r="B38" s="7"/>
      <c r="C38" s="146"/>
      <c r="D38" s="146"/>
      <c r="E38" s="8"/>
      <c r="F38" s="31"/>
      <c r="G38" s="31"/>
      <c r="H38" s="7"/>
    </row>
    <row r="39" spans="1:8" ht="15.75" hidden="1" customHeight="1">
      <c r="A39" s="8"/>
      <c r="B39" s="7"/>
      <c r="C39" s="146"/>
      <c r="D39" s="146"/>
      <c r="E39" s="8"/>
      <c r="F39" s="31"/>
      <c r="G39" s="31"/>
      <c r="H39" s="7"/>
    </row>
    <row r="40" spans="1:8" ht="15.75" hidden="1" customHeight="1">
      <c r="A40" s="8"/>
      <c r="B40" s="7"/>
      <c r="C40" s="146"/>
      <c r="D40" s="146"/>
      <c r="E40" s="8"/>
      <c r="F40" s="31"/>
      <c r="G40" s="31"/>
      <c r="H40" s="7"/>
    </row>
    <row r="41" spans="1:8" ht="15.75" hidden="1" customHeight="1">
      <c r="A41" s="8"/>
      <c r="B41" s="7"/>
      <c r="C41" s="146"/>
      <c r="D41" s="146"/>
      <c r="E41" s="8"/>
      <c r="F41" s="31"/>
      <c r="G41" s="31"/>
      <c r="H41" s="7"/>
    </row>
    <row r="42" spans="1:8" ht="15.75" hidden="1" customHeight="1">
      <c r="A42" s="8"/>
      <c r="B42" s="7"/>
      <c r="C42" s="146"/>
      <c r="D42" s="146"/>
      <c r="E42" s="8"/>
      <c r="F42" s="31"/>
      <c r="G42" s="31"/>
      <c r="H42" s="7"/>
    </row>
    <row r="43" spans="1:8" ht="15.75" hidden="1" customHeight="1">
      <c r="A43" s="8"/>
      <c r="B43" s="7"/>
      <c r="C43" s="146"/>
      <c r="D43" s="146"/>
      <c r="E43" s="8"/>
      <c r="F43" s="31"/>
      <c r="G43" s="31"/>
      <c r="H43" s="7"/>
    </row>
    <row r="44" spans="1:8" ht="15.75" hidden="1" customHeight="1">
      <c r="A44" s="8"/>
      <c r="B44" s="7"/>
      <c r="C44" s="146"/>
      <c r="D44" s="146"/>
      <c r="E44" s="8"/>
      <c r="F44" s="31"/>
      <c r="G44" s="31"/>
      <c r="H44" s="7"/>
    </row>
    <row r="45" spans="1:8" ht="15.75" hidden="1" customHeight="1">
      <c r="A45" s="8"/>
      <c r="B45" s="7"/>
      <c r="C45" s="146"/>
      <c r="D45" s="146"/>
      <c r="E45" s="8"/>
      <c r="F45" s="31"/>
      <c r="G45" s="31"/>
      <c r="H45" s="7"/>
    </row>
    <row r="46" spans="1:8" ht="15.75" hidden="1" customHeight="1">
      <c r="A46" s="8"/>
      <c r="B46" s="7"/>
      <c r="C46" s="146"/>
      <c r="D46" s="146"/>
      <c r="E46" s="8"/>
      <c r="F46" s="31"/>
      <c r="G46" s="31"/>
      <c r="H46" s="7"/>
    </row>
  </sheetData>
  <mergeCells count="5">
    <mergeCell ref="A1:H1"/>
    <mergeCell ref="A2:H2"/>
    <mergeCell ref="A26:B26"/>
    <mergeCell ref="L5:L6"/>
    <mergeCell ref="M5:M6"/>
  </mergeCells>
  <phoneticPr fontId="6" type="noConversion"/>
  <printOptions horizontalCentered="1" verticalCentered="1"/>
  <pageMargins left="1.0629921259842521" right="0.74803149606299213" top="0.39370078740157483" bottom="0.82677165354330717" header="1.7716535433070868" footer="1.2204724409448819"/>
  <pageSetup paperSize="9" fitToHeight="0" orientation="landscape" blackAndWhite="1" horizontalDpi="1200" verticalDpi="1200" r:id="rId1"/>
  <headerFooter scaleWithDoc="0">
    <oddHeader>&amp;R&amp;"宋体,常规"&amp;10表5-14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787400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2</xdr:col>
                    <xdr:colOff>355600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95F85-052E-477B-B9F6-3FF2704616DF}">
  <sheetPr codeName="Sheet72">
    <pageSetUpPr fitToPage="1"/>
  </sheetPr>
  <dimension ref="A1:L46"/>
  <sheetViews>
    <sheetView workbookViewId="0">
      <pane ySplit="6" topLeftCell="A9" activePane="bottomLeft" state="frozen"/>
      <selection activeCell="F17" sqref="F17"/>
      <selection pane="bottomLeft" sqref="A1:G26"/>
    </sheetView>
  </sheetViews>
  <sheetFormatPr baseColWidth="10" defaultColWidth="9" defaultRowHeight="15.75" customHeight="1"/>
  <cols>
    <col min="1" max="1" width="5.6640625" style="81" customWidth="1"/>
    <col min="2" max="2" width="26" style="81" customWidth="1"/>
    <col min="3" max="3" width="13.1640625" style="81" customWidth="1"/>
    <col min="4" max="4" width="18.6640625" style="81" customWidth="1"/>
    <col min="5" max="5" width="17.6640625" style="81" customWidth="1"/>
    <col min="6" max="6" width="16.5" style="81" customWidth="1"/>
    <col min="7" max="7" width="15.5" style="81" customWidth="1"/>
    <col min="8" max="8" width="7.5" style="81" customWidth="1"/>
    <col min="9" max="9" width="7.6640625" style="81" customWidth="1"/>
    <col min="10" max="10" width="11.1640625" style="81" customWidth="1"/>
    <col min="11" max="11" width="6.6640625" style="81" customWidth="1"/>
    <col min="12" max="12" width="7.6640625" style="81" customWidth="1"/>
    <col min="13" max="16384" width="9" style="81"/>
  </cols>
  <sheetData>
    <row r="1" spans="1:12" s="80" customFormat="1" ht="30" customHeight="1">
      <c r="A1" s="374" t="s">
        <v>1041</v>
      </c>
      <c r="B1" s="375"/>
      <c r="C1" s="375"/>
      <c r="D1" s="375"/>
      <c r="E1" s="375"/>
      <c r="F1" s="375"/>
      <c r="G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2" ht="14.25" customHeight="1">
      <c r="A3" s="40"/>
      <c r="B3" s="40"/>
      <c r="C3" s="40"/>
      <c r="D3" s="40"/>
      <c r="E3" s="40"/>
      <c r="F3" s="40"/>
      <c r="G3" s="178"/>
    </row>
    <row r="4" spans="1:12" ht="14.25" customHeight="1">
      <c r="A4" s="40"/>
      <c r="B4" s="40"/>
      <c r="C4" s="40"/>
      <c r="D4" s="40"/>
      <c r="E4" s="40"/>
      <c r="F4" s="40"/>
      <c r="G4" s="178"/>
    </row>
    <row r="5" spans="1:12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298" t="s">
        <v>622</v>
      </c>
      <c r="I5" s="574" t="s">
        <v>659</v>
      </c>
      <c r="J5" s="296" t="s">
        <v>693</v>
      </c>
      <c r="K5" s="562" t="s">
        <v>641</v>
      </c>
      <c r="L5" s="562" t="s">
        <v>642</v>
      </c>
    </row>
    <row r="6" spans="1:12" s="101" customFormat="1" ht="15.75" customHeight="1">
      <c r="A6" s="45" t="s">
        <v>150</v>
      </c>
      <c r="B6" s="45" t="s">
        <v>157</v>
      </c>
      <c r="C6" s="45" t="s">
        <v>158</v>
      </c>
      <c r="D6" s="45" t="s">
        <v>160</v>
      </c>
      <c r="E6" s="217" t="s">
        <v>117</v>
      </c>
      <c r="F6" s="45" t="s">
        <v>140</v>
      </c>
      <c r="G6" s="45" t="s">
        <v>156</v>
      </c>
      <c r="H6" s="298" t="s">
        <v>596</v>
      </c>
      <c r="I6" s="574"/>
      <c r="J6" s="296" t="s">
        <v>657</v>
      </c>
      <c r="K6" s="563"/>
      <c r="L6" s="563"/>
    </row>
    <row r="7" spans="1:12" ht="15.75" customHeight="1">
      <c r="A7" s="8"/>
      <c r="B7" s="7"/>
      <c r="C7" s="146"/>
      <c r="D7" s="8"/>
      <c r="E7" s="243"/>
      <c r="F7" s="31"/>
      <c r="G7" s="7"/>
    </row>
    <row r="8" spans="1:12" ht="15.75" customHeight="1">
      <c r="A8" s="8"/>
      <c r="B8" s="7"/>
      <c r="C8" s="146"/>
      <c r="D8" s="8"/>
      <c r="E8" s="243"/>
      <c r="F8" s="31"/>
      <c r="G8" s="7"/>
    </row>
    <row r="9" spans="1:12" ht="15.75" customHeight="1">
      <c r="A9" s="8"/>
      <c r="B9" s="7"/>
      <c r="C9" s="146"/>
      <c r="D9" s="8"/>
      <c r="E9" s="243"/>
      <c r="F9" s="31"/>
      <c r="G9" s="7"/>
    </row>
    <row r="10" spans="1:12" ht="15.75" customHeight="1">
      <c r="A10" s="8"/>
      <c r="B10" s="7"/>
      <c r="C10" s="146"/>
      <c r="D10" s="8"/>
      <c r="E10" s="243"/>
      <c r="F10" s="31"/>
      <c r="G10" s="7"/>
    </row>
    <row r="11" spans="1:12" ht="15.75" customHeight="1">
      <c r="A11" s="8"/>
      <c r="B11" s="7"/>
      <c r="C11" s="146"/>
      <c r="D11" s="8"/>
      <c r="E11" s="243"/>
      <c r="F11" s="31"/>
      <c r="G11" s="7"/>
    </row>
    <row r="12" spans="1:12" ht="15.75" customHeight="1">
      <c r="A12" s="8"/>
      <c r="B12" s="7"/>
      <c r="C12" s="146"/>
      <c r="D12" s="8"/>
      <c r="E12" s="243"/>
      <c r="F12" s="31"/>
      <c r="G12" s="7"/>
    </row>
    <row r="13" spans="1:12" ht="15.75" customHeight="1">
      <c r="A13" s="8"/>
      <c r="B13" s="7"/>
      <c r="C13" s="146"/>
      <c r="D13" s="8"/>
      <c r="E13" s="243"/>
      <c r="F13" s="31"/>
      <c r="G13" s="7"/>
    </row>
    <row r="14" spans="1:12" ht="15.75" customHeight="1">
      <c r="A14" s="8"/>
      <c r="B14" s="7"/>
      <c r="C14" s="146"/>
      <c r="D14" s="8"/>
      <c r="E14" s="243"/>
      <c r="F14" s="31"/>
      <c r="G14" s="7"/>
    </row>
    <row r="15" spans="1:12" ht="15.75" customHeight="1">
      <c r="A15" s="8"/>
      <c r="B15" s="7"/>
      <c r="C15" s="146"/>
      <c r="D15" s="8"/>
      <c r="E15" s="243"/>
      <c r="F15" s="31"/>
      <c r="G15" s="7"/>
    </row>
    <row r="16" spans="1:12" ht="15.75" customHeight="1">
      <c r="A16" s="8"/>
      <c r="B16" s="7"/>
      <c r="C16" s="146"/>
      <c r="D16" s="8"/>
      <c r="E16" s="243"/>
      <c r="F16" s="31"/>
      <c r="G16" s="7"/>
    </row>
    <row r="17" spans="1:7" ht="15.75" customHeight="1">
      <c r="A17" s="8"/>
      <c r="B17" s="7"/>
      <c r="C17" s="146"/>
      <c r="D17" s="8"/>
      <c r="E17" s="243"/>
      <c r="F17" s="31"/>
      <c r="G17" s="7"/>
    </row>
    <row r="18" spans="1:7" ht="15.75" customHeight="1">
      <c r="A18" s="8"/>
      <c r="B18" s="7"/>
      <c r="C18" s="146"/>
      <c r="D18" s="8"/>
      <c r="E18" s="243"/>
      <c r="F18" s="31"/>
      <c r="G18" s="7"/>
    </row>
    <row r="19" spans="1:7" ht="15.75" customHeight="1">
      <c r="A19" s="8"/>
      <c r="B19" s="7"/>
      <c r="C19" s="146"/>
      <c r="D19" s="8"/>
      <c r="E19" s="243"/>
      <c r="F19" s="31"/>
      <c r="G19" s="7"/>
    </row>
    <row r="20" spans="1:7" ht="15.75" customHeight="1">
      <c r="A20" s="8"/>
      <c r="B20" s="7"/>
      <c r="C20" s="146"/>
      <c r="D20" s="8"/>
      <c r="E20" s="243"/>
      <c r="F20" s="31"/>
      <c r="G20" s="7"/>
    </row>
    <row r="21" spans="1:7" ht="15.75" customHeight="1">
      <c r="A21" s="8"/>
      <c r="B21" s="7"/>
      <c r="C21" s="146"/>
      <c r="D21" s="8"/>
      <c r="E21" s="243"/>
      <c r="F21" s="31"/>
      <c r="G21" s="7"/>
    </row>
    <row r="22" spans="1:7" ht="15.75" customHeight="1">
      <c r="A22" s="8"/>
      <c r="B22" s="7"/>
      <c r="C22" s="146"/>
      <c r="D22" s="8"/>
      <c r="E22" s="243"/>
      <c r="F22" s="31"/>
      <c r="G22" s="7"/>
    </row>
    <row r="23" spans="1:7" ht="15.75" customHeight="1">
      <c r="A23" s="8"/>
      <c r="B23" s="7"/>
      <c r="C23" s="146"/>
      <c r="D23" s="8"/>
      <c r="E23" s="243"/>
      <c r="F23" s="31"/>
      <c r="G23" s="7"/>
    </row>
    <row r="24" spans="1:7" ht="15.75" customHeight="1">
      <c r="A24" s="8"/>
      <c r="B24" s="7"/>
      <c r="C24" s="146"/>
      <c r="D24" s="8"/>
      <c r="E24" s="243"/>
      <c r="F24" s="31"/>
      <c r="G24" s="7"/>
    </row>
    <row r="25" spans="1:7" ht="15.75" customHeight="1">
      <c r="A25" s="8"/>
      <c r="B25" s="7"/>
      <c r="C25" s="146"/>
      <c r="D25" s="8"/>
      <c r="E25" s="243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43"/>
      <c r="F27" s="31"/>
      <c r="G27" s="7"/>
    </row>
    <row r="28" spans="1:7" ht="15.75" hidden="1" customHeight="1">
      <c r="A28" s="8"/>
      <c r="B28" s="7"/>
      <c r="C28" s="146"/>
      <c r="D28" s="8"/>
      <c r="E28" s="243"/>
      <c r="F28" s="31"/>
      <c r="G28" s="7"/>
    </row>
    <row r="29" spans="1:7" ht="15.75" hidden="1" customHeight="1">
      <c r="A29" s="8"/>
      <c r="B29" s="7"/>
      <c r="C29" s="146"/>
      <c r="D29" s="8"/>
      <c r="E29" s="243"/>
      <c r="F29" s="31"/>
      <c r="G29" s="7"/>
    </row>
    <row r="30" spans="1:7" ht="15.75" hidden="1" customHeight="1">
      <c r="A30" s="8"/>
      <c r="B30" s="7"/>
      <c r="C30" s="146"/>
      <c r="D30" s="8"/>
      <c r="E30" s="243"/>
      <c r="F30" s="31"/>
      <c r="G30" s="7"/>
    </row>
    <row r="31" spans="1:7" ht="15.75" hidden="1" customHeight="1">
      <c r="A31" s="8"/>
      <c r="B31" s="7"/>
      <c r="C31" s="146"/>
      <c r="D31" s="8"/>
      <c r="E31" s="243"/>
      <c r="F31" s="31"/>
      <c r="G31" s="7"/>
    </row>
    <row r="32" spans="1:7" ht="15.75" hidden="1" customHeight="1">
      <c r="A32" s="8"/>
      <c r="B32" s="7"/>
      <c r="C32" s="146"/>
      <c r="D32" s="8"/>
      <c r="E32" s="243"/>
      <c r="F32" s="31"/>
      <c r="G32" s="7"/>
    </row>
    <row r="33" spans="1:7" ht="15.75" hidden="1" customHeight="1">
      <c r="A33" s="8"/>
      <c r="B33" s="7"/>
      <c r="C33" s="146"/>
      <c r="D33" s="8"/>
      <c r="E33" s="243"/>
      <c r="F33" s="31"/>
      <c r="G33" s="7"/>
    </row>
    <row r="34" spans="1:7" ht="15.75" hidden="1" customHeight="1">
      <c r="A34" s="8"/>
      <c r="B34" s="7"/>
      <c r="C34" s="146"/>
      <c r="D34" s="8"/>
      <c r="E34" s="243"/>
      <c r="F34" s="31"/>
      <c r="G34" s="7"/>
    </row>
    <row r="35" spans="1:7" ht="15.75" hidden="1" customHeight="1">
      <c r="A35" s="8"/>
      <c r="B35" s="7"/>
      <c r="C35" s="146"/>
      <c r="D35" s="8"/>
      <c r="E35" s="243"/>
      <c r="F35" s="31"/>
      <c r="G35" s="7"/>
    </row>
    <row r="36" spans="1:7" ht="15.75" hidden="1" customHeight="1">
      <c r="A36" s="8"/>
      <c r="B36" s="7"/>
      <c r="C36" s="146"/>
      <c r="D36" s="8"/>
      <c r="E36" s="243"/>
      <c r="F36" s="31"/>
      <c r="G36" s="7"/>
    </row>
    <row r="37" spans="1:7" ht="15.75" hidden="1" customHeight="1">
      <c r="A37" s="8"/>
      <c r="B37" s="7"/>
      <c r="C37" s="146"/>
      <c r="D37" s="8"/>
      <c r="E37" s="243"/>
      <c r="F37" s="31"/>
      <c r="G37" s="7"/>
    </row>
    <row r="38" spans="1:7" ht="15.75" hidden="1" customHeight="1">
      <c r="A38" s="8"/>
      <c r="B38" s="7"/>
      <c r="C38" s="146"/>
      <c r="D38" s="8"/>
      <c r="E38" s="243"/>
      <c r="F38" s="31"/>
      <c r="G38" s="7"/>
    </row>
    <row r="39" spans="1:7" ht="15.75" hidden="1" customHeight="1">
      <c r="A39" s="8"/>
      <c r="B39" s="7"/>
      <c r="C39" s="146"/>
      <c r="D39" s="8"/>
      <c r="E39" s="243"/>
      <c r="F39" s="31"/>
      <c r="G39" s="7"/>
    </row>
    <row r="40" spans="1:7" ht="15.75" hidden="1" customHeight="1">
      <c r="A40" s="8"/>
      <c r="B40" s="7"/>
      <c r="C40" s="146"/>
      <c r="D40" s="8"/>
      <c r="E40" s="243"/>
      <c r="F40" s="31"/>
      <c r="G40" s="7"/>
    </row>
    <row r="41" spans="1:7" ht="15.75" hidden="1" customHeight="1">
      <c r="A41" s="8"/>
      <c r="B41" s="7"/>
      <c r="C41" s="146"/>
      <c r="D41" s="8"/>
      <c r="E41" s="243"/>
      <c r="F41" s="31"/>
      <c r="G41" s="7"/>
    </row>
    <row r="42" spans="1:7" ht="15.75" hidden="1" customHeight="1">
      <c r="A42" s="8"/>
      <c r="B42" s="7"/>
      <c r="C42" s="146"/>
      <c r="D42" s="8"/>
      <c r="E42" s="243"/>
      <c r="F42" s="31"/>
      <c r="G42" s="7"/>
    </row>
    <row r="43" spans="1:7" ht="15.75" hidden="1" customHeight="1">
      <c r="A43" s="8"/>
      <c r="B43" s="7"/>
      <c r="C43" s="146"/>
      <c r="D43" s="8"/>
      <c r="E43" s="243"/>
      <c r="F43" s="31"/>
      <c r="G43" s="7"/>
    </row>
    <row r="44" spans="1:7" ht="15.75" hidden="1" customHeight="1">
      <c r="A44" s="8"/>
      <c r="B44" s="7"/>
      <c r="C44" s="146"/>
      <c r="D44" s="8"/>
      <c r="E44" s="243"/>
      <c r="F44" s="31"/>
      <c r="G44" s="7"/>
    </row>
    <row r="45" spans="1:7" ht="15.75" hidden="1" customHeight="1">
      <c r="A45" s="8"/>
      <c r="B45" s="7"/>
      <c r="C45" s="146"/>
      <c r="D45" s="8"/>
      <c r="E45" s="243"/>
      <c r="F45" s="31"/>
      <c r="G45" s="7"/>
    </row>
    <row r="46" spans="1:7" ht="15.75" hidden="1" customHeight="1">
      <c r="A46" s="8"/>
      <c r="B46" s="7"/>
      <c r="C46" s="146"/>
      <c r="D46" s="8"/>
      <c r="E46" s="243"/>
      <c r="F46" s="31"/>
      <c r="G46" s="7"/>
    </row>
  </sheetData>
  <mergeCells count="6">
    <mergeCell ref="L5:L6"/>
    <mergeCell ref="A1:G1"/>
    <mergeCell ref="A2:G2"/>
    <mergeCell ref="A26:B26"/>
    <mergeCell ref="I5:I6"/>
    <mergeCell ref="K5:K6"/>
  </mergeCells>
  <phoneticPr fontId="6" type="noConversion"/>
  <printOptions horizontalCentered="1" verticalCentered="1"/>
  <pageMargins left="1.299212598425197" right="0.9055118110236221" top="0.23622047244094491" bottom="0.55118110236220474" header="1.8110236220472442" footer="1.1811023622047245"/>
  <pageSetup paperSize="9" fitToHeight="0" orientation="landscape" blackAndWhite="1" horizontalDpi="1200" verticalDpi="1200" r:id="rId1"/>
  <headerFooter scaleWithDoc="0">
    <oddHeader>&amp;R&amp;"宋体,常规"&amp;10表5-15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266700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B1B85-1E66-4E6E-89BD-6187BFEF07C3}">
  <sheetPr codeName="Sheet73">
    <pageSetUpPr fitToPage="1"/>
  </sheetPr>
  <dimension ref="A1:F29"/>
  <sheetViews>
    <sheetView workbookViewId="0">
      <pane ySplit="5" topLeftCell="A15" activePane="bottomLeft" state="frozen"/>
      <selection pane="bottomLeft" activeCell="F3" sqref="F1:F65536"/>
    </sheetView>
  </sheetViews>
  <sheetFormatPr baseColWidth="10" defaultColWidth="9" defaultRowHeight="15.75" customHeight="1"/>
  <cols>
    <col min="1" max="1" width="6.1640625" style="81" customWidth="1"/>
    <col min="2" max="2" width="25.5" style="81" customWidth="1"/>
    <col min="3" max="3" width="22" style="81" customWidth="1"/>
    <col min="4" max="4" width="20.6640625" style="81" customWidth="1"/>
    <col min="5" max="5" width="21" style="135" customWidth="1"/>
    <col min="6" max="6" width="17.5" style="340" customWidth="1"/>
    <col min="7" max="16384" width="9" style="81"/>
  </cols>
  <sheetData>
    <row r="1" spans="1:6" s="80" customFormat="1" ht="30" customHeight="1">
      <c r="A1" s="374" t="s">
        <v>555</v>
      </c>
      <c r="B1" s="375"/>
      <c r="C1" s="375"/>
      <c r="D1" s="375"/>
      <c r="E1" s="375"/>
      <c r="F1" s="375"/>
    </row>
    <row r="2" spans="1: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6" ht="14.25" customHeight="1">
      <c r="A3" s="40"/>
      <c r="B3" s="40"/>
      <c r="C3" s="40"/>
      <c r="D3" s="40"/>
      <c r="E3" s="131"/>
      <c r="F3" s="132" t="s">
        <v>319</v>
      </c>
    </row>
    <row r="4" spans="1:6" ht="15.75" customHeight="1">
      <c r="A4" s="223" t="str">
        <f>'1-汇总表'!A4</f>
        <v>被评估单位：A有限公司</v>
      </c>
      <c r="B4" s="223"/>
      <c r="C4" s="223"/>
      <c r="D4" s="42"/>
      <c r="E4" s="173"/>
      <c r="F4" s="359" t="s">
        <v>137</v>
      </c>
    </row>
    <row r="5" spans="1:6" s="82" customFormat="1" ht="15.75" customHeight="1">
      <c r="A5" s="43" t="s">
        <v>138</v>
      </c>
      <c r="B5" s="43" t="s">
        <v>383</v>
      </c>
      <c r="C5" s="43" t="s">
        <v>117</v>
      </c>
      <c r="D5" s="43" t="s">
        <v>140</v>
      </c>
      <c r="E5" s="134" t="s">
        <v>141</v>
      </c>
      <c r="F5" s="352" t="s">
        <v>479</v>
      </c>
    </row>
    <row r="6" spans="1:6" ht="15.75" customHeight="1">
      <c r="A6" s="1" t="s">
        <v>223</v>
      </c>
      <c r="B6" s="47" t="s">
        <v>47</v>
      </c>
      <c r="C6" s="29" t="str">
        <f ca="1">IF('6-1长期借款'!H26=0,"",'6-1长期借款'!H26)</f>
        <v/>
      </c>
      <c r="D6" s="29" t="str">
        <f ca="1">IF('6-1长期借款'!J26=0,"",'6-1长期借款'!J26)</f>
        <v/>
      </c>
      <c r="E6" s="28" t="str">
        <f ca="1">IF(ISERROR(D6-C6),"",IF(C6=0,"",D6-C6))</f>
        <v/>
      </c>
      <c r="F6" s="339" t="str">
        <f t="shared" ref="F6:F13" ca="1" si="0">IF(ISERROR(D6-C6),"",IF(C6=0,"",IF(E6="",0,ROUND(E6*100/C6,2))))</f>
        <v/>
      </c>
    </row>
    <row r="7" spans="1:6" ht="15.75" customHeight="1">
      <c r="A7" s="1" t="s">
        <v>224</v>
      </c>
      <c r="B7" s="47" t="s">
        <v>263</v>
      </c>
      <c r="C7" s="29" t="str">
        <f ca="1">IF('6-2应付债券'!G26=0,"",'6-2应付债券'!G26)</f>
        <v/>
      </c>
      <c r="D7" s="29" t="str">
        <f ca="1">IF('6-2应付债券'!H26=0,"",'6-2应付债券'!H26)</f>
        <v/>
      </c>
      <c r="E7" s="28" t="str">
        <f t="shared" ref="E7:E13" ca="1" si="1">IF(ISERROR(D7-C7),"",IF(C7=0,"",D7-C7))</f>
        <v/>
      </c>
      <c r="F7" s="339" t="str">
        <f t="shared" ca="1" si="0"/>
        <v/>
      </c>
    </row>
    <row r="8" spans="1:6" ht="15.75" customHeight="1">
      <c r="A8" s="1" t="s">
        <v>225</v>
      </c>
      <c r="B8" s="330" t="s">
        <v>866</v>
      </c>
      <c r="C8" s="29" t="str">
        <f ca="1">IF('6-3租赁负债'!F26=0,"",'6-3租赁负债'!F26)</f>
        <v/>
      </c>
      <c r="D8" s="29" t="str">
        <f ca="1">IF('6-3租赁负债'!G26=0,"",'6-3租赁负债'!G26)</f>
        <v/>
      </c>
      <c r="E8" s="28" t="str">
        <f ca="1">IF(ISERROR(D8-C8),"",IF(C8=0,"",D8-C8))</f>
        <v/>
      </c>
      <c r="F8" s="339" t="str">
        <f ca="1">IF(ISERROR(D8-C8),"",IF(C8=0,"",IF(E8="",0,ROUND(E8*100/C8,2))))</f>
        <v/>
      </c>
    </row>
    <row r="9" spans="1:6" ht="15.75" customHeight="1">
      <c r="A9" s="1" t="s">
        <v>320</v>
      </c>
      <c r="B9" s="47" t="s">
        <v>48</v>
      </c>
      <c r="C9" s="29" t="str">
        <f ca="1">IF('6-4长期应付款'!G27=0,"",'6-4长期应付款'!G27)</f>
        <v/>
      </c>
      <c r="D9" s="29" t="str">
        <f ca="1">IF('6-4长期应付款'!H27=0,"",'6-4长期应付款'!H27)</f>
        <v/>
      </c>
      <c r="E9" s="28" t="str">
        <f t="shared" ca="1" si="1"/>
        <v/>
      </c>
      <c r="F9" s="339" t="str">
        <f t="shared" ca="1" si="0"/>
        <v/>
      </c>
    </row>
    <row r="10" spans="1:6" ht="15.75" customHeight="1">
      <c r="A10" s="1" t="s">
        <v>321</v>
      </c>
      <c r="B10" s="47" t="s">
        <v>264</v>
      </c>
      <c r="C10" s="29" t="str">
        <f ca="1">IF('6-5专项应付款'!E26=0,"",'6-5专项应付款'!E26)</f>
        <v/>
      </c>
      <c r="D10" s="29" t="str">
        <f ca="1">IF('6-5专项应付款'!F26=0,"",'6-5专项应付款'!F26)</f>
        <v/>
      </c>
      <c r="E10" s="28" t="str">
        <f t="shared" ca="1" si="1"/>
        <v/>
      </c>
      <c r="F10" s="339" t="str">
        <f t="shared" ca="1" si="0"/>
        <v/>
      </c>
    </row>
    <row r="11" spans="1:6" ht="15.75" customHeight="1">
      <c r="A11" s="1" t="s">
        <v>322</v>
      </c>
      <c r="B11" s="47" t="s">
        <v>265</v>
      </c>
      <c r="C11" s="29" t="str">
        <f ca="1">IF('6-6预计负债'!E26=0,"",'6-6预计负债'!E26)</f>
        <v/>
      </c>
      <c r="D11" s="29" t="str">
        <f ca="1">IF('6-6预计负债'!F26=0,"",'6-6预计负债'!F26)</f>
        <v/>
      </c>
      <c r="E11" s="28" t="str">
        <f t="shared" ca="1" si="1"/>
        <v/>
      </c>
      <c r="F11" s="339" t="str">
        <f t="shared" ca="1" si="0"/>
        <v/>
      </c>
    </row>
    <row r="12" spans="1:6" ht="15.75" customHeight="1">
      <c r="A12" s="1" t="s">
        <v>323</v>
      </c>
      <c r="B12" s="47" t="s">
        <v>266</v>
      </c>
      <c r="C12" s="29" t="str">
        <f ca="1">IF('6-7递延所得税负债'!D26=0,"",'6-7递延所得税负债'!D26)</f>
        <v/>
      </c>
      <c r="D12" s="29" t="str">
        <f ca="1">IF('6-7递延所得税负债'!E26=0,"",'6-7递延所得税负债'!E26)</f>
        <v/>
      </c>
      <c r="E12" s="28" t="str">
        <f t="shared" ca="1" si="1"/>
        <v/>
      </c>
      <c r="F12" s="339" t="str">
        <f t="shared" ca="1" si="0"/>
        <v/>
      </c>
    </row>
    <row r="13" spans="1:6" ht="15.75" customHeight="1">
      <c r="A13" s="1" t="s">
        <v>867</v>
      </c>
      <c r="B13" s="47" t="s">
        <v>267</v>
      </c>
      <c r="C13" s="29" t="str">
        <f ca="1">IF('6-8其他非流动负债'!E26=0,"",'6-8其他非流动负债'!E26)</f>
        <v/>
      </c>
      <c r="D13" s="29" t="str">
        <f ca="1">IF('6-8其他非流动负债'!F26=0,"",'6-8其他非流动负债'!F26)</f>
        <v/>
      </c>
      <c r="E13" s="28" t="str">
        <f t="shared" ca="1" si="1"/>
        <v/>
      </c>
      <c r="F13" s="339" t="str">
        <f t="shared" ca="1" si="0"/>
        <v/>
      </c>
    </row>
    <row r="14" spans="1:6" ht="15.75" customHeight="1">
      <c r="A14" s="46"/>
      <c r="B14" s="47"/>
      <c r="C14" s="29"/>
      <c r="D14" s="29"/>
      <c r="E14" s="31"/>
      <c r="F14" s="339"/>
    </row>
    <row r="15" spans="1:6" ht="15.75" customHeight="1">
      <c r="A15" s="46"/>
      <c r="B15" s="47"/>
      <c r="C15" s="29"/>
      <c r="D15" s="29"/>
      <c r="E15" s="31"/>
      <c r="F15" s="339"/>
    </row>
    <row r="16" spans="1:6" ht="15.75" customHeight="1">
      <c r="A16" s="46"/>
      <c r="B16" s="47"/>
      <c r="C16" s="29"/>
      <c r="D16" s="29"/>
      <c r="E16" s="31"/>
      <c r="F16" s="339"/>
    </row>
    <row r="17" spans="1:6" ht="15.75" customHeight="1">
      <c r="A17" s="46"/>
      <c r="B17" s="47"/>
      <c r="C17" s="29"/>
      <c r="D17" s="29"/>
      <c r="E17" s="31"/>
      <c r="F17" s="339"/>
    </row>
    <row r="18" spans="1:6" ht="15.75" customHeight="1">
      <c r="A18" s="46"/>
      <c r="B18" s="47"/>
      <c r="C18" s="29"/>
      <c r="D18" s="29"/>
      <c r="E18" s="31"/>
      <c r="F18" s="339"/>
    </row>
    <row r="19" spans="1:6" ht="15.75" customHeight="1">
      <c r="A19" s="46"/>
      <c r="B19" s="47"/>
      <c r="C19" s="29"/>
      <c r="D19" s="29"/>
      <c r="E19" s="31"/>
      <c r="F19" s="339"/>
    </row>
    <row r="20" spans="1:6" ht="15.75" customHeight="1">
      <c r="A20" s="46"/>
      <c r="B20" s="47"/>
      <c r="C20" s="29"/>
      <c r="D20" s="29"/>
      <c r="E20" s="31"/>
      <c r="F20" s="339"/>
    </row>
    <row r="21" spans="1:6" ht="15.75" customHeight="1">
      <c r="A21" s="46"/>
      <c r="B21" s="47"/>
      <c r="C21" s="29"/>
      <c r="D21" s="29"/>
      <c r="E21" s="31"/>
      <c r="F21" s="339"/>
    </row>
    <row r="22" spans="1:6" ht="15.75" customHeight="1">
      <c r="A22" s="46"/>
      <c r="B22" s="47"/>
      <c r="C22" s="29"/>
      <c r="D22" s="29"/>
      <c r="E22" s="31"/>
      <c r="F22" s="339"/>
    </row>
    <row r="23" spans="1:6" ht="15.75" customHeight="1">
      <c r="A23" s="46"/>
      <c r="B23" s="47"/>
      <c r="C23" s="29"/>
      <c r="D23" s="29"/>
      <c r="E23" s="31"/>
      <c r="F23" s="339"/>
    </row>
    <row r="24" spans="1:6" ht="15.75" customHeight="1">
      <c r="A24" s="46"/>
      <c r="B24" s="47"/>
      <c r="C24" s="29"/>
      <c r="D24" s="29"/>
      <c r="E24" s="31"/>
      <c r="F24" s="339"/>
    </row>
    <row r="25" spans="1:6" ht="15.75" customHeight="1">
      <c r="A25" s="46"/>
      <c r="B25" s="47"/>
      <c r="C25" s="29"/>
      <c r="D25" s="29"/>
      <c r="E25" s="31"/>
      <c r="F25" s="339"/>
    </row>
    <row r="26" spans="1:6" ht="15.75" customHeight="1">
      <c r="A26" s="1"/>
      <c r="B26" s="196"/>
      <c r="C26" s="29"/>
      <c r="D26" s="29"/>
      <c r="E26" s="31"/>
      <c r="F26" s="339"/>
    </row>
    <row r="27" spans="1:6" ht="15.75" customHeight="1">
      <c r="A27" s="577" t="s">
        <v>389</v>
      </c>
      <c r="B27" s="502"/>
      <c r="C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D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7" s="28" t="str">
        <f ca="1">IF(ISERROR(D27-C27),"",IF(C27=0,"",D27-C27))</f>
        <v/>
      </c>
      <c r="F27" s="339" t="str">
        <f ca="1">IF(ISERROR(D27-C27),"",IF(C27=0,"",IF(E27="",0,ROUND(E27*100/C27,2))))</f>
        <v/>
      </c>
    </row>
    <row r="28" spans="1:6" ht="15.75" customHeight="1">
      <c r="A28" s="105"/>
      <c r="D28" s="25"/>
      <c r="E28" s="26"/>
      <c r="F28" s="353"/>
    </row>
    <row r="29" spans="1:6" ht="15.75" customHeight="1">
      <c r="A29" s="83"/>
    </row>
  </sheetData>
  <mergeCells count="3">
    <mergeCell ref="A1:F1"/>
    <mergeCell ref="A2:F2"/>
    <mergeCell ref="A27:B27"/>
  </mergeCells>
  <phoneticPr fontId="6" type="noConversion"/>
  <printOptions horizontalCentered="1" verticalCentered="1"/>
  <pageMargins left="0.98425196850393704" right="0.47244094488188981" top="0.70866141732283472" bottom="0.78740157480314965" header="1.0629921259842521" footer="0.94488188976377963"/>
  <pageSetup paperSize="9" fitToHeight="0" orientation="landscape" blackAndWhite="1" horizontalDpi="1200" verticalDpi="1200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SetFun">
                <anchor moveWithCells="1" sizeWithCells="1">
                  <from>
                    <xdr:col>1</xdr:col>
                    <xdr:colOff>1168400</xdr:colOff>
                    <xdr:row>2</xdr:row>
                    <xdr:rowOff>0</xdr:rowOff>
                  </from>
                  <to>
                    <xdr:col>2</xdr:col>
                    <xdr:colOff>241300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7DCB-7892-441D-AA4B-506F800DD488}">
  <sheetPr codeName="Sheet74">
    <pageSetUpPr fitToPage="1"/>
  </sheetPr>
  <dimension ref="A1:S46"/>
  <sheetViews>
    <sheetView topLeftCell="F1" workbookViewId="0">
      <pane ySplit="6" topLeftCell="A7" activePane="bottomLeft" state="frozen"/>
      <selection activeCell="F17" sqref="F17"/>
      <selection pane="bottomLeft" activeCell="J7" sqref="J7"/>
    </sheetView>
  </sheetViews>
  <sheetFormatPr baseColWidth="10" defaultColWidth="9" defaultRowHeight="15.75" customHeight="1"/>
  <cols>
    <col min="1" max="1" width="5.5" style="81" customWidth="1"/>
    <col min="2" max="2" width="21.6640625" style="81" customWidth="1"/>
    <col min="3" max="4" width="8.6640625" style="81" customWidth="1"/>
    <col min="5" max="5" width="9.6640625" style="81" customWidth="1"/>
    <col min="6" max="6" width="6.1640625" style="81" customWidth="1"/>
    <col min="7" max="7" width="10" style="81" customWidth="1"/>
    <col min="8" max="9" width="12" style="81" customWidth="1"/>
    <col min="10" max="10" width="13" style="81" customWidth="1"/>
    <col min="11" max="11" width="10.6640625" style="81" customWidth="1"/>
    <col min="12" max="12" width="10" style="81" customWidth="1"/>
    <col min="13" max="13" width="11.33203125" style="81" customWidth="1"/>
    <col min="14" max="14" width="6.1640625" style="81" customWidth="1"/>
    <col min="15" max="15" width="16.6640625" style="81" customWidth="1"/>
    <col min="16" max="16" width="10.1640625" style="81" customWidth="1"/>
    <col min="17" max="17" width="8" style="81" customWidth="1"/>
    <col min="18" max="18" width="6.6640625" style="81" customWidth="1"/>
    <col min="19" max="19" width="7.6640625" style="81" customWidth="1"/>
    <col min="20" max="16384" width="9" style="81"/>
  </cols>
  <sheetData>
    <row r="1" spans="1:19" s="80" customFormat="1" ht="30" customHeight="1">
      <c r="A1" s="374" t="s">
        <v>1042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</row>
    <row r="2" spans="1:19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  <c r="J2" s="378"/>
      <c r="K2" s="378"/>
    </row>
    <row r="3" spans="1:19" ht="14.25" customHeight="1">
      <c r="A3" s="40"/>
      <c r="B3" s="40"/>
      <c r="C3" s="40"/>
      <c r="D3" s="40"/>
      <c r="E3" s="40"/>
      <c r="F3" s="40"/>
      <c r="G3" s="40"/>
      <c r="H3" s="171"/>
      <c r="I3" s="171"/>
      <c r="J3" s="171"/>
      <c r="K3" s="178"/>
    </row>
    <row r="4" spans="1:19" ht="14.25" customHeight="1">
      <c r="A4" s="40"/>
      <c r="B4" s="40"/>
      <c r="C4" s="40"/>
      <c r="D4" s="40"/>
      <c r="E4" s="40"/>
      <c r="F4" s="40"/>
      <c r="G4" s="40"/>
      <c r="H4" s="171"/>
      <c r="I4" s="171"/>
      <c r="J4" s="37"/>
      <c r="K4" s="37"/>
    </row>
    <row r="5" spans="1:19" ht="15.75" customHeight="1">
      <c r="A5" s="223" t="str">
        <f>'1-汇总表'!A4</f>
        <v>被评估单位：A有限公司</v>
      </c>
      <c r="B5" s="223"/>
      <c r="C5" s="223"/>
      <c r="D5" s="223"/>
      <c r="E5" s="223"/>
      <c r="F5" s="42"/>
      <c r="G5" s="42"/>
      <c r="H5" s="42"/>
      <c r="I5" s="42"/>
      <c r="J5" s="42"/>
      <c r="K5" s="122"/>
      <c r="L5" s="564" t="s">
        <v>722</v>
      </c>
      <c r="M5" s="565"/>
      <c r="N5" s="565"/>
      <c r="O5" s="566"/>
      <c r="P5" s="564" t="s">
        <v>622</v>
      </c>
      <c r="Q5" s="565"/>
      <c r="R5" s="562" t="s">
        <v>641</v>
      </c>
      <c r="S5" s="562" t="s">
        <v>642</v>
      </c>
    </row>
    <row r="6" spans="1:19" s="101" customFormat="1" ht="15.75" customHeight="1">
      <c r="A6" s="45" t="s">
        <v>150</v>
      </c>
      <c r="B6" s="45" t="s">
        <v>347</v>
      </c>
      <c r="C6" s="45" t="s">
        <v>158</v>
      </c>
      <c r="D6" s="45" t="s">
        <v>161</v>
      </c>
      <c r="E6" s="120" t="s">
        <v>515</v>
      </c>
      <c r="F6" s="45" t="s">
        <v>162</v>
      </c>
      <c r="G6" s="45" t="s">
        <v>163</v>
      </c>
      <c r="H6" s="217" t="s">
        <v>117</v>
      </c>
      <c r="I6" s="45" t="s">
        <v>164</v>
      </c>
      <c r="J6" s="45" t="s">
        <v>140</v>
      </c>
      <c r="K6" s="45" t="s">
        <v>156</v>
      </c>
      <c r="L6" s="279" t="s">
        <v>723</v>
      </c>
      <c r="M6" s="279" t="s">
        <v>643</v>
      </c>
      <c r="N6" s="279" t="s">
        <v>644</v>
      </c>
      <c r="O6" s="279" t="s">
        <v>645</v>
      </c>
      <c r="P6" s="296" t="s">
        <v>695</v>
      </c>
      <c r="Q6" s="296" t="s">
        <v>596</v>
      </c>
      <c r="R6" s="563"/>
      <c r="S6" s="563"/>
    </row>
    <row r="7" spans="1:19" ht="15.75" customHeight="1">
      <c r="A7" s="8"/>
      <c r="B7" s="7"/>
      <c r="C7" s="146"/>
      <c r="D7" s="146"/>
      <c r="E7" s="146"/>
      <c r="F7" s="8"/>
      <c r="G7" s="5"/>
      <c r="H7" s="6"/>
      <c r="I7" s="195"/>
      <c r="J7" s="31"/>
      <c r="K7" s="7"/>
    </row>
    <row r="8" spans="1:19" ht="15.75" customHeight="1">
      <c r="A8" s="8"/>
      <c r="B8" s="7"/>
      <c r="C8" s="146"/>
      <c r="D8" s="146"/>
      <c r="E8" s="8"/>
      <c r="F8" s="8"/>
      <c r="G8" s="5"/>
      <c r="H8" s="6"/>
      <c r="I8" s="195"/>
      <c r="J8" s="31"/>
      <c r="K8" s="7"/>
    </row>
    <row r="9" spans="1:19" ht="15.75" customHeight="1">
      <c r="A9" s="8"/>
      <c r="B9" s="7"/>
      <c r="C9" s="146"/>
      <c r="D9" s="146"/>
      <c r="E9" s="8"/>
      <c r="F9" s="8"/>
      <c r="G9" s="5"/>
      <c r="H9" s="6"/>
      <c r="I9" s="195"/>
      <c r="J9" s="31"/>
      <c r="K9" s="7"/>
    </row>
    <row r="10" spans="1:19" ht="15.75" customHeight="1">
      <c r="A10" s="8"/>
      <c r="B10" s="7"/>
      <c r="C10" s="146"/>
      <c r="D10" s="146"/>
      <c r="E10" s="8"/>
      <c r="F10" s="8"/>
      <c r="G10" s="5"/>
      <c r="H10" s="6"/>
      <c r="I10" s="195"/>
      <c r="J10" s="31"/>
      <c r="K10" s="7"/>
    </row>
    <row r="11" spans="1:19" ht="15.75" customHeight="1">
      <c r="A11" s="8"/>
      <c r="B11" s="7"/>
      <c r="C11" s="146"/>
      <c r="D11" s="146"/>
      <c r="E11" s="8"/>
      <c r="F11" s="8"/>
      <c r="G11" s="5"/>
      <c r="H11" s="6"/>
      <c r="I11" s="195"/>
      <c r="J11" s="31"/>
      <c r="K11" s="7"/>
    </row>
    <row r="12" spans="1:19" ht="15.75" customHeight="1">
      <c r="A12" s="8"/>
      <c r="B12" s="7"/>
      <c r="C12" s="146"/>
      <c r="D12" s="146"/>
      <c r="E12" s="8"/>
      <c r="F12" s="8"/>
      <c r="G12" s="5"/>
      <c r="H12" s="6"/>
      <c r="I12" s="195"/>
      <c r="J12" s="31"/>
      <c r="K12" s="7"/>
    </row>
    <row r="13" spans="1:19" ht="15.75" customHeight="1">
      <c r="A13" s="8"/>
      <c r="B13" s="7"/>
      <c r="C13" s="146"/>
      <c r="D13" s="146"/>
      <c r="E13" s="8"/>
      <c r="F13" s="8"/>
      <c r="G13" s="5"/>
      <c r="H13" s="6"/>
      <c r="I13" s="195"/>
      <c r="J13" s="31"/>
      <c r="K13" s="7"/>
    </row>
    <row r="14" spans="1:19" ht="15.75" customHeight="1">
      <c r="A14" s="8"/>
      <c r="B14" s="7"/>
      <c r="C14" s="146"/>
      <c r="D14" s="146"/>
      <c r="E14" s="8"/>
      <c r="F14" s="8"/>
      <c r="G14" s="5"/>
      <c r="H14" s="6"/>
      <c r="I14" s="195"/>
      <c r="J14" s="31"/>
      <c r="K14" s="7"/>
    </row>
    <row r="15" spans="1:19" ht="15.75" customHeight="1">
      <c r="A15" s="8"/>
      <c r="B15" s="7"/>
      <c r="C15" s="146"/>
      <c r="D15" s="146"/>
      <c r="E15" s="8"/>
      <c r="F15" s="8"/>
      <c r="G15" s="5"/>
      <c r="H15" s="6"/>
      <c r="I15" s="195"/>
      <c r="J15" s="31"/>
      <c r="K15" s="7"/>
    </row>
    <row r="16" spans="1:19" ht="15.75" customHeight="1">
      <c r="A16" s="8"/>
      <c r="B16" s="7"/>
      <c r="C16" s="146"/>
      <c r="D16" s="146"/>
      <c r="E16" s="8"/>
      <c r="F16" s="8"/>
      <c r="G16" s="5"/>
      <c r="H16" s="6"/>
      <c r="I16" s="195"/>
      <c r="J16" s="31"/>
      <c r="K16" s="7"/>
    </row>
    <row r="17" spans="1:11" ht="15.75" customHeight="1">
      <c r="A17" s="8"/>
      <c r="B17" s="7"/>
      <c r="C17" s="146"/>
      <c r="D17" s="146"/>
      <c r="E17" s="8"/>
      <c r="F17" s="8"/>
      <c r="G17" s="5"/>
      <c r="H17" s="6"/>
      <c r="I17" s="195"/>
      <c r="J17" s="31"/>
      <c r="K17" s="7"/>
    </row>
    <row r="18" spans="1:11" ht="15.75" customHeight="1">
      <c r="A18" s="8"/>
      <c r="B18" s="7"/>
      <c r="C18" s="146"/>
      <c r="D18" s="146"/>
      <c r="E18" s="8"/>
      <c r="F18" s="8"/>
      <c r="G18" s="5"/>
      <c r="H18" s="6"/>
      <c r="I18" s="195"/>
      <c r="J18" s="31"/>
      <c r="K18" s="7"/>
    </row>
    <row r="19" spans="1:11" ht="15.75" customHeight="1">
      <c r="A19" s="8"/>
      <c r="B19" s="7"/>
      <c r="C19" s="146"/>
      <c r="D19" s="146"/>
      <c r="E19" s="8"/>
      <c r="F19" s="8"/>
      <c r="G19" s="5"/>
      <c r="H19" s="6"/>
      <c r="I19" s="195"/>
      <c r="J19" s="31"/>
      <c r="K19" s="7"/>
    </row>
    <row r="20" spans="1:11" ht="15.75" customHeight="1">
      <c r="A20" s="8"/>
      <c r="B20" s="7"/>
      <c r="C20" s="146"/>
      <c r="D20" s="146"/>
      <c r="E20" s="8"/>
      <c r="F20" s="8"/>
      <c r="G20" s="5"/>
      <c r="H20" s="6"/>
      <c r="I20" s="195"/>
      <c r="J20" s="31"/>
      <c r="K20" s="7"/>
    </row>
    <row r="21" spans="1:11" ht="15.75" customHeight="1">
      <c r="A21" s="8"/>
      <c r="B21" s="7"/>
      <c r="C21" s="146"/>
      <c r="D21" s="146"/>
      <c r="E21" s="8"/>
      <c r="F21" s="8"/>
      <c r="G21" s="5"/>
      <c r="H21" s="6"/>
      <c r="I21" s="195"/>
      <c r="J21" s="31"/>
      <c r="K21" s="7"/>
    </row>
    <row r="22" spans="1:11" ht="15.75" customHeight="1">
      <c r="A22" s="8"/>
      <c r="B22" s="7"/>
      <c r="C22" s="146"/>
      <c r="D22" s="146"/>
      <c r="E22" s="8"/>
      <c r="F22" s="8"/>
      <c r="G22" s="5"/>
      <c r="H22" s="6"/>
      <c r="I22" s="195"/>
      <c r="J22" s="31"/>
      <c r="K22" s="7"/>
    </row>
    <row r="23" spans="1:11" ht="15.75" customHeight="1">
      <c r="A23" s="8"/>
      <c r="B23" s="7"/>
      <c r="C23" s="146"/>
      <c r="D23" s="146"/>
      <c r="E23" s="8"/>
      <c r="F23" s="8"/>
      <c r="G23" s="5"/>
      <c r="H23" s="6"/>
      <c r="I23" s="195"/>
      <c r="J23" s="31"/>
      <c r="K23" s="7"/>
    </row>
    <row r="24" spans="1:11" ht="15.75" customHeight="1">
      <c r="A24" s="8"/>
      <c r="B24" s="7"/>
      <c r="C24" s="146"/>
      <c r="D24" s="146"/>
      <c r="E24" s="8"/>
      <c r="F24" s="8"/>
      <c r="G24" s="5"/>
      <c r="H24" s="6"/>
      <c r="I24" s="195"/>
      <c r="J24" s="31"/>
      <c r="K24" s="7"/>
    </row>
    <row r="25" spans="1:11" ht="15.75" customHeight="1">
      <c r="A25" s="8"/>
      <c r="B25" s="7"/>
      <c r="C25" s="146"/>
      <c r="D25" s="146"/>
      <c r="E25" s="8"/>
      <c r="F25" s="8"/>
      <c r="G25" s="5"/>
      <c r="H25" s="6"/>
      <c r="I25" s="195"/>
      <c r="J25" s="31"/>
      <c r="K25" s="7"/>
    </row>
    <row r="26" spans="1:11" ht="15.75" customHeight="1">
      <c r="A26" s="420" t="s">
        <v>534</v>
      </c>
      <c r="B26" s="421"/>
      <c r="C26" s="232"/>
      <c r="D26" s="232"/>
      <c r="E26" s="237"/>
      <c r="F26" s="237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31"/>
      <c r="J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K26" s="234"/>
    </row>
    <row r="27" spans="1:11" ht="15.75" hidden="1" customHeight="1">
      <c r="A27" s="8"/>
      <c r="B27" s="7"/>
      <c r="C27" s="146"/>
      <c r="D27" s="146"/>
      <c r="E27" s="8"/>
      <c r="F27" s="8"/>
      <c r="G27" s="5"/>
      <c r="H27" s="6"/>
      <c r="I27" s="195"/>
      <c r="J27" s="31"/>
      <c r="K27" s="7"/>
    </row>
    <row r="28" spans="1:11" ht="15.75" hidden="1" customHeight="1">
      <c r="A28" s="8"/>
      <c r="B28" s="7"/>
      <c r="C28" s="146"/>
      <c r="D28" s="146"/>
      <c r="E28" s="8"/>
      <c r="F28" s="8"/>
      <c r="G28" s="5"/>
      <c r="H28" s="6"/>
      <c r="I28" s="195"/>
      <c r="J28" s="31"/>
      <c r="K28" s="7"/>
    </row>
    <row r="29" spans="1:11" ht="15.75" hidden="1" customHeight="1">
      <c r="A29" s="8"/>
      <c r="B29" s="7"/>
      <c r="C29" s="146"/>
      <c r="D29" s="146"/>
      <c r="E29" s="8"/>
      <c r="F29" s="8"/>
      <c r="G29" s="5"/>
      <c r="H29" s="6"/>
      <c r="I29" s="195"/>
      <c r="J29" s="31"/>
      <c r="K29" s="7"/>
    </row>
    <row r="30" spans="1:11" ht="15.75" hidden="1" customHeight="1">
      <c r="A30" s="8"/>
      <c r="B30" s="7"/>
      <c r="C30" s="146"/>
      <c r="D30" s="146"/>
      <c r="E30" s="8"/>
      <c r="F30" s="8"/>
      <c r="G30" s="5"/>
      <c r="H30" s="6"/>
      <c r="I30" s="195"/>
      <c r="J30" s="31"/>
      <c r="K30" s="7"/>
    </row>
    <row r="31" spans="1:11" ht="15.75" hidden="1" customHeight="1">
      <c r="A31" s="8"/>
      <c r="B31" s="7"/>
      <c r="C31" s="146"/>
      <c r="D31" s="146"/>
      <c r="E31" s="8"/>
      <c r="F31" s="8"/>
      <c r="G31" s="5"/>
      <c r="H31" s="6"/>
      <c r="I31" s="195"/>
      <c r="J31" s="31"/>
      <c r="K31" s="7"/>
    </row>
    <row r="32" spans="1:11" ht="15.75" hidden="1" customHeight="1">
      <c r="A32" s="8"/>
      <c r="B32" s="7"/>
      <c r="C32" s="146"/>
      <c r="D32" s="146"/>
      <c r="E32" s="8"/>
      <c r="F32" s="8"/>
      <c r="G32" s="5"/>
      <c r="H32" s="6"/>
      <c r="I32" s="195"/>
      <c r="J32" s="31"/>
      <c r="K32" s="7"/>
    </row>
    <row r="33" spans="1:11" ht="15.75" hidden="1" customHeight="1">
      <c r="A33" s="8"/>
      <c r="B33" s="7"/>
      <c r="C33" s="146"/>
      <c r="D33" s="146"/>
      <c r="E33" s="8"/>
      <c r="F33" s="8"/>
      <c r="G33" s="5"/>
      <c r="H33" s="6"/>
      <c r="I33" s="195"/>
      <c r="J33" s="31"/>
      <c r="K33" s="7"/>
    </row>
    <row r="34" spans="1:11" ht="15.75" hidden="1" customHeight="1">
      <c r="A34" s="8"/>
      <c r="B34" s="7"/>
      <c r="C34" s="146"/>
      <c r="D34" s="146"/>
      <c r="E34" s="8"/>
      <c r="F34" s="8"/>
      <c r="G34" s="5"/>
      <c r="H34" s="6"/>
      <c r="I34" s="195"/>
      <c r="J34" s="31"/>
      <c r="K34" s="7"/>
    </row>
    <row r="35" spans="1:11" ht="15.75" hidden="1" customHeight="1">
      <c r="A35" s="8"/>
      <c r="B35" s="7"/>
      <c r="C35" s="146"/>
      <c r="D35" s="146"/>
      <c r="E35" s="8"/>
      <c r="F35" s="8"/>
      <c r="G35" s="5"/>
      <c r="H35" s="6"/>
      <c r="I35" s="195"/>
      <c r="J35" s="31"/>
      <c r="K35" s="7"/>
    </row>
    <row r="36" spans="1:11" ht="15.75" hidden="1" customHeight="1">
      <c r="A36" s="8"/>
      <c r="B36" s="7"/>
      <c r="C36" s="146"/>
      <c r="D36" s="146"/>
      <c r="E36" s="8"/>
      <c r="F36" s="8"/>
      <c r="G36" s="5"/>
      <c r="H36" s="6"/>
      <c r="I36" s="195"/>
      <c r="J36" s="31"/>
      <c r="K36" s="7"/>
    </row>
    <row r="37" spans="1:11" ht="15.75" hidden="1" customHeight="1">
      <c r="A37" s="8"/>
      <c r="B37" s="7"/>
      <c r="C37" s="146"/>
      <c r="D37" s="146"/>
      <c r="E37" s="8"/>
      <c r="F37" s="8"/>
      <c r="G37" s="5"/>
      <c r="H37" s="6"/>
      <c r="I37" s="195"/>
      <c r="J37" s="31"/>
      <c r="K37" s="7"/>
    </row>
    <row r="38" spans="1:11" ht="15.75" hidden="1" customHeight="1">
      <c r="A38" s="8"/>
      <c r="B38" s="7"/>
      <c r="C38" s="146"/>
      <c r="D38" s="146"/>
      <c r="E38" s="8"/>
      <c r="F38" s="8"/>
      <c r="G38" s="5"/>
      <c r="H38" s="6"/>
      <c r="I38" s="195"/>
      <c r="J38" s="31"/>
      <c r="K38" s="7"/>
    </row>
    <row r="39" spans="1:11" ht="15.75" hidden="1" customHeight="1">
      <c r="A39" s="8"/>
      <c r="B39" s="7"/>
      <c r="C39" s="146"/>
      <c r="D39" s="146"/>
      <c r="E39" s="8"/>
      <c r="F39" s="8"/>
      <c r="G39" s="5"/>
      <c r="H39" s="6"/>
      <c r="I39" s="195"/>
      <c r="J39" s="31"/>
      <c r="K39" s="7"/>
    </row>
    <row r="40" spans="1:11" ht="15.75" hidden="1" customHeight="1">
      <c r="A40" s="8"/>
      <c r="B40" s="7"/>
      <c r="C40" s="146"/>
      <c r="D40" s="146"/>
      <c r="E40" s="8"/>
      <c r="F40" s="8"/>
      <c r="G40" s="5"/>
      <c r="H40" s="6"/>
      <c r="I40" s="195"/>
      <c r="J40" s="31"/>
      <c r="K40" s="7"/>
    </row>
    <row r="41" spans="1:11" ht="15.75" hidden="1" customHeight="1">
      <c r="A41" s="8"/>
      <c r="B41" s="7"/>
      <c r="C41" s="146"/>
      <c r="D41" s="146"/>
      <c r="E41" s="8"/>
      <c r="F41" s="8"/>
      <c r="G41" s="5"/>
      <c r="H41" s="6"/>
      <c r="I41" s="195"/>
      <c r="J41" s="31"/>
      <c r="K41" s="7"/>
    </row>
    <row r="42" spans="1:11" ht="15.75" hidden="1" customHeight="1">
      <c r="A42" s="8"/>
      <c r="B42" s="7"/>
      <c r="C42" s="146"/>
      <c r="D42" s="146"/>
      <c r="E42" s="8"/>
      <c r="F42" s="8"/>
      <c r="G42" s="5"/>
      <c r="H42" s="6"/>
      <c r="I42" s="195"/>
      <c r="J42" s="31"/>
      <c r="K42" s="7"/>
    </row>
    <row r="43" spans="1:11" ht="15.75" hidden="1" customHeight="1">
      <c r="A43" s="8"/>
      <c r="B43" s="7"/>
      <c r="C43" s="146"/>
      <c r="D43" s="146"/>
      <c r="E43" s="8"/>
      <c r="F43" s="8"/>
      <c r="G43" s="5"/>
      <c r="H43" s="6"/>
      <c r="I43" s="195"/>
      <c r="J43" s="31"/>
      <c r="K43" s="7"/>
    </row>
    <row r="44" spans="1:11" ht="15.75" hidden="1" customHeight="1">
      <c r="A44" s="8"/>
      <c r="B44" s="7"/>
      <c r="C44" s="146"/>
      <c r="D44" s="146"/>
      <c r="E44" s="8"/>
      <c r="F44" s="8"/>
      <c r="G44" s="5"/>
      <c r="H44" s="6"/>
      <c r="I44" s="195"/>
      <c r="J44" s="31"/>
      <c r="K44" s="7"/>
    </row>
    <row r="45" spans="1:11" ht="15.75" hidden="1" customHeight="1">
      <c r="A45" s="8"/>
      <c r="B45" s="7"/>
      <c r="C45" s="146"/>
      <c r="D45" s="146"/>
      <c r="E45" s="8"/>
      <c r="F45" s="8"/>
      <c r="G45" s="5"/>
      <c r="H45" s="6"/>
      <c r="I45" s="195"/>
      <c r="J45" s="31"/>
      <c r="K45" s="7"/>
    </row>
    <row r="46" spans="1:11" ht="15.75" hidden="1" customHeight="1">
      <c r="A46" s="8"/>
      <c r="B46" s="7"/>
      <c r="C46" s="146"/>
      <c r="D46" s="146"/>
      <c r="E46" s="8"/>
      <c r="F46" s="8"/>
      <c r="G46" s="5"/>
      <c r="H46" s="6"/>
      <c r="I46" s="195"/>
      <c r="J46" s="31"/>
      <c r="K46" s="7"/>
    </row>
  </sheetData>
  <mergeCells count="7">
    <mergeCell ref="R5:R6"/>
    <mergeCell ref="S5:S6"/>
    <mergeCell ref="A1:K1"/>
    <mergeCell ref="A2:K2"/>
    <mergeCell ref="A26:B26"/>
    <mergeCell ref="L5:O5"/>
    <mergeCell ref="P5:Q5"/>
  </mergeCells>
  <phoneticPr fontId="6" type="noConversion"/>
  <printOptions horizontalCentered="1" verticalCentered="1"/>
  <pageMargins left="1.1023622047244095" right="0.78740157480314965" top="0.3" bottom="0.59055118110236227" header="1.8503937007874016" footer="1.1811023622047245"/>
  <pageSetup paperSize="9" fitToHeight="0" orientation="landscape" blackAndWhite="1" horizontalDpi="1200" verticalDpi="1200" r:id="rId1"/>
  <headerFooter scaleWithDoc="0">
    <oddHeader>&amp;R&amp;"宋体,常规"&amp;10表6-1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584200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D2614-622F-40C7-B26A-51B2DC988E36}">
  <sheetPr codeName="Sheet86">
    <pageSetUpPr fitToPage="1"/>
  </sheetPr>
  <dimension ref="A1:Q46"/>
  <sheetViews>
    <sheetView workbookViewId="0">
      <pane ySplit="6" topLeftCell="A7" activePane="bottomLeft" state="frozen"/>
      <selection activeCell="F17" sqref="F17"/>
      <selection pane="bottomLeft" activeCell="H8" sqref="H8"/>
    </sheetView>
  </sheetViews>
  <sheetFormatPr baseColWidth="10" defaultColWidth="8.6640625" defaultRowHeight="13"/>
  <cols>
    <col min="1" max="1" width="5.6640625" style="81" customWidth="1"/>
    <col min="2" max="2" width="22.5" style="81" customWidth="1"/>
    <col min="3" max="3" width="11.5" style="81" customWidth="1"/>
    <col min="4" max="4" width="11.6640625" style="81" customWidth="1"/>
    <col min="5" max="5" width="12" style="81" customWidth="1"/>
    <col min="6" max="6" width="11.6640625" style="81" customWidth="1"/>
    <col min="7" max="7" width="14.1640625" style="81" customWidth="1"/>
    <col min="8" max="8" width="14.6640625" style="81" customWidth="1"/>
    <col min="9" max="9" width="13.1640625" style="81" customWidth="1"/>
    <col min="10" max="10" width="7.6640625" style="81" customWidth="1"/>
    <col min="11" max="11" width="10.5" style="81" customWidth="1"/>
    <col min="12" max="12" width="12.1640625" style="81" customWidth="1"/>
    <col min="13" max="13" width="7.33203125" style="81" customWidth="1"/>
    <col min="14" max="14" width="7.5" style="81" customWidth="1"/>
    <col min="15" max="16384" width="8.6640625" style="81"/>
  </cols>
  <sheetData>
    <row r="1" spans="1:15" s="80" customFormat="1" ht="21" customHeight="1">
      <c r="A1" s="578" t="s">
        <v>1043</v>
      </c>
      <c r="B1" s="479"/>
      <c r="C1" s="479"/>
      <c r="D1" s="479"/>
      <c r="E1" s="479"/>
      <c r="F1" s="479"/>
      <c r="G1" s="479"/>
      <c r="H1" s="479"/>
      <c r="I1" s="479"/>
    </row>
    <row r="2" spans="1:15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</row>
    <row r="3" spans="1:15" ht="14.25" customHeight="1">
      <c r="A3" s="42"/>
      <c r="B3" s="40"/>
      <c r="C3" s="40"/>
      <c r="D3" s="40"/>
      <c r="E3" s="40"/>
      <c r="F3" s="40"/>
      <c r="G3" s="40"/>
      <c r="H3" s="171"/>
      <c r="I3" s="178"/>
    </row>
    <row r="4" spans="1:15" ht="14.25" customHeight="1">
      <c r="A4" s="42"/>
      <c r="B4" s="40"/>
      <c r="C4" s="40"/>
      <c r="D4" s="40"/>
      <c r="E4" s="40"/>
      <c r="F4" s="40"/>
      <c r="G4" s="40"/>
      <c r="H4" s="42"/>
      <c r="I4" s="187"/>
    </row>
    <row r="5" spans="1:15" ht="15.75" customHeight="1">
      <c r="A5" s="125" t="str">
        <f>'1-汇总表'!A4</f>
        <v>被评估单位：A有限公司</v>
      </c>
      <c r="B5" s="125"/>
      <c r="C5" s="125"/>
      <c r="D5" s="125"/>
      <c r="E5" s="42"/>
      <c r="F5" s="42"/>
      <c r="G5" s="42"/>
      <c r="H5" s="42"/>
      <c r="I5" s="122"/>
      <c r="J5" s="302" t="s">
        <v>622</v>
      </c>
      <c r="K5" s="302" t="s">
        <v>692</v>
      </c>
      <c r="L5" s="449" t="s">
        <v>660</v>
      </c>
      <c r="M5" s="562" t="s">
        <v>661</v>
      </c>
      <c r="N5" s="562" t="s">
        <v>641</v>
      </c>
      <c r="O5" s="562" t="s">
        <v>642</v>
      </c>
    </row>
    <row r="6" spans="1:15" ht="15.75" customHeight="1">
      <c r="A6" s="45" t="s">
        <v>7</v>
      </c>
      <c r="B6" s="45" t="s">
        <v>119</v>
      </c>
      <c r="C6" s="45" t="s">
        <v>120</v>
      </c>
      <c r="D6" s="45" t="s">
        <v>116</v>
      </c>
      <c r="E6" s="45" t="s">
        <v>121</v>
      </c>
      <c r="F6" s="174" t="s">
        <v>486</v>
      </c>
      <c r="G6" s="217" t="s">
        <v>117</v>
      </c>
      <c r="H6" s="45" t="s">
        <v>118</v>
      </c>
      <c r="I6" s="121" t="s">
        <v>122</v>
      </c>
      <c r="J6" s="302" t="s">
        <v>596</v>
      </c>
      <c r="K6" s="302" t="s">
        <v>658</v>
      </c>
      <c r="L6" s="449"/>
      <c r="M6" s="562"/>
      <c r="N6" s="563"/>
      <c r="O6" s="563"/>
    </row>
    <row r="7" spans="1:15" ht="15.75" customHeight="1">
      <c r="A7" s="8"/>
      <c r="B7" s="7"/>
      <c r="C7" s="8"/>
      <c r="D7" s="8"/>
      <c r="E7" s="8"/>
      <c r="F7" s="8"/>
      <c r="G7" s="243"/>
      <c r="H7" s="31"/>
      <c r="I7" s="7"/>
      <c r="J7" s="299"/>
      <c r="K7" s="299"/>
      <c r="L7" s="299"/>
      <c r="M7" s="299"/>
      <c r="N7" s="299"/>
    </row>
    <row r="8" spans="1:15" ht="15.75" customHeight="1">
      <c r="A8" s="8"/>
      <c r="B8" s="7"/>
      <c r="C8" s="8"/>
      <c r="D8" s="8"/>
      <c r="E8" s="8"/>
      <c r="F8" s="8"/>
      <c r="G8" s="243"/>
      <c r="H8" s="31"/>
      <c r="I8" s="7"/>
    </row>
    <row r="9" spans="1:15" ht="15.75" customHeight="1">
      <c r="A9" s="8"/>
      <c r="B9" s="7"/>
      <c r="C9" s="8"/>
      <c r="D9" s="8"/>
      <c r="E9" s="8"/>
      <c r="F9" s="8"/>
      <c r="G9" s="243"/>
      <c r="H9" s="31"/>
      <c r="I9" s="7"/>
    </row>
    <row r="10" spans="1:15" ht="15.75" customHeight="1">
      <c r="A10" s="8"/>
      <c r="B10" s="7"/>
      <c r="C10" s="8"/>
      <c r="D10" s="8"/>
      <c r="E10" s="8"/>
      <c r="F10" s="8"/>
      <c r="G10" s="243"/>
      <c r="H10" s="31"/>
      <c r="I10" s="7"/>
    </row>
    <row r="11" spans="1:15" ht="15.75" customHeight="1">
      <c r="A11" s="8"/>
      <c r="B11" s="7"/>
      <c r="C11" s="8"/>
      <c r="D11" s="8"/>
      <c r="E11" s="8"/>
      <c r="F11" s="8"/>
      <c r="G11" s="243"/>
      <c r="H11" s="31"/>
      <c r="I11" s="7"/>
    </row>
    <row r="12" spans="1:15" ht="15.75" customHeight="1">
      <c r="A12" s="8"/>
      <c r="B12" s="7"/>
      <c r="C12" s="8"/>
      <c r="D12" s="8"/>
      <c r="E12" s="8"/>
      <c r="F12" s="8"/>
      <c r="G12" s="243"/>
      <c r="H12" s="31"/>
      <c r="I12" s="7"/>
    </row>
    <row r="13" spans="1:15" ht="15.75" customHeight="1">
      <c r="A13" s="8"/>
      <c r="B13" s="7"/>
      <c r="C13" s="8"/>
      <c r="D13" s="8"/>
      <c r="E13" s="8"/>
      <c r="F13" s="8"/>
      <c r="G13" s="243"/>
      <c r="H13" s="31"/>
      <c r="I13" s="7"/>
    </row>
    <row r="14" spans="1:15" ht="15.75" customHeight="1">
      <c r="A14" s="8"/>
      <c r="B14" s="7"/>
      <c r="C14" s="8"/>
      <c r="D14" s="8"/>
      <c r="E14" s="8"/>
      <c r="F14" s="8"/>
      <c r="G14" s="243"/>
      <c r="H14" s="31"/>
      <c r="I14" s="7"/>
    </row>
    <row r="15" spans="1:15" ht="15.75" customHeight="1">
      <c r="A15" s="8"/>
      <c r="B15" s="7"/>
      <c r="C15" s="8"/>
      <c r="D15" s="8"/>
      <c r="E15" s="8"/>
      <c r="F15" s="8"/>
      <c r="G15" s="243"/>
      <c r="H15" s="31"/>
      <c r="I15" s="7"/>
    </row>
    <row r="16" spans="1:15" ht="15.75" customHeight="1">
      <c r="A16" s="8"/>
      <c r="B16" s="7"/>
      <c r="C16" s="8"/>
      <c r="D16" s="8"/>
      <c r="E16" s="8"/>
      <c r="F16" s="8"/>
      <c r="G16" s="243"/>
      <c r="H16" s="31"/>
      <c r="I16" s="7"/>
    </row>
    <row r="17" spans="1:17" ht="15.75" customHeight="1">
      <c r="A17" s="8"/>
      <c r="B17" s="7"/>
      <c r="C17" s="8"/>
      <c r="D17" s="8"/>
      <c r="E17" s="8"/>
      <c r="F17" s="8"/>
      <c r="G17" s="243"/>
      <c r="H17" s="31"/>
      <c r="I17" s="7"/>
    </row>
    <row r="18" spans="1:17" ht="15.75" customHeight="1">
      <c r="A18" s="8"/>
      <c r="B18" s="7"/>
      <c r="C18" s="8"/>
      <c r="D18" s="8"/>
      <c r="E18" s="8"/>
      <c r="F18" s="8"/>
      <c r="G18" s="243"/>
      <c r="H18" s="31"/>
      <c r="I18" s="7"/>
    </row>
    <row r="19" spans="1:17" ht="15.75" customHeight="1">
      <c r="A19" s="8"/>
      <c r="B19" s="7"/>
      <c r="C19" s="8"/>
      <c r="D19" s="8"/>
      <c r="E19" s="8"/>
      <c r="F19" s="8"/>
      <c r="G19" s="243"/>
      <c r="H19" s="31"/>
      <c r="I19" s="7"/>
    </row>
    <row r="20" spans="1:17" ht="15.75" customHeight="1">
      <c r="A20" s="8"/>
      <c r="B20" s="7"/>
      <c r="C20" s="8"/>
      <c r="D20" s="8"/>
      <c r="E20" s="8"/>
      <c r="F20" s="8"/>
      <c r="G20" s="243"/>
      <c r="H20" s="31"/>
      <c r="I20" s="7"/>
    </row>
    <row r="21" spans="1:17" ht="15.75" customHeight="1">
      <c r="A21" s="8"/>
      <c r="B21" s="7"/>
      <c r="C21" s="8"/>
      <c r="D21" s="8"/>
      <c r="E21" s="8"/>
      <c r="F21" s="8"/>
      <c r="G21" s="243"/>
      <c r="H21" s="31"/>
      <c r="I21" s="7"/>
    </row>
    <row r="22" spans="1:17" ht="15.75" customHeight="1">
      <c r="A22" s="8"/>
      <c r="B22" s="7"/>
      <c r="C22" s="8"/>
      <c r="D22" s="8"/>
      <c r="E22" s="8"/>
      <c r="F22" s="8"/>
      <c r="G22" s="243"/>
      <c r="H22" s="31"/>
      <c r="I22" s="7"/>
    </row>
    <row r="23" spans="1:17" ht="15.75" customHeight="1">
      <c r="A23" s="8"/>
      <c r="B23" s="7"/>
      <c r="C23" s="8"/>
      <c r="D23" s="8"/>
      <c r="E23" s="8"/>
      <c r="F23" s="8"/>
      <c r="G23" s="243"/>
      <c r="H23" s="31"/>
      <c r="I23" s="7"/>
    </row>
    <row r="24" spans="1:17" ht="15.75" customHeight="1">
      <c r="A24" s="8"/>
      <c r="B24" s="7"/>
      <c r="C24" s="8"/>
      <c r="D24" s="8"/>
      <c r="E24" s="8"/>
      <c r="F24" s="8"/>
      <c r="G24" s="243"/>
      <c r="H24" s="31"/>
      <c r="I24" s="7"/>
    </row>
    <row r="25" spans="1:17" ht="15.75" customHeight="1">
      <c r="A25" s="8"/>
      <c r="B25" s="7"/>
      <c r="C25" s="8"/>
      <c r="D25" s="8"/>
      <c r="E25" s="8"/>
      <c r="F25" s="8"/>
      <c r="G25" s="243"/>
      <c r="H25" s="31"/>
      <c r="I25" s="7"/>
    </row>
    <row r="26" spans="1:17" ht="15.75" customHeight="1">
      <c r="A26" s="537" t="s">
        <v>536</v>
      </c>
      <c r="B26" s="579"/>
      <c r="C26" s="579"/>
      <c r="D26" s="30"/>
      <c r="E26" s="237"/>
      <c r="F26" s="237"/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6" s="255"/>
      <c r="J26" s="102"/>
      <c r="K26" s="102"/>
      <c r="L26" s="102"/>
      <c r="M26" s="102"/>
      <c r="N26" s="102"/>
      <c r="O26" s="102"/>
      <c r="P26" s="102"/>
      <c r="Q26" s="102"/>
    </row>
    <row r="27" spans="1:17" s="141" customFormat="1" ht="15.75" hidden="1" customHeight="1">
      <c r="A27" s="8"/>
      <c r="B27" s="7"/>
      <c r="C27" s="8"/>
      <c r="D27" s="8"/>
      <c r="E27" s="8"/>
      <c r="F27" s="8"/>
      <c r="G27" s="243"/>
      <c r="H27" s="31"/>
      <c r="I27" s="7"/>
    </row>
    <row r="28" spans="1:17" ht="15.75" hidden="1" customHeight="1">
      <c r="A28" s="8"/>
      <c r="B28" s="7"/>
      <c r="C28" s="8"/>
      <c r="D28" s="8"/>
      <c r="E28" s="8"/>
      <c r="F28" s="8"/>
      <c r="G28" s="243"/>
      <c r="H28" s="31"/>
      <c r="I28" s="7"/>
    </row>
    <row r="29" spans="1:17" ht="15.75" hidden="1" customHeight="1">
      <c r="A29" s="8"/>
      <c r="B29" s="7"/>
      <c r="C29" s="8"/>
      <c r="D29" s="8"/>
      <c r="E29" s="8"/>
      <c r="F29" s="8"/>
      <c r="G29" s="243"/>
      <c r="H29" s="31"/>
      <c r="I29" s="7"/>
    </row>
    <row r="30" spans="1:17" ht="15.75" hidden="1" customHeight="1">
      <c r="A30" s="8"/>
      <c r="B30" s="7"/>
      <c r="C30" s="8"/>
      <c r="D30" s="8"/>
      <c r="E30" s="8"/>
      <c r="F30" s="8"/>
      <c r="G30" s="243"/>
      <c r="H30" s="31"/>
      <c r="I30" s="7"/>
    </row>
    <row r="31" spans="1:17" ht="15.75" hidden="1" customHeight="1">
      <c r="A31" s="8"/>
      <c r="B31" s="7"/>
      <c r="C31" s="8"/>
      <c r="D31" s="8"/>
      <c r="E31" s="8"/>
      <c r="F31" s="8"/>
      <c r="G31" s="243"/>
      <c r="H31" s="31"/>
      <c r="I31" s="7"/>
    </row>
    <row r="32" spans="1:17" ht="15.75" hidden="1" customHeight="1">
      <c r="A32" s="8"/>
      <c r="B32" s="7"/>
      <c r="C32" s="8"/>
      <c r="D32" s="8"/>
      <c r="E32" s="8"/>
      <c r="F32" s="8"/>
      <c r="G32" s="243"/>
      <c r="H32" s="31"/>
      <c r="I32" s="7"/>
    </row>
    <row r="33" spans="1:9" ht="15.75" hidden="1" customHeight="1">
      <c r="A33" s="8"/>
      <c r="B33" s="7"/>
      <c r="C33" s="8"/>
      <c r="D33" s="8"/>
      <c r="E33" s="8"/>
      <c r="F33" s="8"/>
      <c r="G33" s="243"/>
      <c r="H33" s="31"/>
      <c r="I33" s="7"/>
    </row>
    <row r="34" spans="1:9" ht="15.75" hidden="1" customHeight="1">
      <c r="A34" s="8"/>
      <c r="B34" s="7"/>
      <c r="C34" s="8"/>
      <c r="D34" s="8"/>
      <c r="E34" s="8"/>
      <c r="F34" s="8"/>
      <c r="G34" s="243"/>
      <c r="H34" s="31"/>
      <c r="I34" s="7"/>
    </row>
    <row r="35" spans="1:9" ht="15.75" hidden="1" customHeight="1">
      <c r="A35" s="8"/>
      <c r="B35" s="7"/>
      <c r="C35" s="8"/>
      <c r="D35" s="8"/>
      <c r="E35" s="8"/>
      <c r="F35" s="8"/>
      <c r="G35" s="243"/>
      <c r="H35" s="31"/>
      <c r="I35" s="7"/>
    </row>
    <row r="36" spans="1:9" ht="15.75" hidden="1" customHeight="1">
      <c r="A36" s="8"/>
      <c r="B36" s="7"/>
      <c r="C36" s="8"/>
      <c r="D36" s="8"/>
      <c r="E36" s="8"/>
      <c r="F36" s="8"/>
      <c r="G36" s="243"/>
      <c r="H36" s="31"/>
      <c r="I36" s="7"/>
    </row>
    <row r="37" spans="1:9" ht="15.75" hidden="1" customHeight="1">
      <c r="A37" s="8"/>
      <c r="B37" s="7"/>
      <c r="C37" s="8"/>
      <c r="D37" s="8"/>
      <c r="E37" s="8"/>
      <c r="F37" s="8"/>
      <c r="G37" s="243"/>
      <c r="H37" s="31"/>
      <c r="I37" s="7"/>
    </row>
    <row r="38" spans="1:9" ht="15.75" hidden="1" customHeight="1">
      <c r="A38" s="8"/>
      <c r="B38" s="7"/>
      <c r="C38" s="8"/>
      <c r="D38" s="8"/>
      <c r="E38" s="8"/>
      <c r="F38" s="8"/>
      <c r="G38" s="243"/>
      <c r="H38" s="31"/>
      <c r="I38" s="7"/>
    </row>
    <row r="39" spans="1:9" ht="15.75" hidden="1" customHeight="1">
      <c r="A39" s="8"/>
      <c r="B39" s="7"/>
      <c r="C39" s="8"/>
      <c r="D39" s="8"/>
      <c r="E39" s="8"/>
      <c r="F39" s="8"/>
      <c r="G39" s="243"/>
      <c r="H39" s="31"/>
      <c r="I39" s="7"/>
    </row>
    <row r="40" spans="1:9" ht="15.75" hidden="1" customHeight="1">
      <c r="A40" s="8"/>
      <c r="B40" s="7"/>
      <c r="C40" s="8"/>
      <c r="D40" s="8"/>
      <c r="E40" s="8"/>
      <c r="F40" s="8"/>
      <c r="G40" s="243"/>
      <c r="H40" s="31"/>
      <c r="I40" s="7"/>
    </row>
    <row r="41" spans="1:9" ht="15.75" hidden="1" customHeight="1">
      <c r="A41" s="8"/>
      <c r="B41" s="7"/>
      <c r="C41" s="8"/>
      <c r="D41" s="8"/>
      <c r="E41" s="8"/>
      <c r="F41" s="8"/>
      <c r="G41" s="243"/>
      <c r="H41" s="31"/>
      <c r="I41" s="7"/>
    </row>
    <row r="42" spans="1:9" ht="15.75" hidden="1" customHeight="1">
      <c r="A42" s="8"/>
      <c r="B42" s="7"/>
      <c r="C42" s="8"/>
      <c r="D42" s="8"/>
      <c r="E42" s="8"/>
      <c r="F42" s="8"/>
      <c r="G42" s="243"/>
      <c r="H42" s="31"/>
      <c r="I42" s="7"/>
    </row>
    <row r="43" spans="1:9" ht="15.75" hidden="1" customHeight="1">
      <c r="A43" s="8"/>
      <c r="B43" s="7"/>
      <c r="C43" s="8"/>
      <c r="D43" s="8"/>
      <c r="E43" s="8"/>
      <c r="F43" s="8"/>
      <c r="G43" s="243"/>
      <c r="H43" s="31"/>
      <c r="I43" s="7"/>
    </row>
    <row r="44" spans="1:9" ht="15.75" hidden="1" customHeight="1">
      <c r="A44" s="8"/>
      <c r="B44" s="7"/>
      <c r="C44" s="8"/>
      <c r="D44" s="8"/>
      <c r="E44" s="8"/>
      <c r="F44" s="8"/>
      <c r="G44" s="243"/>
      <c r="H44" s="31"/>
      <c r="I44" s="7"/>
    </row>
    <row r="45" spans="1:9" ht="15.75" hidden="1" customHeight="1">
      <c r="A45" s="8"/>
      <c r="B45" s="7"/>
      <c r="C45" s="8"/>
      <c r="D45" s="8"/>
      <c r="E45" s="8"/>
      <c r="F45" s="8"/>
      <c r="G45" s="243"/>
      <c r="H45" s="31"/>
      <c r="I45" s="7"/>
    </row>
    <row r="46" spans="1:9" ht="15.75" hidden="1" customHeight="1">
      <c r="A46" s="8"/>
      <c r="B46" s="7"/>
      <c r="C46" s="8"/>
      <c r="D46" s="8"/>
      <c r="E46" s="8"/>
      <c r="F46" s="8"/>
      <c r="G46" s="243"/>
      <c r="H46" s="31"/>
      <c r="I46" s="7"/>
    </row>
  </sheetData>
  <mergeCells count="7">
    <mergeCell ref="N5:N6"/>
    <mergeCell ref="O5:O6"/>
    <mergeCell ref="A2:I2"/>
    <mergeCell ref="A1:I1"/>
    <mergeCell ref="A26:C26"/>
    <mergeCell ref="L5:L6"/>
    <mergeCell ref="M5:M6"/>
  </mergeCells>
  <phoneticPr fontId="21" type="noConversion"/>
  <printOptions horizontalCentered="1" verticalCentered="1"/>
  <pageMargins left="1.1417322834645669" right="0.74803149606299213" top="0.28000000000000003" bottom="0.55118110236220474" header="1.7716535433070868" footer="1.1811023622047245"/>
  <pageSetup paperSize="9" fitToHeight="0" orientation="landscape" blackAndWhite="1" r:id="rId1"/>
  <headerFooter scaleWithDoc="0">
    <oddHeader>&amp;R&amp;"宋体,常规"&amp;10表6-2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114300</xdr:rowOff>
                  </from>
                  <to>
                    <xdr:col>1</xdr:col>
                    <xdr:colOff>952500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1206500</xdr:colOff>
                    <xdr:row>2</xdr:row>
                    <xdr:rowOff>114300</xdr:rowOff>
                  </from>
                  <to>
                    <xdr:col>2</xdr:col>
                    <xdr:colOff>520700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35C1-BF8F-4BCF-8BA4-A7CCC6956ABF}">
  <sheetPr codeName="Sheet99">
    <pageSetUpPr fitToPage="1"/>
  </sheetPr>
  <dimension ref="A1:L46"/>
  <sheetViews>
    <sheetView zoomScaleNormal="100" workbookViewId="0">
      <pane ySplit="6" topLeftCell="A7" activePane="bottomLeft" state="frozen"/>
      <selection activeCell="F17" sqref="F17"/>
      <selection pane="bottomLeft" activeCell="E10" sqref="E10"/>
    </sheetView>
  </sheetViews>
  <sheetFormatPr baseColWidth="10" defaultColWidth="9" defaultRowHeight="15.75" customHeight="1"/>
  <cols>
    <col min="1" max="1" width="5.6640625" style="81" customWidth="1"/>
    <col min="2" max="2" width="23.1640625" style="81" customWidth="1"/>
    <col min="3" max="3" width="13.6640625" style="81" customWidth="1"/>
    <col min="4" max="4" width="15" style="81" customWidth="1"/>
    <col min="5" max="5" width="16.1640625" style="81" customWidth="1"/>
    <col min="6" max="6" width="17.6640625" style="81" customWidth="1"/>
    <col min="7" max="7" width="16.5" style="81" customWidth="1"/>
    <col min="8" max="8" width="15.5" style="81" customWidth="1"/>
    <col min="9" max="9" width="9.5" style="81" customWidth="1"/>
    <col min="10" max="10" width="8.6640625" style="81" customWidth="1"/>
    <col min="11" max="11" width="12" style="81" customWidth="1"/>
    <col min="12" max="12" width="11.5" style="81" customWidth="1"/>
    <col min="13" max="16384" width="9" style="81"/>
  </cols>
  <sheetData>
    <row r="1" spans="1:12" s="80" customFormat="1" ht="30" customHeight="1">
      <c r="A1" s="374" t="s">
        <v>1044</v>
      </c>
      <c r="B1" s="375"/>
      <c r="C1" s="375"/>
      <c r="D1" s="375"/>
      <c r="E1" s="375"/>
      <c r="F1" s="375"/>
      <c r="G1" s="375"/>
      <c r="H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</row>
    <row r="3" spans="1:12" ht="14.25" customHeight="1">
      <c r="A3" s="40"/>
      <c r="B3" s="40"/>
      <c r="C3" s="40"/>
      <c r="D3" s="40"/>
      <c r="E3" s="40"/>
      <c r="F3" s="40"/>
      <c r="G3" s="40"/>
      <c r="H3" s="178"/>
    </row>
    <row r="4" spans="1:12" ht="14.25" customHeight="1">
      <c r="A4" s="40"/>
      <c r="B4" s="40"/>
      <c r="C4" s="40"/>
      <c r="D4" s="40"/>
      <c r="E4" s="40"/>
      <c r="F4" s="40"/>
      <c r="G4" s="40"/>
      <c r="H4" s="178"/>
    </row>
    <row r="5" spans="1:12" ht="15.75" customHeight="1">
      <c r="A5" s="223" t="str">
        <f>'1-汇总表'!A4</f>
        <v>被评估单位：A有限公司</v>
      </c>
      <c r="B5" s="223"/>
      <c r="C5" s="223"/>
      <c r="D5" s="223"/>
      <c r="E5" s="223"/>
      <c r="F5" s="42"/>
      <c r="G5" s="42"/>
      <c r="H5" s="122"/>
      <c r="I5" s="574" t="s">
        <v>947</v>
      </c>
      <c r="J5" s="575" t="s">
        <v>721</v>
      </c>
      <c r="K5" s="562" t="s">
        <v>641</v>
      </c>
      <c r="L5" s="562" t="s">
        <v>642</v>
      </c>
    </row>
    <row r="6" spans="1:12" s="101" customFormat="1" ht="15.75" customHeight="1">
      <c r="A6" s="45" t="s">
        <v>7</v>
      </c>
      <c r="B6" s="360" t="s">
        <v>70</v>
      </c>
      <c r="C6" s="45" t="s">
        <v>949</v>
      </c>
      <c r="D6" s="45" t="s">
        <v>950</v>
      </c>
      <c r="E6" s="45" t="s">
        <v>951</v>
      </c>
      <c r="F6" s="217" t="s">
        <v>117</v>
      </c>
      <c r="G6" s="45" t="s">
        <v>0</v>
      </c>
      <c r="H6" s="45" t="s">
        <v>39</v>
      </c>
      <c r="I6" s="574"/>
      <c r="J6" s="576"/>
      <c r="K6" s="563"/>
      <c r="L6" s="563"/>
    </row>
    <row r="7" spans="1:12" ht="15.75" customHeight="1">
      <c r="A7" s="8"/>
      <c r="B7" s="7"/>
      <c r="C7" s="146"/>
      <c r="D7" s="146"/>
      <c r="E7" s="8"/>
      <c r="F7" s="243"/>
      <c r="G7" s="31"/>
      <c r="H7" s="7"/>
    </row>
    <row r="8" spans="1:12" ht="15.75" customHeight="1">
      <c r="A8" s="8"/>
      <c r="B8" s="7"/>
      <c r="C8" s="146"/>
      <c r="D8" s="146"/>
      <c r="E8" s="8"/>
      <c r="F8" s="243"/>
      <c r="G8" s="31"/>
      <c r="H8" s="7"/>
    </row>
    <row r="9" spans="1:12" ht="15.75" customHeight="1">
      <c r="A9" s="8"/>
      <c r="B9" s="7"/>
      <c r="C9" s="146"/>
      <c r="D9" s="146"/>
      <c r="E9" s="8"/>
      <c r="F9" s="243"/>
      <c r="G9" s="31"/>
      <c r="H9" s="7"/>
    </row>
    <row r="10" spans="1:12" ht="15.75" customHeight="1">
      <c r="A10" s="8"/>
      <c r="B10" s="7"/>
      <c r="C10" s="146"/>
      <c r="D10" s="146"/>
      <c r="E10" s="8"/>
      <c r="F10" s="243"/>
      <c r="G10" s="31"/>
      <c r="H10" s="7"/>
    </row>
    <row r="11" spans="1:12" ht="15.75" customHeight="1">
      <c r="A11" s="8"/>
      <c r="B11" s="7"/>
      <c r="C11" s="146"/>
      <c r="D11" s="146"/>
      <c r="E11" s="8"/>
      <c r="F11" s="243"/>
      <c r="G11" s="31"/>
      <c r="H11" s="7"/>
    </row>
    <row r="12" spans="1:12" ht="15.75" customHeight="1">
      <c r="A12" s="8"/>
      <c r="B12" s="7"/>
      <c r="C12" s="146"/>
      <c r="D12" s="146"/>
      <c r="E12" s="8"/>
      <c r="F12" s="243"/>
      <c r="G12" s="31"/>
      <c r="H12" s="7"/>
    </row>
    <row r="13" spans="1:12" ht="15.75" customHeight="1">
      <c r="A13" s="8"/>
      <c r="B13" s="7"/>
      <c r="C13" s="146"/>
      <c r="D13" s="146"/>
      <c r="E13" s="8"/>
      <c r="F13" s="243"/>
      <c r="G13" s="31"/>
      <c r="H13" s="7"/>
    </row>
    <row r="14" spans="1:12" ht="15.75" customHeight="1">
      <c r="A14" s="8"/>
      <c r="B14" s="7"/>
      <c r="C14" s="146"/>
      <c r="D14" s="146"/>
      <c r="E14" s="8"/>
      <c r="F14" s="243"/>
      <c r="G14" s="31"/>
      <c r="H14" s="7"/>
    </row>
    <row r="15" spans="1:12" ht="15.75" customHeight="1">
      <c r="A15" s="8"/>
      <c r="B15" s="7"/>
      <c r="C15" s="146"/>
      <c r="D15" s="146"/>
      <c r="E15" s="8"/>
      <c r="F15" s="243"/>
      <c r="G15" s="31"/>
      <c r="H15" s="7"/>
    </row>
    <row r="16" spans="1:12" ht="15.75" customHeight="1">
      <c r="A16" s="8"/>
      <c r="B16" s="7"/>
      <c r="C16" s="146"/>
      <c r="D16" s="146"/>
      <c r="E16" s="8"/>
      <c r="F16" s="243"/>
      <c r="G16" s="31"/>
      <c r="H16" s="7"/>
    </row>
    <row r="17" spans="1:8" ht="15.75" customHeight="1">
      <c r="A17" s="8"/>
      <c r="B17" s="7"/>
      <c r="C17" s="146"/>
      <c r="D17" s="146"/>
      <c r="E17" s="8"/>
      <c r="F17" s="243"/>
      <c r="G17" s="31"/>
      <c r="H17" s="7"/>
    </row>
    <row r="18" spans="1:8" ht="15.75" customHeight="1">
      <c r="A18" s="8"/>
      <c r="B18" s="7"/>
      <c r="C18" s="146"/>
      <c r="D18" s="146"/>
      <c r="E18" s="8"/>
      <c r="F18" s="243"/>
      <c r="G18" s="31"/>
      <c r="H18" s="7"/>
    </row>
    <row r="19" spans="1:8" ht="15.75" customHeight="1">
      <c r="A19" s="8"/>
      <c r="B19" s="7"/>
      <c r="C19" s="146"/>
      <c r="D19" s="146"/>
      <c r="E19" s="8"/>
      <c r="F19" s="243"/>
      <c r="G19" s="31"/>
      <c r="H19" s="7"/>
    </row>
    <row r="20" spans="1:8" ht="15.75" customHeight="1">
      <c r="A20" s="8"/>
      <c r="B20" s="7"/>
      <c r="C20" s="146"/>
      <c r="D20" s="146"/>
      <c r="E20" s="8"/>
      <c r="F20" s="243"/>
      <c r="G20" s="31"/>
      <c r="H20" s="7"/>
    </row>
    <row r="21" spans="1:8" ht="15.75" customHeight="1">
      <c r="A21" s="8"/>
      <c r="B21" s="7"/>
      <c r="C21" s="146"/>
      <c r="D21" s="146"/>
      <c r="E21" s="8"/>
      <c r="F21" s="243"/>
      <c r="G21" s="31"/>
      <c r="H21" s="7"/>
    </row>
    <row r="22" spans="1:8" ht="15.75" customHeight="1">
      <c r="A22" s="8"/>
      <c r="B22" s="7"/>
      <c r="C22" s="146"/>
      <c r="D22" s="146"/>
      <c r="E22" s="8"/>
      <c r="F22" s="243"/>
      <c r="G22" s="31"/>
      <c r="H22" s="7"/>
    </row>
    <row r="23" spans="1:8" ht="15.75" customHeight="1">
      <c r="A23" s="8"/>
      <c r="B23" s="7"/>
      <c r="C23" s="146"/>
      <c r="D23" s="146"/>
      <c r="E23" s="8"/>
      <c r="F23" s="243"/>
      <c r="G23" s="31"/>
      <c r="H23" s="7"/>
    </row>
    <row r="24" spans="1:8" ht="15.75" customHeight="1">
      <c r="A24" s="8"/>
      <c r="B24" s="7"/>
      <c r="C24" s="146"/>
      <c r="D24" s="146"/>
      <c r="E24" s="8"/>
      <c r="F24" s="243"/>
      <c r="G24" s="31"/>
      <c r="H24" s="7"/>
    </row>
    <row r="25" spans="1:8" ht="15.75" customHeight="1">
      <c r="A25" s="8"/>
      <c r="B25" s="7"/>
      <c r="C25" s="146"/>
      <c r="D25" s="146"/>
      <c r="E25" s="8"/>
      <c r="F25" s="243"/>
      <c r="G25" s="31"/>
      <c r="H25" s="7"/>
    </row>
    <row r="26" spans="1:8" ht="15.75" customHeight="1">
      <c r="A26" s="420" t="s">
        <v>534</v>
      </c>
      <c r="B26" s="421"/>
      <c r="C26" s="232"/>
      <c r="D26" s="232"/>
      <c r="E26" s="237"/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6" s="234"/>
    </row>
    <row r="27" spans="1:8" ht="15.75" hidden="1" customHeight="1">
      <c r="A27" s="8"/>
      <c r="B27" s="7"/>
      <c r="C27" s="146"/>
      <c r="D27" s="146"/>
      <c r="E27" s="8"/>
      <c r="F27" s="243"/>
      <c r="G27" s="31"/>
      <c r="H27" s="7"/>
    </row>
    <row r="28" spans="1:8" ht="15.75" hidden="1" customHeight="1">
      <c r="A28" s="8"/>
      <c r="B28" s="7"/>
      <c r="C28" s="146"/>
      <c r="D28" s="146"/>
      <c r="E28" s="8"/>
      <c r="F28" s="243"/>
      <c r="G28" s="31"/>
      <c r="H28" s="7"/>
    </row>
    <row r="29" spans="1:8" ht="15.75" hidden="1" customHeight="1">
      <c r="A29" s="8"/>
      <c r="B29" s="7"/>
      <c r="C29" s="146"/>
      <c r="D29" s="146"/>
      <c r="E29" s="8"/>
      <c r="F29" s="243"/>
      <c r="G29" s="31"/>
      <c r="H29" s="7"/>
    </row>
    <row r="30" spans="1:8" ht="15.75" hidden="1" customHeight="1">
      <c r="A30" s="8"/>
      <c r="B30" s="7"/>
      <c r="C30" s="146"/>
      <c r="D30" s="146"/>
      <c r="E30" s="8"/>
      <c r="F30" s="243"/>
      <c r="G30" s="31"/>
      <c r="H30" s="7"/>
    </row>
    <row r="31" spans="1:8" ht="15.75" hidden="1" customHeight="1">
      <c r="A31" s="8"/>
      <c r="B31" s="7"/>
      <c r="C31" s="146"/>
      <c r="D31" s="146"/>
      <c r="E31" s="8"/>
      <c r="F31" s="243"/>
      <c r="G31" s="31"/>
      <c r="H31" s="7"/>
    </row>
    <row r="32" spans="1:8" ht="15.75" hidden="1" customHeight="1">
      <c r="A32" s="8"/>
      <c r="B32" s="7"/>
      <c r="C32" s="146"/>
      <c r="D32" s="146"/>
      <c r="E32" s="8"/>
      <c r="F32" s="243"/>
      <c r="G32" s="31"/>
      <c r="H32" s="7"/>
    </row>
    <row r="33" spans="1:8" ht="15.75" hidden="1" customHeight="1">
      <c r="A33" s="8"/>
      <c r="B33" s="7"/>
      <c r="C33" s="146"/>
      <c r="D33" s="146"/>
      <c r="E33" s="8"/>
      <c r="F33" s="243"/>
      <c r="G33" s="31"/>
      <c r="H33" s="7"/>
    </row>
    <row r="34" spans="1:8" ht="15.75" hidden="1" customHeight="1">
      <c r="A34" s="8"/>
      <c r="B34" s="7"/>
      <c r="C34" s="146"/>
      <c r="D34" s="146"/>
      <c r="E34" s="8"/>
      <c r="F34" s="243"/>
      <c r="G34" s="31"/>
      <c r="H34" s="7"/>
    </row>
    <row r="35" spans="1:8" ht="15.75" hidden="1" customHeight="1">
      <c r="A35" s="8"/>
      <c r="B35" s="7"/>
      <c r="C35" s="146"/>
      <c r="D35" s="146"/>
      <c r="E35" s="8"/>
      <c r="F35" s="243"/>
      <c r="G35" s="31"/>
      <c r="H35" s="7"/>
    </row>
    <row r="36" spans="1:8" ht="15.75" hidden="1" customHeight="1">
      <c r="A36" s="8"/>
      <c r="B36" s="7"/>
      <c r="C36" s="146"/>
      <c r="D36" s="146"/>
      <c r="E36" s="8"/>
      <c r="F36" s="243"/>
      <c r="G36" s="31"/>
      <c r="H36" s="7"/>
    </row>
    <row r="37" spans="1:8" ht="15.75" hidden="1" customHeight="1">
      <c r="A37" s="8"/>
      <c r="B37" s="7"/>
      <c r="C37" s="146"/>
      <c r="D37" s="146"/>
      <c r="E37" s="8"/>
      <c r="F37" s="243"/>
      <c r="G37" s="31"/>
      <c r="H37" s="7"/>
    </row>
    <row r="38" spans="1:8" ht="15.75" hidden="1" customHeight="1">
      <c r="A38" s="8"/>
      <c r="B38" s="7"/>
      <c r="C38" s="146"/>
      <c r="D38" s="146"/>
      <c r="E38" s="8"/>
      <c r="F38" s="243"/>
      <c r="G38" s="31"/>
      <c r="H38" s="7"/>
    </row>
    <row r="39" spans="1:8" ht="15.75" hidden="1" customHeight="1">
      <c r="A39" s="8"/>
      <c r="B39" s="7"/>
      <c r="C39" s="146"/>
      <c r="D39" s="146"/>
      <c r="E39" s="8"/>
      <c r="F39" s="243"/>
      <c r="G39" s="31"/>
      <c r="H39" s="7"/>
    </row>
    <row r="40" spans="1:8" ht="15.75" hidden="1" customHeight="1">
      <c r="A40" s="8"/>
      <c r="B40" s="7"/>
      <c r="C40" s="146"/>
      <c r="D40" s="146"/>
      <c r="E40" s="8"/>
      <c r="F40" s="243"/>
      <c r="G40" s="31"/>
      <c r="H40" s="7"/>
    </row>
    <row r="41" spans="1:8" ht="15.75" hidden="1" customHeight="1">
      <c r="A41" s="8"/>
      <c r="B41" s="7"/>
      <c r="C41" s="146"/>
      <c r="D41" s="146"/>
      <c r="E41" s="8"/>
      <c r="F41" s="243"/>
      <c r="G41" s="31"/>
      <c r="H41" s="7"/>
    </row>
    <row r="42" spans="1:8" ht="15.75" hidden="1" customHeight="1">
      <c r="A42" s="8"/>
      <c r="B42" s="7"/>
      <c r="C42" s="146"/>
      <c r="D42" s="146"/>
      <c r="E42" s="8"/>
      <c r="F42" s="243"/>
      <c r="G42" s="31"/>
      <c r="H42" s="7"/>
    </row>
    <row r="43" spans="1:8" ht="15.75" hidden="1" customHeight="1">
      <c r="A43" s="8"/>
      <c r="B43" s="7"/>
      <c r="C43" s="146"/>
      <c r="D43" s="146"/>
      <c r="E43" s="8"/>
      <c r="F43" s="243"/>
      <c r="G43" s="31"/>
      <c r="H43" s="7"/>
    </row>
    <row r="44" spans="1:8" ht="15.75" hidden="1" customHeight="1">
      <c r="A44" s="8"/>
      <c r="B44" s="7"/>
      <c r="C44" s="146"/>
      <c r="D44" s="146"/>
      <c r="E44" s="8"/>
      <c r="F44" s="243"/>
      <c r="G44" s="31"/>
      <c r="H44" s="7"/>
    </row>
    <row r="45" spans="1:8" ht="15.75" hidden="1" customHeight="1">
      <c r="A45" s="8"/>
      <c r="B45" s="7"/>
      <c r="C45" s="146"/>
      <c r="D45" s="146"/>
      <c r="E45" s="8"/>
      <c r="F45" s="243"/>
      <c r="G45" s="31"/>
      <c r="H45" s="7"/>
    </row>
    <row r="46" spans="1:8" ht="15.75" hidden="1" customHeight="1">
      <c r="A46" s="8"/>
      <c r="B46" s="7"/>
      <c r="C46" s="146"/>
      <c r="D46" s="146"/>
      <c r="E46" s="8"/>
      <c r="F46" s="243"/>
      <c r="G46" s="31"/>
      <c r="H46" s="7"/>
    </row>
  </sheetData>
  <mergeCells count="7">
    <mergeCell ref="A26:B26"/>
    <mergeCell ref="J5:J6"/>
    <mergeCell ref="A1:H1"/>
    <mergeCell ref="A2:H2"/>
    <mergeCell ref="I5:I6"/>
    <mergeCell ref="K5:K6"/>
    <mergeCell ref="L5:L6"/>
  </mergeCells>
  <phoneticPr fontId="52" type="noConversion"/>
  <printOptions horizontalCentered="1" verticalCentered="1"/>
  <pageMargins left="1.299212598425197" right="0.9055118110236221" top="0.23622047244094491" bottom="0.55118110236220474" header="1.8110236220472442" footer="1.1811023622047245"/>
  <pageSetup paperSize="9" scale="95" fitToHeight="0" orientation="landscape" blackAndWhite="1" horizontalDpi="1200" verticalDpi="1200" r:id="rId1"/>
  <headerFooter scaleWithDoc="0">
    <oddHeader>&amp;R&amp;"宋体,常规"&amp;10表6-3
共&amp;N页 第&amp;P页
金额单位：人民币元</oddHeader>
    <oddFooter>&amp;L&amp;10产权持有单位填表人：_x000D_填表日期：&amp;C&amp;10　　　　　　　　　　　　　　　　　　　　　　　　　　　　                 评估人员：_x000D_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952500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1219200</xdr:colOff>
                    <xdr:row>2</xdr:row>
                    <xdr:rowOff>0</xdr:rowOff>
                  </from>
                  <to>
                    <xdr:col>2</xdr:col>
                    <xdr:colOff>254000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6063-8A2B-44D9-90BC-9C0C3F66D1E1}">
  <sheetPr codeName="Sheet75">
    <pageSetUpPr fitToPage="1"/>
  </sheetPr>
  <dimension ref="A1:P47"/>
  <sheetViews>
    <sheetView workbookViewId="0">
      <pane ySplit="7" topLeftCell="A8" activePane="bottomLeft" state="frozen"/>
      <selection activeCell="F17" sqref="F17"/>
      <selection pane="bottomLeft" sqref="A1:IV7"/>
    </sheetView>
  </sheetViews>
  <sheetFormatPr baseColWidth="10" defaultColWidth="9" defaultRowHeight="15.75" customHeight="1"/>
  <cols>
    <col min="1" max="1" width="5.1640625" style="81" customWidth="1"/>
    <col min="2" max="2" width="21.1640625" style="81" customWidth="1"/>
    <col min="3" max="3" width="9.1640625" style="81" customWidth="1"/>
    <col min="4" max="4" width="13.5" style="81" customWidth="1"/>
    <col min="5" max="5" width="14" style="81" customWidth="1"/>
    <col min="6" max="6" width="15.1640625" style="81" customWidth="1"/>
    <col min="7" max="8" width="14.5" style="81" customWidth="1"/>
    <col min="9" max="9" width="10.1640625" style="81" customWidth="1"/>
    <col min="10" max="10" width="6.33203125" style="81" customWidth="1"/>
    <col min="11" max="11" width="7" style="81" customWidth="1"/>
    <col min="12" max="12" width="5.1640625" style="81" customWidth="1"/>
    <col min="13" max="13" width="9.1640625" style="81" customWidth="1"/>
    <col min="14" max="14" width="7.1640625" style="81" customWidth="1"/>
    <col min="15" max="15" width="8.6640625" style="81" customWidth="1"/>
    <col min="16" max="16" width="8" style="81" customWidth="1"/>
    <col min="17" max="16384" width="9" style="81"/>
  </cols>
  <sheetData>
    <row r="1" spans="1:16" s="80" customFormat="1" ht="30" customHeight="1">
      <c r="A1" s="374" t="s">
        <v>1045</v>
      </c>
      <c r="B1" s="375"/>
      <c r="C1" s="375"/>
      <c r="D1" s="375"/>
      <c r="E1" s="375"/>
      <c r="F1" s="375"/>
      <c r="G1" s="375"/>
      <c r="H1" s="375"/>
      <c r="I1" s="375"/>
    </row>
    <row r="2" spans="1:16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7"/>
      <c r="H2" s="378"/>
      <c r="I2" s="378"/>
    </row>
    <row r="3" spans="1:16" ht="14.25" customHeight="1">
      <c r="A3" s="40"/>
      <c r="B3" s="40"/>
      <c r="C3" s="40"/>
      <c r="D3" s="40"/>
      <c r="E3" s="40"/>
      <c r="F3" s="40"/>
      <c r="G3" s="40"/>
      <c r="H3" s="171"/>
      <c r="I3" s="178"/>
    </row>
    <row r="4" spans="1:16" ht="14.25" customHeight="1">
      <c r="A4" s="40"/>
      <c r="B4" s="40"/>
      <c r="C4" s="40"/>
      <c r="D4" s="40"/>
      <c r="E4" s="40"/>
      <c r="F4" s="40"/>
      <c r="G4" s="40"/>
      <c r="H4" s="37"/>
      <c r="I4" s="37"/>
    </row>
    <row r="5" spans="1:16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42"/>
      <c r="H5" s="42"/>
      <c r="I5" s="122"/>
    </row>
    <row r="6" spans="1:16" s="101" customFormat="1" ht="15.75" customHeight="1">
      <c r="A6" s="465" t="s">
        <v>7</v>
      </c>
      <c r="B6" s="465" t="s">
        <v>51</v>
      </c>
      <c r="C6" s="465" t="s">
        <v>36</v>
      </c>
      <c r="D6" s="465" t="s">
        <v>35</v>
      </c>
      <c r="E6" s="465" t="s">
        <v>117</v>
      </c>
      <c r="F6" s="465"/>
      <c r="G6" s="465"/>
      <c r="H6" s="465" t="s">
        <v>0</v>
      </c>
      <c r="I6" s="465" t="s">
        <v>39</v>
      </c>
      <c r="J6" s="580" t="s">
        <v>662</v>
      </c>
      <c r="K6" s="580" t="s">
        <v>663</v>
      </c>
      <c r="L6" s="580" t="s">
        <v>664</v>
      </c>
      <c r="M6" s="580" t="s">
        <v>665</v>
      </c>
      <c r="N6" s="580" t="s">
        <v>661</v>
      </c>
      <c r="O6" s="425" t="s">
        <v>641</v>
      </c>
      <c r="P6" s="425" t="s">
        <v>642</v>
      </c>
    </row>
    <row r="7" spans="1:16" s="101" customFormat="1" ht="15.75" customHeight="1">
      <c r="A7" s="466"/>
      <c r="B7" s="466"/>
      <c r="C7" s="466"/>
      <c r="D7" s="466"/>
      <c r="E7" s="45" t="s">
        <v>52</v>
      </c>
      <c r="F7" s="45" t="s">
        <v>53</v>
      </c>
      <c r="G7" s="45" t="s">
        <v>50</v>
      </c>
      <c r="H7" s="466"/>
      <c r="I7" s="466"/>
      <c r="J7" s="580"/>
      <c r="K7" s="580"/>
      <c r="L7" s="580"/>
      <c r="M7" s="580"/>
      <c r="N7" s="580"/>
      <c r="O7" s="426"/>
      <c r="P7" s="426"/>
    </row>
    <row r="8" spans="1:16" ht="15.75" customHeight="1">
      <c r="A8" s="8"/>
      <c r="B8" s="7"/>
      <c r="C8" s="194"/>
      <c r="D8" s="144"/>
      <c r="E8" s="6"/>
      <c r="F8" s="5"/>
      <c r="G8" s="5"/>
      <c r="H8" s="31"/>
      <c r="I8" s="7"/>
    </row>
    <row r="9" spans="1:16" ht="15.75" customHeight="1">
      <c r="A9" s="8"/>
      <c r="B9" s="7"/>
      <c r="C9" s="194"/>
      <c r="D9" s="144"/>
      <c r="E9" s="6"/>
      <c r="F9" s="5"/>
      <c r="G9" s="5"/>
      <c r="H9" s="31"/>
      <c r="I9" s="7"/>
    </row>
    <row r="10" spans="1:16" ht="15.75" customHeight="1">
      <c r="A10" s="8"/>
      <c r="B10" s="7"/>
      <c r="C10" s="194"/>
      <c r="D10" s="144"/>
      <c r="E10" s="6"/>
      <c r="F10" s="5"/>
      <c r="G10" s="5"/>
      <c r="H10" s="31"/>
      <c r="I10" s="7"/>
    </row>
    <row r="11" spans="1:16" ht="15.75" customHeight="1">
      <c r="A11" s="8"/>
      <c r="B11" s="7"/>
      <c r="C11" s="194"/>
      <c r="D11" s="144"/>
      <c r="E11" s="6"/>
      <c r="F11" s="5"/>
      <c r="G11" s="5"/>
      <c r="H11" s="31"/>
      <c r="I11" s="7"/>
    </row>
    <row r="12" spans="1:16" ht="15.75" customHeight="1">
      <c r="A12" s="8"/>
      <c r="B12" s="7"/>
      <c r="C12" s="194"/>
      <c r="D12" s="144"/>
      <c r="E12" s="6"/>
      <c r="F12" s="5"/>
      <c r="G12" s="5"/>
      <c r="H12" s="31"/>
      <c r="I12" s="7"/>
    </row>
    <row r="13" spans="1:16" ht="15.75" customHeight="1">
      <c r="A13" s="8"/>
      <c r="B13" s="7"/>
      <c r="C13" s="194"/>
      <c r="D13" s="144"/>
      <c r="E13" s="6"/>
      <c r="F13" s="5"/>
      <c r="G13" s="5"/>
      <c r="H13" s="31"/>
      <c r="I13" s="7"/>
    </row>
    <row r="14" spans="1:16" ht="15.75" customHeight="1">
      <c r="A14" s="8"/>
      <c r="B14" s="7"/>
      <c r="C14" s="194"/>
      <c r="D14" s="144"/>
      <c r="E14" s="6"/>
      <c r="F14" s="5"/>
      <c r="G14" s="5"/>
      <c r="H14" s="31"/>
      <c r="I14" s="7"/>
    </row>
    <row r="15" spans="1:16" ht="15.75" customHeight="1">
      <c r="A15" s="8"/>
      <c r="B15" s="7"/>
      <c r="C15" s="194"/>
      <c r="D15" s="144"/>
      <c r="E15" s="6"/>
      <c r="F15" s="5"/>
      <c r="G15" s="5"/>
      <c r="H15" s="31"/>
      <c r="I15" s="7"/>
    </row>
    <row r="16" spans="1:16" ht="15.75" customHeight="1">
      <c r="A16" s="8"/>
      <c r="B16" s="7"/>
      <c r="C16" s="194"/>
      <c r="D16" s="144"/>
      <c r="E16" s="6"/>
      <c r="F16" s="5"/>
      <c r="G16" s="5"/>
      <c r="H16" s="31"/>
      <c r="I16" s="7"/>
    </row>
    <row r="17" spans="1:9" ht="15.75" customHeight="1">
      <c r="A17" s="8"/>
      <c r="B17" s="7"/>
      <c r="C17" s="194"/>
      <c r="D17" s="144"/>
      <c r="E17" s="6"/>
      <c r="F17" s="5"/>
      <c r="G17" s="5"/>
      <c r="H17" s="31"/>
      <c r="I17" s="7"/>
    </row>
    <row r="18" spans="1:9" ht="15.75" customHeight="1">
      <c r="A18" s="8"/>
      <c r="B18" s="7"/>
      <c r="C18" s="194"/>
      <c r="D18" s="144"/>
      <c r="E18" s="6"/>
      <c r="F18" s="5"/>
      <c r="G18" s="5"/>
      <c r="H18" s="31"/>
      <c r="I18" s="7"/>
    </row>
    <row r="19" spans="1:9" ht="15.75" customHeight="1">
      <c r="A19" s="8"/>
      <c r="B19" s="7"/>
      <c r="C19" s="194"/>
      <c r="D19" s="144"/>
      <c r="E19" s="6"/>
      <c r="F19" s="5"/>
      <c r="G19" s="5"/>
      <c r="H19" s="31"/>
      <c r="I19" s="7"/>
    </row>
    <row r="20" spans="1:9" ht="15.75" customHeight="1">
      <c r="A20" s="8"/>
      <c r="B20" s="7"/>
      <c r="C20" s="194"/>
      <c r="D20" s="144"/>
      <c r="E20" s="6"/>
      <c r="F20" s="5"/>
      <c r="G20" s="5"/>
      <c r="H20" s="31"/>
      <c r="I20" s="7"/>
    </row>
    <row r="21" spans="1:9" ht="15.75" customHeight="1">
      <c r="A21" s="8"/>
      <c r="B21" s="7"/>
      <c r="C21" s="194"/>
      <c r="D21" s="144"/>
      <c r="E21" s="6"/>
      <c r="F21" s="5"/>
      <c r="G21" s="5"/>
      <c r="H21" s="31"/>
      <c r="I21" s="7"/>
    </row>
    <row r="22" spans="1:9" ht="15.75" customHeight="1">
      <c r="A22" s="8"/>
      <c r="B22" s="7"/>
      <c r="C22" s="194"/>
      <c r="D22" s="144"/>
      <c r="E22" s="6"/>
      <c r="F22" s="5"/>
      <c r="G22" s="5"/>
      <c r="H22" s="31"/>
      <c r="I22" s="7"/>
    </row>
    <row r="23" spans="1:9" ht="15.75" customHeight="1">
      <c r="A23" s="8"/>
      <c r="B23" s="7"/>
      <c r="C23" s="194"/>
      <c r="D23" s="144"/>
      <c r="E23" s="6"/>
      <c r="F23" s="5"/>
      <c r="G23" s="5"/>
      <c r="H23" s="31"/>
      <c r="I23" s="7"/>
    </row>
    <row r="24" spans="1:9" ht="15.75" customHeight="1">
      <c r="A24" s="8"/>
      <c r="B24" s="7"/>
      <c r="C24" s="194"/>
      <c r="D24" s="144"/>
      <c r="E24" s="6"/>
      <c r="F24" s="5"/>
      <c r="G24" s="5"/>
      <c r="H24" s="31"/>
      <c r="I24" s="7"/>
    </row>
    <row r="25" spans="1:9" ht="15.75" customHeight="1">
      <c r="A25" s="8"/>
      <c r="B25" s="7"/>
      <c r="C25" s="194"/>
      <c r="D25" s="144"/>
      <c r="E25" s="6"/>
      <c r="F25" s="5"/>
      <c r="G25" s="5"/>
      <c r="H25" s="31"/>
      <c r="I25" s="7"/>
    </row>
    <row r="26" spans="1:9" ht="15.75" customHeight="1">
      <c r="A26" s="8"/>
      <c r="B26" s="7"/>
      <c r="C26" s="194"/>
      <c r="D26" s="144"/>
      <c r="E26" s="6"/>
      <c r="F26" s="5"/>
      <c r="G26" s="5"/>
      <c r="H26" s="31"/>
      <c r="I26" s="7"/>
    </row>
    <row r="27" spans="1:9" ht="15.75" customHeight="1">
      <c r="A27" s="420" t="s">
        <v>534</v>
      </c>
      <c r="B27" s="421"/>
      <c r="C27" s="256"/>
      <c r="D27" s="257"/>
      <c r="E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H27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I27" s="234"/>
    </row>
    <row r="28" spans="1:9" ht="15.75" hidden="1" customHeight="1">
      <c r="A28" s="8"/>
      <c r="B28" s="7"/>
      <c r="C28" s="194"/>
      <c r="D28" s="144"/>
      <c r="E28" s="6"/>
      <c r="F28" s="5"/>
      <c r="G28" s="5"/>
      <c r="H28" s="31"/>
      <c r="I28" s="7"/>
    </row>
    <row r="29" spans="1:9" ht="15.75" hidden="1" customHeight="1">
      <c r="A29" s="8"/>
      <c r="B29" s="7"/>
      <c r="C29" s="194"/>
      <c r="D29" s="144"/>
      <c r="E29" s="6"/>
      <c r="F29" s="5"/>
      <c r="G29" s="5"/>
      <c r="H29" s="31"/>
      <c r="I29" s="7"/>
    </row>
    <row r="30" spans="1:9" ht="15.75" hidden="1" customHeight="1">
      <c r="A30" s="8"/>
      <c r="B30" s="7"/>
      <c r="C30" s="194"/>
      <c r="D30" s="144"/>
      <c r="E30" s="6"/>
      <c r="F30" s="5"/>
      <c r="G30" s="5"/>
      <c r="H30" s="31"/>
      <c r="I30" s="7"/>
    </row>
    <row r="31" spans="1:9" ht="15.75" hidden="1" customHeight="1">
      <c r="A31" s="8"/>
      <c r="B31" s="7"/>
      <c r="C31" s="194"/>
      <c r="D31" s="144"/>
      <c r="E31" s="6"/>
      <c r="F31" s="5"/>
      <c r="G31" s="5"/>
      <c r="H31" s="31"/>
      <c r="I31" s="7"/>
    </row>
    <row r="32" spans="1:9" ht="15.75" hidden="1" customHeight="1">
      <c r="A32" s="8"/>
      <c r="B32" s="7"/>
      <c r="C32" s="194"/>
      <c r="D32" s="144"/>
      <c r="E32" s="6"/>
      <c r="F32" s="5"/>
      <c r="G32" s="5"/>
      <c r="H32" s="31"/>
      <c r="I32" s="7"/>
    </row>
    <row r="33" spans="1:9" ht="15.75" hidden="1" customHeight="1">
      <c r="A33" s="8"/>
      <c r="B33" s="7"/>
      <c r="C33" s="194"/>
      <c r="D33" s="144"/>
      <c r="E33" s="6"/>
      <c r="F33" s="5"/>
      <c r="G33" s="5"/>
      <c r="H33" s="31"/>
      <c r="I33" s="7"/>
    </row>
    <row r="34" spans="1:9" ht="15.75" hidden="1" customHeight="1">
      <c r="A34" s="8"/>
      <c r="B34" s="7"/>
      <c r="C34" s="194"/>
      <c r="D34" s="144"/>
      <c r="E34" s="6"/>
      <c r="F34" s="5"/>
      <c r="G34" s="5"/>
      <c r="H34" s="31"/>
      <c r="I34" s="7"/>
    </row>
    <row r="35" spans="1:9" ht="15.75" hidden="1" customHeight="1">
      <c r="A35" s="8"/>
      <c r="B35" s="7"/>
      <c r="C35" s="194"/>
      <c r="D35" s="144"/>
      <c r="E35" s="6"/>
      <c r="F35" s="5"/>
      <c r="G35" s="5"/>
      <c r="H35" s="31"/>
      <c r="I35" s="7"/>
    </row>
    <row r="36" spans="1:9" ht="15.75" hidden="1" customHeight="1">
      <c r="A36" s="8"/>
      <c r="B36" s="7"/>
      <c r="C36" s="194"/>
      <c r="D36" s="144"/>
      <c r="E36" s="6"/>
      <c r="F36" s="5"/>
      <c r="G36" s="5"/>
      <c r="H36" s="31"/>
      <c r="I36" s="7"/>
    </row>
    <row r="37" spans="1:9" ht="15.75" hidden="1" customHeight="1">
      <c r="A37" s="8"/>
      <c r="B37" s="7"/>
      <c r="C37" s="194"/>
      <c r="D37" s="144"/>
      <c r="E37" s="6"/>
      <c r="F37" s="5"/>
      <c r="G37" s="5"/>
      <c r="H37" s="31"/>
      <c r="I37" s="7"/>
    </row>
    <row r="38" spans="1:9" ht="15.75" hidden="1" customHeight="1">
      <c r="A38" s="8"/>
      <c r="B38" s="7"/>
      <c r="C38" s="194"/>
      <c r="D38" s="144"/>
      <c r="E38" s="6"/>
      <c r="F38" s="5"/>
      <c r="G38" s="5"/>
      <c r="H38" s="31"/>
      <c r="I38" s="7"/>
    </row>
    <row r="39" spans="1:9" ht="15.75" hidden="1" customHeight="1">
      <c r="A39" s="8"/>
      <c r="B39" s="7"/>
      <c r="C39" s="194"/>
      <c r="D39" s="144"/>
      <c r="E39" s="6"/>
      <c r="F39" s="5"/>
      <c r="G39" s="5"/>
      <c r="H39" s="31"/>
      <c r="I39" s="7"/>
    </row>
    <row r="40" spans="1:9" ht="15.75" hidden="1" customHeight="1">
      <c r="A40" s="8"/>
      <c r="B40" s="7"/>
      <c r="C40" s="194"/>
      <c r="D40" s="144"/>
      <c r="E40" s="6"/>
      <c r="F40" s="5"/>
      <c r="G40" s="5"/>
      <c r="H40" s="31"/>
      <c r="I40" s="7"/>
    </row>
    <row r="41" spans="1:9" ht="15.75" hidden="1" customHeight="1">
      <c r="A41" s="8"/>
      <c r="B41" s="7"/>
      <c r="C41" s="194"/>
      <c r="D41" s="144"/>
      <c r="E41" s="6"/>
      <c r="F41" s="5"/>
      <c r="G41" s="5"/>
      <c r="H41" s="31"/>
      <c r="I41" s="7"/>
    </row>
    <row r="42" spans="1:9" ht="15.75" hidden="1" customHeight="1">
      <c r="A42" s="8"/>
      <c r="B42" s="7"/>
      <c r="C42" s="194"/>
      <c r="D42" s="144"/>
      <c r="E42" s="6"/>
      <c r="F42" s="5"/>
      <c r="G42" s="5"/>
      <c r="H42" s="31"/>
      <c r="I42" s="7"/>
    </row>
    <row r="43" spans="1:9" ht="15.75" hidden="1" customHeight="1">
      <c r="A43" s="8"/>
      <c r="B43" s="7"/>
      <c r="C43" s="194"/>
      <c r="D43" s="144"/>
      <c r="E43" s="6"/>
      <c r="F43" s="5"/>
      <c r="G43" s="5"/>
      <c r="H43" s="31"/>
      <c r="I43" s="7"/>
    </row>
    <row r="44" spans="1:9" ht="15.75" hidden="1" customHeight="1">
      <c r="A44" s="8"/>
      <c r="B44" s="7"/>
      <c r="C44" s="194"/>
      <c r="D44" s="144"/>
      <c r="E44" s="6"/>
      <c r="F44" s="5"/>
      <c r="G44" s="5"/>
      <c r="H44" s="31"/>
      <c r="I44" s="7"/>
    </row>
    <row r="45" spans="1:9" ht="15.75" hidden="1" customHeight="1">
      <c r="A45" s="8"/>
      <c r="B45" s="7"/>
      <c r="C45" s="194"/>
      <c r="D45" s="144"/>
      <c r="E45" s="6"/>
      <c r="F45" s="5"/>
      <c r="G45" s="5"/>
      <c r="H45" s="31"/>
      <c r="I45" s="7"/>
    </row>
    <row r="46" spans="1:9" ht="15.75" hidden="1" customHeight="1">
      <c r="A46" s="8"/>
      <c r="B46" s="7"/>
      <c r="C46" s="194"/>
      <c r="D46" s="144"/>
      <c r="E46" s="6"/>
      <c r="F46" s="5"/>
      <c r="G46" s="5"/>
      <c r="H46" s="31"/>
      <c r="I46" s="7"/>
    </row>
    <row r="47" spans="1:9" ht="15.75" hidden="1" customHeight="1">
      <c r="A47" s="8"/>
      <c r="B47" s="7"/>
      <c r="C47" s="194"/>
      <c r="D47" s="144"/>
      <c r="E47" s="6"/>
      <c r="F47" s="5"/>
      <c r="G47" s="5"/>
      <c r="H47" s="31"/>
      <c r="I47" s="7"/>
    </row>
  </sheetData>
  <mergeCells count="17">
    <mergeCell ref="A1:I1"/>
    <mergeCell ref="H6:H7"/>
    <mergeCell ref="A6:A7"/>
    <mergeCell ref="B6:B7"/>
    <mergeCell ref="C6:C7"/>
    <mergeCell ref="A2:I2"/>
    <mergeCell ref="D6:D7"/>
    <mergeCell ref="N6:N7"/>
    <mergeCell ref="O6:O7"/>
    <mergeCell ref="P6:P7"/>
    <mergeCell ref="I6:I7"/>
    <mergeCell ref="A27:B27"/>
    <mergeCell ref="E6:G6"/>
    <mergeCell ref="J6:J7"/>
    <mergeCell ref="K6:K7"/>
    <mergeCell ref="L6:L7"/>
    <mergeCell ref="M6:M7"/>
  </mergeCells>
  <phoneticPr fontId="6" type="noConversion"/>
  <printOptions horizontalCentered="1" verticalCentered="1"/>
  <pageMargins left="1.0236220472440944" right="0.78740157480314965" top="0.15748031496062992" bottom="0.62992125984251968" header="1.6535433070866143" footer="1.1417322834645669"/>
  <pageSetup paperSize="9" fitToHeight="0" orientation="landscape" blackAndWhite="1" horizontalDpi="1200" verticalDpi="1200" r:id="rId1"/>
  <headerFooter scaleWithDoc="0">
    <oddHeader>&amp;R&amp;"宋体,常规"&amp;10表6-4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990600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1244600</xdr:colOff>
                    <xdr:row>2</xdr:row>
                    <xdr:rowOff>0</xdr:rowOff>
                  </from>
                  <to>
                    <xdr:col>2</xdr:col>
                    <xdr:colOff>647700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22114-C1C7-41F8-9F20-FD408F64B123}">
  <sheetPr codeName="Sheet87">
    <pageSetUpPr fitToPage="1"/>
  </sheetPr>
  <dimension ref="A1:K46"/>
  <sheetViews>
    <sheetView topLeftCell="C1" workbookViewId="0">
      <pane ySplit="6" topLeftCell="A7" activePane="bottomLeft" state="frozen"/>
      <selection activeCell="F17" sqref="F17"/>
      <selection pane="bottomLeft" activeCell="C20" sqref="C20"/>
    </sheetView>
  </sheetViews>
  <sheetFormatPr baseColWidth="10" defaultColWidth="9" defaultRowHeight="15.75" customHeight="1"/>
  <cols>
    <col min="1" max="1" width="6" style="81" customWidth="1"/>
    <col min="2" max="2" width="24.6640625" style="81" customWidth="1"/>
    <col min="3" max="3" width="18" style="81" customWidth="1"/>
    <col min="4" max="4" width="12.6640625" style="81" customWidth="1"/>
    <col min="5" max="5" width="17.6640625" style="81" customWidth="1"/>
    <col min="6" max="6" width="18.1640625" style="81" customWidth="1"/>
    <col min="7" max="7" width="20.6640625" style="81" customWidth="1"/>
    <col min="8" max="8" width="8" style="81" customWidth="1"/>
    <col min="9" max="9" width="8.6640625" style="81" customWidth="1"/>
    <col min="10" max="10" width="9" style="81"/>
    <col min="11" max="11" width="8.1640625" style="81" customWidth="1"/>
    <col min="12" max="16384" width="9" style="81"/>
  </cols>
  <sheetData>
    <row r="1" spans="1:11" s="80" customFormat="1" ht="30" customHeight="1">
      <c r="A1" s="374" t="s">
        <v>1046</v>
      </c>
      <c r="B1" s="375"/>
      <c r="C1" s="375"/>
      <c r="D1" s="375"/>
      <c r="E1" s="375"/>
      <c r="F1" s="375"/>
      <c r="G1" s="375"/>
    </row>
    <row r="2" spans="1:1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1" ht="14.25" customHeight="1">
      <c r="A3" s="42"/>
      <c r="B3" s="42"/>
      <c r="C3" s="42"/>
      <c r="D3" s="40"/>
      <c r="E3" s="40"/>
      <c r="F3" s="40"/>
      <c r="G3" s="178"/>
    </row>
    <row r="4" spans="1:11" ht="14.25" customHeight="1">
      <c r="A4" s="42"/>
      <c r="B4" s="42"/>
      <c r="C4" s="42"/>
      <c r="D4" s="40"/>
      <c r="E4" s="40"/>
      <c r="F4" s="40"/>
      <c r="G4" s="178"/>
    </row>
    <row r="5" spans="1:11" ht="15.75" customHeight="1">
      <c r="A5" s="125" t="str">
        <f>'1-汇总表'!A4</f>
        <v>被评估单位：A有限公司</v>
      </c>
      <c r="B5" s="125"/>
      <c r="C5" s="125"/>
      <c r="D5" s="42"/>
      <c r="E5" s="42"/>
      <c r="F5" s="42"/>
      <c r="G5" s="122"/>
      <c r="H5" s="449" t="s">
        <v>666</v>
      </c>
      <c r="I5" s="449" t="s">
        <v>727</v>
      </c>
      <c r="J5" s="562" t="s">
        <v>641</v>
      </c>
      <c r="K5" s="562" t="s">
        <v>642</v>
      </c>
    </row>
    <row r="6" spans="1:11" s="101" customFormat="1" ht="15.75" customHeight="1">
      <c r="A6" s="45" t="s">
        <v>7</v>
      </c>
      <c r="B6" s="45" t="s">
        <v>165</v>
      </c>
      <c r="C6" s="45" t="s">
        <v>348</v>
      </c>
      <c r="D6" s="45" t="s">
        <v>158</v>
      </c>
      <c r="E6" s="217" t="s">
        <v>117</v>
      </c>
      <c r="F6" s="45" t="s">
        <v>140</v>
      </c>
      <c r="G6" s="45" t="s">
        <v>166</v>
      </c>
      <c r="H6" s="449"/>
      <c r="I6" s="449"/>
      <c r="J6" s="563"/>
      <c r="K6" s="563"/>
    </row>
    <row r="7" spans="1:11" ht="15.75" customHeight="1">
      <c r="A7" s="8"/>
      <c r="B7" s="7"/>
      <c r="C7" s="7"/>
      <c r="D7" s="146"/>
      <c r="E7" s="243"/>
      <c r="F7" s="31"/>
      <c r="G7" s="7"/>
    </row>
    <row r="8" spans="1:11" ht="15.75" customHeight="1">
      <c r="A8" s="8"/>
      <c r="B8" s="7"/>
      <c r="C8" s="7"/>
      <c r="D8" s="146"/>
      <c r="E8" s="243"/>
      <c r="F8" s="31"/>
      <c r="G8" s="7"/>
    </row>
    <row r="9" spans="1:11" ht="15.75" customHeight="1">
      <c r="A9" s="8"/>
      <c r="B9" s="7"/>
      <c r="C9" s="7"/>
      <c r="D9" s="146"/>
      <c r="E9" s="243"/>
      <c r="F9" s="31"/>
      <c r="G9" s="7"/>
    </row>
    <row r="10" spans="1:11" ht="15.75" customHeight="1">
      <c r="A10" s="8"/>
      <c r="B10" s="7"/>
      <c r="C10" s="7"/>
      <c r="D10" s="146"/>
      <c r="E10" s="243"/>
      <c r="F10" s="31"/>
      <c r="G10" s="7"/>
    </row>
    <row r="11" spans="1:11" ht="15.75" customHeight="1">
      <c r="A11" s="8"/>
      <c r="B11" s="7"/>
      <c r="C11" s="7"/>
      <c r="D11" s="146"/>
      <c r="E11" s="243"/>
      <c r="F11" s="31"/>
      <c r="G11" s="7"/>
    </row>
    <row r="12" spans="1:11" ht="15.75" customHeight="1">
      <c r="A12" s="8"/>
      <c r="B12" s="7"/>
      <c r="C12" s="7"/>
      <c r="D12" s="146"/>
      <c r="E12" s="243"/>
      <c r="F12" s="31"/>
      <c r="G12" s="7"/>
    </row>
    <row r="13" spans="1:11" ht="15.75" customHeight="1">
      <c r="A13" s="8"/>
      <c r="B13" s="7"/>
      <c r="C13" s="7"/>
      <c r="D13" s="146"/>
      <c r="E13" s="243"/>
      <c r="F13" s="31"/>
      <c r="G13" s="7"/>
    </row>
    <row r="14" spans="1:11" ht="15.75" customHeight="1">
      <c r="A14" s="8"/>
      <c r="B14" s="7"/>
      <c r="C14" s="7"/>
      <c r="D14" s="146"/>
      <c r="E14" s="243"/>
      <c r="F14" s="31"/>
      <c r="G14" s="7"/>
    </row>
    <row r="15" spans="1:11" ht="15.75" customHeight="1">
      <c r="A15" s="8"/>
      <c r="B15" s="7"/>
      <c r="C15" s="7"/>
      <c r="D15" s="146"/>
      <c r="E15" s="243"/>
      <c r="F15" s="31"/>
      <c r="G15" s="7"/>
    </row>
    <row r="16" spans="1:11" ht="15.75" customHeight="1">
      <c r="A16" s="8"/>
      <c r="B16" s="7"/>
      <c r="C16" s="7"/>
      <c r="D16" s="146"/>
      <c r="E16" s="243"/>
      <c r="F16" s="31"/>
      <c r="G16" s="7"/>
    </row>
    <row r="17" spans="1:7" ht="15.75" customHeight="1">
      <c r="A17" s="8"/>
      <c r="B17" s="7"/>
      <c r="C17" s="7"/>
      <c r="D17" s="146"/>
      <c r="E17" s="243"/>
      <c r="F17" s="31"/>
      <c r="G17" s="7"/>
    </row>
    <row r="18" spans="1:7" ht="15.75" customHeight="1">
      <c r="A18" s="8"/>
      <c r="B18" s="7"/>
      <c r="C18" s="7"/>
      <c r="D18" s="146"/>
      <c r="E18" s="243"/>
      <c r="F18" s="31"/>
      <c r="G18" s="7"/>
    </row>
    <row r="19" spans="1:7" ht="15.75" customHeight="1">
      <c r="A19" s="8"/>
      <c r="B19" s="7"/>
      <c r="C19" s="7"/>
      <c r="D19" s="146"/>
      <c r="E19" s="243"/>
      <c r="F19" s="31"/>
      <c r="G19" s="7"/>
    </row>
    <row r="20" spans="1:7" ht="15.75" customHeight="1">
      <c r="A20" s="8"/>
      <c r="B20" s="7"/>
      <c r="C20" s="7"/>
      <c r="D20" s="146"/>
      <c r="E20" s="243"/>
      <c r="F20" s="31"/>
      <c r="G20" s="7"/>
    </row>
    <row r="21" spans="1:7" ht="15.75" customHeight="1">
      <c r="A21" s="8"/>
      <c r="B21" s="7"/>
      <c r="C21" s="7"/>
      <c r="D21" s="146"/>
      <c r="E21" s="243"/>
      <c r="F21" s="31"/>
      <c r="G21" s="7"/>
    </row>
    <row r="22" spans="1:7" ht="15.75" customHeight="1">
      <c r="A22" s="8"/>
      <c r="B22" s="7"/>
      <c r="C22" s="7"/>
      <c r="D22" s="146"/>
      <c r="E22" s="243"/>
      <c r="F22" s="31"/>
      <c r="G22" s="7"/>
    </row>
    <row r="23" spans="1:7" ht="15.75" customHeight="1">
      <c r="A23" s="8"/>
      <c r="B23" s="7"/>
      <c r="C23" s="7"/>
      <c r="D23" s="146"/>
      <c r="E23" s="243"/>
      <c r="F23" s="31"/>
      <c r="G23" s="7"/>
    </row>
    <row r="24" spans="1:7" ht="15.75" customHeight="1">
      <c r="A24" s="8"/>
      <c r="B24" s="7"/>
      <c r="C24" s="7"/>
      <c r="D24" s="146"/>
      <c r="E24" s="243"/>
      <c r="F24" s="31"/>
      <c r="G24" s="7"/>
    </row>
    <row r="25" spans="1:7" ht="15.75" customHeight="1">
      <c r="A25" s="8"/>
      <c r="B25" s="7"/>
      <c r="C25" s="7"/>
      <c r="D25" s="146"/>
      <c r="E25" s="243"/>
      <c r="F25" s="31"/>
      <c r="G25" s="7"/>
    </row>
    <row r="26" spans="1:7" ht="15.75" customHeight="1">
      <c r="A26" s="420" t="s">
        <v>534</v>
      </c>
      <c r="B26" s="421"/>
      <c r="C26" s="30"/>
      <c r="D26" s="30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7"/>
      <c r="D27" s="146"/>
      <c r="E27" s="31"/>
      <c r="F27" s="31"/>
      <c r="G27" s="7"/>
    </row>
    <row r="28" spans="1:7" ht="15.75" hidden="1" customHeight="1">
      <c r="A28" s="8"/>
      <c r="B28" s="7"/>
      <c r="C28" s="7"/>
      <c r="D28" s="146"/>
      <c r="E28" s="243"/>
      <c r="F28" s="31"/>
      <c r="G28" s="7"/>
    </row>
    <row r="29" spans="1:7" ht="15.75" hidden="1" customHeight="1">
      <c r="A29" s="8"/>
      <c r="B29" s="7"/>
      <c r="C29" s="7"/>
      <c r="D29" s="146"/>
      <c r="E29" s="243"/>
      <c r="F29" s="31"/>
      <c r="G29" s="7"/>
    </row>
    <row r="30" spans="1:7" ht="15.75" hidden="1" customHeight="1">
      <c r="A30" s="8"/>
      <c r="B30" s="7"/>
      <c r="C30" s="7"/>
      <c r="D30" s="146"/>
      <c r="E30" s="243"/>
      <c r="F30" s="31"/>
      <c r="G30" s="7"/>
    </row>
    <row r="31" spans="1:7" ht="15.75" hidden="1" customHeight="1">
      <c r="A31" s="8"/>
      <c r="B31" s="7"/>
      <c r="C31" s="7"/>
      <c r="D31" s="146"/>
      <c r="E31" s="243"/>
      <c r="F31" s="31"/>
      <c r="G31" s="7"/>
    </row>
    <row r="32" spans="1:7" ht="15.75" hidden="1" customHeight="1">
      <c r="A32" s="8"/>
      <c r="B32" s="7"/>
      <c r="C32" s="7"/>
      <c r="D32" s="146"/>
      <c r="E32" s="243"/>
      <c r="F32" s="31"/>
      <c r="G32" s="7"/>
    </row>
    <row r="33" spans="1:7" ht="15.75" hidden="1" customHeight="1">
      <c r="A33" s="8"/>
      <c r="B33" s="7"/>
      <c r="C33" s="7"/>
      <c r="D33" s="146"/>
      <c r="E33" s="243"/>
      <c r="F33" s="31"/>
      <c r="G33" s="7"/>
    </row>
    <row r="34" spans="1:7" ht="15.75" hidden="1" customHeight="1">
      <c r="A34" s="8"/>
      <c r="B34" s="7"/>
      <c r="C34" s="7"/>
      <c r="D34" s="146"/>
      <c r="E34" s="243"/>
      <c r="F34" s="31"/>
      <c r="G34" s="7"/>
    </row>
    <row r="35" spans="1:7" ht="15.75" hidden="1" customHeight="1">
      <c r="A35" s="8"/>
      <c r="B35" s="7"/>
      <c r="C35" s="7"/>
      <c r="D35" s="146"/>
      <c r="E35" s="243"/>
      <c r="F35" s="31"/>
      <c r="G35" s="7"/>
    </row>
    <row r="36" spans="1:7" ht="15.75" hidden="1" customHeight="1">
      <c r="A36" s="8"/>
      <c r="B36" s="7"/>
      <c r="C36" s="7"/>
      <c r="D36" s="146"/>
      <c r="E36" s="243"/>
      <c r="F36" s="31"/>
      <c r="G36" s="7"/>
    </row>
    <row r="37" spans="1:7" ht="15.75" hidden="1" customHeight="1">
      <c r="A37" s="8"/>
      <c r="B37" s="7"/>
      <c r="C37" s="7"/>
      <c r="D37" s="146"/>
      <c r="E37" s="243"/>
      <c r="F37" s="31"/>
      <c r="G37" s="7"/>
    </row>
    <row r="38" spans="1:7" ht="15.75" hidden="1" customHeight="1">
      <c r="A38" s="8"/>
      <c r="B38" s="7"/>
      <c r="C38" s="7"/>
      <c r="D38" s="146"/>
      <c r="E38" s="243"/>
      <c r="F38" s="31"/>
      <c r="G38" s="7"/>
    </row>
    <row r="39" spans="1:7" ht="15.75" hidden="1" customHeight="1">
      <c r="A39" s="8"/>
      <c r="B39" s="7"/>
      <c r="C39" s="7"/>
      <c r="D39" s="146"/>
      <c r="E39" s="243"/>
      <c r="F39" s="31"/>
      <c r="G39" s="7"/>
    </row>
    <row r="40" spans="1:7" ht="15.75" hidden="1" customHeight="1">
      <c r="A40" s="8"/>
      <c r="B40" s="7"/>
      <c r="C40" s="7"/>
      <c r="D40" s="146"/>
      <c r="E40" s="243"/>
      <c r="F40" s="31"/>
      <c r="G40" s="7"/>
    </row>
    <row r="41" spans="1:7" ht="15.75" hidden="1" customHeight="1">
      <c r="A41" s="8"/>
      <c r="B41" s="7"/>
      <c r="C41" s="7"/>
      <c r="D41" s="146"/>
      <c r="E41" s="243"/>
      <c r="F41" s="31"/>
      <c r="G41" s="7"/>
    </row>
    <row r="42" spans="1:7" ht="15.75" hidden="1" customHeight="1">
      <c r="A42" s="8"/>
      <c r="B42" s="7"/>
      <c r="C42" s="7"/>
      <c r="D42" s="146"/>
      <c r="E42" s="243"/>
      <c r="F42" s="31"/>
      <c r="G42" s="7"/>
    </row>
    <row r="43" spans="1:7" ht="15.75" hidden="1" customHeight="1">
      <c r="A43" s="8"/>
      <c r="B43" s="7"/>
      <c r="C43" s="7"/>
      <c r="D43" s="146"/>
      <c r="E43" s="243"/>
      <c r="F43" s="31"/>
      <c r="G43" s="7"/>
    </row>
    <row r="44" spans="1:7" ht="15.75" hidden="1" customHeight="1">
      <c r="A44" s="8"/>
      <c r="B44" s="7"/>
      <c r="C44" s="7"/>
      <c r="D44" s="146"/>
      <c r="E44" s="243"/>
      <c r="F44" s="31"/>
      <c r="G44" s="7"/>
    </row>
    <row r="45" spans="1:7" ht="15.75" hidden="1" customHeight="1">
      <c r="A45" s="8"/>
      <c r="B45" s="7"/>
      <c r="C45" s="7"/>
      <c r="D45" s="146"/>
      <c r="E45" s="243"/>
      <c r="F45" s="31"/>
      <c r="G45" s="7"/>
    </row>
    <row r="46" spans="1:7" ht="15.75" hidden="1" customHeight="1">
      <c r="A46" s="8"/>
      <c r="B46" s="7"/>
      <c r="C46" s="7"/>
      <c r="D46" s="146"/>
      <c r="E46" s="243"/>
      <c r="F46" s="31"/>
      <c r="G46" s="7"/>
    </row>
  </sheetData>
  <mergeCells count="7">
    <mergeCell ref="J5:J6"/>
    <mergeCell ref="K5:K6"/>
    <mergeCell ref="A2:G2"/>
    <mergeCell ref="A1:G1"/>
    <mergeCell ref="A26:B26"/>
    <mergeCell ref="H5:H6"/>
    <mergeCell ref="I5:I6"/>
  </mergeCells>
  <phoneticPr fontId="6" type="noConversion"/>
  <printOptions horizontalCentered="1" verticalCentered="1"/>
  <pageMargins left="1.1417322834645669" right="0.62992125984251968" top="0.39370078740157483" bottom="0.78740157480314965" header="1.7322834645669292" footer="1.1811023622047245"/>
  <pageSetup paperSize="9" fitToHeight="0" orientation="landscape" blackAndWhite="1" r:id="rId1"/>
  <headerFooter scaleWithDoc="0">
    <oddHeader>&amp;R&amp;"宋体,常规"&amp;10表6-5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939800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1193800</xdr:colOff>
                    <xdr:row>2</xdr:row>
                    <xdr:rowOff>0</xdr:rowOff>
                  </from>
                  <to>
                    <xdr:col>2</xdr:col>
                    <xdr:colOff>330200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F9B6-0673-4CAA-858B-C63F7B581167}">
  <sheetPr codeName="Sheet88">
    <pageSetUpPr fitToPage="1"/>
  </sheetPr>
  <dimension ref="A1:K46"/>
  <sheetViews>
    <sheetView workbookViewId="0">
      <pane ySplit="6" topLeftCell="A7" activePane="bottomLeft" state="frozen"/>
      <selection activeCell="F17" sqref="F17"/>
      <selection pane="bottomLeft" activeCell="D11" sqref="D11"/>
    </sheetView>
  </sheetViews>
  <sheetFormatPr baseColWidth="10" defaultColWidth="9" defaultRowHeight="15.75" customHeight="1"/>
  <cols>
    <col min="1" max="1" width="6.5" style="81" customWidth="1"/>
    <col min="2" max="2" width="27.5" style="81" customWidth="1"/>
    <col min="3" max="3" width="13" style="81" customWidth="1"/>
    <col min="4" max="4" width="17.6640625" style="81" customWidth="1"/>
    <col min="5" max="5" width="18" style="81" customWidth="1"/>
    <col min="6" max="7" width="17" style="81" customWidth="1"/>
    <col min="8" max="8" width="12.5" style="81" customWidth="1"/>
    <col min="9" max="9" width="10.1640625" style="81" customWidth="1"/>
    <col min="10" max="10" width="10.5" style="81" customWidth="1"/>
    <col min="11" max="11" width="10" style="81" customWidth="1"/>
    <col min="12" max="16384" width="9" style="81"/>
  </cols>
  <sheetData>
    <row r="1" spans="1:11" s="80" customFormat="1" ht="30" customHeight="1">
      <c r="A1" s="374" t="s">
        <v>1047</v>
      </c>
      <c r="B1" s="375"/>
      <c r="C1" s="375"/>
      <c r="D1" s="375"/>
      <c r="E1" s="375"/>
      <c r="F1" s="375"/>
      <c r="G1" s="375"/>
    </row>
    <row r="2" spans="1:1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1" ht="14.25" customHeight="1">
      <c r="A3" s="40"/>
      <c r="B3" s="40"/>
      <c r="C3" s="40"/>
      <c r="D3" s="40"/>
      <c r="E3" s="40"/>
      <c r="F3" s="40"/>
      <c r="G3" s="178"/>
    </row>
    <row r="4" spans="1:11" ht="14.25" customHeight="1">
      <c r="A4" s="40"/>
      <c r="B4" s="40"/>
      <c r="C4" s="40"/>
      <c r="D4" s="40"/>
      <c r="E4" s="40"/>
      <c r="F4" s="40"/>
      <c r="G4" s="178"/>
    </row>
    <row r="5" spans="1:11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</row>
    <row r="6" spans="1:11" s="101" customFormat="1" ht="15.75" customHeight="1">
      <c r="A6" s="45" t="s">
        <v>268</v>
      </c>
      <c r="B6" s="45" t="s">
        <v>269</v>
      </c>
      <c r="C6" s="45" t="s">
        <v>270</v>
      </c>
      <c r="D6" s="45" t="s">
        <v>355</v>
      </c>
      <c r="E6" s="217" t="s">
        <v>117</v>
      </c>
      <c r="F6" s="45" t="s">
        <v>271</v>
      </c>
      <c r="G6" s="45" t="s">
        <v>272</v>
      </c>
      <c r="H6" s="273" t="s">
        <v>667</v>
      </c>
      <c r="I6" s="273" t="s">
        <v>659</v>
      </c>
      <c r="J6" s="273" t="s">
        <v>641</v>
      </c>
      <c r="K6" s="273" t="s">
        <v>642</v>
      </c>
    </row>
    <row r="7" spans="1:11" ht="15.75" customHeight="1">
      <c r="A7" s="8"/>
      <c r="B7" s="7"/>
      <c r="C7" s="146"/>
      <c r="D7" s="8"/>
      <c r="E7" s="243"/>
      <c r="F7" s="31"/>
      <c r="G7" s="7"/>
    </row>
    <row r="8" spans="1:11" ht="15.75" customHeight="1">
      <c r="A8" s="8"/>
      <c r="B8" s="7"/>
      <c r="C8" s="146"/>
      <c r="D8" s="8"/>
      <c r="E8" s="243"/>
      <c r="F8" s="31"/>
      <c r="G8" s="7"/>
    </row>
    <row r="9" spans="1:11" ht="15.75" customHeight="1">
      <c r="A9" s="8"/>
      <c r="B9" s="7"/>
      <c r="C9" s="146"/>
      <c r="D9" s="8"/>
      <c r="E9" s="243"/>
      <c r="F9" s="31"/>
      <c r="G9" s="7"/>
    </row>
    <row r="10" spans="1:11" ht="15.75" customHeight="1">
      <c r="A10" s="8"/>
      <c r="B10" s="7"/>
      <c r="C10" s="146"/>
      <c r="D10" s="8"/>
      <c r="E10" s="243"/>
      <c r="F10" s="31"/>
      <c r="G10" s="7"/>
    </row>
    <row r="11" spans="1:11" ht="15.75" customHeight="1">
      <c r="A11" s="8"/>
      <c r="B11" s="7"/>
      <c r="C11" s="146"/>
      <c r="D11" s="8"/>
      <c r="E11" s="243"/>
      <c r="F11" s="31"/>
      <c r="G11" s="7"/>
    </row>
    <row r="12" spans="1:11" ht="15.75" customHeight="1">
      <c r="A12" s="8"/>
      <c r="B12" s="7"/>
      <c r="C12" s="146"/>
      <c r="D12" s="8"/>
      <c r="E12" s="243"/>
      <c r="F12" s="31"/>
      <c r="G12" s="7"/>
    </row>
    <row r="13" spans="1:11" ht="15.75" customHeight="1">
      <c r="A13" s="8"/>
      <c r="B13" s="7"/>
      <c r="C13" s="146"/>
      <c r="D13" s="8"/>
      <c r="E13" s="243"/>
      <c r="F13" s="31"/>
      <c r="G13" s="7"/>
    </row>
    <row r="14" spans="1:11" ht="15.75" customHeight="1">
      <c r="A14" s="8"/>
      <c r="B14" s="7"/>
      <c r="C14" s="146"/>
      <c r="D14" s="8"/>
      <c r="E14" s="243"/>
      <c r="F14" s="31"/>
      <c r="G14" s="7"/>
    </row>
    <row r="15" spans="1:11" ht="15.75" customHeight="1">
      <c r="A15" s="8"/>
      <c r="B15" s="7"/>
      <c r="C15" s="146"/>
      <c r="D15" s="8"/>
      <c r="E15" s="243"/>
      <c r="F15" s="31"/>
      <c r="G15" s="7"/>
    </row>
    <row r="16" spans="1:11" ht="15.75" customHeight="1">
      <c r="A16" s="8"/>
      <c r="B16" s="7"/>
      <c r="C16" s="146"/>
      <c r="D16" s="8"/>
      <c r="E16" s="243"/>
      <c r="F16" s="31"/>
      <c r="G16" s="7"/>
    </row>
    <row r="17" spans="1:7" ht="15.75" customHeight="1">
      <c r="A17" s="8"/>
      <c r="B17" s="7"/>
      <c r="C17" s="146"/>
      <c r="D17" s="8"/>
      <c r="E17" s="243"/>
      <c r="F17" s="31"/>
      <c r="G17" s="7"/>
    </row>
    <row r="18" spans="1:7" ht="15.75" customHeight="1">
      <c r="A18" s="8"/>
      <c r="B18" s="7"/>
      <c r="C18" s="146"/>
      <c r="D18" s="8"/>
      <c r="E18" s="243"/>
      <c r="F18" s="31"/>
      <c r="G18" s="7"/>
    </row>
    <row r="19" spans="1:7" ht="15.75" customHeight="1">
      <c r="A19" s="8"/>
      <c r="B19" s="7"/>
      <c r="C19" s="146"/>
      <c r="D19" s="8"/>
      <c r="E19" s="243"/>
      <c r="F19" s="31"/>
      <c r="G19" s="7"/>
    </row>
    <row r="20" spans="1:7" ht="15.75" customHeight="1">
      <c r="A20" s="8"/>
      <c r="B20" s="7"/>
      <c r="C20" s="146"/>
      <c r="D20" s="8"/>
      <c r="E20" s="243"/>
      <c r="F20" s="31"/>
      <c r="G20" s="7"/>
    </row>
    <row r="21" spans="1:7" ht="15.75" customHeight="1">
      <c r="A21" s="8"/>
      <c r="B21" s="7"/>
      <c r="C21" s="146"/>
      <c r="D21" s="8"/>
      <c r="E21" s="243"/>
      <c r="F21" s="31"/>
      <c r="G21" s="7"/>
    </row>
    <row r="22" spans="1:7" ht="15.75" customHeight="1">
      <c r="A22" s="8"/>
      <c r="B22" s="7"/>
      <c r="C22" s="146"/>
      <c r="D22" s="8"/>
      <c r="E22" s="243"/>
      <c r="F22" s="31"/>
      <c r="G22" s="7"/>
    </row>
    <row r="23" spans="1:7" ht="15.75" customHeight="1">
      <c r="A23" s="8"/>
      <c r="B23" s="7"/>
      <c r="C23" s="146"/>
      <c r="D23" s="8"/>
      <c r="E23" s="243"/>
      <c r="F23" s="31"/>
      <c r="G23" s="7"/>
    </row>
    <row r="24" spans="1:7" ht="15.75" customHeight="1">
      <c r="A24" s="8"/>
      <c r="B24" s="7"/>
      <c r="C24" s="146"/>
      <c r="D24" s="8"/>
      <c r="E24" s="243"/>
      <c r="F24" s="31"/>
      <c r="G24" s="7"/>
    </row>
    <row r="25" spans="1:7" ht="15.75" customHeight="1">
      <c r="A25" s="8"/>
      <c r="B25" s="7"/>
      <c r="C25" s="146"/>
      <c r="D25" s="8"/>
      <c r="E25" s="243"/>
      <c r="F25" s="31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43"/>
      <c r="F27" s="31"/>
      <c r="G27" s="7"/>
    </row>
    <row r="28" spans="1:7" ht="15.75" hidden="1" customHeight="1">
      <c r="A28" s="8"/>
      <c r="B28" s="7"/>
      <c r="C28" s="146"/>
      <c r="D28" s="8"/>
      <c r="E28" s="243"/>
      <c r="F28" s="31"/>
      <c r="G28" s="7"/>
    </row>
    <row r="29" spans="1:7" ht="15.75" hidden="1" customHeight="1">
      <c r="A29" s="8"/>
      <c r="B29" s="7"/>
      <c r="C29" s="146"/>
      <c r="D29" s="8"/>
      <c r="E29" s="243"/>
      <c r="F29" s="31"/>
      <c r="G29" s="7"/>
    </row>
    <row r="30" spans="1:7" ht="15.75" hidden="1" customHeight="1">
      <c r="A30" s="8"/>
      <c r="B30" s="7"/>
      <c r="C30" s="146"/>
      <c r="D30" s="8"/>
      <c r="E30" s="243"/>
      <c r="F30" s="31"/>
      <c r="G30" s="7"/>
    </row>
    <row r="31" spans="1:7" ht="15.75" hidden="1" customHeight="1">
      <c r="A31" s="8"/>
      <c r="B31" s="7"/>
      <c r="C31" s="146"/>
      <c r="D31" s="8"/>
      <c r="E31" s="243"/>
      <c r="F31" s="31"/>
      <c r="G31" s="7"/>
    </row>
    <row r="32" spans="1:7" ht="15.75" hidden="1" customHeight="1">
      <c r="A32" s="8"/>
      <c r="B32" s="7"/>
      <c r="C32" s="146"/>
      <c r="D32" s="8"/>
      <c r="E32" s="243"/>
      <c r="F32" s="31"/>
      <c r="G32" s="7"/>
    </row>
    <row r="33" spans="1:7" ht="15.75" hidden="1" customHeight="1">
      <c r="A33" s="8"/>
      <c r="B33" s="7"/>
      <c r="C33" s="146"/>
      <c r="D33" s="8"/>
      <c r="E33" s="243"/>
      <c r="F33" s="31"/>
      <c r="G33" s="7"/>
    </row>
    <row r="34" spans="1:7" ht="15.75" hidden="1" customHeight="1">
      <c r="A34" s="8"/>
      <c r="B34" s="7"/>
      <c r="C34" s="146"/>
      <c r="D34" s="8"/>
      <c r="E34" s="243"/>
      <c r="F34" s="31"/>
      <c r="G34" s="7"/>
    </row>
    <row r="35" spans="1:7" ht="15.75" hidden="1" customHeight="1">
      <c r="A35" s="8"/>
      <c r="B35" s="7"/>
      <c r="C35" s="146"/>
      <c r="D35" s="8"/>
      <c r="E35" s="243"/>
      <c r="F35" s="31"/>
      <c r="G35" s="7"/>
    </row>
    <row r="36" spans="1:7" ht="15.75" hidden="1" customHeight="1">
      <c r="A36" s="8"/>
      <c r="B36" s="7"/>
      <c r="C36" s="146"/>
      <c r="D36" s="8"/>
      <c r="E36" s="243"/>
      <c r="F36" s="31"/>
      <c r="G36" s="7"/>
    </row>
    <row r="37" spans="1:7" ht="15.75" hidden="1" customHeight="1">
      <c r="A37" s="8"/>
      <c r="B37" s="7"/>
      <c r="C37" s="146"/>
      <c r="D37" s="8"/>
      <c r="E37" s="243"/>
      <c r="F37" s="31"/>
      <c r="G37" s="7"/>
    </row>
    <row r="38" spans="1:7" ht="15.75" hidden="1" customHeight="1">
      <c r="A38" s="8"/>
      <c r="B38" s="7"/>
      <c r="C38" s="146"/>
      <c r="D38" s="8"/>
      <c r="E38" s="243"/>
      <c r="F38" s="31"/>
      <c r="G38" s="7"/>
    </row>
    <row r="39" spans="1:7" ht="15.75" hidden="1" customHeight="1">
      <c r="A39" s="8"/>
      <c r="B39" s="7"/>
      <c r="C39" s="146"/>
      <c r="D39" s="8"/>
      <c r="E39" s="243"/>
      <c r="F39" s="31"/>
      <c r="G39" s="7"/>
    </row>
    <row r="40" spans="1:7" ht="15.75" hidden="1" customHeight="1">
      <c r="A40" s="8"/>
      <c r="B40" s="7"/>
      <c r="C40" s="146"/>
      <c r="D40" s="8"/>
      <c r="E40" s="243"/>
      <c r="F40" s="31"/>
      <c r="G40" s="7"/>
    </row>
    <row r="41" spans="1:7" ht="15.75" hidden="1" customHeight="1">
      <c r="A41" s="8"/>
      <c r="B41" s="7"/>
      <c r="C41" s="146"/>
      <c r="D41" s="8"/>
      <c r="E41" s="243"/>
      <c r="F41" s="31"/>
      <c r="G41" s="7"/>
    </row>
    <row r="42" spans="1:7" ht="15.75" hidden="1" customHeight="1">
      <c r="A42" s="8"/>
      <c r="B42" s="7"/>
      <c r="C42" s="146"/>
      <c r="D42" s="8"/>
      <c r="E42" s="243"/>
      <c r="F42" s="31"/>
      <c r="G42" s="7"/>
    </row>
    <row r="43" spans="1:7" ht="15.75" hidden="1" customHeight="1">
      <c r="A43" s="8"/>
      <c r="B43" s="7"/>
      <c r="C43" s="146"/>
      <c r="D43" s="8"/>
      <c r="E43" s="243"/>
      <c r="F43" s="31"/>
      <c r="G43" s="7"/>
    </row>
    <row r="44" spans="1:7" ht="15.75" hidden="1" customHeight="1">
      <c r="A44" s="8"/>
      <c r="B44" s="7"/>
      <c r="C44" s="146"/>
      <c r="D44" s="8"/>
      <c r="E44" s="243"/>
      <c r="F44" s="31"/>
      <c r="G44" s="7"/>
    </row>
    <row r="45" spans="1:7" ht="15.75" hidden="1" customHeight="1">
      <c r="A45" s="8"/>
      <c r="B45" s="7"/>
      <c r="C45" s="146"/>
      <c r="D45" s="8"/>
      <c r="E45" s="243"/>
      <c r="F45" s="31"/>
      <c r="G45" s="7"/>
    </row>
    <row r="46" spans="1:7" ht="15.75" hidden="1" customHeight="1">
      <c r="A46" s="8"/>
      <c r="B46" s="7"/>
      <c r="C46" s="146"/>
      <c r="D46" s="8"/>
      <c r="E46" s="243"/>
      <c r="F46" s="31"/>
      <c r="G46" s="7"/>
    </row>
  </sheetData>
  <mergeCells count="3">
    <mergeCell ref="A1:G1"/>
    <mergeCell ref="A2:G2"/>
    <mergeCell ref="A26:B26"/>
  </mergeCells>
  <phoneticPr fontId="6" type="noConversion"/>
  <printOptions horizontalCentered="1" verticalCentered="1"/>
  <pageMargins left="1.1417322834645669" right="0.78740157480314965" top="0.15748031496062992" bottom="0.55118110236220474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&amp;R&amp;"宋体,常规"&amp;10表6-6
共&amp;N页 第&amp;P页
金额单位：人民币元</oddHeader>
    <oddFooter>&amp;L&amp;10申报单位填表人：_x000D_填表日期：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889000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1143000</xdr:colOff>
                    <xdr:row>2</xdr:row>
                    <xdr:rowOff>0</xdr:rowOff>
                  </from>
                  <to>
                    <xdr:col>2</xdr:col>
                    <xdr:colOff>76200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B2AA-8C97-43A1-B642-EEF1B5E3A5F4}">
  <sheetPr codeName="Sheet77">
    <pageSetUpPr fitToPage="1"/>
  </sheetPr>
  <dimension ref="A1:K46"/>
  <sheetViews>
    <sheetView workbookViewId="0">
      <pane ySplit="6" topLeftCell="A10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7" style="81" customWidth="1"/>
    <col min="2" max="2" width="31.5" style="81" customWidth="1"/>
    <col min="3" max="3" width="13.5" style="81" customWidth="1"/>
    <col min="4" max="4" width="22.6640625" style="81" customWidth="1"/>
    <col min="5" max="5" width="21.5" style="81" customWidth="1"/>
    <col min="6" max="6" width="21" style="81" customWidth="1"/>
    <col min="7" max="7" width="11.6640625" style="81" customWidth="1"/>
    <col min="8" max="8" width="7.5" style="81" customWidth="1"/>
    <col min="9" max="9" width="15.5" style="81" customWidth="1"/>
    <col min="10" max="10" width="8.5" style="81" customWidth="1"/>
    <col min="11" max="11" width="8.1640625" style="81" customWidth="1"/>
    <col min="12" max="16384" width="9" style="81"/>
  </cols>
  <sheetData>
    <row r="1" spans="1:11" s="80" customFormat="1" ht="30" customHeight="1">
      <c r="A1" s="374" t="s">
        <v>1048</v>
      </c>
      <c r="B1" s="479"/>
      <c r="C1" s="479"/>
      <c r="D1" s="479"/>
      <c r="E1" s="479"/>
      <c r="F1" s="479"/>
    </row>
    <row r="2" spans="1:11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</row>
    <row r="3" spans="1:11" ht="14.25" customHeight="1">
      <c r="A3" s="40"/>
      <c r="B3" s="40"/>
      <c r="C3" s="40"/>
      <c r="D3" s="40"/>
      <c r="E3" s="40"/>
      <c r="F3" s="178"/>
    </row>
    <row r="4" spans="1:11" ht="14.25" customHeight="1">
      <c r="A4" s="40"/>
      <c r="B4" s="40"/>
      <c r="C4" s="40"/>
      <c r="D4" s="40"/>
      <c r="E4" s="40"/>
      <c r="F4" s="178"/>
    </row>
    <row r="5" spans="1:11" ht="15.75" customHeight="1">
      <c r="A5" s="223" t="str">
        <f>'1-汇总表'!A4</f>
        <v>被评估单位：A有限公司</v>
      </c>
      <c r="B5" s="223"/>
      <c r="C5" s="223"/>
      <c r="D5" s="42"/>
      <c r="E5" s="42"/>
      <c r="F5" s="122"/>
      <c r="G5" s="449" t="s">
        <v>728</v>
      </c>
      <c r="H5" s="449"/>
      <c r="I5" s="449"/>
      <c r="J5" s="562" t="s">
        <v>668</v>
      </c>
      <c r="K5" s="449" t="s">
        <v>669</v>
      </c>
    </row>
    <row r="6" spans="1:11" s="101" customFormat="1" ht="15.75" customHeight="1">
      <c r="A6" s="45" t="s">
        <v>150</v>
      </c>
      <c r="B6" s="45" t="s">
        <v>167</v>
      </c>
      <c r="C6" s="45" t="s">
        <v>158</v>
      </c>
      <c r="D6" s="217" t="s">
        <v>117</v>
      </c>
      <c r="E6" s="45" t="s">
        <v>140</v>
      </c>
      <c r="F6" s="45" t="s">
        <v>156</v>
      </c>
      <c r="G6" s="300" t="s">
        <v>670</v>
      </c>
      <c r="H6" s="302" t="s">
        <v>671</v>
      </c>
      <c r="I6" s="302" t="s">
        <v>672</v>
      </c>
      <c r="J6" s="563"/>
      <c r="K6" s="449"/>
    </row>
    <row r="7" spans="1:11" ht="15.75" customHeight="1">
      <c r="A7" s="8"/>
      <c r="B7" s="7"/>
      <c r="C7" s="146"/>
      <c r="D7" s="243"/>
      <c r="E7" s="31"/>
      <c r="F7" s="7"/>
    </row>
    <row r="8" spans="1:11" ht="15.75" customHeight="1">
      <c r="A8" s="8"/>
      <c r="B8" s="7"/>
      <c r="C8" s="146"/>
      <c r="D8" s="243"/>
      <c r="E8" s="31"/>
      <c r="F8" s="7"/>
    </row>
    <row r="9" spans="1:11" ht="15.75" customHeight="1">
      <c r="A9" s="8"/>
      <c r="B9" s="7"/>
      <c r="C9" s="146"/>
      <c r="D9" s="243"/>
      <c r="E9" s="31"/>
      <c r="F9" s="7"/>
    </row>
    <row r="10" spans="1:11" ht="15.75" customHeight="1">
      <c r="A10" s="8"/>
      <c r="B10" s="7"/>
      <c r="C10" s="146"/>
      <c r="D10" s="243"/>
      <c r="E10" s="31"/>
      <c r="F10" s="7"/>
    </row>
    <row r="11" spans="1:11" ht="15.75" customHeight="1">
      <c r="A11" s="8"/>
      <c r="B11" s="7"/>
      <c r="C11" s="146"/>
      <c r="D11" s="243"/>
      <c r="E11" s="31"/>
      <c r="F11" s="7"/>
    </row>
    <row r="12" spans="1:11" ht="15.75" customHeight="1">
      <c r="A12" s="8"/>
      <c r="B12" s="7"/>
      <c r="C12" s="146"/>
      <c r="D12" s="243"/>
      <c r="E12" s="31"/>
      <c r="F12" s="7"/>
    </row>
    <row r="13" spans="1:11" ht="15.75" customHeight="1">
      <c r="A13" s="8"/>
      <c r="B13" s="7"/>
      <c r="C13" s="146"/>
      <c r="D13" s="243"/>
      <c r="E13" s="31"/>
      <c r="F13" s="7"/>
    </row>
    <row r="14" spans="1:11" ht="15.75" customHeight="1">
      <c r="A14" s="8"/>
      <c r="B14" s="7"/>
      <c r="C14" s="146"/>
      <c r="D14" s="243"/>
      <c r="E14" s="31"/>
      <c r="F14" s="7"/>
    </row>
    <row r="15" spans="1:11" ht="15.75" customHeight="1">
      <c r="A15" s="8"/>
      <c r="B15" s="7"/>
      <c r="C15" s="146"/>
      <c r="D15" s="243"/>
      <c r="E15" s="31"/>
      <c r="F15" s="7"/>
    </row>
    <row r="16" spans="1:11" ht="15.75" customHeight="1">
      <c r="A16" s="8"/>
      <c r="B16" s="7"/>
      <c r="C16" s="146"/>
      <c r="D16" s="243"/>
      <c r="E16" s="31"/>
      <c r="F16" s="7"/>
    </row>
    <row r="17" spans="1:6" ht="15.75" customHeight="1">
      <c r="A17" s="8"/>
      <c r="B17" s="7"/>
      <c r="C17" s="146"/>
      <c r="D17" s="243"/>
      <c r="E17" s="31"/>
      <c r="F17" s="7"/>
    </row>
    <row r="18" spans="1:6" ht="15.75" customHeight="1">
      <c r="A18" s="8"/>
      <c r="B18" s="7"/>
      <c r="C18" s="146"/>
      <c r="D18" s="243"/>
      <c r="E18" s="31"/>
      <c r="F18" s="7"/>
    </row>
    <row r="19" spans="1:6" ht="15.75" customHeight="1">
      <c r="A19" s="8"/>
      <c r="B19" s="7"/>
      <c r="C19" s="146"/>
      <c r="D19" s="243"/>
      <c r="E19" s="31"/>
      <c r="F19" s="7"/>
    </row>
    <row r="20" spans="1:6" ht="15.75" customHeight="1">
      <c r="A20" s="8"/>
      <c r="B20" s="7"/>
      <c r="C20" s="146"/>
      <c r="D20" s="243"/>
      <c r="E20" s="31"/>
      <c r="F20" s="7"/>
    </row>
    <row r="21" spans="1:6" ht="15.75" customHeight="1">
      <c r="A21" s="8"/>
      <c r="B21" s="7"/>
      <c r="C21" s="146"/>
      <c r="D21" s="243"/>
      <c r="E21" s="31"/>
      <c r="F21" s="7"/>
    </row>
    <row r="22" spans="1:6" ht="15.75" customHeight="1">
      <c r="A22" s="8"/>
      <c r="B22" s="7"/>
      <c r="C22" s="146"/>
      <c r="D22" s="243"/>
      <c r="E22" s="31"/>
      <c r="F22" s="7"/>
    </row>
    <row r="23" spans="1:6" ht="15.75" customHeight="1">
      <c r="A23" s="8"/>
      <c r="B23" s="7"/>
      <c r="C23" s="146"/>
      <c r="D23" s="243"/>
      <c r="E23" s="31"/>
      <c r="F23" s="7"/>
    </row>
    <row r="24" spans="1:6" ht="15.75" customHeight="1">
      <c r="A24" s="8"/>
      <c r="B24" s="7"/>
      <c r="C24" s="146"/>
      <c r="D24" s="243"/>
      <c r="E24" s="31"/>
      <c r="F24" s="7"/>
    </row>
    <row r="25" spans="1:6" ht="15.75" customHeight="1">
      <c r="A25" s="8"/>
      <c r="B25" s="7"/>
      <c r="C25" s="146"/>
      <c r="D25" s="243"/>
      <c r="E25" s="31"/>
      <c r="F25" s="7"/>
    </row>
    <row r="26" spans="1:6" ht="15.75" customHeight="1">
      <c r="A26" s="420" t="s">
        <v>534</v>
      </c>
      <c r="B26" s="421"/>
      <c r="C26" s="232"/>
      <c r="D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234"/>
    </row>
    <row r="27" spans="1:6" ht="15.75" hidden="1" customHeight="1">
      <c r="A27" s="8"/>
      <c r="B27" s="7"/>
      <c r="C27" s="146"/>
      <c r="D27" s="243"/>
      <c r="E27" s="31"/>
      <c r="F27" s="7"/>
    </row>
    <row r="28" spans="1:6" ht="15.75" hidden="1" customHeight="1">
      <c r="A28" s="8"/>
      <c r="B28" s="7"/>
      <c r="C28" s="146"/>
      <c r="D28" s="243"/>
      <c r="E28" s="31"/>
      <c r="F28" s="7"/>
    </row>
    <row r="29" spans="1:6" ht="15.75" hidden="1" customHeight="1">
      <c r="A29" s="8"/>
      <c r="B29" s="7"/>
      <c r="C29" s="146"/>
      <c r="D29" s="243"/>
      <c r="E29" s="31"/>
      <c r="F29" s="7"/>
    </row>
    <row r="30" spans="1:6" ht="15.75" hidden="1" customHeight="1">
      <c r="A30" s="8"/>
      <c r="B30" s="7"/>
      <c r="C30" s="146"/>
      <c r="D30" s="243"/>
      <c r="E30" s="31"/>
      <c r="F30" s="7"/>
    </row>
    <row r="31" spans="1:6" ht="15.75" hidden="1" customHeight="1">
      <c r="A31" s="8"/>
      <c r="B31" s="7"/>
      <c r="C31" s="146"/>
      <c r="D31" s="243"/>
      <c r="E31" s="31"/>
      <c r="F31" s="7"/>
    </row>
    <row r="32" spans="1:6" ht="15.75" hidden="1" customHeight="1">
      <c r="A32" s="8"/>
      <c r="B32" s="7"/>
      <c r="C32" s="146"/>
      <c r="D32" s="243"/>
      <c r="E32" s="31"/>
      <c r="F32" s="7"/>
    </row>
    <row r="33" spans="1:6" ht="15.75" hidden="1" customHeight="1">
      <c r="A33" s="8"/>
      <c r="B33" s="7"/>
      <c r="C33" s="146"/>
      <c r="D33" s="243"/>
      <c r="E33" s="31"/>
      <c r="F33" s="7"/>
    </row>
    <row r="34" spans="1:6" ht="15.75" hidden="1" customHeight="1">
      <c r="A34" s="8"/>
      <c r="B34" s="7"/>
      <c r="C34" s="146"/>
      <c r="D34" s="243"/>
      <c r="E34" s="31"/>
      <c r="F34" s="7"/>
    </row>
    <row r="35" spans="1:6" ht="15.75" hidden="1" customHeight="1">
      <c r="A35" s="8"/>
      <c r="B35" s="7"/>
      <c r="C35" s="146"/>
      <c r="D35" s="243"/>
      <c r="E35" s="31"/>
      <c r="F35" s="7"/>
    </row>
    <row r="36" spans="1:6" ht="15.75" hidden="1" customHeight="1">
      <c r="A36" s="8"/>
      <c r="B36" s="7"/>
      <c r="C36" s="146"/>
      <c r="D36" s="243"/>
      <c r="E36" s="31"/>
      <c r="F36" s="7"/>
    </row>
    <row r="37" spans="1:6" ht="15.75" hidden="1" customHeight="1">
      <c r="A37" s="8"/>
      <c r="B37" s="7"/>
      <c r="C37" s="146"/>
      <c r="D37" s="243"/>
      <c r="E37" s="31"/>
      <c r="F37" s="7"/>
    </row>
    <row r="38" spans="1:6" ht="15.75" hidden="1" customHeight="1">
      <c r="A38" s="8"/>
      <c r="B38" s="7"/>
      <c r="C38" s="146"/>
      <c r="D38" s="243"/>
      <c r="E38" s="31"/>
      <c r="F38" s="7"/>
    </row>
    <row r="39" spans="1:6" ht="15.75" hidden="1" customHeight="1">
      <c r="A39" s="8"/>
      <c r="B39" s="7"/>
      <c r="C39" s="146"/>
      <c r="D39" s="243"/>
      <c r="E39" s="31"/>
      <c r="F39" s="7"/>
    </row>
    <row r="40" spans="1:6" ht="15.75" hidden="1" customHeight="1">
      <c r="A40" s="8"/>
      <c r="B40" s="7"/>
      <c r="C40" s="146"/>
      <c r="D40" s="243"/>
      <c r="E40" s="31"/>
      <c r="F40" s="7"/>
    </row>
    <row r="41" spans="1:6" ht="15.75" hidden="1" customHeight="1">
      <c r="A41" s="8"/>
      <c r="B41" s="7"/>
      <c r="C41" s="146"/>
      <c r="D41" s="243"/>
      <c r="E41" s="31"/>
      <c r="F41" s="7"/>
    </row>
    <row r="42" spans="1:6" ht="15.75" hidden="1" customHeight="1">
      <c r="A42" s="8"/>
      <c r="B42" s="7"/>
      <c r="C42" s="146"/>
      <c r="D42" s="243"/>
      <c r="E42" s="31"/>
      <c r="F42" s="7"/>
    </row>
    <row r="43" spans="1:6" ht="15.75" hidden="1" customHeight="1">
      <c r="A43" s="8"/>
      <c r="B43" s="7"/>
      <c r="C43" s="146"/>
      <c r="D43" s="243"/>
      <c r="E43" s="31"/>
      <c r="F43" s="7"/>
    </row>
    <row r="44" spans="1:6" ht="15.75" hidden="1" customHeight="1">
      <c r="A44" s="8"/>
      <c r="B44" s="7"/>
      <c r="C44" s="146"/>
      <c r="D44" s="243"/>
      <c r="E44" s="31"/>
      <c r="F44" s="7"/>
    </row>
    <row r="45" spans="1:6" ht="15.75" hidden="1" customHeight="1">
      <c r="A45" s="8"/>
      <c r="B45" s="7"/>
      <c r="C45" s="146"/>
      <c r="D45" s="243"/>
      <c r="E45" s="31"/>
      <c r="F45" s="7"/>
    </row>
    <row r="46" spans="1:6" ht="15.75" hidden="1" customHeight="1">
      <c r="A46" s="8"/>
      <c r="B46" s="7"/>
      <c r="C46" s="146"/>
      <c r="D46" s="243"/>
      <c r="E46" s="31"/>
      <c r="F46" s="7"/>
    </row>
  </sheetData>
  <mergeCells count="6">
    <mergeCell ref="K5:K6"/>
    <mergeCell ref="A1:F1"/>
    <mergeCell ref="A2:F2"/>
    <mergeCell ref="A26:B26"/>
    <mergeCell ref="G5:I5"/>
    <mergeCell ref="J5:J6"/>
  </mergeCells>
  <phoneticPr fontId="6" type="noConversion"/>
  <printOptions horizontalCentered="1" verticalCentered="1"/>
  <pageMargins left="1.1811023622047245" right="0.70866141732283472" top="0.19685039370078741" bottom="0.59055118110236227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&amp;R&amp;"宋体,常规"&amp;10表6-7
共&amp;N页 第&amp;P页
金额单位：人民币元</oddHeader>
    <oddFooter>&amp;L&amp;10产权持有单位填表人：_x000D_填表日期：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368300</xdr:colOff>
                    <xdr:row>2</xdr:row>
                    <xdr:rowOff>0</xdr:rowOff>
                  </from>
                  <to>
                    <xdr:col>1</xdr:col>
                    <xdr:colOff>850900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1104900</xdr:colOff>
                    <xdr:row>2</xdr:row>
                    <xdr:rowOff>0</xdr:rowOff>
                  </from>
                  <to>
                    <xdr:col>1</xdr:col>
                    <xdr:colOff>2120900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663A1-5343-4C65-89AA-24DF008E13E4}">
  <sheetPr codeName="Sheet76">
    <pageSetUpPr fitToPage="1"/>
  </sheetPr>
  <dimension ref="A1:L46"/>
  <sheetViews>
    <sheetView workbookViewId="0">
      <pane ySplit="6" topLeftCell="A7" activePane="bottomLeft" state="frozen"/>
      <selection activeCell="F17" sqref="F17"/>
      <selection pane="bottomLeft" sqref="A1:IV6"/>
    </sheetView>
  </sheetViews>
  <sheetFormatPr baseColWidth="10" defaultColWidth="9" defaultRowHeight="15.75" customHeight="1"/>
  <cols>
    <col min="1" max="1" width="6.1640625" style="81" customWidth="1"/>
    <col min="2" max="2" width="25.5" style="81" customWidth="1"/>
    <col min="3" max="3" width="13.1640625" style="81" customWidth="1"/>
    <col min="4" max="4" width="18" style="81" customWidth="1"/>
    <col min="5" max="5" width="18.1640625" style="81" customWidth="1"/>
    <col min="6" max="6" width="19" style="81" customWidth="1"/>
    <col min="7" max="7" width="18" style="81" customWidth="1"/>
    <col min="8" max="8" width="9" style="81"/>
    <col min="9" max="9" width="9.1640625" style="81" customWidth="1"/>
    <col min="10" max="10" width="6" style="81" customWidth="1"/>
    <col min="11" max="16384" width="9" style="81"/>
  </cols>
  <sheetData>
    <row r="1" spans="1:12" s="80" customFormat="1" ht="30" customHeight="1">
      <c r="A1" s="374" t="s">
        <v>1049</v>
      </c>
      <c r="B1" s="375"/>
      <c r="C1" s="375"/>
      <c r="D1" s="375"/>
      <c r="E1" s="375"/>
      <c r="F1" s="375"/>
      <c r="G1" s="375"/>
    </row>
    <row r="2" spans="1:12" ht="14.25" customHeight="1">
      <c r="A2" s="376" t="str">
        <f>"评估基准日"&amp;"："&amp;IF(AND('1-汇总表'!D2=""),"",TEXT('1-汇总表'!D2,"YYYY年MM月DD日"))</f>
        <v>评估基准日：2024年12月31日</v>
      </c>
      <c r="B2" s="377"/>
      <c r="C2" s="377"/>
      <c r="D2" s="377"/>
      <c r="E2" s="377"/>
      <c r="F2" s="377"/>
      <c r="G2" s="378"/>
    </row>
    <row r="3" spans="1:12" ht="14.25" customHeight="1">
      <c r="A3" s="40"/>
      <c r="B3" s="40"/>
      <c r="C3" s="40"/>
      <c r="D3" s="40"/>
      <c r="E3" s="40"/>
      <c r="F3" s="40"/>
      <c r="G3" s="178"/>
    </row>
    <row r="4" spans="1:12" ht="14.25" customHeight="1">
      <c r="A4" s="40"/>
      <c r="B4" s="40"/>
      <c r="C4" s="40"/>
      <c r="D4" s="40"/>
      <c r="E4" s="40"/>
      <c r="F4" s="40"/>
      <c r="G4" s="178"/>
    </row>
    <row r="5" spans="1:12" ht="15.75" customHeight="1">
      <c r="A5" s="223" t="str">
        <f>'1-汇总表'!A4</f>
        <v>被评估单位：A有限公司</v>
      </c>
      <c r="B5" s="223"/>
      <c r="C5" s="223"/>
      <c r="D5" s="223"/>
      <c r="E5" s="42"/>
      <c r="F5" s="42"/>
      <c r="G5" s="122"/>
      <c r="H5" s="298" t="s">
        <v>622</v>
      </c>
      <c r="I5" s="574" t="s">
        <v>659</v>
      </c>
      <c r="J5" s="296" t="s">
        <v>693</v>
      </c>
      <c r="K5" s="562" t="s">
        <v>641</v>
      </c>
      <c r="L5" s="562" t="s">
        <v>642</v>
      </c>
    </row>
    <row r="6" spans="1:12" s="101" customFormat="1" ht="15.75" customHeight="1">
      <c r="A6" s="45" t="s">
        <v>150</v>
      </c>
      <c r="B6" s="45" t="s">
        <v>157</v>
      </c>
      <c r="C6" s="45" t="s">
        <v>158</v>
      </c>
      <c r="D6" s="45" t="s">
        <v>160</v>
      </c>
      <c r="E6" s="217" t="s">
        <v>117</v>
      </c>
      <c r="F6" s="45" t="s">
        <v>140</v>
      </c>
      <c r="G6" s="45" t="s">
        <v>156</v>
      </c>
      <c r="H6" s="298" t="s">
        <v>596</v>
      </c>
      <c r="I6" s="581"/>
      <c r="J6" s="296" t="s">
        <v>597</v>
      </c>
      <c r="K6" s="563"/>
      <c r="L6" s="563"/>
    </row>
    <row r="7" spans="1:12" ht="15.75" customHeight="1">
      <c r="A7" s="8"/>
      <c r="B7" s="7"/>
      <c r="C7" s="146"/>
      <c r="D7" s="8"/>
      <c r="E7" s="243"/>
      <c r="F7" s="31"/>
      <c r="G7" s="7"/>
    </row>
    <row r="8" spans="1:12" ht="15.75" customHeight="1">
      <c r="A8" s="8"/>
      <c r="B8" s="7"/>
      <c r="C8" s="146"/>
      <c r="D8" s="8"/>
      <c r="E8" s="243"/>
      <c r="F8" s="31"/>
      <c r="G8" s="7"/>
    </row>
    <row r="9" spans="1:12" ht="15.75" customHeight="1">
      <c r="A9" s="8"/>
      <c r="B9" s="7"/>
      <c r="C9" s="146"/>
      <c r="D9" s="8"/>
      <c r="E9" s="243"/>
      <c r="F9" s="31"/>
      <c r="G9" s="7"/>
    </row>
    <row r="10" spans="1:12" ht="15.75" customHeight="1">
      <c r="A10" s="8"/>
      <c r="B10" s="7"/>
      <c r="C10" s="146"/>
      <c r="D10" s="8"/>
      <c r="E10" s="243"/>
      <c r="F10" s="31"/>
      <c r="G10" s="7"/>
    </row>
    <row r="11" spans="1:12" ht="15.75" customHeight="1">
      <c r="A11" s="8"/>
      <c r="B11" s="7"/>
      <c r="C11" s="146"/>
      <c r="D11" s="8"/>
      <c r="E11" s="243"/>
      <c r="F11" s="31"/>
      <c r="G11" s="7"/>
    </row>
    <row r="12" spans="1:12" ht="15.75" customHeight="1">
      <c r="A12" s="8"/>
      <c r="B12" s="7"/>
      <c r="C12" s="146"/>
      <c r="D12" s="8"/>
      <c r="E12" s="243"/>
      <c r="F12" s="31"/>
      <c r="G12" s="7"/>
    </row>
    <row r="13" spans="1:12" ht="15.75" customHeight="1">
      <c r="A13" s="8"/>
      <c r="B13" s="7"/>
      <c r="C13" s="146"/>
      <c r="D13" s="8"/>
      <c r="E13" s="243"/>
      <c r="F13" s="31"/>
      <c r="G13" s="7"/>
    </row>
    <row r="14" spans="1:12" ht="15.75" customHeight="1">
      <c r="A14" s="8"/>
      <c r="B14" s="7"/>
      <c r="C14" s="146"/>
      <c r="D14" s="8"/>
      <c r="E14" s="243"/>
      <c r="F14" s="31"/>
      <c r="G14" s="7"/>
    </row>
    <row r="15" spans="1:12" ht="15.75" customHeight="1">
      <c r="A15" s="8"/>
      <c r="B15" s="7"/>
      <c r="C15" s="146"/>
      <c r="D15" s="8"/>
      <c r="E15" s="243"/>
      <c r="F15" s="31"/>
      <c r="G15" s="7"/>
    </row>
    <row r="16" spans="1:12" ht="15.75" customHeight="1">
      <c r="A16" s="8"/>
      <c r="B16" s="7"/>
      <c r="C16" s="146"/>
      <c r="D16" s="8"/>
      <c r="E16" s="243"/>
      <c r="F16" s="31"/>
      <c r="G16" s="7"/>
    </row>
    <row r="17" spans="1:7" ht="15.75" customHeight="1">
      <c r="A17" s="8"/>
      <c r="B17" s="7"/>
      <c r="C17" s="146"/>
      <c r="D17" s="8"/>
      <c r="E17" s="243"/>
      <c r="F17" s="31"/>
      <c r="G17" s="7"/>
    </row>
    <row r="18" spans="1:7" ht="15.75" customHeight="1">
      <c r="A18" s="8"/>
      <c r="B18" s="7"/>
      <c r="C18" s="146"/>
      <c r="D18" s="8"/>
      <c r="E18" s="243"/>
      <c r="F18" s="31"/>
      <c r="G18" s="7"/>
    </row>
    <row r="19" spans="1:7" ht="15.75" customHeight="1">
      <c r="A19" s="8"/>
      <c r="B19" s="7"/>
      <c r="C19" s="146"/>
      <c r="D19" s="8"/>
      <c r="E19" s="243"/>
      <c r="F19" s="31"/>
      <c r="G19" s="7"/>
    </row>
    <row r="20" spans="1:7" ht="15.75" customHeight="1">
      <c r="A20" s="8"/>
      <c r="B20" s="7"/>
      <c r="C20" s="146"/>
      <c r="D20" s="8"/>
      <c r="E20" s="243"/>
      <c r="F20" s="31"/>
      <c r="G20" s="7"/>
    </row>
    <row r="21" spans="1:7" ht="15.75" customHeight="1">
      <c r="A21" s="8"/>
      <c r="B21" s="7"/>
      <c r="C21" s="146"/>
      <c r="D21" s="8"/>
      <c r="E21" s="243"/>
      <c r="F21" s="31"/>
      <c r="G21" s="7"/>
    </row>
    <row r="22" spans="1:7" ht="15.75" customHeight="1">
      <c r="A22" s="8"/>
      <c r="B22" s="7"/>
      <c r="C22" s="146"/>
      <c r="D22" s="8"/>
      <c r="E22" s="243"/>
      <c r="F22" s="31"/>
      <c r="G22" s="7"/>
    </row>
    <row r="23" spans="1:7" ht="15.75" customHeight="1">
      <c r="A23" s="8"/>
      <c r="B23" s="7"/>
      <c r="C23" s="146"/>
      <c r="D23" s="8"/>
      <c r="E23" s="243"/>
      <c r="F23" s="31"/>
      <c r="G23" s="7"/>
    </row>
    <row r="24" spans="1:7" ht="15.75" customHeight="1">
      <c r="A24" s="8"/>
      <c r="B24" s="7"/>
      <c r="C24" s="146"/>
      <c r="D24" s="8"/>
      <c r="E24" s="243"/>
      <c r="F24" s="243"/>
      <c r="G24" s="7"/>
    </row>
    <row r="25" spans="1:7" ht="15.75" customHeight="1">
      <c r="A25" s="8"/>
      <c r="B25" s="7"/>
      <c r="C25" s="146"/>
      <c r="D25" s="8"/>
      <c r="E25" s="243"/>
      <c r="F25" s="243"/>
      <c r="G25" s="7"/>
    </row>
    <row r="26" spans="1:7" ht="15.75" customHeight="1">
      <c r="A26" s="420" t="s">
        <v>534</v>
      </c>
      <c r="B26" s="421"/>
      <c r="C26" s="232"/>
      <c r="D26" s="237"/>
      <c r="E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F26" s="31" t="str">
        <f ca="1">IF(SUM(INDIRECT(CHAR(64+COLUMN())&amp;"1:"&amp;CHAR(64+COLUMN())&amp;ROW()-1))-SUMIF(INDIRECT("$A$1:A"&amp;ROW()-1),"",INDIRECT(CHAR(64+COLUMN())&amp;"1:"&amp;CHAR(64+COLUMN())&amp;ROW()-1))*2=0,"",SUM(INDIRECT(CHAR(64+COLUMN())&amp;"1:"&amp;CHAR(64+COLUMN())&amp;ROW()-1))-SUMIF(INDIRECT("$A$1:A"&amp;ROW()-1),"小计",INDIRECT(CHAR(64+COLUMN())&amp;"1:"&amp;CHAR(64+COLUMN())&amp;ROW()-1))*2)</f>
        <v/>
      </c>
      <c r="G26" s="234"/>
    </row>
    <row r="27" spans="1:7" ht="15.75" hidden="1" customHeight="1">
      <c r="A27" s="8"/>
      <c r="B27" s="7"/>
      <c r="C27" s="146"/>
      <c r="D27" s="8"/>
      <c r="E27" s="243"/>
      <c r="F27" s="31"/>
      <c r="G27" s="7"/>
    </row>
    <row r="28" spans="1:7" ht="15.75" hidden="1" customHeight="1">
      <c r="A28" s="8"/>
      <c r="B28" s="7"/>
      <c r="C28" s="146"/>
      <c r="D28" s="8"/>
      <c r="E28" s="243"/>
      <c r="F28" s="31"/>
      <c r="G28" s="7"/>
    </row>
    <row r="29" spans="1:7" ht="15.75" hidden="1" customHeight="1">
      <c r="A29" s="8"/>
      <c r="B29" s="7"/>
      <c r="C29" s="146"/>
      <c r="D29" s="8"/>
      <c r="E29" s="243"/>
      <c r="F29" s="31"/>
      <c r="G29" s="7"/>
    </row>
    <row r="30" spans="1:7" ht="15.75" hidden="1" customHeight="1">
      <c r="A30" s="8"/>
      <c r="B30" s="7"/>
      <c r="C30" s="146"/>
      <c r="D30" s="8"/>
      <c r="E30" s="243"/>
      <c r="F30" s="31"/>
      <c r="G30" s="7"/>
    </row>
    <row r="31" spans="1:7" ht="15.75" hidden="1" customHeight="1">
      <c r="A31" s="8"/>
      <c r="B31" s="7"/>
      <c r="C31" s="146"/>
      <c r="D31" s="8"/>
      <c r="E31" s="243"/>
      <c r="F31" s="31"/>
      <c r="G31" s="7"/>
    </row>
    <row r="32" spans="1:7" ht="15.75" hidden="1" customHeight="1">
      <c r="A32" s="8"/>
      <c r="B32" s="7"/>
      <c r="C32" s="146"/>
      <c r="D32" s="8"/>
      <c r="E32" s="243"/>
      <c r="F32" s="31"/>
      <c r="G32" s="7"/>
    </row>
    <row r="33" spans="1:7" ht="15.75" hidden="1" customHeight="1">
      <c r="A33" s="8"/>
      <c r="B33" s="7"/>
      <c r="C33" s="146"/>
      <c r="D33" s="8"/>
      <c r="E33" s="243"/>
      <c r="F33" s="31"/>
      <c r="G33" s="7"/>
    </row>
    <row r="34" spans="1:7" ht="15.75" hidden="1" customHeight="1">
      <c r="A34" s="8"/>
      <c r="B34" s="7"/>
      <c r="C34" s="146"/>
      <c r="D34" s="8"/>
      <c r="E34" s="243"/>
      <c r="F34" s="31"/>
      <c r="G34" s="7"/>
    </row>
    <row r="35" spans="1:7" ht="15.75" hidden="1" customHeight="1">
      <c r="A35" s="8"/>
      <c r="B35" s="7"/>
      <c r="C35" s="146"/>
      <c r="D35" s="8"/>
      <c r="E35" s="243"/>
      <c r="F35" s="31"/>
      <c r="G35" s="7"/>
    </row>
    <row r="36" spans="1:7" ht="15.75" hidden="1" customHeight="1">
      <c r="A36" s="8"/>
      <c r="B36" s="7"/>
      <c r="C36" s="146"/>
      <c r="D36" s="8"/>
      <c r="E36" s="243"/>
      <c r="F36" s="31"/>
      <c r="G36" s="7"/>
    </row>
    <row r="37" spans="1:7" ht="15.75" hidden="1" customHeight="1">
      <c r="A37" s="8"/>
      <c r="B37" s="7"/>
      <c r="C37" s="146"/>
      <c r="D37" s="8"/>
      <c r="E37" s="243"/>
      <c r="F37" s="31"/>
      <c r="G37" s="7"/>
    </row>
    <row r="38" spans="1:7" ht="15.75" hidden="1" customHeight="1">
      <c r="A38" s="8"/>
      <c r="B38" s="7"/>
      <c r="C38" s="146"/>
      <c r="D38" s="8"/>
      <c r="E38" s="243"/>
      <c r="F38" s="31"/>
      <c r="G38" s="7"/>
    </row>
    <row r="39" spans="1:7" ht="15.75" hidden="1" customHeight="1">
      <c r="A39" s="8"/>
      <c r="B39" s="7"/>
      <c r="C39" s="146"/>
      <c r="D39" s="8"/>
      <c r="E39" s="243"/>
      <c r="F39" s="31"/>
      <c r="G39" s="7"/>
    </row>
    <row r="40" spans="1:7" ht="15.75" hidden="1" customHeight="1">
      <c r="A40" s="8"/>
      <c r="B40" s="7"/>
      <c r="C40" s="146"/>
      <c r="D40" s="8"/>
      <c r="E40" s="243"/>
      <c r="F40" s="31"/>
      <c r="G40" s="7"/>
    </row>
    <row r="41" spans="1:7" ht="15.75" hidden="1" customHeight="1">
      <c r="A41" s="8"/>
      <c r="B41" s="7"/>
      <c r="C41" s="146"/>
      <c r="D41" s="8"/>
      <c r="E41" s="243"/>
      <c r="F41" s="31"/>
      <c r="G41" s="7"/>
    </row>
    <row r="42" spans="1:7" ht="15.75" hidden="1" customHeight="1">
      <c r="A42" s="8"/>
      <c r="B42" s="7"/>
      <c r="C42" s="146"/>
      <c r="D42" s="8"/>
      <c r="E42" s="243"/>
      <c r="F42" s="31"/>
      <c r="G42" s="7"/>
    </row>
    <row r="43" spans="1:7" ht="15.75" hidden="1" customHeight="1">
      <c r="A43" s="8"/>
      <c r="B43" s="7"/>
      <c r="C43" s="146"/>
      <c r="D43" s="8"/>
      <c r="E43" s="243"/>
      <c r="F43" s="31"/>
      <c r="G43" s="7"/>
    </row>
    <row r="44" spans="1:7" ht="15.75" hidden="1" customHeight="1">
      <c r="A44" s="8"/>
      <c r="B44" s="7"/>
      <c r="C44" s="146"/>
      <c r="D44" s="8"/>
      <c r="E44" s="243"/>
      <c r="F44" s="31"/>
      <c r="G44" s="7"/>
    </row>
    <row r="45" spans="1:7" ht="15.75" hidden="1" customHeight="1">
      <c r="A45" s="8"/>
      <c r="B45" s="7"/>
      <c r="C45" s="146"/>
      <c r="D45" s="8"/>
      <c r="E45" s="243"/>
      <c r="F45" s="31"/>
      <c r="G45" s="7"/>
    </row>
    <row r="46" spans="1:7" ht="15.75" hidden="1" customHeight="1">
      <c r="A46" s="8"/>
      <c r="B46" s="7"/>
      <c r="C46" s="146"/>
      <c r="D46" s="8"/>
      <c r="E46" s="243"/>
      <c r="F46" s="31"/>
      <c r="G46" s="7"/>
    </row>
  </sheetData>
  <mergeCells count="6">
    <mergeCell ref="L5:L6"/>
    <mergeCell ref="A1:G1"/>
    <mergeCell ref="A2:G2"/>
    <mergeCell ref="A26:B26"/>
    <mergeCell ref="I5:I6"/>
    <mergeCell ref="K5:K6"/>
  </mergeCells>
  <phoneticPr fontId="6" type="noConversion"/>
  <printOptions horizontalCentered="1" verticalCentered="1"/>
  <pageMargins left="1.0629921259842521" right="0.78740157480314965" top="0.27559055118110237" bottom="0.6692913385826772" header="1.7716535433070868" footer="1.1811023622047245"/>
  <pageSetup paperSize="9" fitToHeight="0" orientation="landscape" blackAndWhite="1" horizontalDpi="1200" verticalDpi="1200" r:id="rId1"/>
  <headerFooter scaleWithDoc="0">
    <oddHeader>&amp;R&amp;"宋体,常规"&amp;10表6-8
共&amp;N页 第&amp;P页
金额单位：人民币元</oddHeader>
    <oddFooter>&amp;L&amp;10产权持有单位填表人：_x000D_填表日期：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OpenFun">
                <anchor moveWithCells="1" sizeWithCells="1">
                  <from>
                    <xdr:col>0</xdr:col>
                    <xdr:colOff>355600</xdr:colOff>
                    <xdr:row>2</xdr:row>
                    <xdr:rowOff>0</xdr:rowOff>
                  </from>
                  <to>
                    <xdr:col>1</xdr:col>
                    <xdr:colOff>914400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SetFun">
                <anchor moveWithCells="1" sizeWithCells="1">
                  <from>
                    <xdr:col>1</xdr:col>
                    <xdr:colOff>1181100</xdr:colOff>
                    <xdr:row>2</xdr:row>
                    <xdr:rowOff>0</xdr:rowOff>
                  </from>
                  <to>
                    <xdr:col>2</xdr:col>
                    <xdr:colOff>254000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98</vt:i4>
      </vt:variant>
      <vt:variant>
        <vt:lpstr>命名范围</vt:lpstr>
      </vt:variant>
      <vt:variant>
        <vt:i4>183</vt:i4>
      </vt:variant>
    </vt:vector>
  </HeadingPairs>
  <TitlesOfParts>
    <vt:vector size="281" baseType="lpstr">
      <vt:lpstr>参数设置</vt:lpstr>
      <vt:lpstr>1-汇总表</vt:lpstr>
      <vt:lpstr>2-分类汇总</vt:lpstr>
      <vt:lpstr>3-流动汇总</vt:lpstr>
      <vt:lpstr>表3-1货币汇总表</vt:lpstr>
      <vt:lpstr>3-2交易性金融资产汇总</vt:lpstr>
      <vt:lpstr>3-1-1现金</vt:lpstr>
      <vt:lpstr>3-1-2银行存款</vt:lpstr>
      <vt:lpstr>3-1-3其他货币资金</vt:lpstr>
      <vt:lpstr>3-2-1交易性-股票</vt:lpstr>
      <vt:lpstr>3-2-2交易性-债券</vt:lpstr>
      <vt:lpstr>3-2-3交易性-基金</vt:lpstr>
      <vt:lpstr>3-2-4交易性-其他</vt:lpstr>
      <vt:lpstr>3-3衍生金融资产</vt:lpstr>
      <vt:lpstr>3-4应收票据</vt:lpstr>
      <vt:lpstr>3-5应收账款</vt:lpstr>
      <vt:lpstr>3-7预付账款</vt:lpstr>
      <vt:lpstr>3-8应收利息</vt:lpstr>
      <vt:lpstr>3-9应收股利</vt:lpstr>
      <vt:lpstr>3-10其他应收款</vt:lpstr>
      <vt:lpstr>3-11存货汇总</vt:lpstr>
      <vt:lpstr>3-11-1材料采购（在途物资）</vt:lpstr>
      <vt:lpstr>3-11-2原材料</vt:lpstr>
      <vt:lpstr>3-11-3在库周转材料</vt:lpstr>
      <vt:lpstr>3-11-4委托加工物资</vt:lpstr>
      <vt:lpstr>3-11-5产成品（库存商品）</vt:lpstr>
      <vt:lpstr>3-11-6在产品（自制半成品）</vt:lpstr>
      <vt:lpstr>3-11-7发出商品</vt:lpstr>
      <vt:lpstr>3-11-8在用周转材料</vt:lpstr>
      <vt:lpstr>3-6应收款项融资</vt:lpstr>
      <vt:lpstr>3-14一年到期非流动资产</vt:lpstr>
      <vt:lpstr>3-12合同资产</vt:lpstr>
      <vt:lpstr>3-13持有待售资产</vt:lpstr>
      <vt:lpstr>3-15其他流动资产</vt:lpstr>
      <vt:lpstr>4-非流动资产汇总</vt:lpstr>
      <vt:lpstr>4-1可供出售金融资产汇总</vt:lpstr>
      <vt:lpstr>4-1-1可出售-股票</vt:lpstr>
      <vt:lpstr>4-1-2可出售-债券</vt:lpstr>
      <vt:lpstr>4-1-3可出售-其他</vt:lpstr>
      <vt:lpstr>4-2持有至到期投资</vt:lpstr>
      <vt:lpstr>4-3长期应收</vt:lpstr>
      <vt:lpstr>4-4股权投资</vt:lpstr>
      <vt:lpstr>4-5其他权益工具投资</vt:lpstr>
      <vt:lpstr>4-6其他非流动金融资产</vt:lpstr>
      <vt:lpstr>4-7-1投资性房地产</vt:lpstr>
      <vt:lpstr>4-7-2投资性房地产</vt:lpstr>
      <vt:lpstr>4-7-3投资性地产</vt:lpstr>
      <vt:lpstr>4-7-4投资性地产</vt:lpstr>
      <vt:lpstr>4-8固定资产汇总</vt:lpstr>
      <vt:lpstr>4-8-1房屋建筑物</vt:lpstr>
      <vt:lpstr>4-8-2构筑物</vt:lpstr>
      <vt:lpstr>4-8-3管道沟槽</vt:lpstr>
      <vt:lpstr>4-8-4机器设备</vt:lpstr>
      <vt:lpstr>4-8-5车辆</vt:lpstr>
      <vt:lpstr>4-8-6电子设备</vt:lpstr>
      <vt:lpstr>4-8-7土地</vt:lpstr>
      <vt:lpstr>4-9在建工程汇总</vt:lpstr>
      <vt:lpstr>4-9-1在建（土建）</vt:lpstr>
      <vt:lpstr>4-9-2在建（设备）</vt:lpstr>
      <vt:lpstr>4-10工程物资</vt:lpstr>
      <vt:lpstr>4-11固定资产清理</vt:lpstr>
      <vt:lpstr>4-12生产性生物资产</vt:lpstr>
      <vt:lpstr>4-13油气资产</vt:lpstr>
      <vt:lpstr>4-14使用权资产</vt:lpstr>
      <vt:lpstr>4-15无形资产汇总</vt:lpstr>
      <vt:lpstr>4-15-1无形-土地</vt:lpstr>
      <vt:lpstr>4-15-2无形-矿业权</vt:lpstr>
      <vt:lpstr>4-15-3无形-其他</vt:lpstr>
      <vt:lpstr>4-16开发支出</vt:lpstr>
      <vt:lpstr>4-17商誉</vt:lpstr>
      <vt:lpstr>4-18长期待摊费用</vt:lpstr>
      <vt:lpstr>4-19递延所得税资产</vt:lpstr>
      <vt:lpstr>4-20其他非流动资产</vt:lpstr>
      <vt:lpstr>5-流动负债汇总</vt:lpstr>
      <vt:lpstr>5-1短期借款</vt:lpstr>
      <vt:lpstr>5-2交易性金融负债</vt:lpstr>
      <vt:lpstr>5-3衍生金融负债</vt:lpstr>
      <vt:lpstr>5-4应付票据</vt:lpstr>
      <vt:lpstr>5-5应付账款</vt:lpstr>
      <vt:lpstr>5-6预收账款</vt:lpstr>
      <vt:lpstr>5-7合同负债</vt:lpstr>
      <vt:lpstr>5-8职工薪酬</vt:lpstr>
      <vt:lpstr>5-9应交税费</vt:lpstr>
      <vt:lpstr>5-10应付利息</vt:lpstr>
      <vt:lpstr>5-11应付股利（利润）</vt:lpstr>
      <vt:lpstr>5-12其他应付款</vt:lpstr>
      <vt:lpstr>5-13持有待售负债</vt:lpstr>
      <vt:lpstr>5-14一年到期非流动负债</vt:lpstr>
      <vt:lpstr>5-15其他流动负债</vt:lpstr>
      <vt:lpstr>6-非流动负债汇总 </vt:lpstr>
      <vt:lpstr>6-1长期借款</vt:lpstr>
      <vt:lpstr>6-2应付债券</vt:lpstr>
      <vt:lpstr>6-3租赁负债</vt:lpstr>
      <vt:lpstr>6-4长期应付款</vt:lpstr>
      <vt:lpstr>6-5专项应付款</vt:lpstr>
      <vt:lpstr>6-6预计负债</vt:lpstr>
      <vt:lpstr>6-7递延所得税负债</vt:lpstr>
      <vt:lpstr>6-8其他非流动负债</vt:lpstr>
      <vt:lpstr>_1_汇总表</vt:lpstr>
      <vt:lpstr>'1-汇总表'!Print_Area</vt:lpstr>
      <vt:lpstr>'2-分类汇总'!Print_Area</vt:lpstr>
      <vt:lpstr>'3-10其他应收款'!Print_Area</vt:lpstr>
      <vt:lpstr>'3-11-1材料采购（在途物资）'!Print_Area</vt:lpstr>
      <vt:lpstr>'3-11-2原材料'!Print_Area</vt:lpstr>
      <vt:lpstr>'3-11-3在库周转材料'!Print_Area</vt:lpstr>
      <vt:lpstr>'3-11-4委托加工物资'!Print_Area</vt:lpstr>
      <vt:lpstr>'3-11-5产成品（库存商品）'!Print_Area</vt:lpstr>
      <vt:lpstr>'3-11-6在产品（自制半成品）'!Print_Area</vt:lpstr>
      <vt:lpstr>'3-11-7发出商品'!Print_Area</vt:lpstr>
      <vt:lpstr>'3-11-8在用周转材料'!Print_Area</vt:lpstr>
      <vt:lpstr>'3-11存货汇总'!Print_Area</vt:lpstr>
      <vt:lpstr>'3-1-1现金'!Print_Area</vt:lpstr>
      <vt:lpstr>'3-12合同资产'!Print_Area</vt:lpstr>
      <vt:lpstr>'3-1-2银行存款'!Print_Area</vt:lpstr>
      <vt:lpstr>'3-13持有待售资产'!Print_Area</vt:lpstr>
      <vt:lpstr>'3-1-3其他货币资金'!Print_Area</vt:lpstr>
      <vt:lpstr>'3-14一年到期非流动资产'!Print_Area</vt:lpstr>
      <vt:lpstr>'3-15其他流动资产'!Print_Area</vt:lpstr>
      <vt:lpstr>'3-2-1交易性-股票'!Print_Area</vt:lpstr>
      <vt:lpstr>'3-2-2交易性-债券'!Print_Area</vt:lpstr>
      <vt:lpstr>'3-2-3交易性-基金'!Print_Area</vt:lpstr>
      <vt:lpstr>'3-2-4交易性-其他'!Print_Area</vt:lpstr>
      <vt:lpstr>'3-2交易性金融资产汇总'!Print_Area</vt:lpstr>
      <vt:lpstr>'3-3衍生金融资产'!Print_Area</vt:lpstr>
      <vt:lpstr>'3-4应收票据'!Print_Area</vt:lpstr>
      <vt:lpstr>'3-5应收账款'!Print_Area</vt:lpstr>
      <vt:lpstr>'3-6应收款项融资'!Print_Area</vt:lpstr>
      <vt:lpstr>'3-7预付账款'!Print_Area</vt:lpstr>
      <vt:lpstr>'3-8应收利息'!Print_Area</vt:lpstr>
      <vt:lpstr>'3-9应收股利'!Print_Area</vt:lpstr>
      <vt:lpstr>'3-流动汇总'!Print_Area</vt:lpstr>
      <vt:lpstr>'4-10工程物资'!Print_Area</vt:lpstr>
      <vt:lpstr>'4-11固定资产清理'!Print_Area</vt:lpstr>
      <vt:lpstr>'4-1-1可出售-股票'!Print_Area</vt:lpstr>
      <vt:lpstr>'4-1-2可出售-债券'!Print_Area</vt:lpstr>
      <vt:lpstr>'4-12生产性生物资产'!Print_Area</vt:lpstr>
      <vt:lpstr>'4-1-3可出售-其他'!Print_Area</vt:lpstr>
      <vt:lpstr>'4-13油气资产'!Print_Area</vt:lpstr>
      <vt:lpstr>'4-14使用权资产'!Print_Area</vt:lpstr>
      <vt:lpstr>'4-15-1无形-土地'!Print_Area</vt:lpstr>
      <vt:lpstr>'4-15-2无形-矿业权'!Print_Area</vt:lpstr>
      <vt:lpstr>'4-15-3无形-其他'!Print_Area</vt:lpstr>
      <vt:lpstr>'4-15无形资产汇总'!Print_Area</vt:lpstr>
      <vt:lpstr>'4-16开发支出'!Print_Area</vt:lpstr>
      <vt:lpstr>'4-17商誉'!Print_Area</vt:lpstr>
      <vt:lpstr>'4-18长期待摊费用'!Print_Area</vt:lpstr>
      <vt:lpstr>'4-19递延所得税资产'!Print_Area</vt:lpstr>
      <vt:lpstr>'4-1可供出售金融资产汇总'!Print_Area</vt:lpstr>
      <vt:lpstr>'4-20其他非流动资产'!Print_Area</vt:lpstr>
      <vt:lpstr>'4-2持有至到期投资'!Print_Area</vt:lpstr>
      <vt:lpstr>'4-3长期应收'!Print_Area</vt:lpstr>
      <vt:lpstr>'4-4股权投资'!Print_Area</vt:lpstr>
      <vt:lpstr>'4-5其他权益工具投资'!Print_Area</vt:lpstr>
      <vt:lpstr>'4-6其他非流动金融资产'!Print_Area</vt:lpstr>
      <vt:lpstr>'4-7-1投资性房地产'!Print_Area</vt:lpstr>
      <vt:lpstr>'4-7-2投资性房地产'!Print_Area</vt:lpstr>
      <vt:lpstr>'4-7-3投资性地产'!Print_Area</vt:lpstr>
      <vt:lpstr>'4-7-4投资性地产'!Print_Area</vt:lpstr>
      <vt:lpstr>'4-8-1房屋建筑物'!Print_Area</vt:lpstr>
      <vt:lpstr>'4-8-2构筑物'!Print_Area</vt:lpstr>
      <vt:lpstr>'4-8-3管道沟槽'!Print_Area</vt:lpstr>
      <vt:lpstr>'4-8-4机器设备'!Print_Area</vt:lpstr>
      <vt:lpstr>'4-8-5车辆'!Print_Area</vt:lpstr>
      <vt:lpstr>'4-8-6电子设备'!Print_Area</vt:lpstr>
      <vt:lpstr>'4-8-7土地'!Print_Area</vt:lpstr>
      <vt:lpstr>'4-8固定资产汇总'!Print_Area</vt:lpstr>
      <vt:lpstr>'4-9-1在建（土建）'!Print_Area</vt:lpstr>
      <vt:lpstr>'4-9-2在建（设备）'!Print_Area</vt:lpstr>
      <vt:lpstr>'4-9在建工程汇总'!Print_Area</vt:lpstr>
      <vt:lpstr>'4-非流动资产汇总'!Print_Area</vt:lpstr>
      <vt:lpstr>'5-10应付利息'!Print_Area</vt:lpstr>
      <vt:lpstr>'5-11应付股利（利润）'!Print_Area</vt:lpstr>
      <vt:lpstr>'5-12其他应付款'!Print_Area</vt:lpstr>
      <vt:lpstr>'5-13持有待售负债'!Print_Area</vt:lpstr>
      <vt:lpstr>'5-14一年到期非流动负债'!Print_Area</vt:lpstr>
      <vt:lpstr>'5-15其他流动负债'!Print_Area</vt:lpstr>
      <vt:lpstr>'5-1短期借款'!Print_Area</vt:lpstr>
      <vt:lpstr>'5-2交易性金融负债'!Print_Area</vt:lpstr>
      <vt:lpstr>'5-3衍生金融负债'!Print_Area</vt:lpstr>
      <vt:lpstr>'5-4应付票据'!Print_Area</vt:lpstr>
      <vt:lpstr>'5-5应付账款'!Print_Area</vt:lpstr>
      <vt:lpstr>'5-6预收账款'!Print_Area</vt:lpstr>
      <vt:lpstr>'5-7合同负债'!Print_Area</vt:lpstr>
      <vt:lpstr>'5-8职工薪酬'!Print_Area</vt:lpstr>
      <vt:lpstr>'5-9应交税费'!Print_Area</vt:lpstr>
      <vt:lpstr>'5-流动负债汇总'!Print_Area</vt:lpstr>
      <vt:lpstr>'6-1长期借款'!Print_Area</vt:lpstr>
      <vt:lpstr>'6-2应付债券'!Print_Area</vt:lpstr>
      <vt:lpstr>'6-3租赁负债'!Print_Area</vt:lpstr>
      <vt:lpstr>'6-4长期应付款'!Print_Area</vt:lpstr>
      <vt:lpstr>'6-5专项应付款'!Print_Area</vt:lpstr>
      <vt:lpstr>'6-6预计负债'!Print_Area</vt:lpstr>
      <vt:lpstr>'6-7递延所得税负债'!Print_Area</vt:lpstr>
      <vt:lpstr>'6-8其他非流动负债'!Print_Area</vt:lpstr>
      <vt:lpstr>'6-非流动负债汇总 '!Print_Area</vt:lpstr>
      <vt:lpstr>'表3-1货币汇总表'!Print_Area</vt:lpstr>
      <vt:lpstr>'1-汇总表'!Print_Titles</vt:lpstr>
      <vt:lpstr>'2-分类汇总'!Print_Titles</vt:lpstr>
      <vt:lpstr>'3-10其他应收款'!Print_Titles</vt:lpstr>
      <vt:lpstr>'3-11-1材料采购（在途物资）'!Print_Titles</vt:lpstr>
      <vt:lpstr>'3-11-2原材料'!Print_Titles</vt:lpstr>
      <vt:lpstr>'3-11-3在库周转材料'!Print_Titles</vt:lpstr>
      <vt:lpstr>'3-11-4委托加工物资'!Print_Titles</vt:lpstr>
      <vt:lpstr>'3-11-5产成品（库存商品）'!Print_Titles</vt:lpstr>
      <vt:lpstr>'3-11-6在产品（自制半成品）'!Print_Titles</vt:lpstr>
      <vt:lpstr>'3-11-7发出商品'!Print_Titles</vt:lpstr>
      <vt:lpstr>'3-11-8在用周转材料'!Print_Titles</vt:lpstr>
      <vt:lpstr>'3-1-1现金'!Print_Titles</vt:lpstr>
      <vt:lpstr>'3-12合同资产'!Print_Titles</vt:lpstr>
      <vt:lpstr>'3-1-2银行存款'!Print_Titles</vt:lpstr>
      <vt:lpstr>'3-13持有待售资产'!Print_Titles</vt:lpstr>
      <vt:lpstr>'3-1-3其他货币资金'!Print_Titles</vt:lpstr>
      <vt:lpstr>'3-14一年到期非流动资产'!Print_Titles</vt:lpstr>
      <vt:lpstr>'3-15其他流动资产'!Print_Titles</vt:lpstr>
      <vt:lpstr>'3-2-1交易性-股票'!Print_Titles</vt:lpstr>
      <vt:lpstr>'3-2-2交易性-债券'!Print_Titles</vt:lpstr>
      <vt:lpstr>'3-2-3交易性-基金'!Print_Titles</vt:lpstr>
      <vt:lpstr>'3-2-4交易性-其他'!Print_Titles</vt:lpstr>
      <vt:lpstr>'3-3衍生金融资产'!Print_Titles</vt:lpstr>
      <vt:lpstr>'3-4应收票据'!Print_Titles</vt:lpstr>
      <vt:lpstr>'3-5应收账款'!Print_Titles</vt:lpstr>
      <vt:lpstr>'3-6应收款项融资'!Print_Titles</vt:lpstr>
      <vt:lpstr>'3-7预付账款'!Print_Titles</vt:lpstr>
      <vt:lpstr>'3-8应收利息'!Print_Titles</vt:lpstr>
      <vt:lpstr>'3-9应收股利'!Print_Titles</vt:lpstr>
      <vt:lpstr>'4-10工程物资'!Print_Titles</vt:lpstr>
      <vt:lpstr>'4-11固定资产清理'!Print_Titles</vt:lpstr>
      <vt:lpstr>'4-1-1可出售-股票'!Print_Titles</vt:lpstr>
      <vt:lpstr>'4-1-2可出售-债券'!Print_Titles</vt:lpstr>
      <vt:lpstr>'4-12生产性生物资产'!Print_Titles</vt:lpstr>
      <vt:lpstr>'4-1-3可出售-其他'!Print_Titles</vt:lpstr>
      <vt:lpstr>'4-13油气资产'!Print_Titles</vt:lpstr>
      <vt:lpstr>'4-14使用权资产'!Print_Titles</vt:lpstr>
      <vt:lpstr>'4-15-1无形-土地'!Print_Titles</vt:lpstr>
      <vt:lpstr>'4-15-2无形-矿业权'!Print_Titles</vt:lpstr>
      <vt:lpstr>'4-15-3无形-其他'!Print_Titles</vt:lpstr>
      <vt:lpstr>'4-16开发支出'!Print_Titles</vt:lpstr>
      <vt:lpstr>'4-17商誉'!Print_Titles</vt:lpstr>
      <vt:lpstr>'4-18长期待摊费用'!Print_Titles</vt:lpstr>
      <vt:lpstr>'4-19递延所得税资产'!Print_Titles</vt:lpstr>
      <vt:lpstr>'4-20其他非流动资产'!Print_Titles</vt:lpstr>
      <vt:lpstr>'4-2持有至到期投资'!Print_Titles</vt:lpstr>
      <vt:lpstr>'4-3长期应收'!Print_Titles</vt:lpstr>
      <vt:lpstr>'4-4股权投资'!Print_Titles</vt:lpstr>
      <vt:lpstr>'4-5其他权益工具投资'!Print_Titles</vt:lpstr>
      <vt:lpstr>'4-6其他非流动金融资产'!Print_Titles</vt:lpstr>
      <vt:lpstr>'4-7-1投资性房地产'!Print_Titles</vt:lpstr>
      <vt:lpstr>'4-7-2投资性房地产'!Print_Titles</vt:lpstr>
      <vt:lpstr>'4-7-3投资性地产'!Print_Titles</vt:lpstr>
      <vt:lpstr>'4-7-4投资性地产'!Print_Titles</vt:lpstr>
      <vt:lpstr>'4-8-1房屋建筑物'!Print_Titles</vt:lpstr>
      <vt:lpstr>'4-8-2构筑物'!Print_Titles</vt:lpstr>
      <vt:lpstr>'4-8-3管道沟槽'!Print_Titles</vt:lpstr>
      <vt:lpstr>'4-8-4机器设备'!Print_Titles</vt:lpstr>
      <vt:lpstr>'4-8-5车辆'!Print_Titles</vt:lpstr>
      <vt:lpstr>'4-8-6电子设备'!Print_Titles</vt:lpstr>
      <vt:lpstr>'4-8-7土地'!Print_Titles</vt:lpstr>
      <vt:lpstr>'4-9-1在建（土建）'!Print_Titles</vt:lpstr>
      <vt:lpstr>'4-9-2在建（设备）'!Print_Titles</vt:lpstr>
      <vt:lpstr>'5-10应付利息'!Print_Titles</vt:lpstr>
      <vt:lpstr>'5-11应付股利（利润）'!Print_Titles</vt:lpstr>
      <vt:lpstr>'5-12其他应付款'!Print_Titles</vt:lpstr>
      <vt:lpstr>'5-13持有待售负债'!Print_Titles</vt:lpstr>
      <vt:lpstr>'5-14一年到期非流动负债'!Print_Titles</vt:lpstr>
      <vt:lpstr>'5-15其他流动负债'!Print_Titles</vt:lpstr>
      <vt:lpstr>'5-1短期借款'!Print_Titles</vt:lpstr>
      <vt:lpstr>'5-2交易性金融负债'!Print_Titles</vt:lpstr>
      <vt:lpstr>'5-3衍生金融负债'!Print_Titles</vt:lpstr>
      <vt:lpstr>'5-4应付票据'!Print_Titles</vt:lpstr>
      <vt:lpstr>'5-5应付账款'!Print_Titles</vt:lpstr>
      <vt:lpstr>'5-6预收账款'!Print_Titles</vt:lpstr>
      <vt:lpstr>'5-7合同负债'!Print_Titles</vt:lpstr>
      <vt:lpstr>'5-9应交税费'!Print_Titles</vt:lpstr>
      <vt:lpstr>'6-1长期借款'!Print_Titles</vt:lpstr>
      <vt:lpstr>'6-2应付债券'!Print_Titles</vt:lpstr>
      <vt:lpstr>'6-3租赁负债'!Print_Titles</vt:lpstr>
      <vt:lpstr>'6-4长期应付款'!Print_Titles</vt:lpstr>
      <vt:lpstr>'6-5专项应付款'!Print_Titles</vt:lpstr>
      <vt:lpstr>'6-6预计负债'!Print_Titles</vt:lpstr>
      <vt:lpstr>'6-7递延所得税负债'!Print_Titles</vt:lpstr>
      <vt:lpstr>'6-8其他非流动负债'!Print_Titles</vt:lpstr>
    </vt:vector>
  </TitlesOfParts>
  <Company>conqueror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新版通用申报表</dc:title>
  <dc:creator>Seaman</dc:creator>
  <cp:lastModifiedBy>YINJUN</cp:lastModifiedBy>
  <cp:lastPrinted>2025-07-03T08:03:04Z</cp:lastPrinted>
  <dcterms:created xsi:type="dcterms:W3CDTF">1999-04-07T08:44:02Z</dcterms:created>
  <dcterms:modified xsi:type="dcterms:W3CDTF">2026-08-19T14:05:51Z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全表扫描_">
    <vt:lpwstr>,1-汇总表,</vt:lpwstr>
  </property>
</Properties>
</file>