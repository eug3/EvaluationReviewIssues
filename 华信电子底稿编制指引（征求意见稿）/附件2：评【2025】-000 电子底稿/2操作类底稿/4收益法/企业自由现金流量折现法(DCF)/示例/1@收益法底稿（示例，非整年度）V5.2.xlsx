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10" yWindow="-110" windowWidth="19420" windowHeight="10420" tabRatio="658" activeTab="8"/>
  </bookViews>
  <sheets>
    <sheet name="记事" sheetId="1" r:id="rId1"/>
    <sheet name="步骤" sheetId="45" r:id="rId2"/>
    <sheet name="1报表" sheetId="2" r:id="rId3"/>
    <sheet name="2报表调整" sheetId="50" r:id="rId4"/>
    <sheet name="3收入" sheetId="8" r:id="rId5"/>
    <sheet name="4成本" sheetId="10" r:id="rId6"/>
    <sheet name="5税金" sheetId="17" r:id="rId7"/>
    <sheet name="6销管" sheetId="18" r:id="rId8"/>
    <sheet name="7折旧" sheetId="54" r:id="rId9"/>
    <sheet name="8摊销" sheetId="16" r:id="rId10"/>
    <sheet name="9溢余现金" sheetId="55" r:id="rId11"/>
    <sheet name="10营运" sheetId="6" r:id="rId12"/>
    <sheet name="11财务费用" sheetId="52" r:id="rId13"/>
    <sheet name="12收益表" sheetId="53" r:id="rId14"/>
    <sheet name="13FCFF" sheetId="38" r:id="rId15"/>
    <sheet name="14FCFE" sheetId="49" r:id="rId16"/>
    <sheet name="预测财报" sheetId="5" r:id="rId17"/>
  </sheets>
  <externalReferences>
    <externalReference r:id="rId18"/>
    <externalReference r:id="rId19"/>
    <externalReference r:id="rId20"/>
  </externalReferences>
  <definedNames>
    <definedName name="_2003_6_25" localSheetId="12">[1]ITEM!#REF!</definedName>
    <definedName name="_2003_6_25" localSheetId="13">[1]ITEM!#REF!</definedName>
    <definedName name="_2003_6_25" localSheetId="3">[1]ITEM!#REF!</definedName>
    <definedName name="_2003_6_25" localSheetId="8">[1]ITEM!#REF!</definedName>
    <definedName name="_2003_6_25" localSheetId="10">[1]ITEM!#REF!</definedName>
    <definedName name="_2003_6_25">[1]ITEM!#REF!</definedName>
    <definedName name="_BSP2" localSheetId="12">#REF!</definedName>
    <definedName name="_BSP2" localSheetId="13">#REF!</definedName>
    <definedName name="_BSP2" localSheetId="15">#REF!</definedName>
    <definedName name="_BSP2" localSheetId="3">#REF!</definedName>
    <definedName name="_BSP2" localSheetId="8">#REF!</definedName>
    <definedName name="_BSP2" localSheetId="10">#REF!</definedName>
    <definedName name="_BSP2">#REF!</definedName>
    <definedName name="_xlnm._FilterDatabase" localSheetId="13" hidden="1">'12收益表'!$A$1:$AC$24</definedName>
    <definedName name="_xlnm._FilterDatabase" localSheetId="14" hidden="1">'13FCFF'!$A$1:$M$50</definedName>
    <definedName name="_xlnm._FilterDatabase" localSheetId="15" hidden="1">'14FCFE'!$B$1:$O$36</definedName>
    <definedName name="_xlnm._FilterDatabase" localSheetId="4" hidden="1">'3收入'!$A$4:$I$5</definedName>
    <definedName name="_xlnm._FilterDatabase" localSheetId="5" hidden="1">'4成本'!#REF!</definedName>
    <definedName name="_xlnm._FilterDatabase" localSheetId="8" hidden="1">'7折旧'!$A$1:$K$77</definedName>
    <definedName name="_xlnm._FilterDatabase" localSheetId="9" hidden="1">'8摊销'!$A$1:$L$32</definedName>
    <definedName name="_xlnm._FilterDatabase" localSheetId="16" hidden="1">预测财报!$A$1:$AC$101</definedName>
    <definedName name="_pgz101" localSheetId="12">#REF!</definedName>
    <definedName name="_pgz101" localSheetId="13">#REF!</definedName>
    <definedName name="_pgz101" localSheetId="15">#REF!</definedName>
    <definedName name="_pgz101" localSheetId="3">#REF!</definedName>
    <definedName name="_pgz101" localSheetId="8">#REF!</definedName>
    <definedName name="_pgz101" localSheetId="10">#REF!</definedName>
    <definedName name="_pgz101">#REF!</definedName>
    <definedName name="_pgz102" localSheetId="12">#REF!</definedName>
    <definedName name="_pgz102" localSheetId="13">#REF!</definedName>
    <definedName name="_pgz102" localSheetId="15">#REF!</definedName>
    <definedName name="_pgz102" localSheetId="3">#REF!</definedName>
    <definedName name="_pgz102" localSheetId="8">#REF!</definedName>
    <definedName name="_pgz102" localSheetId="10">#REF!</definedName>
    <definedName name="_pgz102">#REF!</definedName>
    <definedName name="_pgz103" localSheetId="12">#REF!</definedName>
    <definedName name="_pgz103" localSheetId="13">#REF!</definedName>
    <definedName name="_pgz103" localSheetId="15">#REF!</definedName>
    <definedName name="_pgz103" localSheetId="3">#REF!</definedName>
    <definedName name="_pgz103" localSheetId="8">#REF!</definedName>
    <definedName name="_pgz103" localSheetId="10">#REF!</definedName>
    <definedName name="_pgz103">#REF!</definedName>
    <definedName name="_pgz104" localSheetId="12">#REF!</definedName>
    <definedName name="_pgz104" localSheetId="13">#REF!</definedName>
    <definedName name="_pgz104" localSheetId="15">#REF!</definedName>
    <definedName name="_pgz104" localSheetId="3">#REF!</definedName>
    <definedName name="_pgz104" localSheetId="8">#REF!</definedName>
    <definedName name="_pgz104" localSheetId="10">#REF!</definedName>
    <definedName name="_pgz104">#REF!</definedName>
    <definedName name="_pgz105" localSheetId="12">#REF!</definedName>
    <definedName name="_pgz105" localSheetId="13">#REF!</definedName>
    <definedName name="_pgz105" localSheetId="15">#REF!</definedName>
    <definedName name="_pgz105" localSheetId="3">#REF!</definedName>
    <definedName name="_pgz105" localSheetId="8">#REF!</definedName>
    <definedName name="_pgz105" localSheetId="10">#REF!</definedName>
    <definedName name="_pgz105">#REF!</definedName>
    <definedName name="_pgz106" localSheetId="12">#REF!</definedName>
    <definedName name="_pgz106" localSheetId="13">#REF!</definedName>
    <definedName name="_pgz106" localSheetId="15">#REF!</definedName>
    <definedName name="_pgz106" localSheetId="3">#REF!</definedName>
    <definedName name="_pgz106" localSheetId="8">#REF!</definedName>
    <definedName name="_pgz106" localSheetId="10">#REF!</definedName>
    <definedName name="_pgz106">#REF!</definedName>
    <definedName name="_pgz511" localSheetId="12">#REF!</definedName>
    <definedName name="_pgz511" localSheetId="13">#REF!</definedName>
    <definedName name="_pgz511" localSheetId="15">#REF!</definedName>
    <definedName name="_pgz511" localSheetId="3">#REF!</definedName>
    <definedName name="_pgz511" localSheetId="8">#REF!</definedName>
    <definedName name="_pgz511" localSheetId="10">#REF!</definedName>
    <definedName name="_pgz511">#REF!</definedName>
    <definedName name="_pgz512" localSheetId="12">#REF!</definedName>
    <definedName name="_pgz512" localSheetId="13">#REF!</definedName>
    <definedName name="_pgz512" localSheetId="15">#REF!</definedName>
    <definedName name="_pgz512" localSheetId="3">#REF!</definedName>
    <definedName name="_pgz512" localSheetId="8">#REF!</definedName>
    <definedName name="_pgz512" localSheetId="10">#REF!</definedName>
    <definedName name="_pgz512">#REF!</definedName>
    <definedName name="_pgz513" localSheetId="12">#REF!</definedName>
    <definedName name="_pgz513" localSheetId="13">#REF!</definedName>
    <definedName name="_pgz513" localSheetId="15">#REF!</definedName>
    <definedName name="_pgz513" localSheetId="3">#REF!</definedName>
    <definedName name="_pgz513" localSheetId="8">#REF!</definedName>
    <definedName name="_pgz513" localSheetId="10">#REF!</definedName>
    <definedName name="_pgz513">#REF!</definedName>
    <definedName name="_pgz521" localSheetId="12">#REF!</definedName>
    <definedName name="_pgz521" localSheetId="13">#REF!</definedName>
    <definedName name="_pgz521" localSheetId="15">#REF!</definedName>
    <definedName name="_pgz521" localSheetId="3">#REF!</definedName>
    <definedName name="_pgz521" localSheetId="8">#REF!</definedName>
    <definedName name="_pgz521" localSheetId="10">#REF!</definedName>
    <definedName name="_pgz521">#REF!</definedName>
    <definedName name="_pgz522" localSheetId="12">#REF!</definedName>
    <definedName name="_pgz522" localSheetId="13">#REF!</definedName>
    <definedName name="_pgz522" localSheetId="15">#REF!</definedName>
    <definedName name="_pgz522" localSheetId="3">#REF!</definedName>
    <definedName name="_pgz522" localSheetId="8">#REF!</definedName>
    <definedName name="_pgz522" localSheetId="10">#REF!</definedName>
    <definedName name="_pgz522">#REF!</definedName>
    <definedName name="_pgz523" localSheetId="12">#REF!</definedName>
    <definedName name="_pgz523" localSheetId="13">#REF!</definedName>
    <definedName name="_pgz523" localSheetId="15">#REF!</definedName>
    <definedName name="_pgz523" localSheetId="3">#REF!</definedName>
    <definedName name="_pgz523" localSheetId="8">#REF!</definedName>
    <definedName name="_pgz523" localSheetId="10">#REF!</definedName>
    <definedName name="_pgz523">#REF!</definedName>
    <definedName name="_pgz53" localSheetId="12">#REF!</definedName>
    <definedName name="_pgz53" localSheetId="13">#REF!</definedName>
    <definedName name="_pgz53" localSheetId="15">#REF!</definedName>
    <definedName name="_pgz53" localSheetId="3">#REF!</definedName>
    <definedName name="_pgz53" localSheetId="8">#REF!</definedName>
    <definedName name="_pgz53" localSheetId="10">#REF!</definedName>
    <definedName name="_pgz53">#REF!</definedName>
    <definedName name="_pgz541" localSheetId="12">#REF!</definedName>
    <definedName name="_pgz541" localSheetId="13">#REF!</definedName>
    <definedName name="_pgz541" localSheetId="15">#REF!</definedName>
    <definedName name="_pgz541" localSheetId="3">#REF!</definedName>
    <definedName name="_pgz541" localSheetId="8">#REF!</definedName>
    <definedName name="_pgz541" localSheetId="10">#REF!</definedName>
    <definedName name="_pgz541">#REF!</definedName>
    <definedName name="_pgz542" localSheetId="12">#REF!</definedName>
    <definedName name="_pgz542" localSheetId="13">#REF!</definedName>
    <definedName name="_pgz542" localSheetId="15">#REF!</definedName>
    <definedName name="_pgz542" localSheetId="3">#REF!</definedName>
    <definedName name="_pgz542" localSheetId="8">#REF!</definedName>
    <definedName name="_pgz542" localSheetId="10">#REF!</definedName>
    <definedName name="_pgz542">#REF!</definedName>
    <definedName name="_pgz55" localSheetId="12">#REF!</definedName>
    <definedName name="_pgz55" localSheetId="13">#REF!</definedName>
    <definedName name="_pgz55" localSheetId="15">#REF!</definedName>
    <definedName name="_pgz55" localSheetId="3">#REF!</definedName>
    <definedName name="_pgz55" localSheetId="8">#REF!</definedName>
    <definedName name="_pgz55" localSheetId="10">#REF!</definedName>
    <definedName name="_pgz55">#REF!</definedName>
    <definedName name="_pgz56" localSheetId="12">#REF!</definedName>
    <definedName name="_pgz56" localSheetId="13">#REF!</definedName>
    <definedName name="_pgz56" localSheetId="15">#REF!</definedName>
    <definedName name="_pgz56" localSheetId="3">#REF!</definedName>
    <definedName name="_pgz56" localSheetId="8">#REF!</definedName>
    <definedName name="_pgz56" localSheetId="10">#REF!</definedName>
    <definedName name="_pgz56">#REF!</definedName>
    <definedName name="_pgz61" localSheetId="12">#REF!</definedName>
    <definedName name="_pgz61" localSheetId="13">#REF!</definedName>
    <definedName name="_pgz61" localSheetId="15">#REF!</definedName>
    <definedName name="_pgz61" localSheetId="3">#REF!</definedName>
    <definedName name="_pgz61" localSheetId="8">#REF!</definedName>
    <definedName name="_pgz61" localSheetId="10">#REF!</definedName>
    <definedName name="_pgz61">#REF!</definedName>
    <definedName name="_pgz62" localSheetId="12">#REF!</definedName>
    <definedName name="_pgz62" localSheetId="13">#REF!</definedName>
    <definedName name="_pgz62" localSheetId="15">#REF!</definedName>
    <definedName name="_pgz62" localSheetId="3">#REF!</definedName>
    <definedName name="_pgz62" localSheetId="8">#REF!</definedName>
    <definedName name="_pgz62" localSheetId="10">#REF!</definedName>
    <definedName name="_pgz62">#REF!</definedName>
    <definedName name="_pgz71" localSheetId="12">#REF!</definedName>
    <definedName name="_pgz71" localSheetId="13">#REF!</definedName>
    <definedName name="_pgz71" localSheetId="15">#REF!</definedName>
    <definedName name="_pgz71" localSheetId="3">#REF!</definedName>
    <definedName name="_pgz71" localSheetId="8">#REF!</definedName>
    <definedName name="_pgz71" localSheetId="10">#REF!</definedName>
    <definedName name="_pgz71">#REF!</definedName>
    <definedName name="_pgz72" localSheetId="12">#REF!</definedName>
    <definedName name="_pgz72" localSheetId="13">#REF!</definedName>
    <definedName name="_pgz72" localSheetId="15">#REF!</definedName>
    <definedName name="_pgz72" localSheetId="3">#REF!</definedName>
    <definedName name="_pgz72" localSheetId="8">#REF!</definedName>
    <definedName name="_pgz72" localSheetId="10">#REF!</definedName>
    <definedName name="_pgz72">#REF!</definedName>
    <definedName name="_pgz81" localSheetId="12">#REF!</definedName>
    <definedName name="_pgz81" localSheetId="13">#REF!</definedName>
    <definedName name="_pgz81" localSheetId="15">#REF!</definedName>
    <definedName name="_pgz81" localSheetId="3">#REF!</definedName>
    <definedName name="_pgz81" localSheetId="8">#REF!</definedName>
    <definedName name="_pgz81" localSheetId="10">#REF!</definedName>
    <definedName name="_pgz81">#REF!</definedName>
    <definedName name="_pgz82" localSheetId="12">#REF!</definedName>
    <definedName name="_pgz82" localSheetId="13">#REF!</definedName>
    <definedName name="_pgz82" localSheetId="15">#REF!</definedName>
    <definedName name="_pgz82" localSheetId="3">#REF!</definedName>
    <definedName name="_pgz82" localSheetId="8">#REF!</definedName>
    <definedName name="_pgz82" localSheetId="10">#REF!</definedName>
    <definedName name="_pgz82">#REF!</definedName>
    <definedName name="_pgz91" localSheetId="12">#REF!</definedName>
    <definedName name="_pgz91" localSheetId="13">#REF!</definedName>
    <definedName name="_pgz91" localSheetId="15">#REF!</definedName>
    <definedName name="_pgz91" localSheetId="3">#REF!</definedName>
    <definedName name="_pgz91" localSheetId="8">#REF!</definedName>
    <definedName name="_pgz91" localSheetId="10">#REF!</definedName>
    <definedName name="_pgz91">#REF!</definedName>
    <definedName name="_pgz910" localSheetId="12">#REF!</definedName>
    <definedName name="_pgz910" localSheetId="13">#REF!</definedName>
    <definedName name="_pgz910" localSheetId="15">#REF!</definedName>
    <definedName name="_pgz910" localSheetId="3">#REF!</definedName>
    <definedName name="_pgz910" localSheetId="8">#REF!</definedName>
    <definedName name="_pgz910" localSheetId="10">#REF!</definedName>
    <definedName name="_pgz910">#REF!</definedName>
    <definedName name="_pgz911" localSheetId="12">#REF!</definedName>
    <definedName name="_pgz911" localSheetId="13">#REF!</definedName>
    <definedName name="_pgz911" localSheetId="15">#REF!</definedName>
    <definedName name="_pgz911" localSheetId="3">#REF!</definedName>
    <definedName name="_pgz911" localSheetId="8">#REF!</definedName>
    <definedName name="_pgz911" localSheetId="10">#REF!</definedName>
    <definedName name="_pgz911">#REF!</definedName>
    <definedName name="_pgz912" localSheetId="12">#REF!</definedName>
    <definedName name="_pgz912" localSheetId="13">#REF!</definedName>
    <definedName name="_pgz912" localSheetId="15">#REF!</definedName>
    <definedName name="_pgz912" localSheetId="3">#REF!</definedName>
    <definedName name="_pgz912" localSheetId="8">#REF!</definedName>
    <definedName name="_pgz912" localSheetId="10">#REF!</definedName>
    <definedName name="_pgz912">#REF!</definedName>
    <definedName name="_pgz913" localSheetId="12">#REF!</definedName>
    <definedName name="_pgz913" localSheetId="13">#REF!</definedName>
    <definedName name="_pgz913" localSheetId="15">#REF!</definedName>
    <definedName name="_pgz913" localSheetId="3">#REF!</definedName>
    <definedName name="_pgz913" localSheetId="8">#REF!</definedName>
    <definedName name="_pgz913" localSheetId="10">#REF!</definedName>
    <definedName name="_pgz913">#REF!</definedName>
    <definedName name="_pgz92" localSheetId="12">#REF!</definedName>
    <definedName name="_pgz92" localSheetId="13">#REF!</definedName>
    <definedName name="_pgz92" localSheetId="15">#REF!</definedName>
    <definedName name="_pgz92" localSheetId="3">#REF!</definedName>
    <definedName name="_pgz92" localSheetId="8">#REF!</definedName>
    <definedName name="_pgz92" localSheetId="10">#REF!</definedName>
    <definedName name="_pgz92">#REF!</definedName>
    <definedName name="_pgz95" localSheetId="12">#REF!</definedName>
    <definedName name="_pgz95" localSheetId="13">#REF!</definedName>
    <definedName name="_pgz95" localSheetId="15">#REF!</definedName>
    <definedName name="_pgz95" localSheetId="3">#REF!</definedName>
    <definedName name="_pgz95" localSheetId="8">#REF!</definedName>
    <definedName name="_pgz95" localSheetId="10">#REF!</definedName>
    <definedName name="_pgz95">#REF!</definedName>
    <definedName name="_pgz97" localSheetId="12">#REF!</definedName>
    <definedName name="_pgz97" localSheetId="13">#REF!</definedName>
    <definedName name="_pgz97" localSheetId="15">#REF!</definedName>
    <definedName name="_pgz97" localSheetId="3">#REF!</definedName>
    <definedName name="_pgz97" localSheetId="8">#REF!</definedName>
    <definedName name="_pgz97" localSheetId="10">#REF!</definedName>
    <definedName name="_pgz97">#REF!</definedName>
    <definedName name="_pgz98" localSheetId="12">#REF!</definedName>
    <definedName name="_pgz98" localSheetId="13">#REF!</definedName>
    <definedName name="_pgz98" localSheetId="15">#REF!</definedName>
    <definedName name="_pgz98" localSheetId="3">#REF!</definedName>
    <definedName name="_pgz98" localSheetId="8">#REF!</definedName>
    <definedName name="_pgz98" localSheetId="10">#REF!</definedName>
    <definedName name="_pgz98">#REF!</definedName>
    <definedName name="_yz511" localSheetId="12">#REF!</definedName>
    <definedName name="_yz511" localSheetId="13">#REF!</definedName>
    <definedName name="_yz511" localSheetId="15">#REF!</definedName>
    <definedName name="_yz511" localSheetId="3">#REF!</definedName>
    <definedName name="_yz511" localSheetId="8">#REF!</definedName>
    <definedName name="_yz511" localSheetId="10">#REF!</definedName>
    <definedName name="_yz511">#REF!</definedName>
    <definedName name="_yz512" localSheetId="12">#REF!</definedName>
    <definedName name="_yz512" localSheetId="13">#REF!</definedName>
    <definedName name="_yz512" localSheetId="15">#REF!</definedName>
    <definedName name="_yz512" localSheetId="3">#REF!</definedName>
    <definedName name="_yz512" localSheetId="8">#REF!</definedName>
    <definedName name="_yz512" localSheetId="10">#REF!</definedName>
    <definedName name="_yz512">#REF!</definedName>
    <definedName name="_yz513" localSheetId="12">#REF!</definedName>
    <definedName name="_yz513" localSheetId="13">#REF!</definedName>
    <definedName name="_yz513" localSheetId="15">#REF!</definedName>
    <definedName name="_yz513" localSheetId="3">#REF!</definedName>
    <definedName name="_yz513" localSheetId="8">#REF!</definedName>
    <definedName name="_yz513" localSheetId="10">#REF!</definedName>
    <definedName name="_yz513">#REF!</definedName>
    <definedName name="_yz521" localSheetId="12">#REF!</definedName>
    <definedName name="_yz521" localSheetId="13">#REF!</definedName>
    <definedName name="_yz521" localSheetId="15">#REF!</definedName>
    <definedName name="_yz521" localSheetId="3">#REF!</definedName>
    <definedName name="_yz521" localSheetId="8">#REF!</definedName>
    <definedName name="_yz521" localSheetId="10">#REF!</definedName>
    <definedName name="_yz521">#REF!</definedName>
    <definedName name="_yz522" localSheetId="12">#REF!</definedName>
    <definedName name="_yz522" localSheetId="13">#REF!</definedName>
    <definedName name="_yz522" localSheetId="15">#REF!</definedName>
    <definedName name="_yz522" localSheetId="3">#REF!</definedName>
    <definedName name="_yz522" localSheetId="8">#REF!</definedName>
    <definedName name="_yz522" localSheetId="10">#REF!</definedName>
    <definedName name="_yz522">#REF!</definedName>
    <definedName name="_yz523" localSheetId="12">#REF!</definedName>
    <definedName name="_yz523" localSheetId="13">#REF!</definedName>
    <definedName name="_yz523" localSheetId="15">#REF!</definedName>
    <definedName name="_yz523" localSheetId="3">#REF!</definedName>
    <definedName name="_yz523" localSheetId="8">#REF!</definedName>
    <definedName name="_yz523" localSheetId="10">#REF!</definedName>
    <definedName name="_yz523">#REF!</definedName>
    <definedName name="A2003_2_1" localSheetId="12">#REF!</definedName>
    <definedName name="A2003_2_1" localSheetId="13">#REF!</definedName>
    <definedName name="A2003_2_1" localSheetId="3">#REF!</definedName>
    <definedName name="A2003_2_1" localSheetId="8">#REF!</definedName>
    <definedName name="A2003_2_1" localSheetId="10">#REF!</definedName>
    <definedName name="A2003_2_1">#REF!</definedName>
    <definedName name="aa">[2]收入!$C$31</definedName>
    <definedName name="bb">[2]说明!$C$31</definedName>
    <definedName name="BS" localSheetId="12">#REF!</definedName>
    <definedName name="BS" localSheetId="13">#REF!</definedName>
    <definedName name="BS" localSheetId="15">#REF!</definedName>
    <definedName name="BS" localSheetId="3">#REF!</definedName>
    <definedName name="BS" localSheetId="8">#REF!</definedName>
    <definedName name="BS" localSheetId="10">#REF!</definedName>
    <definedName name="BS">#REF!</definedName>
    <definedName name="BSCS" localSheetId="12">#REF!</definedName>
    <definedName name="BSCS" localSheetId="13">#REF!</definedName>
    <definedName name="BSCS" localSheetId="15">#REF!</definedName>
    <definedName name="BSCS" localSheetId="3">#REF!</definedName>
    <definedName name="BSCS" localSheetId="8">#REF!</definedName>
    <definedName name="BSCS" localSheetId="10">#REF!</definedName>
    <definedName name="BSCS">#REF!</definedName>
    <definedName name="BSCSP2" localSheetId="12">#REF!</definedName>
    <definedName name="BSCSP2" localSheetId="13">#REF!</definedName>
    <definedName name="BSCSP2" localSheetId="15">#REF!</definedName>
    <definedName name="BSCSP2" localSheetId="3">#REF!</definedName>
    <definedName name="BSCSP2" localSheetId="8">#REF!</definedName>
    <definedName name="BSCSP2" localSheetId="10">#REF!</definedName>
    <definedName name="BSCSP2">#REF!</definedName>
    <definedName name="_xlnm.Database" localSheetId="12">#REF!</definedName>
    <definedName name="_xlnm.Database" localSheetId="13">#REF!</definedName>
    <definedName name="_xlnm.Database" localSheetId="15">#REF!</definedName>
    <definedName name="_xlnm.Database" localSheetId="3">#REF!</definedName>
    <definedName name="_xlnm.Database" localSheetId="8">#REF!</definedName>
    <definedName name="_xlnm.Database" localSheetId="10">#REF!</definedName>
    <definedName name="_xlnm.Database">#REF!</definedName>
    <definedName name="DCF打印" localSheetId="12">#REF!</definedName>
    <definedName name="DCF打印" localSheetId="13">#REF!</definedName>
    <definedName name="DCF打印" localSheetId="15">#REF!</definedName>
    <definedName name="DCF打印" localSheetId="3">#REF!</definedName>
    <definedName name="DCF打印" localSheetId="8">#REF!</definedName>
    <definedName name="DCF打印" localSheetId="10">#REF!</definedName>
    <definedName name="DCF打印">#REF!</definedName>
    <definedName name="e3004_2" localSheetId="12">[1]ITEM!#REF!</definedName>
    <definedName name="e3004_2" localSheetId="13">[1]ITEM!#REF!</definedName>
    <definedName name="e3004_2" localSheetId="3">[1]ITEM!#REF!</definedName>
    <definedName name="e3004_2" localSheetId="8">[1]ITEM!#REF!</definedName>
    <definedName name="e3004_2" localSheetId="10">[1]ITEM!#REF!</definedName>
    <definedName name="e3004_2">[1]ITEM!#REF!</definedName>
    <definedName name="gy" localSheetId="12">#REF!</definedName>
    <definedName name="gy" localSheetId="13">#REF!</definedName>
    <definedName name="gy" localSheetId="15">#REF!</definedName>
    <definedName name="gy" localSheetId="3">#REF!</definedName>
    <definedName name="gy" localSheetId="8">#REF!</definedName>
    <definedName name="gy" localSheetId="10">#REF!</definedName>
    <definedName name="gy">#REF!</definedName>
    <definedName name="gz" localSheetId="12">#REF!</definedName>
    <definedName name="gz" localSheetId="13">#REF!</definedName>
    <definedName name="gz" localSheetId="15">#REF!</definedName>
    <definedName name="gz" localSheetId="3">#REF!</definedName>
    <definedName name="gz" localSheetId="8">#REF!</definedName>
    <definedName name="gz" localSheetId="10">#REF!</definedName>
    <definedName name="gz">#REF!</definedName>
    <definedName name="hh">[2]收入!$A$15</definedName>
    <definedName name="hjp">[2]收入!$A$15</definedName>
    <definedName name="IS" localSheetId="12">#REF!</definedName>
    <definedName name="IS" localSheetId="13">#REF!</definedName>
    <definedName name="IS" localSheetId="15">#REF!</definedName>
    <definedName name="IS" localSheetId="3">#REF!</definedName>
    <definedName name="IS" localSheetId="8">#REF!</definedName>
    <definedName name="IS" localSheetId="10">#REF!</definedName>
    <definedName name="IS">#REF!</definedName>
    <definedName name="ISCS" localSheetId="12">#REF!</definedName>
    <definedName name="ISCS" localSheetId="13">#REF!</definedName>
    <definedName name="ISCS" localSheetId="15">#REF!</definedName>
    <definedName name="ISCS" localSheetId="3">#REF!</definedName>
    <definedName name="ISCS" localSheetId="8">#REF!</definedName>
    <definedName name="ISCS" localSheetId="10">#REF!</definedName>
    <definedName name="ISCS">#REF!</definedName>
    <definedName name="ISCSP" localSheetId="12">#REF!</definedName>
    <definedName name="ISCSP" localSheetId="13">#REF!</definedName>
    <definedName name="ISCSP" localSheetId="15">#REF!</definedName>
    <definedName name="ISCSP" localSheetId="3">#REF!</definedName>
    <definedName name="ISCSP" localSheetId="8">#REF!</definedName>
    <definedName name="ISCSP" localSheetId="10">#REF!</definedName>
    <definedName name="ISCSP">#REF!</definedName>
    <definedName name="ISP" localSheetId="12">#REF!</definedName>
    <definedName name="ISP" localSheetId="13">#REF!</definedName>
    <definedName name="ISP" localSheetId="15">#REF!</definedName>
    <definedName name="ISP" localSheetId="3">#REF!</definedName>
    <definedName name="ISP" localSheetId="8">#REF!</definedName>
    <definedName name="ISP" localSheetId="10">#REF!</definedName>
    <definedName name="ISP">#REF!</definedName>
    <definedName name="KMDM" localSheetId="12">#REF!</definedName>
    <definedName name="KMDM" localSheetId="13">#REF!</definedName>
    <definedName name="KMDM" localSheetId="3">#REF!</definedName>
    <definedName name="KMDM" localSheetId="8">#REF!</definedName>
    <definedName name="KMDM" localSheetId="10">#REF!</definedName>
    <definedName name="KMDM">#REF!</definedName>
    <definedName name="pgyz511" localSheetId="12">#REF!</definedName>
    <definedName name="pgyz511" localSheetId="13">#REF!</definedName>
    <definedName name="pgyz511" localSheetId="15">#REF!</definedName>
    <definedName name="pgyz511" localSheetId="3">#REF!</definedName>
    <definedName name="pgyz511" localSheetId="8">#REF!</definedName>
    <definedName name="pgyz511" localSheetId="10">#REF!</definedName>
    <definedName name="pgyz511">#REF!</definedName>
    <definedName name="pgyz512" localSheetId="12">#REF!</definedName>
    <definedName name="pgyz512" localSheetId="13">#REF!</definedName>
    <definedName name="pgyz512" localSheetId="15">#REF!</definedName>
    <definedName name="pgyz512" localSheetId="3">#REF!</definedName>
    <definedName name="pgyz512" localSheetId="8">#REF!</definedName>
    <definedName name="pgyz512" localSheetId="10">#REF!</definedName>
    <definedName name="pgyz512">#REF!</definedName>
    <definedName name="pgyz513" localSheetId="12">#REF!</definedName>
    <definedName name="pgyz513" localSheetId="13">#REF!</definedName>
    <definedName name="pgyz513" localSheetId="15">#REF!</definedName>
    <definedName name="pgyz513" localSheetId="3">#REF!</definedName>
    <definedName name="pgyz513" localSheetId="8">#REF!</definedName>
    <definedName name="pgyz513" localSheetId="10">#REF!</definedName>
    <definedName name="pgyz513">#REF!</definedName>
    <definedName name="pgyz521" localSheetId="12">#REF!</definedName>
    <definedName name="pgyz521" localSheetId="13">#REF!</definedName>
    <definedName name="pgyz521" localSheetId="15">#REF!</definedName>
    <definedName name="pgyz521" localSheetId="3">#REF!</definedName>
    <definedName name="pgyz521" localSheetId="8">#REF!</definedName>
    <definedName name="pgyz521" localSheetId="10">#REF!</definedName>
    <definedName name="pgyz521">#REF!</definedName>
    <definedName name="pgyz522" localSheetId="12">#REF!</definedName>
    <definedName name="pgyz522" localSheetId="13">#REF!</definedName>
    <definedName name="pgyz522" localSheetId="15">#REF!</definedName>
    <definedName name="pgyz522" localSheetId="3">#REF!</definedName>
    <definedName name="pgyz522" localSheetId="8">#REF!</definedName>
    <definedName name="pgyz522" localSheetId="10">#REF!</definedName>
    <definedName name="pgyz522">#REF!</definedName>
    <definedName name="pgyz523" localSheetId="12">#REF!</definedName>
    <definedName name="pgyz523" localSheetId="13">#REF!</definedName>
    <definedName name="pgyz523" localSheetId="15">#REF!</definedName>
    <definedName name="pgyz523" localSheetId="3">#REF!</definedName>
    <definedName name="pgyz523" localSheetId="8">#REF!</definedName>
    <definedName name="pgyz523" localSheetId="10">#REF!</definedName>
    <definedName name="pgyz523">#REF!</definedName>
    <definedName name="_xlnm.Print_Area" localSheetId="12">#REF!</definedName>
    <definedName name="_xlnm.Print_Area" localSheetId="13">#REF!</definedName>
    <definedName name="_xlnm.Print_Area" localSheetId="15">#REF!</definedName>
    <definedName name="_xlnm.Print_Area" localSheetId="3">#REF!</definedName>
    <definedName name="_xlnm.Print_Area" localSheetId="5">'4成本'!$4:$5</definedName>
    <definedName name="_xlnm.Print_Area" localSheetId="8">#REF!</definedName>
    <definedName name="_xlnm.Print_Area" localSheetId="10">#REF!</definedName>
    <definedName name="_xlnm.Print_Area" localSheetId="1">步骤!$B$1:$E$37</definedName>
    <definedName name="_xlnm.Print_Area">#REF!</definedName>
    <definedName name="Print_Area_MI" localSheetId="12">#REF!</definedName>
    <definedName name="Print_Area_MI" localSheetId="13">#REF!</definedName>
    <definedName name="Print_Area_MI" localSheetId="15">#REF!</definedName>
    <definedName name="Print_Area_MI" localSheetId="3">#REF!</definedName>
    <definedName name="Print_Area_MI" localSheetId="8">#REF!</definedName>
    <definedName name="Print_Area_MI" localSheetId="10">#REF!</definedName>
    <definedName name="Print_Area_MI">#REF!</definedName>
    <definedName name="_xlnm.Print_Titles" localSheetId="12">#REF!</definedName>
    <definedName name="_xlnm.Print_Titles" localSheetId="13">#REF!</definedName>
    <definedName name="_xlnm.Print_Titles" localSheetId="15">#REF!</definedName>
    <definedName name="_xlnm.Print_Titles" localSheetId="3">#REF!</definedName>
    <definedName name="_xlnm.Print_Titles" localSheetId="5">'4成本'!$1:$3</definedName>
    <definedName name="_xlnm.Print_Titles" localSheetId="8">'7折旧'!$1:$3</definedName>
    <definedName name="_xlnm.Print_Titles" localSheetId="9">'8摊销'!$1:$3</definedName>
    <definedName name="_xlnm.Print_Titles" localSheetId="10">#REF!</definedName>
    <definedName name="_xlnm.Print_Titles" localSheetId="1">步骤!$1:$6</definedName>
    <definedName name="_xlnm.Print_Titles">#REF!</definedName>
    <definedName name="rose">[3]XL4Poppy!$A$15</definedName>
    <definedName name="sheet1" localSheetId="12">#REF!</definedName>
    <definedName name="sheet1" localSheetId="13">#REF!</definedName>
    <definedName name="sheet1" localSheetId="15">#REF!</definedName>
    <definedName name="sheet1" localSheetId="3">#REF!</definedName>
    <definedName name="sheet1" localSheetId="8">#REF!</definedName>
    <definedName name="sheet1" localSheetId="10">#REF!</definedName>
    <definedName name="sheet1">#REF!</definedName>
    <definedName name="sheet2" localSheetId="12">#REF!</definedName>
    <definedName name="sheet2" localSheetId="13">#REF!</definedName>
    <definedName name="sheet2" localSheetId="15">#REF!</definedName>
    <definedName name="sheet2" localSheetId="3">#REF!</definedName>
    <definedName name="sheet2" localSheetId="8">#REF!</definedName>
    <definedName name="sheet2" localSheetId="10">#REF!</definedName>
    <definedName name="sheet2">#REF!</definedName>
    <definedName name="sheet3" localSheetId="12">#REF!</definedName>
    <definedName name="sheet3" localSheetId="13">#REF!</definedName>
    <definedName name="sheet3" localSheetId="15">#REF!</definedName>
    <definedName name="sheet3" localSheetId="3">#REF!</definedName>
    <definedName name="sheet3" localSheetId="8">#REF!</definedName>
    <definedName name="sheet3" localSheetId="10">#REF!</definedName>
    <definedName name="sheet3">#REF!</definedName>
    <definedName name="sheet4" localSheetId="12">#REF!</definedName>
    <definedName name="sheet4" localSheetId="13">#REF!</definedName>
    <definedName name="sheet4" localSheetId="15">#REF!</definedName>
    <definedName name="sheet4" localSheetId="3">#REF!</definedName>
    <definedName name="sheet4" localSheetId="8">#REF!</definedName>
    <definedName name="sheet4" localSheetId="10">#REF!</definedName>
    <definedName name="sheet4">#REF!</definedName>
    <definedName name="sheet5" localSheetId="12">#REF!</definedName>
    <definedName name="sheet5" localSheetId="13">#REF!</definedName>
    <definedName name="sheet5" localSheetId="15">#REF!</definedName>
    <definedName name="sheet5" localSheetId="3">#REF!</definedName>
    <definedName name="sheet5" localSheetId="8">#REF!</definedName>
    <definedName name="sheet5" localSheetId="10">#REF!</definedName>
    <definedName name="sheet5">#REF!</definedName>
    <definedName name="sheet6" localSheetId="12">#REF!</definedName>
    <definedName name="sheet6" localSheetId="13">#REF!</definedName>
    <definedName name="sheet6" localSheetId="15">#REF!</definedName>
    <definedName name="sheet6" localSheetId="3">#REF!</definedName>
    <definedName name="sheet6" localSheetId="8">#REF!</definedName>
    <definedName name="sheet6" localSheetId="10">#REF!</definedName>
    <definedName name="sheet6">#REF!</definedName>
    <definedName name="sheet7" localSheetId="12">#REF!</definedName>
    <definedName name="sheet7" localSheetId="13">#REF!</definedName>
    <definedName name="sheet7" localSheetId="15">#REF!</definedName>
    <definedName name="sheet7" localSheetId="3">#REF!</definedName>
    <definedName name="sheet7" localSheetId="8">#REF!</definedName>
    <definedName name="sheet7" localSheetId="10">#REF!</definedName>
    <definedName name="sheet7">#REF!</definedName>
    <definedName name="ss">[2]收入!$A$15</definedName>
    <definedName name="tczmz72" localSheetId="12">#REF!</definedName>
    <definedName name="tczmz72" localSheetId="13">#REF!</definedName>
    <definedName name="tczmz72" localSheetId="15">#REF!</definedName>
    <definedName name="tczmz72" localSheetId="3">#REF!</definedName>
    <definedName name="tczmz72" localSheetId="8">#REF!</definedName>
    <definedName name="tczmz72" localSheetId="10">#REF!</definedName>
    <definedName name="tczmz72">#REF!</definedName>
    <definedName name="tzyz511" localSheetId="12">#REF!</definedName>
    <definedName name="tzyz511" localSheetId="13">#REF!</definedName>
    <definedName name="tzyz511" localSheetId="15">#REF!</definedName>
    <definedName name="tzyz511" localSheetId="3">#REF!</definedName>
    <definedName name="tzyz511" localSheetId="8">#REF!</definedName>
    <definedName name="tzyz511" localSheetId="10">#REF!</definedName>
    <definedName name="tzyz511">#REF!</definedName>
    <definedName name="tzyz512" localSheetId="12">#REF!</definedName>
    <definedName name="tzyz512" localSheetId="13">#REF!</definedName>
    <definedName name="tzyz512" localSheetId="15">#REF!</definedName>
    <definedName name="tzyz512" localSheetId="3">#REF!</definedName>
    <definedName name="tzyz512" localSheetId="8">#REF!</definedName>
    <definedName name="tzyz512" localSheetId="10">#REF!</definedName>
    <definedName name="tzyz512">#REF!</definedName>
    <definedName name="tzyz513" localSheetId="12">#REF!</definedName>
    <definedName name="tzyz513" localSheetId="13">#REF!</definedName>
    <definedName name="tzyz513" localSheetId="15">#REF!</definedName>
    <definedName name="tzyz513" localSheetId="3">#REF!</definedName>
    <definedName name="tzyz513" localSheetId="8">#REF!</definedName>
    <definedName name="tzyz513" localSheetId="10">#REF!</definedName>
    <definedName name="tzyz513">#REF!</definedName>
    <definedName name="tzyz521" localSheetId="12">#REF!</definedName>
    <definedName name="tzyz521" localSheetId="13">#REF!</definedName>
    <definedName name="tzyz521" localSheetId="15">#REF!</definedName>
    <definedName name="tzyz521" localSheetId="3">#REF!</definedName>
    <definedName name="tzyz521" localSheetId="8">#REF!</definedName>
    <definedName name="tzyz521" localSheetId="10">#REF!</definedName>
    <definedName name="tzyz521">#REF!</definedName>
    <definedName name="tzyz522" localSheetId="12">#REF!</definedName>
    <definedName name="tzyz522" localSheetId="13">#REF!</definedName>
    <definedName name="tzyz522" localSheetId="15">#REF!</definedName>
    <definedName name="tzyz522" localSheetId="3">#REF!</definedName>
    <definedName name="tzyz522" localSheetId="8">#REF!</definedName>
    <definedName name="tzyz522" localSheetId="10">#REF!</definedName>
    <definedName name="tzyz522">#REF!</definedName>
    <definedName name="tzyz523" localSheetId="12">#REF!</definedName>
    <definedName name="tzyz523" localSheetId="13">#REF!</definedName>
    <definedName name="tzyz523" localSheetId="15">#REF!</definedName>
    <definedName name="tzyz523" localSheetId="3">#REF!</definedName>
    <definedName name="tzyz523" localSheetId="8">#REF!</definedName>
    <definedName name="tzyz523" localSheetId="10">#REF!</definedName>
    <definedName name="tzyz523">#REF!</definedName>
    <definedName name="tzzmz101" localSheetId="12">#REF!</definedName>
    <definedName name="tzzmz101" localSheetId="13">#REF!</definedName>
    <definedName name="tzzmz101" localSheetId="15">#REF!</definedName>
    <definedName name="tzzmz101" localSheetId="3">#REF!</definedName>
    <definedName name="tzzmz101" localSheetId="8">#REF!</definedName>
    <definedName name="tzzmz101" localSheetId="10">#REF!</definedName>
    <definedName name="tzzmz101">#REF!</definedName>
    <definedName name="tzzmz102" localSheetId="12">#REF!</definedName>
    <definedName name="tzzmz102" localSheetId="13">#REF!</definedName>
    <definedName name="tzzmz102" localSheetId="15">#REF!</definedName>
    <definedName name="tzzmz102" localSheetId="3">#REF!</definedName>
    <definedName name="tzzmz102" localSheetId="8">#REF!</definedName>
    <definedName name="tzzmz102" localSheetId="10">#REF!</definedName>
    <definedName name="tzzmz102">#REF!</definedName>
    <definedName name="tzzmz103" localSheetId="12">#REF!</definedName>
    <definedName name="tzzmz103" localSheetId="13">#REF!</definedName>
    <definedName name="tzzmz103" localSheetId="15">#REF!</definedName>
    <definedName name="tzzmz103" localSheetId="3">#REF!</definedName>
    <definedName name="tzzmz103" localSheetId="8">#REF!</definedName>
    <definedName name="tzzmz103" localSheetId="10">#REF!</definedName>
    <definedName name="tzzmz103">#REF!</definedName>
    <definedName name="tzzmz104" localSheetId="12">#REF!</definedName>
    <definedName name="tzzmz104" localSheetId="13">#REF!</definedName>
    <definedName name="tzzmz104" localSheetId="15">#REF!</definedName>
    <definedName name="tzzmz104" localSheetId="3">#REF!</definedName>
    <definedName name="tzzmz104" localSheetId="8">#REF!</definedName>
    <definedName name="tzzmz104" localSheetId="10">#REF!</definedName>
    <definedName name="tzzmz104">#REF!</definedName>
    <definedName name="tzzmz105" localSheetId="12">#REF!</definedName>
    <definedName name="tzzmz105" localSheetId="13">#REF!</definedName>
    <definedName name="tzzmz105" localSheetId="15">#REF!</definedName>
    <definedName name="tzzmz105" localSheetId="3">#REF!</definedName>
    <definedName name="tzzmz105" localSheetId="8">#REF!</definedName>
    <definedName name="tzzmz105" localSheetId="10">#REF!</definedName>
    <definedName name="tzzmz105">#REF!</definedName>
    <definedName name="tzzmz106" localSheetId="12">#REF!</definedName>
    <definedName name="tzzmz106" localSheetId="13">#REF!</definedName>
    <definedName name="tzzmz106" localSheetId="15">#REF!</definedName>
    <definedName name="tzzmz106" localSheetId="3">#REF!</definedName>
    <definedName name="tzzmz106" localSheetId="8">#REF!</definedName>
    <definedName name="tzzmz106" localSheetId="10">#REF!</definedName>
    <definedName name="tzzmz106">#REF!</definedName>
    <definedName name="tzzmz511" localSheetId="12">#REF!</definedName>
    <definedName name="tzzmz511" localSheetId="13">#REF!</definedName>
    <definedName name="tzzmz511" localSheetId="15">#REF!</definedName>
    <definedName name="tzzmz511" localSheetId="3">#REF!</definedName>
    <definedName name="tzzmz511" localSheetId="8">#REF!</definedName>
    <definedName name="tzzmz511" localSheetId="10">#REF!</definedName>
    <definedName name="tzzmz511">#REF!</definedName>
    <definedName name="tzzmz512" localSheetId="12">#REF!</definedName>
    <definedName name="tzzmz512" localSheetId="13">#REF!</definedName>
    <definedName name="tzzmz512" localSheetId="15">#REF!</definedName>
    <definedName name="tzzmz512" localSheetId="3">#REF!</definedName>
    <definedName name="tzzmz512" localSheetId="8">#REF!</definedName>
    <definedName name="tzzmz512" localSheetId="10">#REF!</definedName>
    <definedName name="tzzmz512">#REF!</definedName>
    <definedName name="tzzmz513" localSheetId="12">#REF!</definedName>
    <definedName name="tzzmz513" localSheetId="13">#REF!</definedName>
    <definedName name="tzzmz513" localSheetId="15">#REF!</definedName>
    <definedName name="tzzmz513" localSheetId="3">#REF!</definedName>
    <definedName name="tzzmz513" localSheetId="8">#REF!</definedName>
    <definedName name="tzzmz513" localSheetId="10">#REF!</definedName>
    <definedName name="tzzmz513">#REF!</definedName>
    <definedName name="tzzmz521" localSheetId="12">#REF!</definedName>
    <definedName name="tzzmz521" localSheetId="13">#REF!</definedName>
    <definedName name="tzzmz521" localSheetId="15">#REF!</definedName>
    <definedName name="tzzmz521" localSheetId="3">#REF!</definedName>
    <definedName name="tzzmz521" localSheetId="8">#REF!</definedName>
    <definedName name="tzzmz521" localSheetId="10">#REF!</definedName>
    <definedName name="tzzmz521">#REF!</definedName>
    <definedName name="tzzmz522" localSheetId="12">#REF!</definedName>
    <definedName name="tzzmz522" localSheetId="13">#REF!</definedName>
    <definedName name="tzzmz522" localSheetId="15">#REF!</definedName>
    <definedName name="tzzmz522" localSheetId="3">#REF!</definedName>
    <definedName name="tzzmz522" localSheetId="8">#REF!</definedName>
    <definedName name="tzzmz522" localSheetId="10">#REF!</definedName>
    <definedName name="tzzmz522">#REF!</definedName>
    <definedName name="tzzmz523" localSheetId="12">#REF!</definedName>
    <definedName name="tzzmz523" localSheetId="13">#REF!</definedName>
    <definedName name="tzzmz523" localSheetId="15">#REF!</definedName>
    <definedName name="tzzmz523" localSheetId="3">#REF!</definedName>
    <definedName name="tzzmz523" localSheetId="8">#REF!</definedName>
    <definedName name="tzzmz523" localSheetId="10">#REF!</definedName>
    <definedName name="tzzmz523">#REF!</definedName>
    <definedName name="tzzmz53" localSheetId="12">#REF!</definedName>
    <definedName name="tzzmz53" localSheetId="13">#REF!</definedName>
    <definedName name="tzzmz53" localSheetId="15">#REF!</definedName>
    <definedName name="tzzmz53" localSheetId="3">#REF!</definedName>
    <definedName name="tzzmz53" localSheetId="8">#REF!</definedName>
    <definedName name="tzzmz53" localSheetId="10">#REF!</definedName>
    <definedName name="tzzmz53">#REF!</definedName>
    <definedName name="tzzmz541" localSheetId="12">#REF!</definedName>
    <definedName name="tzzmz541" localSheetId="13">#REF!</definedName>
    <definedName name="tzzmz541" localSheetId="15">#REF!</definedName>
    <definedName name="tzzmz541" localSheetId="3">#REF!</definedName>
    <definedName name="tzzmz541" localSheetId="8">#REF!</definedName>
    <definedName name="tzzmz541" localSheetId="10">#REF!</definedName>
    <definedName name="tzzmz541">#REF!</definedName>
    <definedName name="tzzmz542" localSheetId="12">#REF!</definedName>
    <definedName name="tzzmz542" localSheetId="13">#REF!</definedName>
    <definedName name="tzzmz542" localSheetId="15">#REF!</definedName>
    <definedName name="tzzmz542" localSheetId="3">#REF!</definedName>
    <definedName name="tzzmz542" localSheetId="8">#REF!</definedName>
    <definedName name="tzzmz542" localSheetId="10">#REF!</definedName>
    <definedName name="tzzmz542">#REF!</definedName>
    <definedName name="tzzmz55" localSheetId="12">#REF!</definedName>
    <definedName name="tzzmz55" localSheetId="13">#REF!</definedName>
    <definedName name="tzzmz55" localSheetId="15">#REF!</definedName>
    <definedName name="tzzmz55" localSheetId="3">#REF!</definedName>
    <definedName name="tzzmz55" localSheetId="8">#REF!</definedName>
    <definedName name="tzzmz55" localSheetId="10">#REF!</definedName>
    <definedName name="tzzmz55">#REF!</definedName>
    <definedName name="tzzmz56" localSheetId="12">#REF!</definedName>
    <definedName name="tzzmz56" localSheetId="13">#REF!</definedName>
    <definedName name="tzzmz56" localSheetId="15">#REF!</definedName>
    <definedName name="tzzmz56" localSheetId="3">#REF!</definedName>
    <definedName name="tzzmz56" localSheetId="8">#REF!</definedName>
    <definedName name="tzzmz56" localSheetId="10">#REF!</definedName>
    <definedName name="tzzmz56">#REF!</definedName>
    <definedName name="tzzmz61" localSheetId="12">#REF!</definedName>
    <definedName name="tzzmz61" localSheetId="13">#REF!</definedName>
    <definedName name="tzzmz61" localSheetId="15">#REF!</definedName>
    <definedName name="tzzmz61" localSheetId="3">#REF!</definedName>
    <definedName name="tzzmz61" localSheetId="8">#REF!</definedName>
    <definedName name="tzzmz61" localSheetId="10">#REF!</definedName>
    <definedName name="tzzmz61">#REF!</definedName>
    <definedName name="tzzmz62" localSheetId="12">#REF!</definedName>
    <definedName name="tzzmz62" localSheetId="13">#REF!</definedName>
    <definedName name="tzzmz62" localSheetId="15">#REF!</definedName>
    <definedName name="tzzmz62" localSheetId="3">#REF!</definedName>
    <definedName name="tzzmz62" localSheetId="8">#REF!</definedName>
    <definedName name="tzzmz62" localSheetId="10">#REF!</definedName>
    <definedName name="tzzmz62">#REF!</definedName>
    <definedName name="tzzmz71" localSheetId="12">#REF!</definedName>
    <definedName name="tzzmz71" localSheetId="13">#REF!</definedName>
    <definedName name="tzzmz71" localSheetId="15">#REF!</definedName>
    <definedName name="tzzmz71" localSheetId="3">#REF!</definedName>
    <definedName name="tzzmz71" localSheetId="8">#REF!</definedName>
    <definedName name="tzzmz71" localSheetId="10">#REF!</definedName>
    <definedName name="tzzmz71">#REF!</definedName>
    <definedName name="tzzmz72" localSheetId="12">#REF!</definedName>
    <definedName name="tzzmz72" localSheetId="13">#REF!</definedName>
    <definedName name="tzzmz72" localSheetId="15">#REF!</definedName>
    <definedName name="tzzmz72" localSheetId="3">#REF!</definedName>
    <definedName name="tzzmz72" localSheetId="8">#REF!</definedName>
    <definedName name="tzzmz72" localSheetId="10">#REF!</definedName>
    <definedName name="tzzmz72">#REF!</definedName>
    <definedName name="tzzmz81" localSheetId="12">#REF!</definedName>
    <definedName name="tzzmz81" localSheetId="13">#REF!</definedName>
    <definedName name="tzzmz81" localSheetId="15">#REF!</definedName>
    <definedName name="tzzmz81" localSheetId="3">#REF!</definedName>
    <definedName name="tzzmz81" localSheetId="8">#REF!</definedName>
    <definedName name="tzzmz81" localSheetId="10">#REF!</definedName>
    <definedName name="tzzmz81">#REF!</definedName>
    <definedName name="tzzmz82" localSheetId="12">#REF!</definedName>
    <definedName name="tzzmz82" localSheetId="13">#REF!</definedName>
    <definedName name="tzzmz82" localSheetId="15">#REF!</definedName>
    <definedName name="tzzmz82" localSheetId="3">#REF!</definedName>
    <definedName name="tzzmz82" localSheetId="8">#REF!</definedName>
    <definedName name="tzzmz82" localSheetId="10">#REF!</definedName>
    <definedName name="tzzmz82">#REF!</definedName>
    <definedName name="tzzmz91" localSheetId="12">#REF!</definedName>
    <definedName name="tzzmz91" localSheetId="13">#REF!</definedName>
    <definedName name="tzzmz91" localSheetId="15">#REF!</definedName>
    <definedName name="tzzmz91" localSheetId="3">#REF!</definedName>
    <definedName name="tzzmz91" localSheetId="8">#REF!</definedName>
    <definedName name="tzzmz91" localSheetId="10">#REF!</definedName>
    <definedName name="tzzmz91">#REF!</definedName>
    <definedName name="tzzmz910" localSheetId="12">#REF!</definedName>
    <definedName name="tzzmz910" localSheetId="13">#REF!</definedName>
    <definedName name="tzzmz910" localSheetId="15">#REF!</definedName>
    <definedName name="tzzmz910" localSheetId="3">#REF!</definedName>
    <definedName name="tzzmz910" localSheetId="8">#REF!</definedName>
    <definedName name="tzzmz910" localSheetId="10">#REF!</definedName>
    <definedName name="tzzmz910">#REF!</definedName>
    <definedName name="tzzmz911" localSheetId="12">#REF!</definedName>
    <definedName name="tzzmz911" localSheetId="13">#REF!</definedName>
    <definedName name="tzzmz911" localSheetId="15">#REF!</definedName>
    <definedName name="tzzmz911" localSheetId="3">#REF!</definedName>
    <definedName name="tzzmz911" localSheetId="8">#REF!</definedName>
    <definedName name="tzzmz911" localSheetId="10">#REF!</definedName>
    <definedName name="tzzmz911">#REF!</definedName>
    <definedName name="tzzmz912" localSheetId="12">#REF!</definedName>
    <definedName name="tzzmz912" localSheetId="13">#REF!</definedName>
    <definedName name="tzzmz912" localSheetId="15">#REF!</definedName>
    <definedName name="tzzmz912" localSheetId="3">#REF!</definedName>
    <definedName name="tzzmz912" localSheetId="8">#REF!</definedName>
    <definedName name="tzzmz912" localSheetId="10">#REF!</definedName>
    <definedName name="tzzmz912">#REF!</definedName>
    <definedName name="tzzmz913" localSheetId="12">#REF!</definedName>
    <definedName name="tzzmz913" localSheetId="13">#REF!</definedName>
    <definedName name="tzzmz913" localSheetId="15">#REF!</definedName>
    <definedName name="tzzmz913" localSheetId="3">#REF!</definedName>
    <definedName name="tzzmz913" localSheetId="8">#REF!</definedName>
    <definedName name="tzzmz913" localSheetId="10">#REF!</definedName>
    <definedName name="tzzmz913">#REF!</definedName>
    <definedName name="tzzmz92" localSheetId="12">#REF!</definedName>
    <definedName name="tzzmz92" localSheetId="13">#REF!</definedName>
    <definedName name="tzzmz92" localSheetId="15">#REF!</definedName>
    <definedName name="tzzmz92" localSheetId="3">#REF!</definedName>
    <definedName name="tzzmz92" localSheetId="8">#REF!</definedName>
    <definedName name="tzzmz92" localSheetId="10">#REF!</definedName>
    <definedName name="tzzmz92">#REF!</definedName>
    <definedName name="tzzmz95" localSheetId="12">#REF!</definedName>
    <definedName name="tzzmz95" localSheetId="13">#REF!</definedName>
    <definedName name="tzzmz95" localSheetId="15">#REF!</definedName>
    <definedName name="tzzmz95" localSheetId="3">#REF!</definedName>
    <definedName name="tzzmz95" localSheetId="8">#REF!</definedName>
    <definedName name="tzzmz95" localSheetId="10">#REF!</definedName>
    <definedName name="tzzmz95">#REF!</definedName>
    <definedName name="tzzmz97" localSheetId="12">#REF!</definedName>
    <definedName name="tzzmz97" localSheetId="13">#REF!</definedName>
    <definedName name="tzzmz97" localSheetId="15">#REF!</definedName>
    <definedName name="tzzmz97" localSheetId="3">#REF!</definedName>
    <definedName name="tzzmz97" localSheetId="8">#REF!</definedName>
    <definedName name="tzzmz97" localSheetId="10">#REF!</definedName>
    <definedName name="tzzmz97">#REF!</definedName>
    <definedName name="tzzmz98" localSheetId="12">#REF!</definedName>
    <definedName name="tzzmz98" localSheetId="13">#REF!</definedName>
    <definedName name="tzzmz98" localSheetId="15">#REF!</definedName>
    <definedName name="tzzmz98" localSheetId="3">#REF!</definedName>
    <definedName name="tzzmz98" localSheetId="8">#REF!</definedName>
    <definedName name="tzzmz98" localSheetId="10">#REF!</definedName>
    <definedName name="tzzmz98">#REF!</definedName>
    <definedName name="Wedge" localSheetId="12">#REF!</definedName>
    <definedName name="Wedge" localSheetId="13">#REF!</definedName>
    <definedName name="Wedge" localSheetId="15">#REF!</definedName>
    <definedName name="Wedge" localSheetId="3">#REF!</definedName>
    <definedName name="Wedge" localSheetId="8">#REF!</definedName>
    <definedName name="Wedge" localSheetId="10">#REF!</definedName>
    <definedName name="Wedge">#REF!</definedName>
    <definedName name="zmz" localSheetId="12">#REF!</definedName>
    <definedName name="zmz" localSheetId="13">#REF!</definedName>
    <definedName name="zmz" localSheetId="15">#REF!</definedName>
    <definedName name="zmz" localSheetId="3">#REF!</definedName>
    <definedName name="zmz" localSheetId="8">#REF!</definedName>
    <definedName name="zmz" localSheetId="10">#REF!</definedName>
    <definedName name="zmz">#REF!</definedName>
    <definedName name="zmz101" localSheetId="12">#REF!</definedName>
    <definedName name="zmz101" localSheetId="13">#REF!</definedName>
    <definedName name="zmz101" localSheetId="15">#REF!</definedName>
    <definedName name="zmz101" localSheetId="3">#REF!</definedName>
    <definedName name="zmz101" localSheetId="8">#REF!</definedName>
    <definedName name="zmz101" localSheetId="10">#REF!</definedName>
    <definedName name="zmz101">#REF!</definedName>
    <definedName name="zmz102" localSheetId="12">#REF!</definedName>
    <definedName name="zmz102" localSheetId="13">#REF!</definedName>
    <definedName name="zmz102" localSheetId="15">#REF!</definedName>
    <definedName name="zmz102" localSheetId="3">#REF!</definedName>
    <definedName name="zmz102" localSheetId="8">#REF!</definedName>
    <definedName name="zmz102" localSheetId="10">#REF!</definedName>
    <definedName name="zmz102">#REF!</definedName>
    <definedName name="zmz103" localSheetId="12">#REF!</definedName>
    <definedName name="zmz103" localSheetId="13">#REF!</definedName>
    <definedName name="zmz103" localSheetId="15">#REF!</definedName>
    <definedName name="zmz103" localSheetId="3">#REF!</definedName>
    <definedName name="zmz103" localSheetId="8">#REF!</definedName>
    <definedName name="zmz103" localSheetId="10">#REF!</definedName>
    <definedName name="zmz103">#REF!</definedName>
    <definedName name="zmz104" localSheetId="12">#REF!</definedName>
    <definedName name="zmz104" localSheetId="13">#REF!</definedName>
    <definedName name="zmz104" localSheetId="15">#REF!</definedName>
    <definedName name="zmz104" localSheetId="3">#REF!</definedName>
    <definedName name="zmz104" localSheetId="8">#REF!</definedName>
    <definedName name="zmz104" localSheetId="10">#REF!</definedName>
    <definedName name="zmz104">#REF!</definedName>
    <definedName name="zmz105" localSheetId="12">#REF!</definedName>
    <definedName name="zmz105" localSheetId="13">#REF!</definedName>
    <definedName name="zmz105" localSheetId="15">#REF!</definedName>
    <definedName name="zmz105" localSheetId="3">#REF!</definedName>
    <definedName name="zmz105" localSheetId="8">#REF!</definedName>
    <definedName name="zmz105" localSheetId="10">#REF!</definedName>
    <definedName name="zmz105">#REF!</definedName>
    <definedName name="zmz106" localSheetId="12">#REF!</definedName>
    <definedName name="zmz106" localSheetId="13">#REF!</definedName>
    <definedName name="zmz106" localSheetId="15">#REF!</definedName>
    <definedName name="zmz106" localSheetId="3">#REF!</definedName>
    <definedName name="zmz106" localSheetId="8">#REF!</definedName>
    <definedName name="zmz106" localSheetId="10">#REF!</definedName>
    <definedName name="zmz106">#REF!</definedName>
    <definedName name="zmz511" localSheetId="12">#REF!</definedName>
    <definedName name="zmz511" localSheetId="13">#REF!</definedName>
    <definedName name="zmz511" localSheetId="15">#REF!</definedName>
    <definedName name="zmz511" localSheetId="3">#REF!</definedName>
    <definedName name="zmz511" localSheetId="8">#REF!</definedName>
    <definedName name="zmz511" localSheetId="10">#REF!</definedName>
    <definedName name="zmz511">#REF!</definedName>
    <definedName name="zmz512" localSheetId="12">#REF!</definedName>
    <definedName name="zmz512" localSheetId="13">#REF!</definedName>
    <definedName name="zmz512" localSheetId="15">#REF!</definedName>
    <definedName name="zmz512" localSheetId="3">#REF!</definedName>
    <definedName name="zmz512" localSheetId="8">#REF!</definedName>
    <definedName name="zmz512" localSheetId="10">#REF!</definedName>
    <definedName name="zmz512">#REF!</definedName>
    <definedName name="zmz513" localSheetId="12">#REF!</definedName>
    <definedName name="zmz513" localSheetId="13">#REF!</definedName>
    <definedName name="zmz513" localSheetId="15">#REF!</definedName>
    <definedName name="zmz513" localSheetId="3">#REF!</definedName>
    <definedName name="zmz513" localSheetId="8">#REF!</definedName>
    <definedName name="zmz513" localSheetId="10">#REF!</definedName>
    <definedName name="zmz513">#REF!</definedName>
    <definedName name="zmz521" localSheetId="12">#REF!</definedName>
    <definedName name="zmz521" localSheetId="13">#REF!</definedName>
    <definedName name="zmz521" localSheetId="15">#REF!</definedName>
    <definedName name="zmz521" localSheetId="3">#REF!</definedName>
    <definedName name="zmz521" localSheetId="8">#REF!</definedName>
    <definedName name="zmz521" localSheetId="10">#REF!</definedName>
    <definedName name="zmz521">#REF!</definedName>
    <definedName name="zmz522" localSheetId="12">#REF!</definedName>
    <definedName name="zmz522" localSheetId="13">#REF!</definedName>
    <definedName name="zmz522" localSheetId="15">#REF!</definedName>
    <definedName name="zmz522" localSheetId="3">#REF!</definedName>
    <definedName name="zmz522" localSheetId="8">#REF!</definedName>
    <definedName name="zmz522" localSheetId="10">#REF!</definedName>
    <definedName name="zmz522">#REF!</definedName>
    <definedName name="zmz523" localSheetId="12">#REF!</definedName>
    <definedName name="zmz523" localSheetId="13">#REF!</definedName>
    <definedName name="zmz523" localSheetId="15">#REF!</definedName>
    <definedName name="zmz523" localSheetId="3">#REF!</definedName>
    <definedName name="zmz523" localSheetId="8">#REF!</definedName>
    <definedName name="zmz523" localSheetId="10">#REF!</definedName>
    <definedName name="zmz523">#REF!</definedName>
    <definedName name="zmz53" localSheetId="12">#REF!</definedName>
    <definedName name="zmz53" localSheetId="13">#REF!</definedName>
    <definedName name="zmz53" localSheetId="15">#REF!</definedName>
    <definedName name="zmz53" localSheetId="3">#REF!</definedName>
    <definedName name="zmz53" localSheetId="8">#REF!</definedName>
    <definedName name="zmz53" localSheetId="10">#REF!</definedName>
    <definedName name="zmz53">#REF!</definedName>
    <definedName name="zmz541" localSheetId="12">#REF!</definedName>
    <definedName name="zmz541" localSheetId="13">#REF!</definedName>
    <definedName name="zmz541" localSheetId="15">#REF!</definedName>
    <definedName name="zmz541" localSheetId="3">#REF!</definedName>
    <definedName name="zmz541" localSheetId="8">#REF!</definedName>
    <definedName name="zmz541" localSheetId="10">#REF!</definedName>
    <definedName name="zmz541">#REF!</definedName>
    <definedName name="zmz542" localSheetId="12">#REF!</definedName>
    <definedName name="zmz542" localSheetId="13">#REF!</definedName>
    <definedName name="zmz542" localSheetId="15">#REF!</definedName>
    <definedName name="zmz542" localSheetId="3">#REF!</definedName>
    <definedName name="zmz542" localSheetId="8">#REF!</definedName>
    <definedName name="zmz542" localSheetId="10">#REF!</definedName>
    <definedName name="zmz542">#REF!</definedName>
    <definedName name="zmz55" localSheetId="12">#REF!</definedName>
    <definedName name="zmz55" localSheetId="13">#REF!</definedName>
    <definedName name="zmz55" localSheetId="15">#REF!</definedName>
    <definedName name="zmz55" localSheetId="3">#REF!</definedName>
    <definedName name="zmz55" localSheetId="8">#REF!</definedName>
    <definedName name="zmz55" localSheetId="10">#REF!</definedName>
    <definedName name="zmz55">#REF!</definedName>
    <definedName name="zmz56" localSheetId="12">#REF!</definedName>
    <definedName name="zmz56" localSheetId="13">#REF!</definedName>
    <definedName name="zmz56" localSheetId="15">#REF!</definedName>
    <definedName name="zmz56" localSheetId="3">#REF!</definedName>
    <definedName name="zmz56" localSheetId="8">#REF!</definedName>
    <definedName name="zmz56" localSheetId="10">#REF!</definedName>
    <definedName name="zmz56">#REF!</definedName>
    <definedName name="zmz61" localSheetId="12">#REF!</definedName>
    <definedName name="zmz61" localSheetId="13">#REF!</definedName>
    <definedName name="zmz61" localSheetId="15">#REF!</definedName>
    <definedName name="zmz61" localSheetId="3">#REF!</definedName>
    <definedName name="zmz61" localSheetId="8">#REF!</definedName>
    <definedName name="zmz61" localSheetId="10">#REF!</definedName>
    <definedName name="zmz61">#REF!</definedName>
    <definedName name="zmz62" localSheetId="12">#REF!</definedName>
    <definedName name="zmz62" localSheetId="13">#REF!</definedName>
    <definedName name="zmz62" localSheetId="15">#REF!</definedName>
    <definedName name="zmz62" localSheetId="3">#REF!</definedName>
    <definedName name="zmz62" localSheetId="8">#REF!</definedName>
    <definedName name="zmz62" localSheetId="10">#REF!</definedName>
    <definedName name="zmz62">#REF!</definedName>
    <definedName name="zmz71" localSheetId="12">#REF!</definedName>
    <definedName name="zmz71" localSheetId="13">#REF!</definedName>
    <definedName name="zmz71" localSheetId="15">#REF!</definedName>
    <definedName name="zmz71" localSheetId="3">#REF!</definedName>
    <definedName name="zmz71" localSheetId="8">#REF!</definedName>
    <definedName name="zmz71" localSheetId="10">#REF!</definedName>
    <definedName name="zmz71">#REF!</definedName>
    <definedName name="zmz72" localSheetId="12">#REF!</definedName>
    <definedName name="zmz72" localSheetId="13">#REF!</definedName>
    <definedName name="zmz72" localSheetId="15">#REF!</definedName>
    <definedName name="zmz72" localSheetId="3">#REF!</definedName>
    <definedName name="zmz72" localSheetId="8">#REF!</definedName>
    <definedName name="zmz72" localSheetId="10">#REF!</definedName>
    <definedName name="zmz72">#REF!</definedName>
    <definedName name="zmz81" localSheetId="12">#REF!</definedName>
    <definedName name="zmz81" localSheetId="13">#REF!</definedName>
    <definedName name="zmz81" localSheetId="15">#REF!</definedName>
    <definedName name="zmz81" localSheetId="3">#REF!</definedName>
    <definedName name="zmz81" localSheetId="8">#REF!</definedName>
    <definedName name="zmz81" localSheetId="10">#REF!</definedName>
    <definedName name="zmz81">#REF!</definedName>
    <definedName name="zmz82" localSheetId="12">#REF!</definedName>
    <definedName name="zmz82" localSheetId="13">#REF!</definedName>
    <definedName name="zmz82" localSheetId="15">#REF!</definedName>
    <definedName name="zmz82" localSheetId="3">#REF!</definedName>
    <definedName name="zmz82" localSheetId="8">#REF!</definedName>
    <definedName name="zmz82" localSheetId="10">#REF!</definedName>
    <definedName name="zmz82">#REF!</definedName>
    <definedName name="zmz91" localSheetId="12">#REF!</definedName>
    <definedName name="zmz91" localSheetId="13">#REF!</definedName>
    <definedName name="zmz91" localSheetId="15">#REF!</definedName>
    <definedName name="zmz91" localSheetId="3">#REF!</definedName>
    <definedName name="zmz91" localSheetId="8">#REF!</definedName>
    <definedName name="zmz91" localSheetId="10">#REF!</definedName>
    <definedName name="zmz91">#REF!</definedName>
    <definedName name="zmz910" localSheetId="12">#REF!</definedName>
    <definedName name="zmz910" localSheetId="13">#REF!</definedName>
    <definedName name="zmz910" localSheetId="15">#REF!</definedName>
    <definedName name="zmz910" localSheetId="3">#REF!</definedName>
    <definedName name="zmz910" localSheetId="8">#REF!</definedName>
    <definedName name="zmz910" localSheetId="10">#REF!</definedName>
    <definedName name="zmz910">#REF!</definedName>
    <definedName name="zmz911" localSheetId="12">#REF!</definedName>
    <definedName name="zmz911" localSheetId="13">#REF!</definedName>
    <definedName name="zmz911" localSheetId="15">#REF!</definedName>
    <definedName name="zmz911" localSheetId="3">#REF!</definedName>
    <definedName name="zmz911" localSheetId="8">#REF!</definedName>
    <definedName name="zmz911" localSheetId="10">#REF!</definedName>
    <definedName name="zmz911">#REF!</definedName>
    <definedName name="zmz912" localSheetId="12">#REF!</definedName>
    <definedName name="zmz912" localSheetId="13">#REF!</definedName>
    <definedName name="zmz912" localSheetId="15">#REF!</definedName>
    <definedName name="zmz912" localSheetId="3">#REF!</definedName>
    <definedName name="zmz912" localSheetId="8">#REF!</definedName>
    <definedName name="zmz912" localSheetId="10">#REF!</definedName>
    <definedName name="zmz912">#REF!</definedName>
    <definedName name="zmz913" localSheetId="12">#REF!</definedName>
    <definedName name="zmz913" localSheetId="13">#REF!</definedName>
    <definedName name="zmz913" localSheetId="15">#REF!</definedName>
    <definedName name="zmz913" localSheetId="3">#REF!</definedName>
    <definedName name="zmz913" localSheetId="8">#REF!</definedName>
    <definedName name="zmz913" localSheetId="10">#REF!</definedName>
    <definedName name="zmz913">#REF!</definedName>
    <definedName name="zmz92" localSheetId="12">#REF!</definedName>
    <definedName name="zmz92" localSheetId="13">#REF!</definedName>
    <definedName name="zmz92" localSheetId="15">#REF!</definedName>
    <definedName name="zmz92" localSheetId="3">#REF!</definedName>
    <definedName name="zmz92" localSheetId="8">#REF!</definedName>
    <definedName name="zmz92" localSheetId="10">#REF!</definedName>
    <definedName name="zmz92">#REF!</definedName>
    <definedName name="zmz95" localSheetId="12">#REF!</definedName>
    <definedName name="zmz95" localSheetId="13">#REF!</definedName>
    <definedName name="zmz95" localSheetId="15">#REF!</definedName>
    <definedName name="zmz95" localSheetId="3">#REF!</definedName>
    <definedName name="zmz95" localSheetId="8">#REF!</definedName>
    <definedName name="zmz95" localSheetId="10">#REF!</definedName>
    <definedName name="zmz95">#REF!</definedName>
    <definedName name="zmz97" localSheetId="12">#REF!</definedName>
    <definedName name="zmz97" localSheetId="13">#REF!</definedName>
    <definedName name="zmz97" localSheetId="15">#REF!</definedName>
    <definedName name="zmz97" localSheetId="3">#REF!</definedName>
    <definedName name="zmz97" localSheetId="8">#REF!</definedName>
    <definedName name="zmz97" localSheetId="10">#REF!</definedName>
    <definedName name="zmz97">#REF!</definedName>
    <definedName name="zmz98" localSheetId="12">#REF!</definedName>
    <definedName name="zmz98" localSheetId="13">#REF!</definedName>
    <definedName name="zmz98" localSheetId="15">#REF!</definedName>
    <definedName name="zmz98" localSheetId="3">#REF!</definedName>
    <definedName name="zmz98" localSheetId="8">#REF!</definedName>
    <definedName name="zmz98" localSheetId="10">#REF!</definedName>
    <definedName name="zmz98">#REF!</definedName>
    <definedName name="销售毛利润表" localSheetId="12">#REF!</definedName>
    <definedName name="销售毛利润表" localSheetId="13">#REF!</definedName>
    <definedName name="销售毛利润表" localSheetId="3">#REF!</definedName>
    <definedName name="销售毛利润表" localSheetId="8">#REF!</definedName>
    <definedName name="销售毛利润表" localSheetId="10">#REF!</definedName>
    <definedName name="销售毛利润表">#REF!</definedName>
    <definedName name="在建2" localSheetId="12">[1]ITEM!#REF!</definedName>
    <definedName name="在建2" localSheetId="13">[1]ITEM!#REF!</definedName>
    <definedName name="在建2" localSheetId="3">[1]ITEM!#REF!</definedName>
    <definedName name="在建2" localSheetId="8">[1]ITEM!#REF!</definedName>
    <definedName name="在建2" localSheetId="10">[1]ITEM!#REF!</definedName>
    <definedName name="在建2">[1]ITEM!#REF!</definedName>
    <definedName name="전" localSheetId="12">#REF!</definedName>
    <definedName name="전" localSheetId="13">#REF!</definedName>
    <definedName name="전" localSheetId="15">#REF!</definedName>
    <definedName name="전" localSheetId="3">#REF!</definedName>
    <definedName name="전" localSheetId="8">#REF!</definedName>
    <definedName name="전" localSheetId="10">#REF!</definedName>
    <definedName name="전">#REF!</definedName>
    <definedName name="주택사업본부" localSheetId="12">#REF!</definedName>
    <definedName name="주택사업본부" localSheetId="13">#REF!</definedName>
    <definedName name="주택사업본부" localSheetId="15">#REF!</definedName>
    <definedName name="주택사업본부" localSheetId="3">#REF!</definedName>
    <definedName name="주택사업본부" localSheetId="8">#REF!</definedName>
    <definedName name="주택사업본부" localSheetId="10">#REF!</definedName>
    <definedName name="주택사업본부">#REF!</definedName>
    <definedName name="철구사업본부" localSheetId="12">#REF!</definedName>
    <definedName name="철구사업본부" localSheetId="13">#REF!</definedName>
    <definedName name="철구사업본부" localSheetId="15">#REF!</definedName>
    <definedName name="철구사업본부" localSheetId="3">#REF!</definedName>
    <definedName name="철구사업본부" localSheetId="8">#REF!</definedName>
    <definedName name="철구사업본부" localSheetId="10">#REF!</definedName>
    <definedName name="철구사업본부">#REF!</definedName>
  </definedNames>
  <calcPr calcId="144525" calcMode="autoNoTable" calcOnSave="0"/>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E7" i="6" l="1"/>
  <c r="D130" i="5" l="1"/>
  <c r="E3" i="6"/>
  <c r="E27" i="54"/>
  <c r="E3" i="54"/>
  <c r="F3" i="52" s="1"/>
  <c r="H51" i="54"/>
  <c r="G50" i="54"/>
  <c r="E131" i="2"/>
  <c r="F14" i="52" l="1"/>
  <c r="F13" i="52"/>
  <c r="E25" i="54"/>
  <c r="G25" i="54" s="1"/>
  <c r="E130" i="5"/>
  <c r="D79" i="54"/>
  <c r="C79" i="54"/>
  <c r="D78" i="54"/>
  <c r="C78" i="54"/>
  <c r="D77" i="54"/>
  <c r="C77" i="54"/>
  <c r="C80" i="54" l="1"/>
  <c r="D80" i="54"/>
  <c r="B34" i="10" l="1"/>
  <c r="B24" i="10"/>
  <c r="B18" i="10"/>
  <c r="B12" i="10"/>
  <c r="G151" i="5" l="1"/>
  <c r="H151" i="5"/>
  <c r="I151" i="5"/>
  <c r="J151" i="5"/>
  <c r="K151" i="5"/>
  <c r="F151" i="5"/>
  <c r="D151" i="5"/>
  <c r="E151" i="5"/>
  <c r="C151" i="5"/>
  <c r="C108" i="5"/>
  <c r="G32" i="38"/>
  <c r="H32" i="38"/>
  <c r="I32" i="38"/>
  <c r="J32" i="38"/>
  <c r="K32" i="38"/>
  <c r="F32" i="38"/>
  <c r="F34" i="38"/>
  <c r="G16" i="52" l="1"/>
  <c r="B28" i="18" l="1"/>
  <c r="B29" i="18"/>
  <c r="B30" i="18"/>
  <c r="B31" i="18"/>
  <c r="B32" i="18"/>
  <c r="B33" i="18"/>
  <c r="B34" i="18"/>
  <c r="B35" i="18"/>
  <c r="B27" i="18"/>
  <c r="G66" i="18" l="1"/>
  <c r="G67" i="18"/>
  <c r="G68" i="18"/>
  <c r="G69" i="18"/>
  <c r="G65" i="18"/>
  <c r="D69" i="18"/>
  <c r="D66" i="18"/>
  <c r="D67" i="18"/>
  <c r="D68" i="18"/>
  <c r="D65" i="18"/>
  <c r="B69" i="18"/>
  <c r="B66" i="18"/>
  <c r="B67" i="18"/>
  <c r="B68" i="18"/>
  <c r="B65" i="18"/>
  <c r="E69" i="18"/>
  <c r="E68" i="18"/>
  <c r="E67" i="18"/>
  <c r="E66" i="18"/>
  <c r="O49" i="18"/>
  <c r="E34" i="18"/>
  <c r="C27" i="18"/>
  <c r="E35" i="18"/>
  <c r="D35" i="18"/>
  <c r="C35" i="18"/>
  <c r="D34" i="18"/>
  <c r="C34" i="18"/>
  <c r="E33" i="18"/>
  <c r="D33" i="18"/>
  <c r="C33" i="18"/>
  <c r="F33" i="18" s="1"/>
  <c r="E32" i="18"/>
  <c r="D32" i="18"/>
  <c r="C32" i="18"/>
  <c r="E31" i="18"/>
  <c r="D31" i="18"/>
  <c r="C31" i="18"/>
  <c r="E30" i="18"/>
  <c r="D30" i="18"/>
  <c r="C30" i="18"/>
  <c r="E29" i="18"/>
  <c r="D29" i="18"/>
  <c r="C29" i="18"/>
  <c r="E28" i="18"/>
  <c r="D28" i="18"/>
  <c r="C28" i="18"/>
  <c r="E27" i="18"/>
  <c r="D27" i="18"/>
  <c r="C23" i="18"/>
  <c r="F30" i="18" l="1"/>
  <c r="F35" i="18"/>
  <c r="G28" i="18"/>
  <c r="G33" i="18"/>
  <c r="G27" i="18"/>
  <c r="G29" i="18"/>
  <c r="G35" i="18"/>
  <c r="G31" i="18"/>
  <c r="F29" i="18"/>
  <c r="F32" i="18"/>
  <c r="F28" i="18"/>
  <c r="G30" i="18"/>
  <c r="G34" i="18"/>
  <c r="G32" i="18"/>
  <c r="F34" i="18"/>
  <c r="F27" i="18"/>
  <c r="F31" i="18"/>
  <c r="F47" i="17"/>
  <c r="F10" i="17"/>
  <c r="G6" i="8" l="1"/>
  <c r="N42" i="50"/>
  <c r="N21" i="50"/>
  <c r="N59" i="50"/>
  <c r="N70" i="50" s="1"/>
  <c r="N69" i="50"/>
  <c r="E80" i="50" l="1"/>
  <c r="E82" i="50"/>
  <c r="K24" i="16" l="1"/>
  <c r="I24" i="16"/>
  <c r="J24" i="16"/>
  <c r="H24" i="16"/>
  <c r="G24" i="16"/>
  <c r="E24" i="16"/>
  <c r="E22" i="16"/>
  <c r="G57" i="16"/>
  <c r="I51" i="54"/>
  <c r="E49" i="54"/>
  <c r="G49" i="54" s="1"/>
  <c r="K27" i="54"/>
  <c r="H27" i="54"/>
  <c r="I27" i="54"/>
  <c r="J27" i="54"/>
  <c r="G27" i="54"/>
  <c r="H5" i="8" l="1"/>
  <c r="E141" i="2"/>
  <c r="H28" i="5"/>
  <c r="I28" i="5"/>
  <c r="J28" i="5"/>
  <c r="K28" i="5"/>
  <c r="F17" i="5"/>
  <c r="L22" i="49" l="1"/>
  <c r="G22" i="49"/>
  <c r="F22" i="49"/>
  <c r="F35" i="38" l="1"/>
  <c r="I40" i="38"/>
  <c r="L40" i="38" s="1"/>
  <c r="I39" i="38"/>
  <c r="L39" i="38" s="1"/>
  <c r="I38" i="38"/>
  <c r="L38" i="38" s="1"/>
  <c r="I37" i="38"/>
  <c r="L37" i="38" s="1"/>
  <c r="I36" i="38"/>
  <c r="L36" i="38" s="1"/>
  <c r="L31" i="38"/>
  <c r="J29" i="38"/>
  <c r="K21" i="52"/>
  <c r="K18" i="52"/>
  <c r="I16" i="52"/>
  <c r="H16" i="52"/>
  <c r="J16" i="52"/>
  <c r="K16" i="52"/>
  <c r="E9" i="16"/>
  <c r="C17" i="55" l="1"/>
  <c r="C12" i="55"/>
  <c r="D17" i="55"/>
  <c r="F17" i="55"/>
  <c r="D12" i="55"/>
  <c r="G18" i="55"/>
  <c r="H18" i="55" s="1"/>
  <c r="I18" i="55" s="1"/>
  <c r="J18" i="55" s="1"/>
  <c r="K18" i="55" s="1"/>
  <c r="F18" i="55"/>
  <c r="G17" i="55" l="1"/>
  <c r="H17" i="55" s="1"/>
  <c r="I17" i="55" s="1"/>
  <c r="J17" i="55" s="1"/>
  <c r="K17" i="55" s="1"/>
  <c r="E15" i="55"/>
  <c r="E12" i="55"/>
  <c r="G6" i="55"/>
  <c r="F6" i="55"/>
  <c r="D52" i="16"/>
  <c r="D5" i="16" s="1"/>
  <c r="K61" i="16"/>
  <c r="J60" i="16"/>
  <c r="I59" i="16"/>
  <c r="J59" i="16" s="1"/>
  <c r="H58" i="16"/>
  <c r="I58" i="16" s="1"/>
  <c r="G56" i="16"/>
  <c r="E56" i="16"/>
  <c r="G49" i="16"/>
  <c r="E49" i="16"/>
  <c r="K43" i="16"/>
  <c r="K42" i="16"/>
  <c r="J42" i="16"/>
  <c r="J41" i="16"/>
  <c r="I41" i="16"/>
  <c r="I40" i="16"/>
  <c r="H40" i="16"/>
  <c r="J40" i="16" s="1"/>
  <c r="K40" i="16" s="1"/>
  <c r="H39" i="16"/>
  <c r="G39" i="16"/>
  <c r="D34" i="16"/>
  <c r="D25" i="16"/>
  <c r="D6" i="16" s="1"/>
  <c r="D9" i="54"/>
  <c r="G10" i="54"/>
  <c r="E10" i="54"/>
  <c r="L9" i="54"/>
  <c r="I39" i="16" l="1"/>
  <c r="J39" i="16" s="1"/>
  <c r="H57" i="16"/>
  <c r="I57" i="16" s="1"/>
  <c r="J57" i="16" s="1"/>
  <c r="K41" i="16"/>
  <c r="H56" i="16"/>
  <c r="I56" i="16" s="1"/>
  <c r="K57" i="16" l="1"/>
  <c r="J56" i="16"/>
  <c r="K39" i="16"/>
  <c r="H10" i="54" l="1"/>
  <c r="I10" i="54"/>
  <c r="J10" i="54"/>
  <c r="K10" i="54"/>
  <c r="K72" i="54"/>
  <c r="K71" i="54"/>
  <c r="J71" i="54"/>
  <c r="J70" i="54"/>
  <c r="I70" i="54"/>
  <c r="I69" i="54"/>
  <c r="H69" i="54"/>
  <c r="H68" i="54"/>
  <c r="G68" i="54"/>
  <c r="K63" i="54"/>
  <c r="K62" i="54"/>
  <c r="J62" i="54"/>
  <c r="J61" i="54"/>
  <c r="I61" i="54"/>
  <c r="I60" i="54"/>
  <c r="H60" i="54"/>
  <c r="H59" i="54"/>
  <c r="G59" i="54"/>
  <c r="K54" i="54"/>
  <c r="K53" i="54"/>
  <c r="J53" i="54"/>
  <c r="J52" i="54"/>
  <c r="I52" i="54"/>
  <c r="H50" i="54"/>
  <c r="J69" i="54" l="1"/>
  <c r="K61" i="54"/>
  <c r="K52" i="54"/>
  <c r="J60" i="54"/>
  <c r="K60" i="54" s="1"/>
  <c r="K70" i="54"/>
  <c r="K69" i="54"/>
  <c r="I68" i="54"/>
  <c r="J68" i="54" s="1"/>
  <c r="I59" i="54"/>
  <c r="J59" i="54" s="1"/>
  <c r="K59" i="54" s="1"/>
  <c r="J51" i="54"/>
  <c r="K51" i="54" s="1"/>
  <c r="H49" i="54"/>
  <c r="I49" i="54" s="1"/>
  <c r="J49" i="54" s="1"/>
  <c r="I50" i="54"/>
  <c r="K68" i="54" l="1"/>
  <c r="J50" i="54"/>
  <c r="K50" i="54" s="1"/>
  <c r="K49" i="54"/>
  <c r="K55" i="54" l="1"/>
  <c r="C8" i="54" l="1"/>
  <c r="C7" i="54"/>
  <c r="C6" i="54"/>
  <c r="E3" i="16" l="1"/>
  <c r="E58" i="54"/>
  <c r="G58" i="54" s="1"/>
  <c r="E67" i="54"/>
  <c r="E36" i="54"/>
  <c r="H55" i="54"/>
  <c r="H40" i="54" s="1"/>
  <c r="G55" i="54"/>
  <c r="G40" i="54" s="1"/>
  <c r="E55" i="54"/>
  <c r="E40" i="54" s="1"/>
  <c r="E28" i="54"/>
  <c r="E29" i="54" l="1"/>
  <c r="F29" i="54" s="1"/>
  <c r="C5" i="54"/>
  <c r="C9" i="54" s="1"/>
  <c r="G67" i="54"/>
  <c r="H67" i="54" s="1"/>
  <c r="H58" i="54"/>
  <c r="I55" i="54"/>
  <c r="I40" i="54" s="1"/>
  <c r="G36" i="54"/>
  <c r="E73" i="54"/>
  <c r="G28" i="54"/>
  <c r="E64" i="54"/>
  <c r="D112" i="5"/>
  <c r="D122" i="5" s="1"/>
  <c r="E112" i="5"/>
  <c r="C112" i="5"/>
  <c r="D108" i="5"/>
  <c r="D121" i="5" s="1"/>
  <c r="E108" i="5"/>
  <c r="G29" i="54" l="1"/>
  <c r="F112" i="5"/>
  <c r="F122" i="5" s="1"/>
  <c r="E122" i="5"/>
  <c r="F108" i="5"/>
  <c r="E121" i="5"/>
  <c r="H36" i="54"/>
  <c r="I67" i="54"/>
  <c r="J67" i="54" s="1"/>
  <c r="K67" i="54" s="1"/>
  <c r="I58" i="54"/>
  <c r="J58" i="54" s="1"/>
  <c r="K58" i="54" s="1"/>
  <c r="E42" i="54"/>
  <c r="E41" i="54"/>
  <c r="J55" i="54"/>
  <c r="J40" i="54" s="1"/>
  <c r="H73" i="54"/>
  <c r="G64" i="54"/>
  <c r="H25" i="54"/>
  <c r="H28" i="54" s="1"/>
  <c r="G73" i="54"/>
  <c r="F80" i="5"/>
  <c r="G80" i="5"/>
  <c r="H80" i="5"/>
  <c r="I80" i="5"/>
  <c r="J80" i="5"/>
  <c r="K80" i="5"/>
  <c r="F75" i="5"/>
  <c r="G75" i="5"/>
  <c r="H75" i="5"/>
  <c r="I75" i="5"/>
  <c r="J75" i="5"/>
  <c r="K75" i="5"/>
  <c r="F76" i="5"/>
  <c r="G76" i="5"/>
  <c r="H76" i="5"/>
  <c r="I76" i="5"/>
  <c r="J76" i="5"/>
  <c r="K76" i="5"/>
  <c r="F77" i="5"/>
  <c r="G77" i="5"/>
  <c r="H77" i="5"/>
  <c r="I77" i="5"/>
  <c r="J77" i="5"/>
  <c r="K77" i="5"/>
  <c r="F78" i="5"/>
  <c r="G78" i="5"/>
  <c r="H78" i="5"/>
  <c r="I78" i="5"/>
  <c r="J78" i="5"/>
  <c r="K78" i="5"/>
  <c r="F62" i="5"/>
  <c r="G62" i="5"/>
  <c r="H62" i="5"/>
  <c r="I62" i="5"/>
  <c r="J62" i="5"/>
  <c r="K62" i="5"/>
  <c r="F52" i="5"/>
  <c r="G52" i="5"/>
  <c r="H52" i="5"/>
  <c r="I52" i="5"/>
  <c r="J52" i="5"/>
  <c r="K52" i="5"/>
  <c r="E43" i="54" l="1"/>
  <c r="G108" i="5"/>
  <c r="F121" i="5"/>
  <c r="H29" i="54"/>
  <c r="H42" i="54"/>
  <c r="G42" i="54"/>
  <c r="G41" i="54"/>
  <c r="K40" i="54"/>
  <c r="I73" i="54"/>
  <c r="H64" i="54"/>
  <c r="I36" i="54"/>
  <c r="I25" i="54"/>
  <c r="I28" i="54" s="1"/>
  <c r="E9" i="54" l="1"/>
  <c r="F9" i="54" s="1"/>
  <c r="F5" i="54" s="1"/>
  <c r="E44" i="54"/>
  <c r="F44" i="54" s="1"/>
  <c r="G43" i="54"/>
  <c r="G9" i="54" s="1"/>
  <c r="G7" i="54" s="1"/>
  <c r="H108" i="5"/>
  <c r="G121" i="5"/>
  <c r="F8" i="54"/>
  <c r="F6" i="54"/>
  <c r="F7" i="54"/>
  <c r="I29" i="54"/>
  <c r="H41" i="54"/>
  <c r="H43" i="54" s="1"/>
  <c r="I42" i="54"/>
  <c r="J25" i="54"/>
  <c r="J28" i="54" s="1"/>
  <c r="I64" i="54"/>
  <c r="J36" i="54"/>
  <c r="K36" i="54" s="1"/>
  <c r="J73" i="54"/>
  <c r="K73" i="54"/>
  <c r="G44" i="54" l="1"/>
  <c r="H44" i="54" s="1"/>
  <c r="G8" i="54"/>
  <c r="G6" i="54"/>
  <c r="G5" i="54"/>
  <c r="G28" i="10" s="1"/>
  <c r="I108" i="5"/>
  <c r="H121" i="5"/>
  <c r="F80" i="10"/>
  <c r="F28" i="10"/>
  <c r="F29" i="10" s="1"/>
  <c r="H9" i="54"/>
  <c r="J29" i="54"/>
  <c r="K25" i="54"/>
  <c r="K28" i="54" s="1"/>
  <c r="I41" i="54"/>
  <c r="I43" i="54" s="1"/>
  <c r="I9" i="54" s="1"/>
  <c r="K42" i="54"/>
  <c r="J42" i="54"/>
  <c r="J64" i="54"/>
  <c r="C7" i="2"/>
  <c r="E7" i="2"/>
  <c r="K29" i="54" l="1"/>
  <c r="I44" i="54"/>
  <c r="G80" i="10"/>
  <c r="J108" i="5"/>
  <c r="I121" i="5"/>
  <c r="H7" i="54"/>
  <c r="H5" i="54"/>
  <c r="H6" i="54"/>
  <c r="H8" i="54"/>
  <c r="I6" i="54"/>
  <c r="I8" i="54"/>
  <c r="I7" i="54"/>
  <c r="I5" i="54"/>
  <c r="J41" i="54"/>
  <c r="J43" i="54" s="1"/>
  <c r="J9" i="54" s="1"/>
  <c r="K64" i="54"/>
  <c r="D79" i="5"/>
  <c r="D119" i="5" s="1"/>
  <c r="D123" i="5" s="1"/>
  <c r="C79" i="5"/>
  <c r="C119" i="5" s="1"/>
  <c r="D61" i="5"/>
  <c r="D120" i="5" s="1"/>
  <c r="C61" i="5"/>
  <c r="C120" i="5" s="1"/>
  <c r="J44" i="54" l="1"/>
  <c r="K108" i="5"/>
  <c r="K121" i="5" s="1"/>
  <c r="J121" i="5"/>
  <c r="I80" i="10"/>
  <c r="I28" i="10"/>
  <c r="H80" i="10"/>
  <c r="H28" i="10"/>
  <c r="J6" i="54"/>
  <c r="J8" i="54"/>
  <c r="J7" i="54"/>
  <c r="J5" i="54"/>
  <c r="K41" i="54"/>
  <c r="K43" i="54" s="1"/>
  <c r="K9" i="54" s="1"/>
  <c r="K44" i="54" l="1"/>
  <c r="J80" i="10"/>
  <c r="J28" i="10"/>
  <c r="K5" i="54"/>
  <c r="K8" i="54"/>
  <c r="K7" i="54"/>
  <c r="K6" i="54"/>
  <c r="F33" i="49"/>
  <c r="H22" i="49" s="1"/>
  <c r="I22" i="49" s="1"/>
  <c r="J22" i="49" s="1"/>
  <c r="K22" i="49" s="1"/>
  <c r="K80" i="10" l="1"/>
  <c r="K28" i="10"/>
  <c r="E76" i="10"/>
  <c r="D76" i="10"/>
  <c r="C76" i="10"/>
  <c r="G75" i="10"/>
  <c r="H75" i="10" s="1"/>
  <c r="I75" i="10" l="1"/>
  <c r="J75" i="10" l="1"/>
  <c r="K75" i="10" l="1"/>
  <c r="H15" i="52" l="1"/>
  <c r="G15" i="52"/>
  <c r="K13" i="52"/>
  <c r="K60" i="16" l="1"/>
  <c r="F21" i="49"/>
  <c r="G21" i="49" s="1"/>
  <c r="H21" i="49" s="1"/>
  <c r="I21" i="49" s="1"/>
  <c r="J21" i="49" s="1"/>
  <c r="K21" i="49" s="1"/>
  <c r="G34" i="5"/>
  <c r="H34" i="5"/>
  <c r="I34" i="5"/>
  <c r="J34" i="5"/>
  <c r="K34" i="5"/>
  <c r="F34" i="5"/>
  <c r="H14" i="52"/>
  <c r="I14" i="52"/>
  <c r="J14" i="52"/>
  <c r="K14" i="52"/>
  <c r="I15" i="52"/>
  <c r="J15" i="52"/>
  <c r="K15" i="52"/>
  <c r="H17" i="52"/>
  <c r="I17" i="52"/>
  <c r="J17" i="52"/>
  <c r="K17" i="52"/>
  <c r="G17" i="52"/>
  <c r="G14" i="52"/>
  <c r="I13" i="52"/>
  <c r="J13" i="52"/>
  <c r="H13" i="52"/>
  <c r="G13" i="52"/>
  <c r="E19" i="52"/>
  <c r="G8" i="16"/>
  <c r="H8" i="16"/>
  <c r="I8" i="16"/>
  <c r="J8" i="16"/>
  <c r="K8" i="16"/>
  <c r="G9" i="16"/>
  <c r="H9" i="16"/>
  <c r="I9" i="16"/>
  <c r="J9" i="16"/>
  <c r="K9" i="16"/>
  <c r="E8" i="16"/>
  <c r="F15" i="52" l="1"/>
  <c r="F16" i="52"/>
  <c r="F17" i="52"/>
  <c r="K10" i="55"/>
  <c r="F18" i="52" l="1"/>
  <c r="F21" i="52" s="1"/>
  <c r="E31" i="16"/>
  <c r="F16" i="38" l="1"/>
  <c r="G31" i="16"/>
  <c r="E38" i="16"/>
  <c r="K59" i="16"/>
  <c r="J58" i="16"/>
  <c r="K58" i="16" s="1"/>
  <c r="E44" i="16" l="1"/>
  <c r="E33" i="16" s="1"/>
  <c r="G38" i="16"/>
  <c r="G44" i="16" s="1"/>
  <c r="G33" i="16" s="1"/>
  <c r="H31" i="16"/>
  <c r="I31" i="16" s="1"/>
  <c r="G22" i="16"/>
  <c r="G25" i="16" s="1"/>
  <c r="E25" i="16"/>
  <c r="E62" i="16"/>
  <c r="E51" i="16" s="1"/>
  <c r="E52" i="16" s="1"/>
  <c r="E5" i="16" l="1"/>
  <c r="F5" i="16" s="1"/>
  <c r="H22" i="16"/>
  <c r="I22" i="16" s="1"/>
  <c r="H38" i="16"/>
  <c r="I38" i="16" s="1"/>
  <c r="J38" i="16" s="1"/>
  <c r="K38" i="16" s="1"/>
  <c r="K44" i="16" s="1"/>
  <c r="K33" i="16" s="1"/>
  <c r="E26" i="16"/>
  <c r="F26" i="16" s="1"/>
  <c r="G26" i="16" s="1"/>
  <c r="F25" i="16"/>
  <c r="J31" i="16"/>
  <c r="K31" i="16" s="1"/>
  <c r="H62" i="16"/>
  <c r="H51" i="16" s="1"/>
  <c r="G62" i="16"/>
  <c r="G51" i="16" s="1"/>
  <c r="G52" i="16" s="1"/>
  <c r="G5" i="16" l="1"/>
  <c r="K34" i="16"/>
  <c r="K56" i="16"/>
  <c r="K62" i="16" s="1"/>
  <c r="K51" i="16" s="1"/>
  <c r="I62" i="16"/>
  <c r="I51" i="16" s="1"/>
  <c r="J22" i="16"/>
  <c r="J62" i="16"/>
  <c r="J51" i="16" s="1"/>
  <c r="K22" i="16" l="1"/>
  <c r="K25" i="16" s="1"/>
  <c r="K6" i="16" s="1"/>
  <c r="M40" i="50" l="1"/>
  <c r="M67" i="50"/>
  <c r="G5" i="8" l="1"/>
  <c r="I5" i="8" s="1"/>
  <c r="J5" i="8" s="1"/>
  <c r="K5" i="8" l="1"/>
  <c r="D21" i="52" l="1"/>
  <c r="E21" i="52"/>
  <c r="C21" i="52"/>
  <c r="C58" i="10"/>
  <c r="G112" i="5" l="1"/>
  <c r="G122" i="5" s="1"/>
  <c r="C122" i="5"/>
  <c r="C121" i="5"/>
  <c r="C123" i="5" s="1"/>
  <c r="D141" i="2"/>
  <c r="D140" i="2"/>
  <c r="H112" i="5" l="1"/>
  <c r="H122" i="5" s="1"/>
  <c r="I112" i="5" l="1"/>
  <c r="I122" i="5" s="1"/>
  <c r="J112" i="5" l="1"/>
  <c r="J122" i="5" s="1"/>
  <c r="K112" i="5" l="1"/>
  <c r="K122" i="5" s="1"/>
  <c r="G69" i="5" l="1"/>
  <c r="F84" i="5" l="1"/>
  <c r="F26" i="5" l="1"/>
  <c r="G87" i="5"/>
  <c r="H87" i="5"/>
  <c r="I87" i="5"/>
  <c r="J87" i="5"/>
  <c r="K87" i="5"/>
  <c r="F87" i="5"/>
  <c r="F85" i="5"/>
  <c r="G85" i="5"/>
  <c r="H85" i="5"/>
  <c r="I85" i="5"/>
  <c r="J85" i="5"/>
  <c r="K85" i="5"/>
  <c r="F86" i="5"/>
  <c r="G86" i="5"/>
  <c r="H86" i="5"/>
  <c r="I86" i="5"/>
  <c r="J86" i="5"/>
  <c r="K86" i="5"/>
  <c r="G84" i="5"/>
  <c r="H84" i="5"/>
  <c r="I84" i="5"/>
  <c r="J84" i="5"/>
  <c r="K84" i="5"/>
  <c r="C18" i="52"/>
  <c r="C10" i="55" s="1"/>
  <c r="G68" i="5"/>
  <c r="H68" i="5"/>
  <c r="I68" i="5"/>
  <c r="J68" i="5"/>
  <c r="K68" i="5"/>
  <c r="H69" i="5"/>
  <c r="I69" i="5"/>
  <c r="J69" i="5"/>
  <c r="K69" i="5"/>
  <c r="G70" i="5"/>
  <c r="H70" i="5"/>
  <c r="I70" i="5"/>
  <c r="J70" i="5"/>
  <c r="K70" i="5"/>
  <c r="F68" i="5"/>
  <c r="F69" i="5"/>
  <c r="F70" i="5"/>
  <c r="G47" i="5"/>
  <c r="H47" i="5"/>
  <c r="I47" i="5"/>
  <c r="J47" i="5"/>
  <c r="K47" i="5"/>
  <c r="G48" i="5"/>
  <c r="H48" i="5"/>
  <c r="I48" i="5"/>
  <c r="J48" i="5"/>
  <c r="K48" i="5"/>
  <c r="G49" i="5"/>
  <c r="H49" i="5"/>
  <c r="I49" i="5"/>
  <c r="J49" i="5"/>
  <c r="K49" i="5"/>
  <c r="F48" i="5"/>
  <c r="F49" i="5"/>
  <c r="F47" i="5"/>
  <c r="C19" i="52"/>
  <c r="C29" i="5" s="1"/>
  <c r="D19" i="52"/>
  <c r="D29" i="5" s="1"/>
  <c r="E29" i="5"/>
  <c r="D18" i="52"/>
  <c r="D10" i="55" s="1"/>
  <c r="E18" i="52"/>
  <c r="E10" i="55" s="1"/>
  <c r="C28" i="5" l="1"/>
  <c r="F10" i="55"/>
  <c r="C153" i="5"/>
  <c r="E20" i="52"/>
  <c r="E28" i="5"/>
  <c r="D28" i="5"/>
  <c r="D153" i="5" s="1"/>
  <c r="E153" i="5" l="1"/>
  <c r="F28" i="5"/>
  <c r="K5" i="53"/>
  <c r="K5" i="49" s="1"/>
  <c r="J5" i="53"/>
  <c r="J5" i="49" s="1"/>
  <c r="I5" i="53"/>
  <c r="I5" i="49" s="1"/>
  <c r="H5" i="53"/>
  <c r="H5" i="49" s="1"/>
  <c r="G5" i="53"/>
  <c r="F5" i="53"/>
  <c r="H18" i="52"/>
  <c r="I18" i="52"/>
  <c r="G18" i="52"/>
  <c r="J18" i="52"/>
  <c r="E10" i="52"/>
  <c r="F19" i="49" s="1"/>
  <c r="G10" i="52"/>
  <c r="H19" i="49" s="1"/>
  <c r="H10" i="52"/>
  <c r="I10" i="52"/>
  <c r="J10" i="52"/>
  <c r="K10" i="52"/>
  <c r="F10" i="52"/>
  <c r="G19" i="49" s="1"/>
  <c r="I35" i="38" l="1"/>
  <c r="J10" i="55"/>
  <c r="H10" i="55"/>
  <c r="G10" i="55"/>
  <c r="G16" i="38"/>
  <c r="I10" i="55"/>
  <c r="L11" i="49"/>
  <c r="L11" i="38"/>
  <c r="K26" i="5"/>
  <c r="K19" i="49"/>
  <c r="J26" i="5"/>
  <c r="J19" i="49"/>
  <c r="I26" i="5"/>
  <c r="I19" i="49"/>
  <c r="G26" i="5"/>
  <c r="G5" i="38"/>
  <c r="G5" i="49"/>
  <c r="J21" i="52"/>
  <c r="G28" i="5"/>
  <c r="I21" i="52"/>
  <c r="F58" i="38"/>
  <c r="F11" i="49"/>
  <c r="H16" i="38" l="1"/>
  <c r="I11" i="53"/>
  <c r="I11" i="38" s="1"/>
  <c r="I11" i="49"/>
  <c r="K11" i="53"/>
  <c r="K11" i="38" s="1"/>
  <c r="K11" i="49"/>
  <c r="J11" i="53"/>
  <c r="J11" i="38" s="1"/>
  <c r="J11" i="49"/>
  <c r="G21" i="52"/>
  <c r="H26" i="5"/>
  <c r="I16" i="38" l="1"/>
  <c r="G11" i="53"/>
  <c r="G11" i="38" s="1"/>
  <c r="G11" i="49"/>
  <c r="H21" i="52"/>
  <c r="D35" i="6"/>
  <c r="D37" i="6" s="1"/>
  <c r="D72" i="5" s="1"/>
  <c r="C35" i="6"/>
  <c r="C37" i="6" s="1"/>
  <c r="C72" i="5" s="1"/>
  <c r="D32" i="6"/>
  <c r="D34" i="6" s="1"/>
  <c r="D71" i="5" s="1"/>
  <c r="C32" i="6"/>
  <c r="C34" i="6" s="1"/>
  <c r="C71" i="5" s="1"/>
  <c r="G33" i="6"/>
  <c r="D31" i="6"/>
  <c r="D70" i="5" s="1"/>
  <c r="C31" i="6"/>
  <c r="C70" i="5" s="1"/>
  <c r="D30" i="6"/>
  <c r="D69" i="5" s="1"/>
  <c r="C30" i="6"/>
  <c r="C69" i="5" s="1"/>
  <c r="D29" i="6"/>
  <c r="D68" i="5" s="1"/>
  <c r="C29" i="6"/>
  <c r="C68" i="5" s="1"/>
  <c r="D26" i="6"/>
  <c r="D28" i="6" s="1"/>
  <c r="D67" i="5" s="1"/>
  <c r="C26" i="6"/>
  <c r="G27" i="6"/>
  <c r="D23" i="6"/>
  <c r="D25" i="6" s="1"/>
  <c r="C23" i="6"/>
  <c r="C25" i="6" s="1"/>
  <c r="G24" i="6"/>
  <c r="D20" i="6"/>
  <c r="D49" i="5" s="1"/>
  <c r="C20" i="6"/>
  <c r="C49" i="5" s="1"/>
  <c r="D19" i="6"/>
  <c r="D48" i="5" s="1"/>
  <c r="C19" i="6"/>
  <c r="C48" i="5" s="1"/>
  <c r="D18" i="6"/>
  <c r="D47" i="5" s="1"/>
  <c r="C18" i="6"/>
  <c r="C47" i="5" s="1"/>
  <c r="D15" i="6"/>
  <c r="D17" i="6" s="1"/>
  <c r="D46" i="5" s="1"/>
  <c r="D147" i="5" s="1"/>
  <c r="C15" i="6"/>
  <c r="C17" i="6" s="1"/>
  <c r="C46" i="5" s="1"/>
  <c r="C147" i="5" s="1"/>
  <c r="G16" i="6"/>
  <c r="H16" i="6" s="1"/>
  <c r="I16" i="6" s="1"/>
  <c r="J16" i="6" s="1"/>
  <c r="K16" i="6" s="1"/>
  <c r="D12" i="6"/>
  <c r="D14" i="6" s="1"/>
  <c r="D45" i="5" s="1"/>
  <c r="C12" i="6"/>
  <c r="C14" i="6" s="1"/>
  <c r="C45" i="5" s="1"/>
  <c r="G13" i="6"/>
  <c r="H13" i="6" s="1"/>
  <c r="I13" i="6" s="1"/>
  <c r="J13" i="6" s="1"/>
  <c r="K13" i="6" s="1"/>
  <c r="G10" i="6"/>
  <c r="H10" i="6" s="1"/>
  <c r="D9" i="6"/>
  <c r="C9" i="6"/>
  <c r="C11" i="6" s="1"/>
  <c r="C44" i="5" s="1"/>
  <c r="G41" i="6"/>
  <c r="H41" i="6"/>
  <c r="I41" i="6"/>
  <c r="J41" i="6"/>
  <c r="K41" i="6"/>
  <c r="F41" i="6"/>
  <c r="F8" i="6" s="1"/>
  <c r="F43" i="5" s="1"/>
  <c r="D6" i="6"/>
  <c r="D8" i="6" s="1"/>
  <c r="C6" i="6"/>
  <c r="G7" i="6"/>
  <c r="H7" i="6" s="1"/>
  <c r="I7" i="6" s="1"/>
  <c r="J7" i="6" s="1"/>
  <c r="K7" i="6" s="1"/>
  <c r="D34" i="5"/>
  <c r="E34" i="5"/>
  <c r="C34" i="5"/>
  <c r="D26" i="5"/>
  <c r="E26" i="5"/>
  <c r="D43" i="5" l="1"/>
  <c r="D66" i="5"/>
  <c r="D38" i="6"/>
  <c r="C66" i="5"/>
  <c r="D73" i="5"/>
  <c r="H11" i="53"/>
  <c r="H11" i="38" s="1"/>
  <c r="H11" i="49"/>
  <c r="H14" i="6"/>
  <c r="H45" i="5" s="1"/>
  <c r="C26" i="5"/>
  <c r="G28" i="6"/>
  <c r="G67" i="5" s="1"/>
  <c r="H33" i="6"/>
  <c r="F28" i="6"/>
  <c r="F67" i="5" s="1"/>
  <c r="C28" i="6"/>
  <c r="C67" i="5" s="1"/>
  <c r="H27" i="6"/>
  <c r="H28" i="6" s="1"/>
  <c r="H67" i="5" s="1"/>
  <c r="H24" i="6"/>
  <c r="K14" i="6"/>
  <c r="K45" i="5" s="1"/>
  <c r="I14" i="6"/>
  <c r="I45" i="5" s="1"/>
  <c r="G14" i="6"/>
  <c r="G45" i="5" s="1"/>
  <c r="J14" i="6"/>
  <c r="J45" i="5" s="1"/>
  <c r="F14" i="6"/>
  <c r="F45" i="5" s="1"/>
  <c r="I10" i="6"/>
  <c r="D11" i="6"/>
  <c r="D44" i="5" s="1"/>
  <c r="K8" i="6"/>
  <c r="K43" i="5" s="1"/>
  <c r="G8" i="6"/>
  <c r="G43" i="5" s="1"/>
  <c r="I8" i="6"/>
  <c r="I43" i="5" s="1"/>
  <c r="J8" i="6"/>
  <c r="J43" i="5" s="1"/>
  <c r="C8" i="6"/>
  <c r="H8" i="6"/>
  <c r="H43" i="5" s="1"/>
  <c r="C73" i="5" l="1"/>
  <c r="C106" i="5" s="1"/>
  <c r="L35" i="38"/>
  <c r="J16" i="38"/>
  <c r="C43" i="5"/>
  <c r="C38" i="6"/>
  <c r="I33" i="6"/>
  <c r="I27" i="6"/>
  <c r="I28" i="6" s="1"/>
  <c r="I67" i="5" s="1"/>
  <c r="I24" i="6"/>
  <c r="J10" i="6"/>
  <c r="L32" i="38" l="1"/>
  <c r="L16" i="38" s="1"/>
  <c r="K16" i="38"/>
  <c r="J33" i="6"/>
  <c r="J27" i="6"/>
  <c r="J28" i="6" s="1"/>
  <c r="J67" i="5" s="1"/>
  <c r="J24" i="6"/>
  <c r="K10" i="6"/>
  <c r="K33" i="6" l="1"/>
  <c r="K27" i="6"/>
  <c r="K28" i="6" s="1"/>
  <c r="K67" i="5" s="1"/>
  <c r="K24" i="6"/>
  <c r="K23" i="18" l="1"/>
  <c r="F23" i="18"/>
  <c r="F39" i="18" s="1"/>
  <c r="G23" i="18"/>
  <c r="H23" i="18"/>
  <c r="I23" i="18"/>
  <c r="J23" i="18"/>
  <c r="E23" i="18"/>
  <c r="E39" i="18" s="1"/>
  <c r="C141" i="2" l="1"/>
  <c r="C140" i="2"/>
  <c r="E132" i="2"/>
  <c r="E130" i="2"/>
  <c r="C132" i="2"/>
  <c r="D132" i="2"/>
  <c r="C131" i="2"/>
  <c r="D131" i="2"/>
  <c r="C130" i="2"/>
  <c r="D130" i="2"/>
  <c r="D127" i="2"/>
  <c r="C54" i="18" l="1"/>
  <c r="C102" i="18"/>
  <c r="F100" i="18"/>
  <c r="D5" i="18"/>
  <c r="E5" i="18"/>
  <c r="E7" i="55" s="1"/>
  <c r="D6" i="18"/>
  <c r="E6" i="18"/>
  <c r="E8" i="55" s="1"/>
  <c r="D7" i="18"/>
  <c r="E7" i="18"/>
  <c r="E9" i="55" s="1"/>
  <c r="C7" i="18"/>
  <c r="C6" i="18"/>
  <c r="C5" i="18"/>
  <c r="G20" i="17"/>
  <c r="D5" i="17"/>
  <c r="D11" i="17" s="1"/>
  <c r="E5" i="17"/>
  <c r="E6" i="55" s="1"/>
  <c r="C5" i="17"/>
  <c r="C6" i="55" s="1"/>
  <c r="E57" i="10"/>
  <c r="F51" i="10"/>
  <c r="D70" i="10"/>
  <c r="D5" i="55" s="1"/>
  <c r="E70" i="10"/>
  <c r="E5" i="55" s="1"/>
  <c r="C70" i="10"/>
  <c r="C5" i="55" s="1"/>
  <c r="D64" i="10"/>
  <c r="E64" i="10"/>
  <c r="C64" i="10"/>
  <c r="D34" i="10"/>
  <c r="E34" i="10"/>
  <c r="C34" i="10"/>
  <c r="D18" i="10"/>
  <c r="E18" i="10"/>
  <c r="C18" i="10"/>
  <c r="D24" i="10"/>
  <c r="E24" i="10"/>
  <c r="C24" i="10"/>
  <c r="D12" i="10"/>
  <c r="E12" i="10"/>
  <c r="C12" i="10"/>
  <c r="D5" i="10"/>
  <c r="E5" i="10"/>
  <c r="C5" i="10"/>
  <c r="C5" i="8"/>
  <c r="D5" i="8"/>
  <c r="F6" i="8" s="1"/>
  <c r="E5" i="8"/>
  <c r="E14" i="55" l="1"/>
  <c r="E16" i="55" s="1"/>
  <c r="D7" i="53"/>
  <c r="D6" i="55"/>
  <c r="D9" i="53"/>
  <c r="D8" i="55"/>
  <c r="C8" i="53"/>
  <c r="C7" i="55"/>
  <c r="C14" i="55" s="1"/>
  <c r="C16" i="55" s="1"/>
  <c r="C19" i="55" s="1"/>
  <c r="D8" i="53"/>
  <c r="D7" i="55"/>
  <c r="C9" i="53"/>
  <c r="C8" i="55"/>
  <c r="C10" i="53"/>
  <c r="C9" i="55"/>
  <c r="D10" i="53"/>
  <c r="D9" i="55"/>
  <c r="C5" i="53"/>
  <c r="C41" i="6"/>
  <c r="E7" i="53"/>
  <c r="C11" i="17"/>
  <c r="C7" i="53"/>
  <c r="E5" i="53"/>
  <c r="E41" i="6"/>
  <c r="D5" i="53"/>
  <c r="D41" i="6"/>
  <c r="E38" i="10"/>
  <c r="D38" i="10"/>
  <c r="C38" i="10"/>
  <c r="C84" i="10"/>
  <c r="E84" i="10"/>
  <c r="D84" i="10"/>
  <c r="C6" i="53"/>
  <c r="C42" i="6"/>
  <c r="E6" i="53"/>
  <c r="E42" i="6"/>
  <c r="D6" i="53"/>
  <c r="D42" i="6"/>
  <c r="D33" i="6" s="1"/>
  <c r="E10" i="53"/>
  <c r="E8" i="53"/>
  <c r="E9" i="53"/>
  <c r="E13" i="2"/>
  <c r="E94" i="2" s="1"/>
  <c r="E140" i="2" s="1"/>
  <c r="E113" i="2"/>
  <c r="D113" i="2"/>
  <c r="C113" i="2"/>
  <c r="E96" i="2" l="1"/>
  <c r="E125" i="2" s="1"/>
  <c r="C5" i="6"/>
  <c r="C20" i="55"/>
  <c r="D14" i="55"/>
  <c r="D16" i="55" s="1"/>
  <c r="D19" i="55" s="1"/>
  <c r="D13" i="6"/>
  <c r="D7" i="6"/>
  <c r="D27" i="6"/>
  <c r="F5" i="38"/>
  <c r="F5" i="49"/>
  <c r="C13" i="6"/>
  <c r="C27" i="6"/>
  <c r="C7" i="6"/>
  <c r="D36" i="6"/>
  <c r="D24" i="6"/>
  <c r="D10" i="6"/>
  <c r="D16" i="6"/>
  <c r="C16" i="6"/>
  <c r="C36" i="6"/>
  <c r="C24" i="6"/>
  <c r="C10" i="6"/>
  <c r="C33" i="6"/>
  <c r="D116" i="2"/>
  <c r="D118" i="2" s="1"/>
  <c r="D134" i="2" s="1"/>
  <c r="D133" i="2"/>
  <c r="E116" i="2"/>
  <c r="E118" i="2" s="1"/>
  <c r="E134" i="2" s="1"/>
  <c r="E133" i="2"/>
  <c r="C116" i="2"/>
  <c r="C118" i="2" s="1"/>
  <c r="C134" i="2" s="1"/>
  <c r="C133" i="2"/>
  <c r="E4" i="8" l="1"/>
  <c r="E4" i="52" s="1"/>
  <c r="E12" i="52" s="1"/>
  <c r="E142" i="2"/>
  <c r="D20" i="55"/>
  <c r="D5" i="6"/>
  <c r="C42" i="5"/>
  <c r="C41" i="5"/>
  <c r="C21" i="6"/>
  <c r="C39" i="6" s="1"/>
  <c r="C43" i="6" s="1"/>
  <c r="D121" i="2"/>
  <c r="D119" i="2"/>
  <c r="E121" i="2"/>
  <c r="E119" i="2"/>
  <c r="C121" i="2"/>
  <c r="C119" i="2"/>
  <c r="F21" i="38"/>
  <c r="D4" i="54" l="1"/>
  <c r="D12" i="54" s="1"/>
  <c r="E4" i="55"/>
  <c r="E22" i="55" s="1"/>
  <c r="E4" i="6"/>
  <c r="E4" i="53"/>
  <c r="C50" i="5"/>
  <c r="D41" i="5"/>
  <c r="D42" i="5"/>
  <c r="D21" i="6"/>
  <c r="D39" i="6" s="1"/>
  <c r="D43" i="6" s="1"/>
  <c r="N44" i="50"/>
  <c r="M63" i="50"/>
  <c r="N63" i="50" s="1"/>
  <c r="C4" i="54" l="1"/>
  <c r="D32" i="54"/>
  <c r="D21" i="54"/>
  <c r="D50" i="5"/>
  <c r="G49" i="18"/>
  <c r="H49" i="18" s="1"/>
  <c r="I49" i="18" s="1"/>
  <c r="J49" i="18" s="1"/>
  <c r="K49" i="18" s="1"/>
  <c r="B59" i="18"/>
  <c r="B60" i="18"/>
  <c r="B61" i="18"/>
  <c r="B62" i="18"/>
  <c r="B58" i="18"/>
  <c r="G12" i="17"/>
  <c r="H12" i="17" s="1"/>
  <c r="I12" i="17" s="1"/>
  <c r="J12" i="17" s="1"/>
  <c r="K12" i="17" s="1"/>
  <c r="G69" i="10"/>
  <c r="H69" i="10" s="1"/>
  <c r="I69" i="10" s="1"/>
  <c r="J69" i="10" s="1"/>
  <c r="K69" i="10" s="1"/>
  <c r="G63" i="10"/>
  <c r="H63" i="10" s="1"/>
  <c r="I63" i="10" s="1"/>
  <c r="J63" i="10" s="1"/>
  <c r="K63" i="10" s="1"/>
  <c r="G23" i="10"/>
  <c r="H23" i="10" s="1"/>
  <c r="I23" i="10" s="1"/>
  <c r="J23" i="10" s="1"/>
  <c r="K23" i="10" s="1"/>
  <c r="F4" i="8"/>
  <c r="F4" i="6" l="1"/>
  <c r="F4" i="55"/>
  <c r="F4" i="54"/>
  <c r="B79" i="54" s="1"/>
  <c r="F4" i="53"/>
  <c r="D13" i="2"/>
  <c r="D96" i="2" s="1"/>
  <c r="F48" i="54" l="1"/>
  <c r="E4" i="54"/>
  <c r="F21" i="54"/>
  <c r="F12" i="54"/>
  <c r="F32" i="54"/>
  <c r="F3" i="54"/>
  <c r="D125" i="2"/>
  <c r="D4" i="8"/>
  <c r="D4" i="55" s="1"/>
  <c r="F3" i="16" l="1"/>
  <c r="E3" i="52"/>
  <c r="E32" i="54"/>
  <c r="B78" i="54"/>
  <c r="B77" i="54"/>
  <c r="F4" i="49"/>
  <c r="F4" i="52"/>
  <c r="F12" i="52" s="1"/>
  <c r="F4" i="38"/>
  <c r="F31" i="38" s="1"/>
  <c r="F66" i="54"/>
  <c r="F57" i="54"/>
  <c r="E12" i="54"/>
  <c r="E48" i="54"/>
  <c r="B49" i="54" s="1"/>
  <c r="E21" i="54"/>
  <c r="D12" i="52"/>
  <c r="D4" i="53"/>
  <c r="D4" i="6"/>
  <c r="C11" i="5"/>
  <c r="C80" i="5" s="1"/>
  <c r="D11" i="5"/>
  <c r="D80" i="5" s="1"/>
  <c r="C9" i="5"/>
  <c r="C77" i="5" s="1"/>
  <c r="D9" i="5"/>
  <c r="D77" i="5" s="1"/>
  <c r="C10" i="5"/>
  <c r="C78" i="5" s="1"/>
  <c r="D10" i="5"/>
  <c r="D78" i="5" s="1"/>
  <c r="C8" i="5"/>
  <c r="C76" i="5" s="1"/>
  <c r="D8" i="5"/>
  <c r="D76" i="5" s="1"/>
  <c r="C7" i="5"/>
  <c r="C75" i="5" s="1"/>
  <c r="D7" i="5"/>
  <c r="D75" i="5" s="1"/>
  <c r="C6" i="5"/>
  <c r="C62" i="5" s="1"/>
  <c r="D6" i="5"/>
  <c r="D62" i="5" s="1"/>
  <c r="C59" i="5"/>
  <c r="C109" i="5" s="1"/>
  <c r="C111" i="5" s="1"/>
  <c r="D59" i="5"/>
  <c r="D109" i="5" s="1"/>
  <c r="D111" i="5" s="1"/>
  <c r="C55" i="5"/>
  <c r="D55" i="5"/>
  <c r="C56" i="5"/>
  <c r="D56" i="5"/>
  <c r="C57" i="5"/>
  <c r="D57" i="5"/>
  <c r="C58" i="5"/>
  <c r="D58" i="5"/>
  <c r="C54" i="5"/>
  <c r="D54" i="5"/>
  <c r="C53" i="5"/>
  <c r="D53" i="5"/>
  <c r="C5" i="5"/>
  <c r="C52" i="5" s="1"/>
  <c r="D5" i="5"/>
  <c r="D52" i="5" s="1"/>
  <c r="G81" i="18"/>
  <c r="K79" i="18"/>
  <c r="J79" i="18"/>
  <c r="I79" i="18"/>
  <c r="H79" i="18"/>
  <c r="G79" i="18"/>
  <c r="F79" i="18"/>
  <c r="E79" i="18"/>
  <c r="D79" i="18"/>
  <c r="C79" i="18"/>
  <c r="E123" i="18"/>
  <c r="D123" i="18"/>
  <c r="C123" i="18"/>
  <c r="E122" i="18"/>
  <c r="E92" i="18" s="1"/>
  <c r="D122" i="18"/>
  <c r="D92" i="18" s="1"/>
  <c r="C122" i="18"/>
  <c r="C92" i="18" s="1"/>
  <c r="F121" i="18"/>
  <c r="F120" i="18"/>
  <c r="F119" i="18"/>
  <c r="F118" i="18"/>
  <c r="F117" i="18"/>
  <c r="F116" i="18"/>
  <c r="E25" i="5"/>
  <c r="D25" i="5"/>
  <c r="F53" i="5" l="1"/>
  <c r="E57" i="54"/>
  <c r="B58" i="54" s="1"/>
  <c r="E66" i="54"/>
  <c r="B67" i="54" s="1"/>
  <c r="C81" i="5"/>
  <c r="C115" i="5" s="1"/>
  <c r="D81" i="5"/>
  <c r="D115" i="5" s="1"/>
  <c r="F92" i="18"/>
  <c r="C25" i="5"/>
  <c r="H81" i="18"/>
  <c r="I81" i="18" l="1"/>
  <c r="J81" i="18" l="1"/>
  <c r="K81" i="18" l="1"/>
  <c r="K69" i="50" l="1"/>
  <c r="L69" i="50"/>
  <c r="M68" i="50"/>
  <c r="M64" i="50"/>
  <c r="M65" i="50"/>
  <c r="M66" i="50"/>
  <c r="K56" i="50"/>
  <c r="L56" i="50"/>
  <c r="M56" i="50"/>
  <c r="N56" i="50" s="1"/>
  <c r="K53" i="50"/>
  <c r="K54" i="50"/>
  <c r="L54" i="50"/>
  <c r="L53" i="50"/>
  <c r="M47" i="50"/>
  <c r="N47" i="50" s="1"/>
  <c r="M48" i="50"/>
  <c r="N48" i="50" s="1"/>
  <c r="M49" i="50"/>
  <c r="N49" i="50" s="1"/>
  <c r="M50" i="50"/>
  <c r="N50" i="50" s="1"/>
  <c r="M51" i="50"/>
  <c r="N51" i="50" s="1"/>
  <c r="M53" i="50"/>
  <c r="N53" i="50" s="1"/>
  <c r="M54" i="50"/>
  <c r="N54" i="50" s="1"/>
  <c r="M55" i="50"/>
  <c r="N55" i="50" s="1"/>
  <c r="M58" i="50"/>
  <c r="N58" i="50" s="1"/>
  <c r="M46" i="50"/>
  <c r="K47" i="50"/>
  <c r="L47" i="50"/>
  <c r="K46" i="50"/>
  <c r="L46" i="50"/>
  <c r="M41" i="50"/>
  <c r="M24" i="50"/>
  <c r="M25" i="50"/>
  <c r="M26" i="50"/>
  <c r="M27" i="50"/>
  <c r="M28" i="50"/>
  <c r="M29" i="50"/>
  <c r="M30" i="50"/>
  <c r="M31" i="50"/>
  <c r="M32" i="50"/>
  <c r="M33" i="50"/>
  <c r="M34" i="50"/>
  <c r="M35" i="50"/>
  <c r="M36" i="50"/>
  <c r="M37" i="50"/>
  <c r="M39" i="50"/>
  <c r="K31" i="50"/>
  <c r="L31" i="50"/>
  <c r="K28" i="50"/>
  <c r="K29" i="50"/>
  <c r="K30" i="50"/>
  <c r="L29" i="50"/>
  <c r="L30" i="50"/>
  <c r="L28" i="50"/>
  <c r="K25" i="50"/>
  <c r="L25" i="50"/>
  <c r="K26" i="50"/>
  <c r="L26" i="50"/>
  <c r="K23" i="50"/>
  <c r="K24" i="50"/>
  <c r="L24" i="50"/>
  <c r="L23" i="50"/>
  <c r="M23" i="50"/>
  <c r="N23" i="50" s="1"/>
  <c r="K18" i="50"/>
  <c r="L18" i="50"/>
  <c r="M18" i="50"/>
  <c r="N18" i="50" s="1"/>
  <c r="M17" i="50"/>
  <c r="N17" i="50" s="1"/>
  <c r="M19" i="50"/>
  <c r="N19" i="50" s="1"/>
  <c r="M20" i="50"/>
  <c r="M16" i="50"/>
  <c r="M15" i="50"/>
  <c r="N15" i="50" s="1"/>
  <c r="K13" i="50"/>
  <c r="K14" i="50"/>
  <c r="L13" i="50"/>
  <c r="M14" i="50"/>
  <c r="N14" i="50" s="1"/>
  <c r="M13" i="50"/>
  <c r="N13" i="50" s="1"/>
  <c r="M12" i="50"/>
  <c r="M11" i="50"/>
  <c r="K10" i="50"/>
  <c r="L10" i="50"/>
  <c r="M10" i="50"/>
  <c r="N10" i="50" s="1"/>
  <c r="K9" i="50"/>
  <c r="L9" i="50"/>
  <c r="M9" i="50"/>
  <c r="L14" i="50"/>
  <c r="E21" i="50"/>
  <c r="C81" i="50"/>
  <c r="D81" i="50" s="1"/>
  <c r="G81" i="50" s="1"/>
  <c r="C73" i="50"/>
  <c r="D73" i="50" s="1"/>
  <c r="C74" i="50"/>
  <c r="D74" i="50" s="1"/>
  <c r="C75" i="50"/>
  <c r="D75" i="50" s="1"/>
  <c r="D80" i="50" s="1"/>
  <c r="D82" i="50" s="1"/>
  <c r="C76" i="50"/>
  <c r="D76" i="50" s="1"/>
  <c r="C77" i="50"/>
  <c r="D77" i="50" s="1"/>
  <c r="C78" i="50"/>
  <c r="D78" i="50" s="1"/>
  <c r="C79" i="50"/>
  <c r="D79" i="50" s="1"/>
  <c r="C72" i="50"/>
  <c r="D72" i="50" s="1"/>
  <c r="C62" i="50"/>
  <c r="D62" i="50" s="1"/>
  <c r="G62" i="50" s="1"/>
  <c r="C63" i="50"/>
  <c r="D63" i="50" s="1"/>
  <c r="G63" i="50" s="1"/>
  <c r="E7" i="5" s="1"/>
  <c r="E75" i="5" s="1"/>
  <c r="C64" i="50"/>
  <c r="D64" i="50" s="1"/>
  <c r="G64" i="50" s="1"/>
  <c r="E8" i="5" s="1"/>
  <c r="E76" i="5" s="1"/>
  <c r="C65" i="50"/>
  <c r="D65" i="50" s="1"/>
  <c r="G65" i="50" s="1"/>
  <c r="E9" i="5" s="1"/>
  <c r="E77" i="5" s="1"/>
  <c r="C66" i="50"/>
  <c r="D66" i="50" s="1"/>
  <c r="G66" i="50" s="1"/>
  <c r="E10" i="5" s="1"/>
  <c r="E78" i="5" s="1"/>
  <c r="C67" i="50"/>
  <c r="D67" i="50" s="1"/>
  <c r="C68" i="50"/>
  <c r="D68" i="50" s="1"/>
  <c r="G68" i="50" s="1"/>
  <c r="E11" i="5" s="1"/>
  <c r="E80" i="5" s="1"/>
  <c r="C61" i="50"/>
  <c r="D61" i="50" s="1"/>
  <c r="C46" i="50"/>
  <c r="D46" i="50" s="1"/>
  <c r="G46" i="50" s="1"/>
  <c r="C47" i="50"/>
  <c r="D47" i="50" s="1"/>
  <c r="G47" i="50" s="1"/>
  <c r="C48" i="50"/>
  <c r="D48" i="50" s="1"/>
  <c r="C49" i="50"/>
  <c r="D49" i="50" s="1"/>
  <c r="G49" i="50" s="1"/>
  <c r="E26" i="6" s="1"/>
  <c r="E27" i="6" s="1"/>
  <c r="C50" i="50"/>
  <c r="D50" i="50" s="1"/>
  <c r="G50" i="50" s="1"/>
  <c r="E29" i="6" s="1"/>
  <c r="E68" i="5" s="1"/>
  <c r="C51" i="50"/>
  <c r="D51" i="50" s="1"/>
  <c r="G51" i="50" s="1"/>
  <c r="E30" i="6" s="1"/>
  <c r="E69" i="5" s="1"/>
  <c r="C52" i="50"/>
  <c r="D52" i="50" s="1"/>
  <c r="G52" i="50" s="1"/>
  <c r="E31" i="6" s="1"/>
  <c r="E70" i="5" s="1"/>
  <c r="C53" i="50"/>
  <c r="D53" i="50" s="1"/>
  <c r="G53" i="50" s="1"/>
  <c r="C54" i="50"/>
  <c r="D54" i="50" s="1"/>
  <c r="G54" i="50" s="1"/>
  <c r="C55" i="50"/>
  <c r="C56" i="50"/>
  <c r="D56" i="50" s="1"/>
  <c r="G56" i="50" s="1"/>
  <c r="C57" i="50"/>
  <c r="D57" i="50" s="1"/>
  <c r="G57" i="50" s="1"/>
  <c r="C58" i="50"/>
  <c r="D58" i="50" s="1"/>
  <c r="G58" i="50" s="1"/>
  <c r="E35" i="6" s="1"/>
  <c r="E36" i="6" s="1"/>
  <c r="C45" i="50"/>
  <c r="D45" i="50" s="1"/>
  <c r="C24" i="50"/>
  <c r="D24" i="50" s="1"/>
  <c r="G24" i="50" s="1"/>
  <c r="C25" i="50"/>
  <c r="D25" i="50" s="1"/>
  <c r="G25" i="50" s="1"/>
  <c r="C26" i="50"/>
  <c r="D26" i="50" s="1"/>
  <c r="G26" i="50" s="1"/>
  <c r="C27" i="50"/>
  <c r="D27" i="50" s="1"/>
  <c r="G27" i="50" s="1"/>
  <c r="E5" i="5" s="1"/>
  <c r="E52" i="5" s="1"/>
  <c r="C28" i="50"/>
  <c r="D28" i="50" s="1"/>
  <c r="G28" i="50" s="1"/>
  <c r="C29" i="50"/>
  <c r="D29" i="50" s="1"/>
  <c r="G29" i="50" s="1"/>
  <c r="C30" i="50"/>
  <c r="D30" i="50" s="1"/>
  <c r="G30" i="50" s="1"/>
  <c r="C31" i="50"/>
  <c r="D31" i="50" s="1"/>
  <c r="G31" i="50" s="1"/>
  <c r="C32" i="50"/>
  <c r="D32" i="50" s="1"/>
  <c r="G32" i="50" s="1"/>
  <c r="D46" i="54" s="1"/>
  <c r="C33" i="50"/>
  <c r="D33" i="50" s="1"/>
  <c r="G33" i="50" s="1"/>
  <c r="C34" i="50"/>
  <c r="D34" i="50" s="1"/>
  <c r="G34" i="50" s="1"/>
  <c r="E55" i="5" s="1"/>
  <c r="C35" i="50"/>
  <c r="D35" i="50" s="1"/>
  <c r="G35" i="50" s="1"/>
  <c r="E56" i="5" s="1"/>
  <c r="C36" i="50"/>
  <c r="D36" i="50" s="1"/>
  <c r="G36" i="50" s="1"/>
  <c r="D66" i="16" s="1"/>
  <c r="C37" i="50"/>
  <c r="D37" i="50" s="1"/>
  <c r="G37" i="50" s="1"/>
  <c r="C38" i="50"/>
  <c r="D38" i="50" s="1"/>
  <c r="G38" i="50" s="1"/>
  <c r="E59" i="5" s="1"/>
  <c r="C39" i="50"/>
  <c r="D39" i="50" s="1"/>
  <c r="G39" i="50" s="1"/>
  <c r="D48" i="16" s="1"/>
  <c r="C40" i="50"/>
  <c r="D40" i="50" s="1"/>
  <c r="C41" i="50"/>
  <c r="D41" i="50" s="1"/>
  <c r="G41" i="50" s="1"/>
  <c r="E6" i="5" s="1"/>
  <c r="E62" i="5" s="1"/>
  <c r="C23" i="50"/>
  <c r="D23" i="50" s="1"/>
  <c r="C9" i="50"/>
  <c r="D9" i="50" s="1"/>
  <c r="G9" i="50" s="1"/>
  <c r="C10" i="50"/>
  <c r="D10" i="50" s="1"/>
  <c r="G10" i="50" s="1"/>
  <c r="C11" i="50"/>
  <c r="D11" i="50" s="1"/>
  <c r="G11" i="50" s="1"/>
  <c r="E6" i="6" s="1"/>
  <c r="C12" i="50"/>
  <c r="D12" i="50" s="1"/>
  <c r="G12" i="50" s="1"/>
  <c r="E9" i="6" s="1"/>
  <c r="E10" i="6" s="1"/>
  <c r="C13" i="50"/>
  <c r="D13" i="50" s="1"/>
  <c r="G13" i="50" s="1"/>
  <c r="C14" i="50"/>
  <c r="D14" i="50" s="1"/>
  <c r="G14" i="50" s="1"/>
  <c r="C15" i="50"/>
  <c r="D15" i="50" s="1"/>
  <c r="G15" i="50" s="1"/>
  <c r="E12" i="6" s="1"/>
  <c r="E13" i="6" s="1"/>
  <c r="C16" i="50"/>
  <c r="D16" i="50" s="1"/>
  <c r="G16" i="50" s="1"/>
  <c r="E15" i="6" s="1"/>
  <c r="E16" i="6" s="1"/>
  <c r="C17" i="50"/>
  <c r="D17" i="50" s="1"/>
  <c r="G17" i="50" s="1"/>
  <c r="E18" i="6" s="1"/>
  <c r="E47" i="5" s="1"/>
  <c r="C18" i="50"/>
  <c r="D18" i="50" s="1"/>
  <c r="G18" i="50" s="1"/>
  <c r="C19" i="50"/>
  <c r="D19" i="50" s="1"/>
  <c r="G19" i="50" s="1"/>
  <c r="E19" i="6" s="1"/>
  <c r="E48" i="5" s="1"/>
  <c r="C20" i="50"/>
  <c r="D20" i="50" s="1"/>
  <c r="G20" i="50" s="1"/>
  <c r="E20" i="6" s="1"/>
  <c r="E49" i="5" s="1"/>
  <c r="C8" i="50"/>
  <c r="E54" i="5" l="1"/>
  <c r="D47" i="54"/>
  <c r="D65" i="16"/>
  <c r="E53" i="16"/>
  <c r="F53" i="16" s="1"/>
  <c r="G53" i="16" s="1"/>
  <c r="D68" i="16"/>
  <c r="H49" i="16"/>
  <c r="H52" i="16" s="1"/>
  <c r="K21" i="50"/>
  <c r="E17" i="6"/>
  <c r="E46" i="5" s="1"/>
  <c r="E147" i="5" s="1"/>
  <c r="E11" i="6"/>
  <c r="E44" i="5" s="1"/>
  <c r="E37" i="6"/>
  <c r="E72" i="5" s="1"/>
  <c r="E14" i="6"/>
  <c r="E45" i="5" s="1"/>
  <c r="E8" i="6"/>
  <c r="E43" i="5" s="1"/>
  <c r="E58" i="5"/>
  <c r="D15" i="16"/>
  <c r="D67" i="16" s="1"/>
  <c r="E28" i="6"/>
  <c r="E67" i="5" s="1"/>
  <c r="M21" i="50"/>
  <c r="L21" i="50"/>
  <c r="G40" i="50"/>
  <c r="E61" i="5" s="1"/>
  <c r="E120" i="5" s="1"/>
  <c r="G67" i="50"/>
  <c r="E79" i="5" s="1"/>
  <c r="F59" i="5"/>
  <c r="F109" i="5" s="1"/>
  <c r="F111" i="5" s="1"/>
  <c r="E109" i="5"/>
  <c r="E111" i="5" s="1"/>
  <c r="D55" i="50"/>
  <c r="G55" i="50" s="1"/>
  <c r="E32" i="6" s="1"/>
  <c r="E33" i="6" s="1"/>
  <c r="E57" i="5"/>
  <c r="E53" i="5"/>
  <c r="E60" i="5"/>
  <c r="G48" i="50"/>
  <c r="E23" i="6" s="1"/>
  <c r="E24" i="6" s="1"/>
  <c r="N16" i="50"/>
  <c r="N11" i="50"/>
  <c r="L42" i="50"/>
  <c r="K59" i="50"/>
  <c r="L59" i="50"/>
  <c r="M42" i="50"/>
  <c r="M69" i="50"/>
  <c r="M59" i="50"/>
  <c r="N46" i="50"/>
  <c r="K42" i="50"/>
  <c r="N9" i="50"/>
  <c r="C21" i="50"/>
  <c r="C80" i="50"/>
  <c r="C82" i="50" s="1"/>
  <c r="C59" i="50"/>
  <c r="D8" i="50"/>
  <c r="E23" i="55" s="1"/>
  <c r="E19" i="55" s="1"/>
  <c r="C42" i="50"/>
  <c r="D69" i="50"/>
  <c r="G45" i="50"/>
  <c r="G23" i="50"/>
  <c r="D42" i="50"/>
  <c r="G61" i="50"/>
  <c r="C69" i="50"/>
  <c r="C87" i="2"/>
  <c r="E49" i="2"/>
  <c r="E28" i="2"/>
  <c r="F79" i="5" l="1"/>
  <c r="F119" i="5" s="1"/>
  <c r="E119" i="5"/>
  <c r="E123" i="5" s="1"/>
  <c r="E20" i="55"/>
  <c r="E24" i="55"/>
  <c r="E25" i="55" s="1"/>
  <c r="F8" i="50" s="1"/>
  <c r="E5" i="6"/>
  <c r="H53" i="16"/>
  <c r="H5" i="16"/>
  <c r="E34" i="16"/>
  <c r="E6" i="16" s="1"/>
  <c r="I49" i="16"/>
  <c r="E25" i="6"/>
  <c r="E34" i="6"/>
  <c r="E71" i="5" s="1"/>
  <c r="F60" i="5"/>
  <c r="F81" i="5"/>
  <c r="F115" i="5" s="1"/>
  <c r="E63" i="5"/>
  <c r="E107" i="5" s="1"/>
  <c r="E81" i="5"/>
  <c r="E115" i="5" s="1"/>
  <c r="G79" i="5"/>
  <c r="G119" i="5" s="1"/>
  <c r="D59" i="50"/>
  <c r="D70" i="50" s="1"/>
  <c r="G59" i="50"/>
  <c r="L43" i="50"/>
  <c r="M70" i="50"/>
  <c r="K43" i="50"/>
  <c r="M43" i="50"/>
  <c r="C43" i="50"/>
  <c r="D21" i="50"/>
  <c r="D43" i="50" s="1"/>
  <c r="C70" i="50"/>
  <c r="C83" i="50" s="1"/>
  <c r="E41" i="5" l="1"/>
  <c r="E42" i="5"/>
  <c r="F6" i="16"/>
  <c r="F48" i="18" s="1"/>
  <c r="E7" i="16"/>
  <c r="J49" i="16"/>
  <c r="J52" i="16" s="1"/>
  <c r="J5" i="16" s="1"/>
  <c r="I52" i="16"/>
  <c r="G34" i="16"/>
  <c r="G6" i="16" s="1"/>
  <c r="G7" i="16" s="1"/>
  <c r="G60" i="5"/>
  <c r="E35" i="16"/>
  <c r="F35" i="16" s="1"/>
  <c r="E66" i="5"/>
  <c r="E73" i="5" s="1"/>
  <c r="E38" i="6"/>
  <c r="G81" i="5"/>
  <c r="G115" i="5" s="1"/>
  <c r="H79" i="5"/>
  <c r="H119" i="5" s="1"/>
  <c r="C84" i="50"/>
  <c r="D83" i="50"/>
  <c r="D84" i="50" s="1"/>
  <c r="D85" i="50" s="1"/>
  <c r="E50" i="5" l="1"/>
  <c r="F16" i="49"/>
  <c r="F17" i="38"/>
  <c r="G17" i="38"/>
  <c r="G16" i="49"/>
  <c r="I53" i="16"/>
  <c r="J53" i="16" s="1"/>
  <c r="I5" i="16"/>
  <c r="F7" i="16"/>
  <c r="K49" i="16"/>
  <c r="H44" i="16"/>
  <c r="G35" i="16"/>
  <c r="H60" i="5"/>
  <c r="H81" i="5"/>
  <c r="H115" i="5" s="1"/>
  <c r="I79" i="5"/>
  <c r="I119" i="5" s="1"/>
  <c r="K52" i="16" l="1"/>
  <c r="H33" i="16"/>
  <c r="H34" i="16" s="1"/>
  <c r="H35" i="16"/>
  <c r="I60" i="5"/>
  <c r="I81" i="5"/>
  <c r="I115" i="5" s="1"/>
  <c r="J79" i="5"/>
  <c r="J119" i="5" s="1"/>
  <c r="K53" i="16" l="1"/>
  <c r="K60" i="5" s="1"/>
  <c r="K5" i="16"/>
  <c r="K7" i="16" s="1"/>
  <c r="I44" i="16"/>
  <c r="J60" i="5"/>
  <c r="J44" i="16"/>
  <c r="J81" i="5"/>
  <c r="J115" i="5" s="1"/>
  <c r="K79" i="5"/>
  <c r="K81" i="5" l="1"/>
  <c r="K115" i="5" s="1"/>
  <c r="K119" i="5"/>
  <c r="K17" i="38"/>
  <c r="L17" i="38" s="1"/>
  <c r="L18" i="38" s="1"/>
  <c r="K16" i="49"/>
  <c r="J33" i="16"/>
  <c r="J34" i="16" s="1"/>
  <c r="I33" i="16"/>
  <c r="I34" i="16" s="1"/>
  <c r="I35" i="16" l="1"/>
  <c r="J35" i="16" s="1"/>
  <c r="K35" i="16" s="1"/>
  <c r="C8" i="18"/>
  <c r="D8" i="18"/>
  <c r="E8" i="18"/>
  <c r="E3" i="45" l="1"/>
  <c r="B11" i="2" l="1"/>
  <c r="B12" i="2"/>
  <c r="B3" i="6" l="1"/>
  <c r="B3" i="55"/>
  <c r="B3" i="54"/>
  <c r="B2" i="6"/>
  <c r="B2" i="55"/>
  <c r="B2" i="54"/>
  <c r="B95" i="2"/>
  <c r="B3" i="53"/>
  <c r="B3" i="52"/>
  <c r="B2" i="52"/>
  <c r="B2" i="53"/>
  <c r="B2" i="49"/>
  <c r="B94" i="2"/>
  <c r="L6" i="50"/>
  <c r="L44" i="50" s="1"/>
  <c r="M6" i="50"/>
  <c r="M44" i="50" s="1"/>
  <c r="B2" i="18"/>
  <c r="B2" i="10"/>
  <c r="B3" i="50"/>
  <c r="B2" i="17"/>
  <c r="B2" i="5"/>
  <c r="B2" i="8"/>
  <c r="B2" i="16"/>
  <c r="B2" i="38"/>
  <c r="N43" i="50" l="1"/>
  <c r="F69" i="50"/>
  <c r="E69" i="50"/>
  <c r="F59" i="50"/>
  <c r="E59" i="50"/>
  <c r="F42" i="50"/>
  <c r="E42" i="50"/>
  <c r="F40" i="49" l="1"/>
  <c r="F55" i="38"/>
  <c r="G42" i="50"/>
  <c r="E70" i="50"/>
  <c r="G69" i="50"/>
  <c r="E43" i="50"/>
  <c r="F70" i="50"/>
  <c r="G70" i="50" l="1"/>
  <c r="C85" i="50" l="1"/>
  <c r="E113" i="18" l="1"/>
  <c r="D113" i="18"/>
  <c r="C113" i="18"/>
  <c r="E103" i="18"/>
  <c r="D103" i="18"/>
  <c r="C103" i="18"/>
  <c r="D58" i="10"/>
  <c r="E58" i="10"/>
  <c r="D57" i="10"/>
  <c r="C57" i="10"/>
  <c r="F56" i="10"/>
  <c r="F55" i="10"/>
  <c r="F54" i="10"/>
  <c r="F53" i="10"/>
  <c r="F52" i="10"/>
  <c r="E32" i="17" l="1"/>
  <c r="F97" i="18"/>
  <c r="F89" i="18"/>
  <c r="E112" i="18"/>
  <c r="E91" i="18" s="1"/>
  <c r="D112" i="18"/>
  <c r="D91" i="18" s="1"/>
  <c r="C112" i="18"/>
  <c r="C91" i="18" s="1"/>
  <c r="F111" i="18"/>
  <c r="F106" i="18"/>
  <c r="F110" i="18"/>
  <c r="F109" i="18"/>
  <c r="F108" i="18"/>
  <c r="F107" i="18"/>
  <c r="F98" i="18"/>
  <c r="F99" i="18"/>
  <c r="F101" i="18"/>
  <c r="F96" i="18"/>
  <c r="C90" i="18"/>
  <c r="D102" i="18"/>
  <c r="D90" i="18" s="1"/>
  <c r="E102" i="18"/>
  <c r="E90" i="18" s="1"/>
  <c r="F91" i="18" l="1"/>
  <c r="F90" i="18"/>
  <c r="C5" i="50" l="1"/>
  <c r="C92" i="5" l="1"/>
  <c r="D92" i="5"/>
  <c r="F92" i="5" s="1"/>
  <c r="E92" i="5"/>
  <c r="C87" i="5"/>
  <c r="D87" i="5"/>
  <c r="E87" i="5"/>
  <c r="C86" i="5"/>
  <c r="D86" i="5"/>
  <c r="E86" i="5"/>
  <c r="C85" i="5"/>
  <c r="D85" i="5"/>
  <c r="E85" i="5"/>
  <c r="C84" i="5"/>
  <c r="D84" i="5"/>
  <c r="E84" i="5"/>
  <c r="C88" i="5" l="1"/>
  <c r="E88" i="5"/>
  <c r="E116" i="5" s="1"/>
  <c r="E117" i="5" s="1"/>
  <c r="D88" i="5"/>
  <c r="D116" i="5" s="1"/>
  <c r="D117" i="5" s="1"/>
  <c r="C116" i="5" l="1"/>
  <c r="C117" i="5" s="1"/>
  <c r="C60" i="5"/>
  <c r="C63" i="5" s="1"/>
  <c r="C107" i="5" s="1"/>
  <c r="D60" i="5"/>
  <c r="D63" i="5" s="1"/>
  <c r="E4" i="5"/>
  <c r="D64" i="5" l="1"/>
  <c r="D107" i="5"/>
  <c r="F4" i="5"/>
  <c r="F39" i="5" s="1"/>
  <c r="E39" i="5"/>
  <c r="F61" i="5"/>
  <c r="F120" i="5" s="1"/>
  <c r="F123" i="5" s="1"/>
  <c r="D106" i="5" l="1"/>
  <c r="C23" i="5" l="1"/>
  <c r="D23" i="5"/>
  <c r="C24" i="5"/>
  <c r="D24" i="5"/>
  <c r="E24" i="5"/>
  <c r="E23" i="5"/>
  <c r="D22" i="5"/>
  <c r="E22" i="5" l="1"/>
  <c r="C22" i="5"/>
  <c r="E6" i="10" l="1"/>
  <c r="E7" i="10" s="1"/>
  <c r="C6" i="10"/>
  <c r="D6" i="10"/>
  <c r="D6" i="8"/>
  <c r="E21" i="5"/>
  <c r="D21" i="5"/>
  <c r="C21" i="5"/>
  <c r="E20" i="5"/>
  <c r="E146" i="5" s="1"/>
  <c r="C20" i="5"/>
  <c r="C9" i="18"/>
  <c r="D20" i="5"/>
  <c r="D9" i="18"/>
  <c r="C59" i="18" l="1"/>
  <c r="C58" i="18"/>
  <c r="D85" i="10"/>
  <c r="D86" i="10" s="1"/>
  <c r="C85" i="10"/>
  <c r="C86" i="10" s="1"/>
  <c r="E85" i="10"/>
  <c r="E86" i="10" s="1"/>
  <c r="D81" i="10"/>
  <c r="D75" i="10"/>
  <c r="E23" i="10"/>
  <c r="E75" i="10"/>
  <c r="E81" i="10"/>
  <c r="C47" i="10"/>
  <c r="C75" i="10"/>
  <c r="C81" i="10"/>
  <c r="C39" i="10"/>
  <c r="D137" i="5"/>
  <c r="D146" i="5"/>
  <c r="C137" i="5"/>
  <c r="C146" i="5"/>
  <c r="E137" i="5"/>
  <c r="E136" i="5"/>
  <c r="E138" i="5"/>
  <c r="E30" i="5"/>
  <c r="D81" i="18"/>
  <c r="D59" i="18"/>
  <c r="D61" i="18"/>
  <c r="D60" i="18"/>
  <c r="D58" i="18"/>
  <c r="D62" i="18"/>
  <c r="C81" i="18"/>
  <c r="C62" i="18"/>
  <c r="C60" i="18"/>
  <c r="C61" i="18"/>
  <c r="C30" i="5"/>
  <c r="D30" i="5"/>
  <c r="E47" i="10"/>
  <c r="C7" i="10"/>
  <c r="D47" i="10"/>
  <c r="D7" i="10"/>
  <c r="B4" i="50"/>
  <c r="B3" i="49"/>
  <c r="B3" i="45"/>
  <c r="B3" i="38"/>
  <c r="B3" i="5"/>
  <c r="B3" i="17"/>
  <c r="B3" i="18"/>
  <c r="B3" i="16"/>
  <c r="B3" i="10"/>
  <c r="C138" i="5"/>
  <c r="D133" i="5"/>
  <c r="C136" i="5"/>
  <c r="D138" i="5"/>
  <c r="D136" i="5"/>
  <c r="B3" i="8"/>
  <c r="D31" i="5" l="1"/>
  <c r="D139" i="5"/>
  <c r="C31" i="5"/>
  <c r="C139" i="5"/>
  <c r="E31" i="5"/>
  <c r="E139" i="5"/>
  <c r="C13" i="2"/>
  <c r="D4" i="5"/>
  <c r="D39" i="5" s="1"/>
  <c r="G4" i="5"/>
  <c r="H4" i="5" l="1"/>
  <c r="G39" i="5"/>
  <c r="K6" i="50"/>
  <c r="K44" i="50" s="1"/>
  <c r="C96" i="2"/>
  <c r="C4" i="5"/>
  <c r="C39" i="5" s="1"/>
  <c r="D10" i="18"/>
  <c r="C10" i="18"/>
  <c r="I4" i="5" l="1"/>
  <c r="H39" i="5"/>
  <c r="C125" i="2"/>
  <c r="C4" i="8"/>
  <c r="C4" i="55" s="1"/>
  <c r="D4" i="17"/>
  <c r="E19" i="5"/>
  <c r="D4" i="18"/>
  <c r="D89" i="18" s="1"/>
  <c r="E4" i="18"/>
  <c r="E89" i="18" s="1"/>
  <c r="E4" i="10"/>
  <c r="E37" i="10" s="1"/>
  <c r="D4" i="10"/>
  <c r="D37" i="10" s="1"/>
  <c r="D4" i="16"/>
  <c r="D46" i="16" s="1"/>
  <c r="D19" i="5"/>
  <c r="E4" i="17"/>
  <c r="D19" i="16" l="1"/>
  <c r="D28" i="16" s="1"/>
  <c r="D12" i="16"/>
  <c r="J4" i="5"/>
  <c r="I39" i="5"/>
  <c r="C12" i="52"/>
  <c r="C4" i="53"/>
  <c r="C4" i="6"/>
  <c r="D150" i="5"/>
  <c r="D103" i="5"/>
  <c r="E150" i="5"/>
  <c r="E103" i="5"/>
  <c r="D131" i="5"/>
  <c r="C19" i="5"/>
  <c r="G4" i="8"/>
  <c r="F19" i="5"/>
  <c r="F4" i="18"/>
  <c r="F4" i="17"/>
  <c r="F36" i="17" s="1"/>
  <c r="F4" i="16"/>
  <c r="F4" i="10"/>
  <c r="E131" i="5"/>
  <c r="E31" i="10"/>
  <c r="D27" i="10"/>
  <c r="D67" i="10"/>
  <c r="D73" i="10" s="1"/>
  <c r="D79" i="10" s="1"/>
  <c r="D83" i="10" s="1"/>
  <c r="D21" i="10"/>
  <c r="D50" i="10"/>
  <c r="D61" i="10"/>
  <c r="E27" i="10"/>
  <c r="E61" i="10"/>
  <c r="D15" i="10"/>
  <c r="E21" i="10"/>
  <c r="E15" i="10"/>
  <c r="D31" i="10"/>
  <c r="E50" i="10"/>
  <c r="E67" i="10"/>
  <c r="E73" i="10" s="1"/>
  <c r="E79" i="10" s="1"/>
  <c r="E83" i="10" s="1"/>
  <c r="C4" i="10"/>
  <c r="C50" i="10" s="1"/>
  <c r="C4" i="17"/>
  <c r="C4" i="18"/>
  <c r="C89" i="18" s="1"/>
  <c r="C28" i="2"/>
  <c r="C49" i="2"/>
  <c r="C66" i="2"/>
  <c r="C76" i="2"/>
  <c r="C89" i="2"/>
  <c r="D87" i="2"/>
  <c r="E87" i="2"/>
  <c r="D76" i="2"/>
  <c r="E76" i="2"/>
  <c r="D66" i="2"/>
  <c r="E66" i="2"/>
  <c r="D49" i="2"/>
  <c r="D28" i="2"/>
  <c r="G4" i="6" l="1"/>
  <c r="G4" i="55"/>
  <c r="G4" i="54"/>
  <c r="F46" i="16"/>
  <c r="F55" i="16" s="1"/>
  <c r="E4" i="16"/>
  <c r="F19" i="16"/>
  <c r="F28" i="16" s="1"/>
  <c r="F37" i="16" s="1"/>
  <c r="F12" i="16"/>
  <c r="K4" i="5"/>
  <c r="K39" i="5" s="1"/>
  <c r="J39" i="5"/>
  <c r="G4" i="38"/>
  <c r="G31" i="38" s="1"/>
  <c r="G4" i="49"/>
  <c r="G4" i="53"/>
  <c r="G4" i="52"/>
  <c r="G12" i="52" s="1"/>
  <c r="F150" i="5"/>
  <c r="F103" i="5"/>
  <c r="C150" i="5"/>
  <c r="C103" i="5"/>
  <c r="E137" i="2"/>
  <c r="E136" i="2"/>
  <c r="C137" i="2"/>
  <c r="C136" i="2"/>
  <c r="H4" i="8"/>
  <c r="D137" i="2"/>
  <c r="D136" i="2"/>
  <c r="C131" i="5"/>
  <c r="F37" i="10"/>
  <c r="F61" i="10"/>
  <c r="F27" i="10"/>
  <c r="F67" i="10"/>
  <c r="F73" i="10" s="1"/>
  <c r="F79" i="10" s="1"/>
  <c r="F83" i="10" s="1"/>
  <c r="F15" i="10"/>
  <c r="F31" i="10"/>
  <c r="F21" i="10"/>
  <c r="F131" i="5"/>
  <c r="G19" i="5"/>
  <c r="G4" i="16"/>
  <c r="G46" i="16" s="1"/>
  <c r="G4" i="18"/>
  <c r="G4" i="17"/>
  <c r="G36" i="17" s="1"/>
  <c r="G4" i="10"/>
  <c r="C31" i="10"/>
  <c r="C15" i="10"/>
  <c r="C27" i="10"/>
  <c r="C37" i="10"/>
  <c r="C21" i="10"/>
  <c r="C61" i="10"/>
  <c r="C67" i="10"/>
  <c r="C73" i="10" s="1"/>
  <c r="C79" i="10" s="1"/>
  <c r="C83" i="10" s="1"/>
  <c r="D89" i="2"/>
  <c r="D128" i="2" s="1"/>
  <c r="E89" i="2"/>
  <c r="C77" i="2"/>
  <c r="C90" i="2" s="1"/>
  <c r="C50" i="2"/>
  <c r="E50" i="2"/>
  <c r="D50" i="2"/>
  <c r="D142" i="2" s="1"/>
  <c r="E77" i="2"/>
  <c r="D77" i="2"/>
  <c r="B111" i="18"/>
  <c r="B121" i="18" s="1"/>
  <c r="B107" i="18"/>
  <c r="B117" i="18" s="1"/>
  <c r="B108" i="18"/>
  <c r="B118" i="18" s="1"/>
  <c r="B109" i="18"/>
  <c r="B119" i="18" s="1"/>
  <c r="B110" i="18"/>
  <c r="B120" i="18" s="1"/>
  <c r="B106" i="18"/>
  <c r="B116" i="18" s="1"/>
  <c r="C93" i="18"/>
  <c r="D93" i="18"/>
  <c r="E93" i="18"/>
  <c r="H4" i="6" l="1"/>
  <c r="H4" i="55"/>
  <c r="H4" i="54"/>
  <c r="E46" i="16"/>
  <c r="E55" i="16" s="1"/>
  <c r="B56" i="16" s="1"/>
  <c r="E19" i="16"/>
  <c r="E28" i="16" s="1"/>
  <c r="E37" i="16" s="1"/>
  <c r="B38" i="16" s="1"/>
  <c r="E12" i="16"/>
  <c r="G32" i="54"/>
  <c r="G21" i="54"/>
  <c r="G48" i="54"/>
  <c r="G12" i="54"/>
  <c r="G19" i="16"/>
  <c r="G28" i="16" s="1"/>
  <c r="G37" i="16" s="1"/>
  <c r="G12" i="16"/>
  <c r="H4" i="38"/>
  <c r="H4" i="49"/>
  <c r="H4" i="52"/>
  <c r="H12" i="52" s="1"/>
  <c r="H4" i="53"/>
  <c r="H4" i="10"/>
  <c r="H37" i="10" s="1"/>
  <c r="H19" i="5"/>
  <c r="H150" i="5" s="1"/>
  <c r="G150" i="5"/>
  <c r="G103" i="5"/>
  <c r="D138" i="2"/>
  <c r="I4" i="8"/>
  <c r="C142" i="2"/>
  <c r="H4" i="16"/>
  <c r="H46" i="16" s="1"/>
  <c r="C138" i="2"/>
  <c r="H4" i="18"/>
  <c r="E138" i="2"/>
  <c r="H4" i="17"/>
  <c r="H36" i="17" s="1"/>
  <c r="F20" i="5"/>
  <c r="F6" i="10"/>
  <c r="F9" i="18"/>
  <c r="F46" i="18" s="1"/>
  <c r="F93" i="18"/>
  <c r="D90" i="2"/>
  <c r="D91" i="2" s="1"/>
  <c r="G37" i="10"/>
  <c r="G31" i="10"/>
  <c r="G15" i="10"/>
  <c r="G61" i="10"/>
  <c r="G67" i="10"/>
  <c r="G73" i="10" s="1"/>
  <c r="G79" i="10" s="1"/>
  <c r="G83" i="10" s="1"/>
  <c r="G21" i="10"/>
  <c r="G27" i="10"/>
  <c r="G131" i="5"/>
  <c r="E90" i="2"/>
  <c r="E91" i="2" s="1"/>
  <c r="C91" i="2"/>
  <c r="C92" i="2" s="1"/>
  <c r="F50" i="18" l="1"/>
  <c r="G53" i="5"/>
  <c r="I4" i="18"/>
  <c r="I4" i="6"/>
  <c r="I4" i="55"/>
  <c r="I4" i="54"/>
  <c r="H21" i="54"/>
  <c r="H48" i="54"/>
  <c r="H12" i="54"/>
  <c r="H32" i="54"/>
  <c r="B50" i="54"/>
  <c r="G57" i="54"/>
  <c r="B59" i="54" s="1"/>
  <c r="G66" i="54"/>
  <c r="B68" i="54" s="1"/>
  <c r="H31" i="38"/>
  <c r="H19" i="16"/>
  <c r="H28" i="16" s="1"/>
  <c r="H37" i="16" s="1"/>
  <c r="H12" i="16"/>
  <c r="H15" i="10"/>
  <c r="I4" i="10"/>
  <c r="I37" i="10" s="1"/>
  <c r="I4" i="16"/>
  <c r="I46" i="16" s="1"/>
  <c r="H67" i="10"/>
  <c r="H73" i="10" s="1"/>
  <c r="H79" i="10" s="1"/>
  <c r="H83" i="10" s="1"/>
  <c r="H103" i="5"/>
  <c r="H61" i="10"/>
  <c r="H27" i="10"/>
  <c r="I19" i="5"/>
  <c r="I150" i="5" s="1"/>
  <c r="H31" i="10"/>
  <c r="I4" i="17"/>
  <c r="I36" i="17" s="1"/>
  <c r="H21" i="10"/>
  <c r="H131" i="5"/>
  <c r="I4" i="49"/>
  <c r="I4" i="38"/>
  <c r="I4" i="52"/>
  <c r="I12" i="52" s="1"/>
  <c r="I4" i="53"/>
  <c r="F12" i="10"/>
  <c r="F76" i="10"/>
  <c r="F77" i="10" s="1"/>
  <c r="G55" i="16"/>
  <c r="B57" i="16" s="1"/>
  <c r="B39" i="16"/>
  <c r="F146" i="5"/>
  <c r="J4" i="8"/>
  <c r="F133" i="5"/>
  <c r="F47" i="18"/>
  <c r="F70" i="10"/>
  <c r="F18" i="10"/>
  <c r="F19" i="10" s="1"/>
  <c r="F64" i="10"/>
  <c r="F34" i="10"/>
  <c r="F35" i="10" s="1"/>
  <c r="F24" i="10"/>
  <c r="G6" i="10"/>
  <c r="G9" i="18"/>
  <c r="G46" i="18" s="1"/>
  <c r="G20" i="5"/>
  <c r="F82" i="18"/>
  <c r="F7" i="18" s="1"/>
  <c r="F9" i="55" s="1"/>
  <c r="I31" i="10"/>
  <c r="F6" i="17"/>
  <c r="F84" i="10" l="1"/>
  <c r="F38" i="10"/>
  <c r="F39" i="10" s="1"/>
  <c r="F5" i="55"/>
  <c r="H53" i="5"/>
  <c r="H57" i="54"/>
  <c r="B60" i="54" s="1"/>
  <c r="H66" i="54"/>
  <c r="B69" i="54" s="1"/>
  <c r="B51" i="54"/>
  <c r="J19" i="5"/>
  <c r="J150" i="5" s="1"/>
  <c r="J4" i="6"/>
  <c r="J4" i="55"/>
  <c r="J4" i="54"/>
  <c r="I12" i="54"/>
  <c r="I48" i="54"/>
  <c r="I32" i="54"/>
  <c r="I21" i="54"/>
  <c r="I31" i="38"/>
  <c r="I19" i="16"/>
  <c r="I28" i="16" s="1"/>
  <c r="I37" i="16" s="1"/>
  <c r="I12" i="16"/>
  <c r="I21" i="10"/>
  <c r="I15" i="10"/>
  <c r="I67" i="10"/>
  <c r="I73" i="10" s="1"/>
  <c r="I79" i="10" s="1"/>
  <c r="I83" i="10" s="1"/>
  <c r="I131" i="5"/>
  <c r="I27" i="10"/>
  <c r="I61" i="10"/>
  <c r="I103" i="5"/>
  <c r="J4" i="16"/>
  <c r="J46" i="16" s="1"/>
  <c r="J4" i="18"/>
  <c r="J4" i="10"/>
  <c r="J37" i="10" s="1"/>
  <c r="J4" i="49"/>
  <c r="J4" i="38"/>
  <c r="J4" i="52"/>
  <c r="J12" i="52" s="1"/>
  <c r="J4" i="53"/>
  <c r="J4" i="17"/>
  <c r="J36" i="17" s="1"/>
  <c r="F65" i="10"/>
  <c r="G76" i="10"/>
  <c r="G77" i="10" s="1"/>
  <c r="F13" i="10"/>
  <c r="F71" i="10"/>
  <c r="F25" i="10"/>
  <c r="F10" i="53"/>
  <c r="G133" i="5"/>
  <c r="G146" i="5"/>
  <c r="K4" i="8"/>
  <c r="F83" i="18"/>
  <c r="G50" i="18"/>
  <c r="G47" i="18"/>
  <c r="F25" i="5"/>
  <c r="G82" i="18"/>
  <c r="G7" i="18" s="1"/>
  <c r="G9" i="55" s="1"/>
  <c r="G34" i="10"/>
  <c r="G35" i="10" s="1"/>
  <c r="G64" i="10"/>
  <c r="G70" i="10"/>
  <c r="G12" i="10"/>
  <c r="G24" i="10"/>
  <c r="G18" i="10"/>
  <c r="G19" i="10" s="1"/>
  <c r="J103" i="5" l="1"/>
  <c r="J131" i="5"/>
  <c r="G5" i="55"/>
  <c r="I53" i="5"/>
  <c r="I57" i="54"/>
  <c r="B61" i="54" s="1"/>
  <c r="I66" i="54"/>
  <c r="B70" i="54" s="1"/>
  <c r="B52" i="54"/>
  <c r="K19" i="5"/>
  <c r="K150" i="5" s="1"/>
  <c r="K4" i="6"/>
  <c r="K4" i="55"/>
  <c r="K4" i="54"/>
  <c r="J32" i="54"/>
  <c r="J21" i="54"/>
  <c r="J12" i="54"/>
  <c r="J48" i="54"/>
  <c r="J31" i="38"/>
  <c r="J19" i="16"/>
  <c r="J28" i="16" s="1"/>
  <c r="J37" i="16" s="1"/>
  <c r="J12" i="16"/>
  <c r="E21" i="6"/>
  <c r="E39" i="6" s="1"/>
  <c r="E43" i="6" s="1"/>
  <c r="J61" i="10"/>
  <c r="J31" i="10"/>
  <c r="J67" i="10"/>
  <c r="J73" i="10" s="1"/>
  <c r="J79" i="10" s="1"/>
  <c r="J83" i="10" s="1"/>
  <c r="J15" i="10"/>
  <c r="K4" i="16"/>
  <c r="K46" i="16" s="1"/>
  <c r="K4" i="10"/>
  <c r="K37" i="10" s="1"/>
  <c r="K4" i="17"/>
  <c r="K36" i="17" s="1"/>
  <c r="J21" i="10"/>
  <c r="J27" i="10"/>
  <c r="K4" i="49"/>
  <c r="K4" i="38"/>
  <c r="K4" i="53"/>
  <c r="K4" i="52"/>
  <c r="K12" i="52" s="1"/>
  <c r="K4" i="18"/>
  <c r="G13" i="10"/>
  <c r="G65" i="10"/>
  <c r="G71" i="10"/>
  <c r="I55" i="16"/>
  <c r="B59" i="16" s="1"/>
  <c r="B41" i="16"/>
  <c r="H55" i="16"/>
  <c r="B58" i="16" s="1"/>
  <c r="B40" i="16"/>
  <c r="G25" i="10"/>
  <c r="G10" i="53"/>
  <c r="F10" i="49"/>
  <c r="F10" i="38"/>
  <c r="G83" i="18"/>
  <c r="F48" i="17"/>
  <c r="F24" i="17" s="1"/>
  <c r="H6" i="8"/>
  <c r="H20" i="5"/>
  <c r="H9" i="18"/>
  <c r="H6" i="10"/>
  <c r="J6" i="10"/>
  <c r="J20" i="5"/>
  <c r="J9" i="18"/>
  <c r="I6" i="10"/>
  <c r="I9" i="18"/>
  <c r="I47" i="18" s="1"/>
  <c r="I20" i="5"/>
  <c r="K6" i="10"/>
  <c r="K9" i="18"/>
  <c r="K20" i="5"/>
  <c r="G47" i="17"/>
  <c r="G25" i="5"/>
  <c r="J6" i="8"/>
  <c r="K6" i="8"/>
  <c r="I6" i="8"/>
  <c r="J53" i="5" l="1"/>
  <c r="K103" i="5"/>
  <c r="K131" i="5"/>
  <c r="J57" i="54"/>
  <c r="B62" i="54" s="1"/>
  <c r="J66" i="54"/>
  <c r="B71" i="54" s="1"/>
  <c r="B53" i="54"/>
  <c r="K21" i="54"/>
  <c r="K12" i="54"/>
  <c r="K32" i="54"/>
  <c r="K48" i="54"/>
  <c r="K31" i="38"/>
  <c r="K19" i="16"/>
  <c r="K28" i="16" s="1"/>
  <c r="K37" i="16" s="1"/>
  <c r="K12" i="16"/>
  <c r="K27" i="10"/>
  <c r="K15" i="10"/>
  <c r="K21" i="10"/>
  <c r="K67" i="10"/>
  <c r="K73" i="10" s="1"/>
  <c r="K79" i="10" s="1"/>
  <c r="K83" i="10" s="1"/>
  <c r="K31" i="10"/>
  <c r="K61" i="10"/>
  <c r="K76" i="10"/>
  <c r="K77" i="10" s="1"/>
  <c r="J76" i="10"/>
  <c r="J77" i="10" s="1"/>
  <c r="I76" i="10"/>
  <c r="I77" i="10" s="1"/>
  <c r="H76" i="10"/>
  <c r="H77" i="10" s="1"/>
  <c r="B42" i="16"/>
  <c r="J55" i="16"/>
  <c r="B60" i="16" s="1"/>
  <c r="G10" i="49"/>
  <c r="G10" i="38"/>
  <c r="J146" i="5"/>
  <c r="H133" i="5"/>
  <c r="H146" i="5"/>
  <c r="K146" i="5"/>
  <c r="I5" i="38"/>
  <c r="I146" i="5"/>
  <c r="K5" i="38"/>
  <c r="J5" i="38"/>
  <c r="J47" i="18"/>
  <c r="J50" i="18"/>
  <c r="J46" i="18"/>
  <c r="I50" i="18"/>
  <c r="I46" i="18"/>
  <c r="K50" i="18"/>
  <c r="K46" i="18"/>
  <c r="K47" i="18"/>
  <c r="H50" i="18"/>
  <c r="H46" i="18"/>
  <c r="H47" i="18"/>
  <c r="F26" i="17"/>
  <c r="J12" i="10"/>
  <c r="J70" i="10"/>
  <c r="J5" i="55" s="1"/>
  <c r="J18" i="10"/>
  <c r="J19" i="10" s="1"/>
  <c r="J64" i="10"/>
  <c r="J24" i="10"/>
  <c r="J34" i="10"/>
  <c r="J35" i="10" s="1"/>
  <c r="H82" i="18"/>
  <c r="H7" i="18" s="1"/>
  <c r="H9" i="55" s="1"/>
  <c r="J133" i="5"/>
  <c r="J82" i="18"/>
  <c r="J7" i="18" s="1"/>
  <c r="J9" i="55" s="1"/>
  <c r="I133" i="5"/>
  <c r="H5" i="38"/>
  <c r="K34" i="10"/>
  <c r="K35" i="10" s="1"/>
  <c r="K18" i="10"/>
  <c r="K19" i="10" s="1"/>
  <c r="K70" i="10"/>
  <c r="K5" i="55" s="1"/>
  <c r="K24" i="10"/>
  <c r="K12" i="10"/>
  <c r="K64" i="10"/>
  <c r="I82" i="18"/>
  <c r="I7" i="18" s="1"/>
  <c r="I9" i="55" s="1"/>
  <c r="K133" i="5"/>
  <c r="K82" i="18"/>
  <c r="K7" i="18" s="1"/>
  <c r="K9" i="55" s="1"/>
  <c r="L5" i="49"/>
  <c r="I34" i="10"/>
  <c r="I35" i="10" s="1"/>
  <c r="I70" i="10"/>
  <c r="I5" i="55" s="1"/>
  <c r="I24" i="10"/>
  <c r="I64" i="10"/>
  <c r="I12" i="10"/>
  <c r="I18" i="10"/>
  <c r="I19" i="10" s="1"/>
  <c r="H70" i="10"/>
  <c r="H24" i="10"/>
  <c r="H12" i="10"/>
  <c r="H64" i="10"/>
  <c r="H18" i="10"/>
  <c r="H19" i="10" s="1"/>
  <c r="H34" i="10"/>
  <c r="H35" i="10" s="1"/>
  <c r="H5" i="55" l="1"/>
  <c r="K53" i="5"/>
  <c r="K57" i="54"/>
  <c r="B63" i="54" s="1"/>
  <c r="K66" i="54"/>
  <c r="B72" i="54" s="1"/>
  <c r="B54" i="54"/>
  <c r="H13" i="10"/>
  <c r="I13" i="10"/>
  <c r="J13" i="10"/>
  <c r="K13" i="10"/>
  <c r="I65" i="10"/>
  <c r="K65" i="10"/>
  <c r="J65" i="10"/>
  <c r="H65" i="10"/>
  <c r="H71" i="10"/>
  <c r="I71" i="10"/>
  <c r="K71" i="10"/>
  <c r="J71" i="10"/>
  <c r="K55" i="16"/>
  <c r="B61" i="16" s="1"/>
  <c r="B43" i="16"/>
  <c r="K25" i="10"/>
  <c r="J25" i="10"/>
  <c r="I25" i="10"/>
  <c r="H25" i="10"/>
  <c r="L5" i="38"/>
  <c r="K10" i="53"/>
  <c r="H10" i="53"/>
  <c r="I10" i="53"/>
  <c r="J10" i="53"/>
  <c r="K83" i="18"/>
  <c r="I83" i="18"/>
  <c r="J83" i="18"/>
  <c r="H83" i="18"/>
  <c r="J25" i="5"/>
  <c r="H25" i="5"/>
  <c r="I25" i="5"/>
  <c r="K47" i="17"/>
  <c r="H47" i="17"/>
  <c r="K25" i="5"/>
  <c r="I47" i="17"/>
  <c r="J47" i="17"/>
  <c r="D23" i="18"/>
  <c r="E24" i="18"/>
  <c r="E25" i="18" s="1"/>
  <c r="G39" i="18"/>
  <c r="D54" i="18"/>
  <c r="D55" i="18" s="1"/>
  <c r="D56" i="18" s="1"/>
  <c r="E54" i="18"/>
  <c r="C63" i="10"/>
  <c r="D63" i="10"/>
  <c r="E63" i="10"/>
  <c r="C33" i="10"/>
  <c r="D33" i="10"/>
  <c r="E33" i="10"/>
  <c r="I10" i="38" l="1"/>
  <c r="I10" i="49"/>
  <c r="K10" i="38"/>
  <c r="L10" i="38" s="1"/>
  <c r="K10" i="49"/>
  <c r="L10" i="49" s="1"/>
  <c r="J10" i="38"/>
  <c r="J10" i="49"/>
  <c r="H10" i="49"/>
  <c r="H10" i="38"/>
  <c r="E55" i="18"/>
  <c r="E56" i="18" s="1"/>
  <c r="E73" i="18"/>
  <c r="D24" i="18"/>
  <c r="D25" i="18" s="1"/>
  <c r="I6" i="17"/>
  <c r="G6" i="17"/>
  <c r="J6" i="17"/>
  <c r="H6" i="17"/>
  <c r="G10" i="17" l="1"/>
  <c r="I10" i="17"/>
  <c r="H10" i="17"/>
  <c r="J10" i="17"/>
  <c r="H48" i="17"/>
  <c r="J48" i="17"/>
  <c r="I48" i="17"/>
  <c r="G48" i="17"/>
  <c r="K6" i="17"/>
  <c r="K10" i="17" l="1"/>
  <c r="G26" i="17"/>
  <c r="G24" i="17"/>
  <c r="I24" i="17"/>
  <c r="I26" i="17"/>
  <c r="J26" i="17"/>
  <c r="J24" i="17"/>
  <c r="H24" i="17"/>
  <c r="H26" i="17"/>
  <c r="K48" i="17"/>
  <c r="K26" i="17" l="1"/>
  <c r="K24" i="17"/>
  <c r="G12" i="5" l="1"/>
  <c r="H12" i="5" s="1"/>
  <c r="I12" i="5" s="1"/>
  <c r="J12" i="5" s="1"/>
  <c r="K12" i="5" s="1"/>
  <c r="C6" i="17" l="1"/>
  <c r="C7" i="17" l="1"/>
  <c r="C10" i="17"/>
  <c r="G21" i="38" l="1"/>
  <c r="H21" i="38" s="1"/>
  <c r="I21" i="38" s="1"/>
  <c r="J21" i="38" s="1"/>
  <c r="K21" i="38" s="1"/>
  <c r="C17" i="10" l="1"/>
  <c r="D17" i="10"/>
  <c r="E17" i="10"/>
  <c r="K13" i="17" l="1"/>
  <c r="K14" i="17" l="1"/>
  <c r="K5" i="17"/>
  <c r="K6" i="55" s="1"/>
  <c r="C69" i="10"/>
  <c r="D69" i="10"/>
  <c r="E69" i="10"/>
  <c r="K7" i="53" l="1"/>
  <c r="F41" i="18"/>
  <c r="F42" i="18" s="1"/>
  <c r="K39" i="18"/>
  <c r="K41" i="18" s="1"/>
  <c r="K42" i="18" s="1"/>
  <c r="J39" i="18"/>
  <c r="I39" i="18"/>
  <c r="H39" i="18"/>
  <c r="C32" i="17"/>
  <c r="D32" i="17"/>
  <c r="K7" i="49" l="1"/>
  <c r="K7" i="38"/>
  <c r="E39" i="10"/>
  <c r="E40" i="10" s="1"/>
  <c r="D39" i="10"/>
  <c r="D40" i="10" s="1"/>
  <c r="F5" i="18"/>
  <c r="F7" i="55" s="1"/>
  <c r="K5" i="18"/>
  <c r="K7" i="55" s="1"/>
  <c r="C40" i="10"/>
  <c r="K8" i="53" l="1"/>
  <c r="F8" i="53"/>
  <c r="K23" i="5"/>
  <c r="F23" i="5"/>
  <c r="E6" i="17"/>
  <c r="D6" i="17"/>
  <c r="K8" i="38" l="1"/>
  <c r="K8" i="49"/>
  <c r="L8" i="49" s="1"/>
  <c r="F8" i="49"/>
  <c r="F8" i="38"/>
  <c r="D7" i="17"/>
  <c r="D10" i="17"/>
  <c r="E7" i="17"/>
  <c r="E10" i="17"/>
  <c r="L8" i="38" l="1"/>
  <c r="E20" i="17" l="1"/>
  <c r="E22" i="17" s="1"/>
  <c r="D20" i="17"/>
  <c r="D22" i="17" s="1"/>
  <c r="C20" i="17"/>
  <c r="C22" i="17" s="1"/>
  <c r="K43" i="10" l="1"/>
  <c r="K9" i="17" l="1"/>
  <c r="K17" i="17"/>
  <c r="K38" i="18"/>
  <c r="K45" i="18"/>
  <c r="K12" i="18"/>
  <c r="K72" i="18"/>
  <c r="E106" i="5" l="1"/>
  <c r="C23" i="10" l="1"/>
  <c r="D23" i="10"/>
  <c r="C11" i="10"/>
  <c r="D11" i="10"/>
  <c r="E11" i="10"/>
  <c r="E29" i="10" l="1"/>
  <c r="D29" i="10"/>
  <c r="C29" i="10"/>
  <c r="C24" i="18"/>
  <c r="C25" i="18" s="1"/>
  <c r="D39" i="18"/>
  <c r="D40" i="18" s="1"/>
  <c r="C39" i="18"/>
  <c r="C40" i="18" s="1"/>
  <c r="D73" i="18" l="1"/>
  <c r="D74" i="18" s="1"/>
  <c r="C55" i="18"/>
  <c r="C56" i="18" s="1"/>
  <c r="C73" i="18" l="1"/>
  <c r="C74" i="18" s="1"/>
  <c r="E45" i="18" l="1"/>
  <c r="E95" i="18"/>
  <c r="E105" i="18" s="1"/>
  <c r="E72" i="18"/>
  <c r="E115" i="18" l="1"/>
  <c r="F12" i="18"/>
  <c r="F72" i="18"/>
  <c r="F45" i="18"/>
  <c r="G12" i="18" l="1"/>
  <c r="D72" i="18"/>
  <c r="D95" i="18"/>
  <c r="D105" i="18" s="1"/>
  <c r="G72" i="18"/>
  <c r="G45" i="18"/>
  <c r="D45" i="18"/>
  <c r="D115" i="18" l="1"/>
  <c r="H12" i="18"/>
  <c r="H72" i="18"/>
  <c r="H45" i="18"/>
  <c r="I12" i="18" l="1"/>
  <c r="I45" i="18"/>
  <c r="J12" i="18"/>
  <c r="I72" i="18"/>
  <c r="J72" i="18" l="1"/>
  <c r="J45" i="18"/>
  <c r="E9" i="18" l="1"/>
  <c r="E58" i="18" s="1"/>
  <c r="G58" i="18" s="1"/>
  <c r="C12" i="17"/>
  <c r="D12" i="17"/>
  <c r="E12" i="17"/>
  <c r="E81" i="18" l="1"/>
  <c r="E61" i="18"/>
  <c r="F61" i="18" s="1"/>
  <c r="E60" i="18"/>
  <c r="F60" i="18" s="1"/>
  <c r="F58" i="18"/>
  <c r="E59" i="18"/>
  <c r="F59" i="18" s="1"/>
  <c r="E62" i="18"/>
  <c r="F62" i="18" s="1"/>
  <c r="E10" i="18"/>
  <c r="E74" i="18"/>
  <c r="E40" i="18"/>
  <c r="G61" i="18" l="1"/>
  <c r="G62" i="18"/>
  <c r="G60" i="18"/>
  <c r="G59" i="18"/>
  <c r="J17" i="17" l="1"/>
  <c r="J43" i="10"/>
  <c r="J9" i="10" l="1"/>
  <c r="K9" i="10"/>
  <c r="J38" i="18"/>
  <c r="J9" i="17"/>
  <c r="F13" i="17" l="1"/>
  <c r="F5" i="17" s="1"/>
  <c r="F7" i="53" l="1"/>
  <c r="F14" i="17"/>
  <c r="F7" i="38" l="1"/>
  <c r="F7" i="49"/>
  <c r="G41" i="18"/>
  <c r="G42" i="18" s="1"/>
  <c r="G5" i="18" l="1"/>
  <c r="G7" i="55" s="1"/>
  <c r="G13" i="17"/>
  <c r="H13" i="17"/>
  <c r="H20" i="17"/>
  <c r="H41" i="18"/>
  <c r="H42" i="18" s="1"/>
  <c r="J41" i="18"/>
  <c r="J42" i="18" s="1"/>
  <c r="G8" i="53" l="1"/>
  <c r="H14" i="17"/>
  <c r="H5" i="17"/>
  <c r="H6" i="55" s="1"/>
  <c r="G14" i="17"/>
  <c r="G5" i="17"/>
  <c r="G23" i="5"/>
  <c r="H5" i="18"/>
  <c r="H7" i="55" s="1"/>
  <c r="J5" i="18"/>
  <c r="J7" i="55" s="1"/>
  <c r="H22" i="17"/>
  <c r="I13" i="17"/>
  <c r="I20" i="17"/>
  <c r="J13" i="17"/>
  <c r="J20" i="17"/>
  <c r="J22" i="17" s="1"/>
  <c r="I41" i="18"/>
  <c r="I42" i="18" s="1"/>
  <c r="H7" i="53" l="1"/>
  <c r="G7" i="53"/>
  <c r="G8" i="38"/>
  <c r="G8" i="49"/>
  <c r="J8" i="53"/>
  <c r="H8" i="53"/>
  <c r="J14" i="17"/>
  <c r="J5" i="17"/>
  <c r="J6" i="55" s="1"/>
  <c r="I14" i="17"/>
  <c r="I5" i="17"/>
  <c r="I6" i="55" s="1"/>
  <c r="J23" i="5"/>
  <c r="H23" i="5"/>
  <c r="I5" i="18"/>
  <c r="I7" i="55" s="1"/>
  <c r="I22" i="17"/>
  <c r="J7" i="53" l="1"/>
  <c r="I7" i="53"/>
  <c r="H7" i="49"/>
  <c r="H7" i="38"/>
  <c r="G7" i="49"/>
  <c r="G7" i="38"/>
  <c r="I8" i="53"/>
  <c r="J8" i="49"/>
  <c r="J8" i="38"/>
  <c r="H8" i="38"/>
  <c r="H8" i="49"/>
  <c r="I23" i="5"/>
  <c r="J32" i="17"/>
  <c r="J7" i="49" l="1"/>
  <c r="J7" i="38"/>
  <c r="I7" i="49"/>
  <c r="I7" i="38"/>
  <c r="I8" i="38"/>
  <c r="I8" i="49"/>
  <c r="J7" i="17"/>
  <c r="J33" i="17"/>
  <c r="J22" i="5" l="1"/>
  <c r="J136" i="5" s="1"/>
  <c r="F81" i="10" l="1"/>
  <c r="D17" i="17"/>
  <c r="F85" i="10" l="1"/>
  <c r="F86" i="10" s="1"/>
  <c r="E10" i="16"/>
  <c r="G10" i="16"/>
  <c r="H10" i="16"/>
  <c r="G43" i="10"/>
  <c r="F43" i="10"/>
  <c r="I43" i="10"/>
  <c r="E43" i="10"/>
  <c r="H43" i="10"/>
  <c r="D43" i="10"/>
  <c r="G17" i="17"/>
  <c r="H17" i="17"/>
  <c r="F17" i="17"/>
  <c r="I17" i="17"/>
  <c r="E17" i="17"/>
  <c r="I9" i="10"/>
  <c r="G9" i="10"/>
  <c r="F9" i="10"/>
  <c r="H9" i="10"/>
  <c r="G61" i="5"/>
  <c r="G120" i="5" s="1"/>
  <c r="G123" i="5" s="1"/>
  <c r="E9" i="10"/>
  <c r="D9" i="10"/>
  <c r="H38" i="18"/>
  <c r="G38" i="18"/>
  <c r="F38" i="18"/>
  <c r="I38" i="18"/>
  <c r="I9" i="17"/>
  <c r="H9" i="17"/>
  <c r="E9" i="17"/>
  <c r="G9" i="17"/>
  <c r="D9" i="17"/>
  <c r="F9" i="17"/>
  <c r="E12" i="18"/>
  <c r="E38" i="18"/>
  <c r="D12" i="18"/>
  <c r="D38" i="18"/>
  <c r="G17" i="49" l="1"/>
  <c r="G18" i="38"/>
  <c r="H18" i="38"/>
  <c r="H17" i="49"/>
  <c r="F18" i="38"/>
  <c r="F17" i="49"/>
  <c r="F5" i="10"/>
  <c r="I10" i="16"/>
  <c r="G59" i="5"/>
  <c r="H61" i="5"/>
  <c r="H120" i="5" s="1"/>
  <c r="H123" i="5" s="1"/>
  <c r="I18" i="38" l="1"/>
  <c r="I17" i="49"/>
  <c r="F47" i="10"/>
  <c r="F7" i="10"/>
  <c r="G81" i="10"/>
  <c r="G84" i="10"/>
  <c r="G85" i="10" s="1"/>
  <c r="G86" i="10" s="1"/>
  <c r="J10" i="16"/>
  <c r="G109" i="5"/>
  <c r="G111" i="5" s="1"/>
  <c r="H59" i="5"/>
  <c r="I61" i="5"/>
  <c r="I120" i="5" s="1"/>
  <c r="I123" i="5" s="1"/>
  <c r="J17" i="49" l="1"/>
  <c r="J18" i="38"/>
  <c r="G5" i="10"/>
  <c r="K10" i="16"/>
  <c r="H109" i="5"/>
  <c r="H111" i="5" s="1"/>
  <c r="I59" i="5"/>
  <c r="J61" i="5"/>
  <c r="J120" i="5" s="1"/>
  <c r="J123" i="5" s="1"/>
  <c r="K17" i="49" l="1"/>
  <c r="K18" i="38"/>
  <c r="I109" i="5"/>
  <c r="I111" i="5" s="1"/>
  <c r="K84" i="10"/>
  <c r="K61" i="5"/>
  <c r="K120" i="5" s="1"/>
  <c r="K123" i="5" s="1"/>
  <c r="J59" i="5"/>
  <c r="J109" i="5" s="1"/>
  <c r="J111" i="5" s="1"/>
  <c r="K81" i="10" l="1"/>
  <c r="K59" i="5"/>
  <c r="K109" i="5" l="1"/>
  <c r="K111" i="5" s="1"/>
  <c r="K85" i="10"/>
  <c r="K86" i="10" s="1"/>
  <c r="K5" i="10"/>
  <c r="H32" i="17"/>
  <c r="F20" i="17"/>
  <c r="F22" i="17" s="1"/>
  <c r="H7" i="17" l="1"/>
  <c r="H33" i="17"/>
  <c r="I32" i="17"/>
  <c r="H22" i="5" l="1"/>
  <c r="I7" i="17"/>
  <c r="I33" i="17"/>
  <c r="G22" i="17"/>
  <c r="F32" i="17"/>
  <c r="F33" i="17" s="1"/>
  <c r="I22" i="5" l="1"/>
  <c r="H136" i="5"/>
  <c r="F7" i="17"/>
  <c r="G32" i="17"/>
  <c r="I136" i="5" l="1"/>
  <c r="G7" i="17"/>
  <c r="G33" i="17"/>
  <c r="F22" i="5"/>
  <c r="F136" i="5" l="1"/>
  <c r="G22" i="5"/>
  <c r="G136" i="5" s="1"/>
  <c r="I81" i="10" l="1"/>
  <c r="I84" i="10"/>
  <c r="H81" i="10"/>
  <c r="H84" i="10"/>
  <c r="H85" i="10" l="1"/>
  <c r="H86" i="10" s="1"/>
  <c r="H5" i="10"/>
  <c r="J81" i="10"/>
  <c r="J84" i="10"/>
  <c r="I85" i="10"/>
  <c r="I86" i="10" s="1"/>
  <c r="I5" i="10"/>
  <c r="J85" i="10" l="1"/>
  <c r="J86" i="10" s="1"/>
  <c r="J5" i="10"/>
  <c r="K20" i="17" l="1"/>
  <c r="K22" i="17" s="1"/>
  <c r="K32" i="17" l="1"/>
  <c r="K7" i="17" l="1"/>
  <c r="K33" i="17"/>
  <c r="K22" i="5" l="1"/>
  <c r="K136" i="5" s="1"/>
  <c r="L7" i="38" l="1"/>
  <c r="L7" i="49"/>
  <c r="D92" i="2" l="1"/>
  <c r="E92" i="2"/>
  <c r="C17" i="17" l="1"/>
  <c r="C9" i="17"/>
  <c r="C38" i="18"/>
  <c r="C45" i="18"/>
  <c r="E57" i="18" s="1"/>
  <c r="C95" i="18"/>
  <c r="C105" i="18" s="1"/>
  <c r="C12" i="18"/>
  <c r="E26" i="18" s="1"/>
  <c r="C72" i="18"/>
  <c r="C9" i="10"/>
  <c r="C43" i="10"/>
  <c r="C115" i="18" l="1"/>
  <c r="G29" i="10" l="1"/>
  <c r="G38" i="10"/>
  <c r="H29" i="10" l="1"/>
  <c r="H38" i="10"/>
  <c r="F40" i="10"/>
  <c r="I29" i="10" l="1"/>
  <c r="I38" i="10"/>
  <c r="F6" i="53"/>
  <c r="F42" i="6"/>
  <c r="F11" i="6" s="1"/>
  <c r="F21" i="5"/>
  <c r="G39" i="10"/>
  <c r="G40" i="10" s="1"/>
  <c r="J29" i="10" l="1"/>
  <c r="J38" i="10"/>
  <c r="F6" i="49"/>
  <c r="F6" i="38"/>
  <c r="F17" i="6"/>
  <c r="F46" i="5" s="1"/>
  <c r="F147" i="5" s="1"/>
  <c r="F37" i="6"/>
  <c r="F72" i="5" s="1"/>
  <c r="F34" i="6"/>
  <c r="F71" i="5" s="1"/>
  <c r="F25" i="6"/>
  <c r="G6" i="53"/>
  <c r="G42" i="6"/>
  <c r="F138" i="5"/>
  <c r="G7" i="10"/>
  <c r="G47" i="10"/>
  <c r="G21" i="5"/>
  <c r="H39" i="10"/>
  <c r="H40" i="10" s="1"/>
  <c r="K29" i="10" l="1"/>
  <c r="K38" i="10"/>
  <c r="F66" i="5"/>
  <c r="F38" i="6"/>
  <c r="F44" i="5"/>
  <c r="H6" i="53"/>
  <c r="H42" i="6"/>
  <c r="G6" i="38"/>
  <c r="G6" i="49"/>
  <c r="G37" i="6"/>
  <c r="G72" i="5" s="1"/>
  <c r="G25" i="6"/>
  <c r="G34" i="6"/>
  <c r="G71" i="5" s="1"/>
  <c r="G11" i="6"/>
  <c r="G17" i="6"/>
  <c r="G46" i="5" s="1"/>
  <c r="G147" i="5" s="1"/>
  <c r="I39" i="10"/>
  <c r="I40" i="10" s="1"/>
  <c r="H7" i="10"/>
  <c r="H47" i="10"/>
  <c r="H21" i="5"/>
  <c r="G138" i="5"/>
  <c r="F73" i="5" l="1"/>
  <c r="F106" i="5" s="1"/>
  <c r="K39" i="10"/>
  <c r="I6" i="53"/>
  <c r="I42" i="6"/>
  <c r="H37" i="6"/>
  <c r="H72" i="5" s="1"/>
  <c r="H17" i="6"/>
  <c r="H46" i="5" s="1"/>
  <c r="H147" i="5" s="1"/>
  <c r="H11" i="6"/>
  <c r="H25" i="6"/>
  <c r="H34" i="6"/>
  <c r="H71" i="5" s="1"/>
  <c r="H6" i="38"/>
  <c r="H6" i="49"/>
  <c r="G66" i="5"/>
  <c r="G38" i="6"/>
  <c r="G44" i="5"/>
  <c r="I47" i="10"/>
  <c r="I7" i="10"/>
  <c r="I21" i="5"/>
  <c r="J39" i="10"/>
  <c r="J40" i="10" s="1"/>
  <c r="H138" i="5"/>
  <c r="G73" i="5" l="1"/>
  <c r="G106" i="5" s="1"/>
  <c r="J6" i="53"/>
  <c r="J42" i="6"/>
  <c r="I17" i="6"/>
  <c r="I46" i="5" s="1"/>
  <c r="I147" i="5" s="1"/>
  <c r="I37" i="6"/>
  <c r="I72" i="5" s="1"/>
  <c r="I11" i="6"/>
  <c r="I34" i="6"/>
  <c r="I71" i="5" s="1"/>
  <c r="I25" i="6"/>
  <c r="I6" i="49"/>
  <c r="I6" i="38"/>
  <c r="H66" i="5"/>
  <c r="H38" i="6"/>
  <c r="H44" i="5"/>
  <c r="K40" i="10"/>
  <c r="J47" i="10"/>
  <c r="J7" i="10"/>
  <c r="J21" i="5"/>
  <c r="I138" i="5"/>
  <c r="H73" i="5" l="1"/>
  <c r="H106" i="5" s="1"/>
  <c r="K6" i="53"/>
  <c r="K42" i="6"/>
  <c r="J37" i="6"/>
  <c r="J72" i="5" s="1"/>
  <c r="J17" i="6"/>
  <c r="J46" i="5" s="1"/>
  <c r="J147" i="5" s="1"/>
  <c r="J11" i="6"/>
  <c r="J34" i="6"/>
  <c r="J71" i="5" s="1"/>
  <c r="J25" i="6"/>
  <c r="J6" i="49"/>
  <c r="J6" i="38"/>
  <c r="I44" i="5"/>
  <c r="I66" i="5"/>
  <c r="I38" i="6"/>
  <c r="K47" i="10"/>
  <c r="K7" i="10"/>
  <c r="K21" i="5"/>
  <c r="J138" i="5"/>
  <c r="I73" i="5" l="1"/>
  <c r="I106" i="5" s="1"/>
  <c r="K6" i="49"/>
  <c r="L6" i="49" s="1"/>
  <c r="K6" i="38"/>
  <c r="K37" i="6"/>
  <c r="K72" i="5" s="1"/>
  <c r="K17" i="6"/>
  <c r="K46" i="5" s="1"/>
  <c r="K147" i="5" s="1"/>
  <c r="K11" i="6"/>
  <c r="K34" i="6"/>
  <c r="K71" i="5" s="1"/>
  <c r="K25" i="6"/>
  <c r="J66" i="5"/>
  <c r="J38" i="6"/>
  <c r="J44" i="5"/>
  <c r="K138" i="5"/>
  <c r="J73" i="5" l="1"/>
  <c r="J106" i="5" s="1"/>
  <c r="L6" i="38"/>
  <c r="K66" i="5"/>
  <c r="K38" i="6"/>
  <c r="K44" i="5"/>
  <c r="C105" i="5"/>
  <c r="C110" i="5" s="1"/>
  <c r="K73" i="5" l="1"/>
  <c r="K106" i="5" s="1"/>
  <c r="C143" i="5"/>
  <c r="C142" i="5"/>
  <c r="D105" i="5"/>
  <c r="D110" i="5" s="1"/>
  <c r="D143" i="5" l="1"/>
  <c r="D142" i="5"/>
  <c r="L70" i="50" l="1"/>
  <c r="D91" i="5" s="1"/>
  <c r="D93" i="5" s="1"/>
  <c r="K70" i="50"/>
  <c r="C91" i="5" l="1"/>
  <c r="C93" i="5" s="1"/>
  <c r="F41" i="49"/>
  <c r="F56" i="38"/>
  <c r="D125" i="5" l="1"/>
  <c r="C125" i="5"/>
  <c r="C126" i="5" s="1"/>
  <c r="D134" i="5"/>
  <c r="G92" i="5" l="1"/>
  <c r="H92" i="5" l="1"/>
  <c r="I92" i="5" l="1"/>
  <c r="J92" i="5" l="1"/>
  <c r="K92" i="5" l="1"/>
  <c r="C11" i="53" l="1"/>
  <c r="C12" i="53" s="1"/>
  <c r="C13" i="53" s="1"/>
  <c r="C20" i="52"/>
  <c r="D11" i="53"/>
  <c r="D12" i="53" s="1"/>
  <c r="D13" i="53" s="1"/>
  <c r="E11" i="53"/>
  <c r="D20" i="52"/>
  <c r="F14" i="53" l="1"/>
  <c r="D27" i="53"/>
  <c r="D32" i="53" s="1"/>
  <c r="D34" i="53" s="1"/>
  <c r="D32" i="5" s="1"/>
  <c r="C27" i="53"/>
  <c r="C32" i="53" s="1"/>
  <c r="C34" i="53" s="1"/>
  <c r="C32" i="5" s="1"/>
  <c r="E12" i="53"/>
  <c r="E13" i="53" s="1"/>
  <c r="F11" i="53"/>
  <c r="E27" i="53" l="1"/>
  <c r="E32" i="53" s="1"/>
  <c r="E34" i="53" s="1"/>
  <c r="E32" i="5" s="1"/>
  <c r="F11" i="38"/>
  <c r="C33" i="5" l="1"/>
  <c r="C140" i="5" s="1"/>
  <c r="C35" i="5" l="1"/>
  <c r="C152" i="5"/>
  <c r="C154" i="5" s="1"/>
  <c r="D33" i="5" l="1"/>
  <c r="D152" i="5" s="1"/>
  <c r="D154" i="5" s="1"/>
  <c r="C113" i="5"/>
  <c r="C64" i="5"/>
  <c r="C159" i="5" l="1"/>
  <c r="C127" i="5"/>
  <c r="C148" i="5"/>
  <c r="C156" i="5"/>
  <c r="C128" i="5"/>
  <c r="C89" i="5"/>
  <c r="C94" i="5" s="1"/>
  <c r="C95" i="5" s="1"/>
  <c r="C96" i="5" s="1"/>
  <c r="D140" i="5"/>
  <c r="D35" i="5"/>
  <c r="D113" i="5" s="1"/>
  <c r="D156" i="5"/>
  <c r="D159" i="5"/>
  <c r="C144" i="5" l="1"/>
  <c r="D148" i="5"/>
  <c r="D160" i="5"/>
  <c r="D157" i="5"/>
  <c r="E89" i="5" l="1"/>
  <c r="D126" i="5"/>
  <c r="D127" i="5" s="1"/>
  <c r="D128" i="5" s="1"/>
  <c r="D89" i="5"/>
  <c r="E33" i="5" l="1"/>
  <c r="E152" i="5" s="1"/>
  <c r="E154" i="5" s="1"/>
  <c r="D94" i="5"/>
  <c r="D95" i="5" s="1"/>
  <c r="D96" i="5" s="1"/>
  <c r="D144" i="5"/>
  <c r="F23" i="49"/>
  <c r="E35" i="5" l="1"/>
  <c r="E140" i="5"/>
  <c r="G23" i="49"/>
  <c r="H23" i="49" l="1"/>
  <c r="I23" i="49" s="1"/>
  <c r="J23" i="49" l="1"/>
  <c r="K23" i="49" l="1"/>
  <c r="L23" i="49" l="1"/>
  <c r="F57" i="5" l="1"/>
  <c r="F63" i="5" s="1"/>
  <c r="F107" i="5" s="1"/>
  <c r="F12" i="55" l="1"/>
  <c r="F54" i="18" l="1"/>
  <c r="F73" i="18" l="1"/>
  <c r="F75" i="18" s="1"/>
  <c r="F6" i="18" l="1"/>
  <c r="F8" i="55" s="1"/>
  <c r="F14" i="55" s="1"/>
  <c r="F16" i="55" s="1"/>
  <c r="F19" i="55" s="1"/>
  <c r="F20" i="55" s="1"/>
  <c r="F76" i="18"/>
  <c r="F8" i="18"/>
  <c r="F10" i="18" s="1"/>
  <c r="F9" i="53"/>
  <c r="F12" i="53" s="1"/>
  <c r="F13" i="53" s="1"/>
  <c r="F24" i="5"/>
  <c r="F30" i="5" s="1"/>
  <c r="F18" i="53" l="1"/>
  <c r="F20" i="53" s="1"/>
  <c r="G14" i="53"/>
  <c r="F5" i="6"/>
  <c r="F42" i="5" s="1"/>
  <c r="F98" i="5" s="1"/>
  <c r="F137" i="5"/>
  <c r="F9" i="49"/>
  <c r="F12" i="49" s="1"/>
  <c r="F13" i="49" s="1"/>
  <c r="F9" i="38"/>
  <c r="F12" i="38" s="1"/>
  <c r="F13" i="38" s="1"/>
  <c r="F21" i="6" l="1"/>
  <c r="F39" i="6" s="1"/>
  <c r="F21" i="53"/>
  <c r="F32" i="5"/>
  <c r="F40" i="6"/>
  <c r="F43" i="6"/>
  <c r="F18" i="49" l="1"/>
  <c r="F19" i="38"/>
  <c r="F23" i="53" l="1"/>
  <c r="F14" i="49"/>
  <c r="F15" i="49" s="1"/>
  <c r="F20" i="49" s="1"/>
  <c r="F24" i="49" s="1"/>
  <c r="F14" i="38"/>
  <c r="F15" i="38" s="1"/>
  <c r="F20" i="38" s="1"/>
  <c r="F21" i="50"/>
  <c r="F43" i="50" s="1"/>
  <c r="F82" i="50" s="1"/>
  <c r="G82" i="50" s="1"/>
  <c r="G83" i="50" s="1"/>
  <c r="G8" i="50"/>
  <c r="F153" i="5" l="1"/>
  <c r="F80" i="50"/>
  <c r="G80" i="50" s="1"/>
  <c r="G21" i="50"/>
  <c r="G43" i="50" s="1"/>
  <c r="F31" i="5" l="1"/>
  <c r="F33" i="5" s="1"/>
  <c r="F139" i="5"/>
  <c r="E143" i="5"/>
  <c r="E142" i="5"/>
  <c r="E64" i="5"/>
  <c r="E105" i="5"/>
  <c r="F39" i="49"/>
  <c r="F54" i="38"/>
  <c r="E110" i="5" l="1"/>
  <c r="E113" i="5" s="1"/>
  <c r="E148" i="5"/>
  <c r="F35" i="5"/>
  <c r="F140" i="5"/>
  <c r="F152" i="5"/>
  <c r="F154" i="5" s="1"/>
  <c r="E144" i="5"/>
  <c r="E91" i="5"/>
  <c r="E93" i="5" s="1"/>
  <c r="G84" i="50" l="1"/>
  <c r="G85" i="50" s="1"/>
  <c r="F91" i="5"/>
  <c r="F93" i="5" s="1"/>
  <c r="F99" i="5" s="1"/>
  <c r="F37" i="5"/>
  <c r="F156" i="5"/>
  <c r="F159" i="5"/>
  <c r="E94" i="5"/>
  <c r="E95" i="5" s="1"/>
  <c r="E96" i="5" s="1"/>
  <c r="E125" i="5"/>
  <c r="E126" i="5" s="1"/>
  <c r="E127" i="5" s="1"/>
  <c r="E128" i="5" s="1"/>
  <c r="H25" i="16"/>
  <c r="H26" i="16" l="1"/>
  <c r="H6" i="16"/>
  <c r="H7" i="16" s="1"/>
  <c r="F100" i="5"/>
  <c r="F41" i="5" s="1"/>
  <c r="F50" i="5" s="1"/>
  <c r="F134" i="5"/>
  <c r="F125" i="5"/>
  <c r="H48" i="18" l="1"/>
  <c r="H12" i="55" s="1"/>
  <c r="H16" i="49"/>
  <c r="H17" i="38"/>
  <c r="F83" i="5"/>
  <c r="G36" i="5"/>
  <c r="F64" i="5"/>
  <c r="F105" i="5"/>
  <c r="H54" i="18"/>
  <c r="H73" i="18" s="1"/>
  <c r="H75" i="18" s="1"/>
  <c r="F110" i="5" l="1"/>
  <c r="F113" i="5" s="1"/>
  <c r="F160" i="5" s="1"/>
  <c r="G27" i="5"/>
  <c r="G153" i="5" s="1"/>
  <c r="F23" i="52"/>
  <c r="F24" i="52" s="1"/>
  <c r="F148" i="5"/>
  <c r="F143" i="5"/>
  <c r="F142" i="5"/>
  <c r="F88" i="5"/>
  <c r="F116" i="5" s="1"/>
  <c r="H76" i="18"/>
  <c r="H6" i="18"/>
  <c r="H8" i="55" s="1"/>
  <c r="H14" i="55" s="1"/>
  <c r="H16" i="55" s="1"/>
  <c r="H19" i="55" s="1"/>
  <c r="F117" i="5" l="1"/>
  <c r="F126" i="5" s="1"/>
  <c r="F127" i="5" s="1"/>
  <c r="F128" i="5" s="1"/>
  <c r="F157" i="5"/>
  <c r="F89" i="5"/>
  <c r="H20" i="55"/>
  <c r="H5" i="6"/>
  <c r="H8" i="18"/>
  <c r="H10" i="18" s="1"/>
  <c r="H9" i="53"/>
  <c r="H12" i="53" s="1"/>
  <c r="H13" i="53" s="1"/>
  <c r="H24" i="5"/>
  <c r="H18" i="53" l="1"/>
  <c r="H20" i="53" s="1"/>
  <c r="F94" i="5"/>
  <c r="F95" i="5" s="1"/>
  <c r="F96" i="5" s="1"/>
  <c r="F144" i="5"/>
  <c r="H21" i="6"/>
  <c r="H39" i="6" s="1"/>
  <c r="H42" i="5"/>
  <c r="H137" i="5"/>
  <c r="H9" i="38"/>
  <c r="H12" i="38" s="1"/>
  <c r="H13" i="38" s="1"/>
  <c r="H9" i="49"/>
  <c r="H12" i="49" s="1"/>
  <c r="H13" i="49" s="1"/>
  <c r="H21" i="53" l="1"/>
  <c r="H32" i="5"/>
  <c r="H43" i="6"/>
  <c r="K48" i="18" l="1"/>
  <c r="K12" i="55" s="1"/>
  <c r="I25" i="16"/>
  <c r="J25" i="16"/>
  <c r="J6" i="16" s="1"/>
  <c r="J7" i="16" s="1"/>
  <c r="I26" i="16" l="1"/>
  <c r="I6" i="16"/>
  <c r="J16" i="49"/>
  <c r="J17" i="38"/>
  <c r="J48" i="18"/>
  <c r="J12" i="55" s="1"/>
  <c r="J26" i="16"/>
  <c r="K26" i="16" s="1"/>
  <c r="K54" i="18"/>
  <c r="K73" i="18" s="1"/>
  <c r="K75" i="18" s="1"/>
  <c r="J54" i="18"/>
  <c r="J73" i="18" s="1"/>
  <c r="J75" i="18" s="1"/>
  <c r="I7" i="16" l="1"/>
  <c r="I48" i="18"/>
  <c r="J6" i="18"/>
  <c r="J8" i="55" s="1"/>
  <c r="J14" i="55" s="1"/>
  <c r="J16" i="55" s="1"/>
  <c r="J19" i="55" s="1"/>
  <c r="J76" i="18"/>
  <c r="K6" i="18"/>
  <c r="K8" i="55" s="1"/>
  <c r="K14" i="55" s="1"/>
  <c r="K16" i="55" s="1"/>
  <c r="K19" i="55" s="1"/>
  <c r="K76" i="18"/>
  <c r="I12" i="55" l="1"/>
  <c r="I54" i="18"/>
  <c r="I73" i="18" s="1"/>
  <c r="I75" i="18" s="1"/>
  <c r="I17" i="38"/>
  <c r="I16" i="49"/>
  <c r="J20" i="55"/>
  <c r="J5" i="6"/>
  <c r="K20" i="55"/>
  <c r="K5" i="6"/>
  <c r="L16" i="49"/>
  <c r="J24" i="5"/>
  <c r="J9" i="53"/>
  <c r="J12" i="53" s="1"/>
  <c r="J13" i="53" s="1"/>
  <c r="J8" i="18"/>
  <c r="J10" i="18" s="1"/>
  <c r="K24" i="5"/>
  <c r="K9" i="53"/>
  <c r="K12" i="53" s="1"/>
  <c r="K13" i="53" s="1"/>
  <c r="K8" i="18"/>
  <c r="K10" i="18" s="1"/>
  <c r="J18" i="53" l="1"/>
  <c r="J20" i="53" s="1"/>
  <c r="J32" i="5" s="1"/>
  <c r="K18" i="53"/>
  <c r="K20" i="53" s="1"/>
  <c r="I6" i="18"/>
  <c r="I76" i="18"/>
  <c r="K9" i="38"/>
  <c r="K9" i="49"/>
  <c r="J9" i="38"/>
  <c r="J12" i="38" s="1"/>
  <c r="J13" i="38" s="1"/>
  <c r="J9" i="49"/>
  <c r="J12" i="49" s="1"/>
  <c r="J13" i="49" s="1"/>
  <c r="K137" i="5"/>
  <c r="J137" i="5"/>
  <c r="K21" i="6"/>
  <c r="K39" i="6" s="1"/>
  <c r="K42" i="5"/>
  <c r="J21" i="6"/>
  <c r="J39" i="6" s="1"/>
  <c r="J42" i="5"/>
  <c r="L17" i="49"/>
  <c r="K21" i="53" l="1"/>
  <c r="K32" i="5"/>
  <c r="J21" i="53"/>
  <c r="L9" i="49"/>
  <c r="L12" i="49" s="1"/>
  <c r="L13" i="49" s="1"/>
  <c r="L14" i="49" s="1"/>
  <c r="K12" i="49"/>
  <c r="K13" i="49" s="1"/>
  <c r="I8" i="55"/>
  <c r="I14" i="55" s="1"/>
  <c r="I16" i="55" s="1"/>
  <c r="I19" i="55" s="1"/>
  <c r="I8" i="18"/>
  <c r="I10" i="18" s="1"/>
  <c r="I9" i="53"/>
  <c r="I24" i="5"/>
  <c r="I137" i="5" s="1"/>
  <c r="L9" i="38"/>
  <c r="L12" i="38" s="1"/>
  <c r="L13" i="38" s="1"/>
  <c r="K12" i="38"/>
  <c r="K13" i="38" s="1"/>
  <c r="K43" i="6"/>
  <c r="K40" i="6"/>
  <c r="J43" i="6"/>
  <c r="I12" i="53" l="1"/>
  <c r="I13" i="53" s="1"/>
  <c r="I9" i="49"/>
  <c r="I12" i="49" s="1"/>
  <c r="I13" i="49" s="1"/>
  <c r="I9" i="38"/>
  <c r="I12" i="38" s="1"/>
  <c r="I13" i="38" s="1"/>
  <c r="I5" i="6"/>
  <c r="I20" i="55"/>
  <c r="L15" i="49"/>
  <c r="L20" i="49" s="1"/>
  <c r="L24" i="49" s="1"/>
  <c r="L14" i="38"/>
  <c r="L15" i="38" s="1"/>
  <c r="L20" i="38" s="1"/>
  <c r="K18" i="49"/>
  <c r="K19" i="38"/>
  <c r="I18" i="53" l="1"/>
  <c r="I20" i="53" s="1"/>
  <c r="I32" i="5" s="1"/>
  <c r="I21" i="6"/>
  <c r="I39" i="6" s="1"/>
  <c r="I42" i="5"/>
  <c r="G48" i="18"/>
  <c r="G12" i="55" s="1"/>
  <c r="G57" i="5"/>
  <c r="G63" i="5" s="1"/>
  <c r="G107" i="5" s="1"/>
  <c r="I21" i="53" l="1"/>
  <c r="I40" i="6"/>
  <c r="J40" i="6"/>
  <c r="I43" i="6"/>
  <c r="G54" i="18"/>
  <c r="G73" i="18" s="1"/>
  <c r="G75" i="18" s="1"/>
  <c r="J19" i="38" l="1"/>
  <c r="J18" i="49"/>
  <c r="I19" i="38"/>
  <c r="I18" i="49"/>
  <c r="G6" i="18"/>
  <c r="G8" i="55" s="1"/>
  <c r="G14" i="55" s="1"/>
  <c r="G16" i="55" s="1"/>
  <c r="G19" i="55" s="1"/>
  <c r="G76" i="18"/>
  <c r="H57" i="5"/>
  <c r="H63" i="5" s="1"/>
  <c r="H107" i="5" s="1"/>
  <c r="H98" i="5" l="1"/>
  <c r="G5" i="6"/>
  <c r="G20" i="55"/>
  <c r="G9" i="53"/>
  <c r="G12" i="53" s="1"/>
  <c r="G13" i="53" s="1"/>
  <c r="G18" i="53" s="1"/>
  <c r="G8" i="18"/>
  <c r="G10" i="18" s="1"/>
  <c r="G24" i="5"/>
  <c r="G30" i="5" s="1"/>
  <c r="I57" i="5"/>
  <c r="I63" i="5" s="1"/>
  <c r="I107" i="5" s="1"/>
  <c r="G20" i="53" l="1"/>
  <c r="G32" i="5" s="1"/>
  <c r="I98" i="5"/>
  <c r="G139" i="5"/>
  <c r="G31" i="5"/>
  <c r="J57" i="5"/>
  <c r="J63" i="5" s="1"/>
  <c r="J107" i="5" s="1"/>
  <c r="K57" i="5"/>
  <c r="K63" i="5" s="1"/>
  <c r="K107" i="5" s="1"/>
  <c r="G9" i="38"/>
  <c r="G12" i="38" s="1"/>
  <c r="G13" i="38" s="1"/>
  <c r="G9" i="49"/>
  <c r="G12" i="49" s="1"/>
  <c r="G13" i="49" s="1"/>
  <c r="G137" i="5"/>
  <c r="G21" i="6"/>
  <c r="G39" i="6" s="1"/>
  <c r="G42" i="5"/>
  <c r="G98" i="5" s="1"/>
  <c r="G21" i="53" l="1"/>
  <c r="K98" i="5"/>
  <c r="J98" i="5"/>
  <c r="G43" i="6"/>
  <c r="G40" i="6"/>
  <c r="H40" i="6"/>
  <c r="G19" i="38" l="1"/>
  <c r="G18" i="49"/>
  <c r="H19" i="38"/>
  <c r="H18" i="49"/>
  <c r="G33" i="5" l="1"/>
  <c r="G35" i="5" s="1"/>
  <c r="G14" i="49"/>
  <c r="G15" i="49" s="1"/>
  <c r="G20" i="49" s="1"/>
  <c r="G24" i="49" s="1"/>
  <c r="G14" i="38"/>
  <c r="G15" i="38" s="1"/>
  <c r="G20" i="38" s="1"/>
  <c r="G23" i="53"/>
  <c r="G152" i="5" l="1"/>
  <c r="G154" i="5" s="1"/>
  <c r="G156" i="5" s="1"/>
  <c r="G140" i="5"/>
  <c r="G37" i="5"/>
  <c r="G91" i="5"/>
  <c r="G93" i="5" s="1"/>
  <c r="G159" i="5" l="1"/>
  <c r="G99" i="5"/>
  <c r="G100" i="5" s="1"/>
  <c r="G125" i="5"/>
  <c r="G134" i="5"/>
  <c r="G41" i="5" l="1"/>
  <c r="G83" i="5"/>
  <c r="G23" i="52" s="1"/>
  <c r="G24" i="52" s="1"/>
  <c r="H14" i="49"/>
  <c r="H15" i="49" s="1"/>
  <c r="H20" i="49" s="1"/>
  <c r="H24" i="49" s="1"/>
  <c r="H14" i="38"/>
  <c r="H15" i="38" s="1"/>
  <c r="H20" i="38" s="1"/>
  <c r="H23" i="53"/>
  <c r="H27" i="5" l="1"/>
  <c r="G88" i="5"/>
  <c r="H36" i="5"/>
  <c r="G50" i="5"/>
  <c r="G143" i="5" s="1"/>
  <c r="G89" i="5" l="1"/>
  <c r="G94" i="5" s="1"/>
  <c r="G116" i="5"/>
  <c r="H153" i="5"/>
  <c r="H30" i="5"/>
  <c r="G105" i="5"/>
  <c r="G110" i="5" s="1"/>
  <c r="G64" i="5"/>
  <c r="I14" i="38"/>
  <c r="I15" i="38" s="1"/>
  <c r="I20" i="38" s="1"/>
  <c r="I14" i="49"/>
  <c r="I15" i="49" s="1"/>
  <c r="I20" i="49" s="1"/>
  <c r="I24" i="49" s="1"/>
  <c r="I23" i="53"/>
  <c r="G142" i="5"/>
  <c r="G95" i="5" l="1"/>
  <c r="G96" i="5" s="1"/>
  <c r="G117" i="5"/>
  <c r="G126" i="5" s="1"/>
  <c r="G157" i="5"/>
  <c r="G113" i="5"/>
  <c r="H139" i="5"/>
  <c r="H31" i="5"/>
  <c r="H33" i="5" s="1"/>
  <c r="G144" i="5"/>
  <c r="G148" i="5"/>
  <c r="H35" i="5" l="1"/>
  <c r="H152" i="5"/>
  <c r="H154" i="5" s="1"/>
  <c r="H156" i="5" s="1"/>
  <c r="H140" i="5"/>
  <c r="G160" i="5"/>
  <c r="G127" i="5"/>
  <c r="G128" i="5" s="1"/>
  <c r="J14" i="49"/>
  <c r="J15" i="49" s="1"/>
  <c r="J20" i="49" s="1"/>
  <c r="J24" i="49" s="1"/>
  <c r="J14" i="38"/>
  <c r="J15" i="38" s="1"/>
  <c r="J20" i="38" s="1"/>
  <c r="J23" i="53"/>
  <c r="H159" i="5" l="1"/>
  <c r="H91" i="5"/>
  <c r="H93" i="5" s="1"/>
  <c r="H37" i="5"/>
  <c r="H134" i="5" l="1"/>
  <c r="H99" i="5"/>
  <c r="H100" i="5" s="1"/>
  <c r="H125" i="5"/>
  <c r="K23" i="53"/>
  <c r="K14" i="38"/>
  <c r="K15" i="38" s="1"/>
  <c r="K20" i="38" s="1"/>
  <c r="K14" i="49"/>
  <c r="K15" i="49" s="1"/>
  <c r="K20" i="49" s="1"/>
  <c r="K24" i="49" s="1"/>
  <c r="F25" i="49" s="1"/>
  <c r="F38" i="49" s="1"/>
  <c r="F42" i="49" s="1"/>
  <c r="F46" i="49" s="1"/>
  <c r="H83" i="5" l="1"/>
  <c r="H23" i="52" s="1"/>
  <c r="H24" i="52" s="1"/>
  <c r="H41" i="5"/>
  <c r="F47" i="49"/>
  <c r="F51" i="49" s="1"/>
  <c r="I62" i="38"/>
  <c r="I36" i="5" l="1"/>
  <c r="H50" i="5"/>
  <c r="H143" i="5" s="1"/>
  <c r="I27" i="5"/>
  <c r="H88" i="5"/>
  <c r="I153" i="5" l="1"/>
  <c r="I30" i="5"/>
  <c r="H116" i="5"/>
  <c r="H89" i="5"/>
  <c r="H94" i="5" s="1"/>
  <c r="H142" i="5"/>
  <c r="H105" i="5"/>
  <c r="H110" i="5" s="1"/>
  <c r="H64" i="5"/>
  <c r="H95" i="5" l="1"/>
  <c r="H96" i="5" s="1"/>
  <c r="H117" i="5"/>
  <c r="H126" i="5" s="1"/>
  <c r="H157" i="5"/>
  <c r="H113" i="5"/>
  <c r="I139" i="5"/>
  <c r="I31" i="5"/>
  <c r="I33" i="5" s="1"/>
  <c r="H144" i="5"/>
  <c r="H148" i="5"/>
  <c r="I152" i="5" l="1"/>
  <c r="I154" i="5" s="1"/>
  <c r="I156" i="5" s="1"/>
  <c r="I140" i="5"/>
  <c r="I35" i="5"/>
  <c r="H127" i="5"/>
  <c r="H128" i="5" s="1"/>
  <c r="H160" i="5"/>
  <c r="F41" i="38"/>
  <c r="F42" i="38" s="1"/>
  <c r="G45" i="38"/>
  <c r="F45" i="38" s="1"/>
  <c r="I159" i="5" l="1"/>
  <c r="I91" i="5"/>
  <c r="I93" i="5" s="1"/>
  <c r="I37" i="5"/>
  <c r="H45" i="38"/>
  <c r="G46" i="38"/>
  <c r="F46" i="38" s="1"/>
  <c r="H46" i="38" s="1"/>
  <c r="F48" i="38"/>
  <c r="I134" i="5" l="1"/>
  <c r="I99" i="5"/>
  <c r="I100" i="5" s="1"/>
  <c r="I125" i="5"/>
  <c r="F22" i="38"/>
  <c r="F23" i="38" s="1"/>
  <c r="F25" i="38"/>
  <c r="F26" i="38" s="1"/>
  <c r="I41" i="5" l="1"/>
  <c r="I83" i="5"/>
  <c r="I23" i="52" s="1"/>
  <c r="I24" i="52" s="1"/>
  <c r="G22" i="38"/>
  <c r="H22" i="38" s="1"/>
  <c r="I22" i="38" s="1"/>
  <c r="J22" i="38" s="1"/>
  <c r="K22" i="38" s="1"/>
  <c r="L22" i="38" s="1"/>
  <c r="I88" i="5" l="1"/>
  <c r="J27" i="5"/>
  <c r="I50" i="5"/>
  <c r="I143" i="5" s="1"/>
  <c r="J36" i="5"/>
  <c r="F24" i="38"/>
  <c r="G23" i="38"/>
  <c r="J30" i="5" l="1"/>
  <c r="J153" i="5"/>
  <c r="I64" i="5"/>
  <c r="I105" i="5"/>
  <c r="I110" i="5" s="1"/>
  <c r="I142" i="5"/>
  <c r="I89" i="5"/>
  <c r="I94" i="5" s="1"/>
  <c r="I116" i="5"/>
  <c r="F27" i="38"/>
  <c r="G24" i="38"/>
  <c r="H23" i="38"/>
  <c r="I117" i="5" l="1"/>
  <c r="I126" i="5" s="1"/>
  <c r="I95" i="5"/>
  <c r="I96" i="5" s="1"/>
  <c r="I144" i="5"/>
  <c r="I148" i="5"/>
  <c r="I157" i="5"/>
  <c r="I113" i="5"/>
  <c r="J31" i="5"/>
  <c r="J33" i="5" s="1"/>
  <c r="J139" i="5"/>
  <c r="H24" i="38"/>
  <c r="I23" i="38"/>
  <c r="J35" i="5" l="1"/>
  <c r="J140" i="5"/>
  <c r="J152" i="5"/>
  <c r="J154" i="5" s="1"/>
  <c r="J156" i="5" s="1"/>
  <c r="I127" i="5"/>
  <c r="I128" i="5" s="1"/>
  <c r="I160" i="5"/>
  <c r="J159" i="5"/>
  <c r="I24" i="38"/>
  <c r="J23" i="38"/>
  <c r="J91" i="5" l="1"/>
  <c r="J93" i="5" s="1"/>
  <c r="J37" i="5"/>
  <c r="J24" i="38"/>
  <c r="K23" i="38"/>
  <c r="J99" i="5" l="1"/>
  <c r="J100" i="5" s="1"/>
  <c r="J134" i="5"/>
  <c r="J125" i="5"/>
  <c r="L23" i="38"/>
  <c r="L24" i="38" s="1"/>
  <c r="K24" i="38"/>
  <c r="J83" i="5" l="1"/>
  <c r="J23" i="52" s="1"/>
  <c r="J24" i="52" s="1"/>
  <c r="J41" i="5"/>
  <c r="I41" i="38"/>
  <c r="I42" i="38" s="1"/>
  <c r="J45" i="38"/>
  <c r="I45" i="38" s="1"/>
  <c r="J50" i="5" l="1"/>
  <c r="J143" i="5" s="1"/>
  <c r="K36" i="5"/>
  <c r="K27" i="5"/>
  <c r="J88" i="5"/>
  <c r="K45" i="38"/>
  <c r="J46" i="38"/>
  <c r="I46" i="38" s="1"/>
  <c r="K46" i="38" s="1"/>
  <c r="I48" i="38"/>
  <c r="J142" i="5" l="1"/>
  <c r="J116" i="5"/>
  <c r="J89" i="5"/>
  <c r="J94" i="5" s="1"/>
  <c r="K153" i="5"/>
  <c r="K30" i="5"/>
  <c r="J64" i="5"/>
  <c r="J105" i="5"/>
  <c r="J110" i="5" s="1"/>
  <c r="G25" i="38"/>
  <c r="G26" i="38" s="1"/>
  <c r="H25" i="38"/>
  <c r="I25" i="38"/>
  <c r="J95" i="5" l="1"/>
  <c r="J96" i="5" s="1"/>
  <c r="J117" i="5"/>
  <c r="J126" i="5" s="1"/>
  <c r="J113" i="5"/>
  <c r="J157" i="5"/>
  <c r="J148" i="5"/>
  <c r="J144" i="5"/>
  <c r="K31" i="5"/>
  <c r="K33" i="5" s="1"/>
  <c r="K139" i="5"/>
  <c r="H26" i="38"/>
  <c r="G27" i="38"/>
  <c r="K152" i="5" l="1"/>
  <c r="K154" i="5" s="1"/>
  <c r="K156" i="5" s="1"/>
  <c r="K35" i="5"/>
  <c r="K140" i="5"/>
  <c r="J160" i="5"/>
  <c r="J127" i="5"/>
  <c r="J128" i="5" s="1"/>
  <c r="I26" i="38"/>
  <c r="H27" i="38"/>
  <c r="K159" i="5" l="1"/>
  <c r="K37" i="5"/>
  <c r="K91" i="5"/>
  <c r="K93" i="5" s="1"/>
  <c r="I27" i="38"/>
  <c r="L41" i="38"/>
  <c r="L42" i="38" s="1"/>
  <c r="M45" i="38"/>
  <c r="L45" i="38" s="1"/>
  <c r="K134" i="5" l="1"/>
  <c r="K125" i="5"/>
  <c r="K99" i="5"/>
  <c r="K100" i="5" s="1"/>
  <c r="M46" i="38"/>
  <c r="L46" i="38" s="1"/>
  <c r="N46" i="38" s="1"/>
  <c r="N45" i="38"/>
  <c r="L48" i="38"/>
  <c r="K83" i="5" l="1"/>
  <c r="K23" i="52" s="1"/>
  <c r="K41" i="5"/>
  <c r="K50" i="5" s="1"/>
  <c r="J25" i="38"/>
  <c r="J26" i="38" s="1"/>
  <c r="K25" i="38"/>
  <c r="L25" i="38"/>
  <c r="K105" i="5" l="1"/>
  <c r="K110" i="5" s="1"/>
  <c r="K64" i="5"/>
  <c r="K142" i="5"/>
  <c r="K88" i="5"/>
  <c r="K143" i="5"/>
  <c r="K26" i="38"/>
  <c r="L26" i="38" s="1"/>
  <c r="J27" i="38"/>
  <c r="K89" i="5" l="1"/>
  <c r="K94" i="5" s="1"/>
  <c r="K95" i="5" s="1"/>
  <c r="K96" i="5" s="1"/>
  <c r="K116" i="5"/>
  <c r="K148" i="5"/>
  <c r="K113" i="5"/>
  <c r="K157" i="5"/>
  <c r="K27" i="38"/>
  <c r="L27" i="38"/>
  <c r="K117" i="5" l="1"/>
  <c r="K126" i="5" s="1"/>
  <c r="K127" i="5" s="1"/>
  <c r="K128" i="5" s="1"/>
  <c r="K144" i="5"/>
  <c r="K160" i="5"/>
  <c r="J44" i="38"/>
  <c r="K44" i="38" s="1"/>
  <c r="M44" i="38"/>
  <c r="N44" i="38" s="1"/>
  <c r="F28" i="38"/>
  <c r="F29" i="38" s="1"/>
  <c r="G44" i="38"/>
  <c r="H44" i="38" s="1"/>
  <c r="F53" i="38" l="1"/>
  <c r="F57" i="38" s="1"/>
  <c r="F62" i="38" s="1"/>
  <c r="J62" i="38" l="1"/>
  <c r="F63" i="38"/>
  <c r="F67" i="38" s="1"/>
</calcChain>
</file>

<file path=xl/comments1.xml><?xml version="1.0" encoding="utf-8"?>
<comments xmlns="http://schemas.openxmlformats.org/spreadsheetml/2006/main">
  <authors>
    <author>周鹰飞</author>
    <author>zhou</author>
  </authors>
  <commentList>
    <comment ref="E5" authorId="0">
      <text>
        <r>
          <rPr>
            <b/>
            <sz val="9"/>
            <color indexed="81"/>
            <rFont val="宋体"/>
            <family val="3"/>
            <charset val="134"/>
          </rPr>
          <t>周鹰飞:</t>
        </r>
        <r>
          <rPr>
            <sz val="9"/>
            <color indexed="81"/>
            <rFont val="宋体"/>
            <family val="3"/>
            <charset val="134"/>
          </rPr>
          <t xml:space="preserve">
期中数据
格式：2017/6/30</t>
        </r>
      </text>
    </comment>
    <comment ref="E12" authorId="0">
      <text>
        <r>
          <rPr>
            <b/>
            <sz val="9"/>
            <color indexed="81"/>
            <rFont val="宋体"/>
            <family val="3"/>
            <charset val="134"/>
          </rPr>
          <t>周鹰飞:</t>
        </r>
        <r>
          <rPr>
            <sz val="9"/>
            <color indexed="81"/>
            <rFont val="宋体"/>
            <family val="3"/>
            <charset val="134"/>
          </rPr>
          <t xml:space="preserve">
以万元数字录入</t>
        </r>
      </text>
    </comment>
    <comment ref="E13" authorId="0">
      <text>
        <r>
          <rPr>
            <b/>
            <sz val="9"/>
            <color indexed="81"/>
            <rFont val="宋体"/>
            <family val="3"/>
            <charset val="134"/>
          </rPr>
          <t>周鹰飞:</t>
        </r>
        <r>
          <rPr>
            <sz val="9"/>
            <color indexed="81"/>
            <rFont val="宋体"/>
            <family val="3"/>
            <charset val="134"/>
          </rPr>
          <t xml:space="preserve">
期中数据(日期格式)
格式：2017/6/30</t>
        </r>
      </text>
    </comment>
    <comment ref="C15" authorId="0">
      <text>
        <r>
          <rPr>
            <b/>
            <sz val="9"/>
            <color indexed="81"/>
            <rFont val="宋体"/>
            <family val="3"/>
            <charset val="134"/>
          </rPr>
          <t>周鹰飞:</t>
        </r>
        <r>
          <rPr>
            <sz val="9"/>
            <color indexed="81"/>
            <rFont val="宋体"/>
            <family val="3"/>
            <charset val="134"/>
          </rPr>
          <t xml:space="preserve">
蓝色数字为手工录入。
数据小数点后保留6位，到分。</t>
        </r>
      </text>
    </comment>
    <comment ref="B69" authorId="0">
      <text>
        <r>
          <rPr>
            <b/>
            <sz val="9"/>
            <color indexed="81"/>
            <rFont val="宋体"/>
            <family val="3"/>
            <charset val="134"/>
          </rPr>
          <t>周鹰飞:</t>
        </r>
        <r>
          <rPr>
            <sz val="9"/>
            <color indexed="81"/>
            <rFont val="宋体"/>
            <family val="3"/>
            <charset val="134"/>
          </rPr>
          <t xml:space="preserve">
包括：优先股、永续债</t>
        </r>
      </text>
    </comment>
    <comment ref="B80" authorId="0">
      <text>
        <r>
          <rPr>
            <b/>
            <sz val="9"/>
            <color indexed="81"/>
            <rFont val="宋体"/>
            <family val="3"/>
            <charset val="134"/>
          </rPr>
          <t>周鹰飞:</t>
        </r>
        <r>
          <rPr>
            <sz val="9"/>
            <color indexed="81"/>
            <rFont val="宋体"/>
            <family val="3"/>
            <charset val="134"/>
          </rPr>
          <t xml:space="preserve">
包括：优先股、永续债</t>
        </r>
      </text>
    </comment>
    <comment ref="E96" authorId="0">
      <text>
        <r>
          <rPr>
            <b/>
            <sz val="9"/>
            <color indexed="81"/>
            <rFont val="宋体"/>
            <family val="3"/>
            <charset val="134"/>
          </rPr>
          <t>周鹰飞:</t>
        </r>
        <r>
          <rPr>
            <sz val="9"/>
            <color indexed="81"/>
            <rFont val="宋体"/>
            <family val="3"/>
            <charset val="134"/>
          </rPr>
          <t xml:space="preserve">
期中数据，
格式：2017年1-6</t>
        </r>
      </text>
    </comment>
    <comment ref="E140" authorId="1">
      <text>
        <r>
          <rPr>
            <b/>
            <sz val="9"/>
            <color indexed="81"/>
            <rFont val="宋体"/>
            <family val="3"/>
            <charset val="134"/>
          </rPr>
          <t>zhou:</t>
        </r>
        <r>
          <rPr>
            <sz val="9"/>
            <color indexed="81"/>
            <rFont val="宋体"/>
            <family val="3"/>
            <charset val="134"/>
          </rPr>
          <t xml:space="preserve">
年化处理</t>
        </r>
      </text>
    </comment>
    <comment ref="E141" authorId="1">
      <text>
        <r>
          <rPr>
            <b/>
            <sz val="9"/>
            <color indexed="81"/>
            <rFont val="宋体"/>
            <family val="3"/>
            <charset val="134"/>
          </rPr>
          <t>zhou:</t>
        </r>
        <r>
          <rPr>
            <sz val="9"/>
            <color indexed="81"/>
            <rFont val="宋体"/>
            <family val="3"/>
            <charset val="134"/>
          </rPr>
          <t xml:space="preserve">
年化处理</t>
        </r>
      </text>
    </comment>
    <comment ref="E142" authorId="1">
      <text>
        <r>
          <rPr>
            <b/>
            <sz val="9"/>
            <color indexed="81"/>
            <rFont val="宋体"/>
            <family val="3"/>
            <charset val="134"/>
          </rPr>
          <t>zhou:</t>
        </r>
        <r>
          <rPr>
            <sz val="9"/>
            <color indexed="81"/>
            <rFont val="宋体"/>
            <family val="3"/>
            <charset val="134"/>
          </rPr>
          <t xml:space="preserve">
年化处理</t>
        </r>
      </text>
    </comment>
  </commentList>
</comments>
</file>

<file path=xl/comments2.xml><?xml version="1.0" encoding="utf-8"?>
<comments xmlns="http://schemas.openxmlformats.org/spreadsheetml/2006/main">
  <authors>
    <author>作者</author>
    <author>周鹰飞</author>
  </authors>
  <commentList>
    <comment ref="K15" authorId="0">
      <text>
        <r>
          <rPr>
            <b/>
            <sz val="9"/>
            <color indexed="81"/>
            <rFont val="宋体"/>
            <family val="3"/>
            <charset val="134"/>
          </rPr>
          <t>作者:</t>
        </r>
        <r>
          <rPr>
            <sz val="9"/>
            <color indexed="81"/>
            <rFont val="宋体"/>
            <family val="3"/>
            <charset val="134"/>
          </rPr>
          <t xml:space="preserve">
股本金</t>
        </r>
      </text>
    </comment>
    <comment ref="L15" authorId="0">
      <text>
        <r>
          <rPr>
            <b/>
            <sz val="9"/>
            <color indexed="81"/>
            <rFont val="宋体"/>
            <family val="3"/>
            <charset val="134"/>
          </rPr>
          <t>作者:</t>
        </r>
        <r>
          <rPr>
            <sz val="9"/>
            <color indexed="81"/>
            <rFont val="宋体"/>
            <family val="3"/>
            <charset val="134"/>
          </rPr>
          <t xml:space="preserve">
付退休股东费用</t>
        </r>
      </text>
    </comment>
    <comment ref="K55" authorId="0">
      <text>
        <r>
          <rPr>
            <b/>
            <sz val="9"/>
            <color indexed="81"/>
            <rFont val="宋体"/>
            <family val="3"/>
            <charset val="134"/>
          </rPr>
          <t>作者:</t>
        </r>
        <r>
          <rPr>
            <sz val="9"/>
            <color indexed="81"/>
            <rFont val="宋体"/>
            <family val="3"/>
            <charset val="134"/>
          </rPr>
          <t xml:space="preserve">
改制费用</t>
        </r>
      </text>
    </comment>
    <comment ref="B62" authorId="1">
      <text>
        <r>
          <rPr>
            <b/>
            <sz val="9"/>
            <color indexed="81"/>
            <rFont val="宋体"/>
            <family val="3"/>
            <charset val="134"/>
          </rPr>
          <t>周鹰飞:</t>
        </r>
        <r>
          <rPr>
            <sz val="9"/>
            <color indexed="81"/>
            <rFont val="宋体"/>
            <family val="3"/>
            <charset val="134"/>
          </rPr>
          <t xml:space="preserve">
包括：优先股、永续债</t>
        </r>
      </text>
    </comment>
    <comment ref="J62" authorId="1">
      <text>
        <r>
          <rPr>
            <b/>
            <sz val="9"/>
            <color indexed="81"/>
            <rFont val="宋体"/>
            <family val="3"/>
            <charset val="134"/>
          </rPr>
          <t>周鹰飞:</t>
        </r>
        <r>
          <rPr>
            <sz val="9"/>
            <color indexed="81"/>
            <rFont val="宋体"/>
            <family val="3"/>
            <charset val="134"/>
          </rPr>
          <t xml:space="preserve">
包括：优先股、永续债</t>
        </r>
      </text>
    </comment>
    <comment ref="B73" authorId="1">
      <text>
        <r>
          <rPr>
            <b/>
            <sz val="9"/>
            <color indexed="81"/>
            <rFont val="宋体"/>
            <family val="3"/>
            <charset val="134"/>
          </rPr>
          <t>周鹰飞:</t>
        </r>
        <r>
          <rPr>
            <sz val="9"/>
            <color indexed="81"/>
            <rFont val="宋体"/>
            <family val="3"/>
            <charset val="134"/>
          </rPr>
          <t xml:space="preserve">
包括：优先股、永续债</t>
        </r>
      </text>
    </comment>
  </commentList>
</comments>
</file>

<file path=xl/comments3.xml><?xml version="1.0" encoding="utf-8"?>
<comments xmlns="http://schemas.openxmlformats.org/spreadsheetml/2006/main">
  <authors>
    <author>周鹰飞</author>
  </authors>
  <commentList>
    <comment ref="B16" authorId="0">
      <text>
        <r>
          <rPr>
            <b/>
            <sz val="9"/>
            <rFont val="宋体"/>
            <family val="3"/>
            <charset val="134"/>
          </rPr>
          <t>周鹰飞:</t>
        </r>
        <r>
          <rPr>
            <sz val="9"/>
            <rFont val="宋体"/>
            <family val="3"/>
            <charset val="134"/>
          </rPr>
          <t xml:space="preserve">
对于此项金额较大的公司适用</t>
        </r>
      </text>
    </comment>
    <comment ref="B22" authorId="0">
      <text>
        <r>
          <rPr>
            <b/>
            <sz val="9"/>
            <color indexed="81"/>
            <rFont val="宋体"/>
            <family val="3"/>
            <charset val="134"/>
          </rPr>
          <t>周鹰飞:</t>
        </r>
        <r>
          <rPr>
            <sz val="9"/>
            <color indexed="81"/>
            <rFont val="宋体"/>
            <family val="3"/>
            <charset val="134"/>
          </rPr>
          <t xml:space="preserve">
所有与生产人员有关的成本，包括计入营业成本的工资、福利、补贴、奖金等</t>
        </r>
      </text>
    </comment>
    <comment ref="B28" authorId="0">
      <text>
        <r>
          <rPr>
            <b/>
            <sz val="9"/>
            <color indexed="81"/>
            <rFont val="宋体"/>
            <family val="3"/>
            <charset val="134"/>
          </rPr>
          <t>周鹰飞:</t>
        </r>
        <r>
          <rPr>
            <sz val="9"/>
            <color indexed="81"/>
            <rFont val="宋体"/>
            <family val="3"/>
            <charset val="134"/>
          </rPr>
          <t xml:space="preserve">
注意核实有无摊销费用，如无则删除“及摊销”。</t>
        </r>
      </text>
    </comment>
    <comment ref="B74" authorId="0">
      <text>
        <r>
          <rPr>
            <b/>
            <sz val="9"/>
            <color indexed="81"/>
            <rFont val="宋体"/>
            <family val="3"/>
            <charset val="134"/>
          </rPr>
          <t>周鹰飞:</t>
        </r>
        <r>
          <rPr>
            <sz val="9"/>
            <color indexed="81"/>
            <rFont val="宋体"/>
            <family val="3"/>
            <charset val="134"/>
          </rPr>
          <t xml:space="preserve">
所有与生产人员有关的成本，包括计入营业成本的工资、福利、补贴、奖金等</t>
        </r>
      </text>
    </comment>
  </commentList>
</comments>
</file>

<file path=xl/comments4.xml><?xml version="1.0" encoding="utf-8"?>
<comments xmlns="http://schemas.openxmlformats.org/spreadsheetml/2006/main">
  <authors>
    <author>zhou</author>
  </authors>
  <commentList>
    <comment ref="F26" authorId="0">
      <text>
        <r>
          <rPr>
            <b/>
            <sz val="9"/>
            <color indexed="81"/>
            <rFont val="宋体"/>
            <family val="3"/>
            <charset val="134"/>
          </rPr>
          <t>zhou:</t>
        </r>
        <r>
          <rPr>
            <sz val="9"/>
            <color indexed="81"/>
            <rFont val="宋体"/>
            <family val="3"/>
            <charset val="134"/>
          </rPr>
          <t xml:space="preserve">
相关是采用占比预测的基础。</t>
        </r>
      </text>
    </comment>
    <comment ref="F57" authorId="0">
      <text>
        <r>
          <rPr>
            <b/>
            <sz val="9"/>
            <color indexed="81"/>
            <rFont val="宋体"/>
            <family val="3"/>
            <charset val="134"/>
          </rPr>
          <t>zhou:</t>
        </r>
        <r>
          <rPr>
            <sz val="9"/>
            <color indexed="81"/>
            <rFont val="宋体"/>
            <family val="3"/>
            <charset val="134"/>
          </rPr>
          <t xml:space="preserve">
相关是采用占比预测的基础。</t>
        </r>
      </text>
    </comment>
  </commentList>
</comments>
</file>

<file path=xl/comments5.xml><?xml version="1.0" encoding="utf-8"?>
<comments xmlns="http://schemas.openxmlformats.org/spreadsheetml/2006/main">
  <authors>
    <author>zhou</author>
    <author>周鹰飞</author>
  </authors>
  <commentList>
    <comment ref="L12" authorId="0">
      <text>
        <r>
          <rPr>
            <b/>
            <sz val="9"/>
            <color indexed="81"/>
            <rFont val="宋体"/>
            <family val="3"/>
            <charset val="134"/>
          </rPr>
          <t>zhou:</t>
        </r>
        <r>
          <rPr>
            <sz val="9"/>
            <color indexed="81"/>
            <rFont val="宋体"/>
            <family val="3"/>
            <charset val="134"/>
          </rPr>
          <t xml:space="preserve">
采用综合折旧年限</t>
        </r>
      </text>
    </comment>
    <comment ref="B13" authorId="0">
      <text>
        <r>
          <rPr>
            <b/>
            <sz val="9"/>
            <color indexed="81"/>
            <rFont val="宋体"/>
            <family val="3"/>
            <charset val="134"/>
          </rPr>
          <t>zhou:</t>
        </r>
        <r>
          <rPr>
            <sz val="9"/>
            <color indexed="81"/>
            <rFont val="宋体"/>
            <family val="3"/>
            <charset val="134"/>
          </rPr>
          <t xml:space="preserve">
在建工程、其他科目中属于房屋建（构）筑物相关支出</t>
        </r>
      </text>
    </comment>
    <comment ref="L13" authorId="1">
      <text>
        <r>
          <rPr>
            <b/>
            <sz val="9"/>
            <color indexed="81"/>
            <rFont val="宋体"/>
            <family val="3"/>
            <charset val="134"/>
          </rPr>
          <t>周鹰飞:</t>
        </r>
        <r>
          <rPr>
            <sz val="9"/>
            <color indexed="81"/>
            <rFont val="宋体"/>
            <family val="3"/>
            <charset val="134"/>
          </rPr>
          <t xml:space="preserve">
以年限填列，综合的平均年限大于预测期，则不必考虑退出资产的减少额，这种计算才正确。</t>
        </r>
        <r>
          <rPr>
            <sz val="9"/>
            <color indexed="10"/>
            <rFont val="宋体"/>
            <family val="3"/>
            <charset val="134"/>
          </rPr>
          <t>否则不可用。</t>
        </r>
      </text>
    </comment>
    <comment ref="B15" authorId="0">
      <text>
        <r>
          <rPr>
            <b/>
            <sz val="9"/>
            <color indexed="81"/>
            <rFont val="宋体"/>
            <family val="3"/>
            <charset val="134"/>
          </rPr>
          <t>zhou:</t>
        </r>
        <r>
          <rPr>
            <sz val="9"/>
            <color indexed="81"/>
            <rFont val="宋体"/>
            <family val="3"/>
            <charset val="134"/>
          </rPr>
          <t xml:space="preserve">
在建工程、其他科目中属于设备类账面值</t>
        </r>
      </text>
    </comment>
    <comment ref="C21" authorId="0">
      <text>
        <r>
          <rPr>
            <b/>
            <sz val="9"/>
            <color indexed="81"/>
            <rFont val="宋体"/>
            <family val="3"/>
            <charset val="134"/>
          </rPr>
          <t>zhou:</t>
        </r>
        <r>
          <rPr>
            <sz val="9"/>
            <color indexed="81"/>
            <rFont val="宋体"/>
            <family val="3"/>
            <charset val="134"/>
          </rPr>
          <t xml:space="preserve">
采用综合折旧率</t>
        </r>
      </text>
    </comment>
    <comment ref="L21" authorId="0">
      <text>
        <r>
          <rPr>
            <b/>
            <sz val="9"/>
            <color indexed="81"/>
            <rFont val="宋体"/>
            <family val="3"/>
            <charset val="134"/>
          </rPr>
          <t>zhou:</t>
        </r>
        <r>
          <rPr>
            <sz val="9"/>
            <color indexed="81"/>
            <rFont val="宋体"/>
            <family val="3"/>
            <charset val="134"/>
          </rPr>
          <t xml:space="preserve">
采用综合折旧年限</t>
        </r>
      </text>
    </comment>
    <comment ref="C25" authorId="1">
      <text>
        <r>
          <rPr>
            <b/>
            <sz val="9"/>
            <color indexed="81"/>
            <rFont val="宋体"/>
            <family val="3"/>
            <charset val="134"/>
          </rPr>
          <t>周鹰飞:</t>
        </r>
        <r>
          <rPr>
            <sz val="9"/>
            <color indexed="81"/>
            <rFont val="宋体"/>
            <family val="3"/>
            <charset val="134"/>
          </rPr>
          <t xml:space="preserve">
综合折旧率，以百分比形式填列。</t>
        </r>
      </text>
    </comment>
    <comment ref="L27" authorId="1">
      <text>
        <r>
          <rPr>
            <b/>
            <sz val="9"/>
            <color indexed="81"/>
            <rFont val="宋体"/>
            <family val="3"/>
            <charset val="134"/>
          </rPr>
          <t>周鹰飞:</t>
        </r>
        <r>
          <rPr>
            <sz val="9"/>
            <color indexed="81"/>
            <rFont val="宋体"/>
            <family val="3"/>
            <charset val="134"/>
          </rPr>
          <t xml:space="preserve">
以年限填列，综合的平均年限大于预测期，则不必考虑退出资产的减少额，这种计算才正确。</t>
        </r>
        <r>
          <rPr>
            <sz val="9"/>
            <color indexed="10"/>
            <rFont val="宋体"/>
            <family val="3"/>
            <charset val="134"/>
          </rPr>
          <t>否则不可用。</t>
        </r>
      </text>
    </comment>
    <comment ref="C32" authorId="0">
      <text>
        <r>
          <rPr>
            <b/>
            <sz val="9"/>
            <color indexed="81"/>
            <rFont val="宋体"/>
            <family val="3"/>
            <charset val="134"/>
          </rPr>
          <t>zhou:</t>
        </r>
        <r>
          <rPr>
            <sz val="9"/>
            <color indexed="81"/>
            <rFont val="宋体"/>
            <family val="3"/>
            <charset val="134"/>
          </rPr>
          <t xml:space="preserve">
采用综合折旧率,</t>
        </r>
        <r>
          <rPr>
            <sz val="9"/>
            <color indexed="10"/>
            <rFont val="宋体"/>
            <family val="3"/>
            <charset val="134"/>
          </rPr>
          <t>年化</t>
        </r>
      </text>
    </comment>
    <comment ref="L32" authorId="0">
      <text>
        <r>
          <rPr>
            <b/>
            <sz val="9"/>
            <color indexed="81"/>
            <rFont val="宋体"/>
            <family val="3"/>
            <charset val="134"/>
          </rPr>
          <t>zhou:</t>
        </r>
        <r>
          <rPr>
            <sz val="9"/>
            <color indexed="81"/>
            <rFont val="宋体"/>
            <family val="3"/>
            <charset val="134"/>
          </rPr>
          <t xml:space="preserve">
采用综合折旧年限</t>
        </r>
      </text>
    </comment>
    <comment ref="C36" authorId="1">
      <text>
        <r>
          <rPr>
            <b/>
            <sz val="9"/>
            <color indexed="81"/>
            <rFont val="宋体"/>
            <family val="3"/>
            <charset val="134"/>
          </rPr>
          <t>周鹰飞:</t>
        </r>
        <r>
          <rPr>
            <sz val="9"/>
            <color indexed="81"/>
            <rFont val="宋体"/>
            <family val="3"/>
            <charset val="134"/>
          </rPr>
          <t xml:space="preserve">
综合折旧率(年化)，以百分比形式填列。</t>
        </r>
      </text>
    </comment>
    <comment ref="B44" authorId="1">
      <text>
        <r>
          <rPr>
            <b/>
            <sz val="9"/>
            <color indexed="81"/>
            <rFont val="宋体"/>
            <family val="3"/>
            <charset val="134"/>
          </rPr>
          <t>周鹰飞:</t>
        </r>
        <r>
          <rPr>
            <sz val="9"/>
            <color indexed="81"/>
            <rFont val="宋体"/>
            <family val="3"/>
            <charset val="134"/>
          </rPr>
          <t xml:space="preserve">
维护性投入的金额=减少资产退出的折旧金额，因此，不影响净值。</t>
        </r>
      </text>
    </comment>
    <comment ref="G50" authorId="1">
      <text>
        <r>
          <rPr>
            <b/>
            <sz val="9"/>
            <color indexed="81"/>
            <rFont val="宋体"/>
            <family val="3"/>
            <charset val="134"/>
          </rPr>
          <t>周鹰飞:</t>
        </r>
        <r>
          <rPr>
            <sz val="9"/>
            <color indexed="81"/>
            <rFont val="宋体"/>
            <family val="3"/>
            <charset val="134"/>
          </rPr>
          <t xml:space="preserve">
折旧可根据企业预期投出时间调整</t>
        </r>
      </text>
    </comment>
    <comment ref="H51" authorId="1">
      <text>
        <r>
          <rPr>
            <b/>
            <sz val="9"/>
            <color indexed="81"/>
            <rFont val="宋体"/>
            <family val="3"/>
            <charset val="134"/>
          </rPr>
          <t>周鹰飞:</t>
        </r>
        <r>
          <rPr>
            <sz val="9"/>
            <color indexed="81"/>
            <rFont val="宋体"/>
            <family val="3"/>
            <charset val="134"/>
          </rPr>
          <t xml:space="preserve">
折旧可根据企业预期投出时间调整</t>
        </r>
      </text>
    </comment>
    <comment ref="I52" authorId="1">
      <text>
        <r>
          <rPr>
            <b/>
            <sz val="9"/>
            <color indexed="81"/>
            <rFont val="宋体"/>
            <family val="3"/>
            <charset val="134"/>
          </rPr>
          <t>周鹰飞:</t>
        </r>
        <r>
          <rPr>
            <sz val="9"/>
            <color indexed="81"/>
            <rFont val="宋体"/>
            <family val="3"/>
            <charset val="134"/>
          </rPr>
          <t xml:space="preserve">
折旧可根据企业预期投出时间调整</t>
        </r>
      </text>
    </comment>
    <comment ref="J53" authorId="1">
      <text>
        <r>
          <rPr>
            <b/>
            <sz val="9"/>
            <color indexed="81"/>
            <rFont val="宋体"/>
            <family val="3"/>
            <charset val="134"/>
          </rPr>
          <t>周鹰飞:</t>
        </r>
        <r>
          <rPr>
            <sz val="9"/>
            <color indexed="81"/>
            <rFont val="宋体"/>
            <family val="3"/>
            <charset val="134"/>
          </rPr>
          <t xml:space="preserve">
折旧可根据企业预期投出时间调整</t>
        </r>
      </text>
    </comment>
    <comment ref="K54" authorId="1">
      <text>
        <r>
          <rPr>
            <b/>
            <sz val="9"/>
            <color indexed="81"/>
            <rFont val="宋体"/>
            <family val="3"/>
            <charset val="134"/>
          </rPr>
          <t>周鹰飞:</t>
        </r>
        <r>
          <rPr>
            <sz val="9"/>
            <color indexed="81"/>
            <rFont val="宋体"/>
            <family val="3"/>
            <charset val="134"/>
          </rPr>
          <t xml:space="preserve">
折旧可根据企业预期投出时间调整</t>
        </r>
      </text>
    </comment>
    <comment ref="G59" authorId="1">
      <text>
        <r>
          <rPr>
            <b/>
            <sz val="9"/>
            <color indexed="81"/>
            <rFont val="宋体"/>
            <family val="3"/>
            <charset val="134"/>
          </rPr>
          <t>周鹰飞:</t>
        </r>
        <r>
          <rPr>
            <sz val="9"/>
            <color indexed="81"/>
            <rFont val="宋体"/>
            <family val="3"/>
            <charset val="134"/>
          </rPr>
          <t xml:space="preserve">
折旧可根据企业预期投出时间调整</t>
        </r>
      </text>
    </comment>
    <comment ref="H60" authorId="1">
      <text>
        <r>
          <rPr>
            <b/>
            <sz val="9"/>
            <color indexed="81"/>
            <rFont val="宋体"/>
            <family val="3"/>
            <charset val="134"/>
          </rPr>
          <t>周鹰飞:</t>
        </r>
        <r>
          <rPr>
            <sz val="9"/>
            <color indexed="81"/>
            <rFont val="宋体"/>
            <family val="3"/>
            <charset val="134"/>
          </rPr>
          <t xml:space="preserve">
折旧可根据企业预期投出时间调整</t>
        </r>
      </text>
    </comment>
    <comment ref="I61" authorId="1">
      <text>
        <r>
          <rPr>
            <b/>
            <sz val="9"/>
            <color indexed="81"/>
            <rFont val="宋体"/>
            <family val="3"/>
            <charset val="134"/>
          </rPr>
          <t>周鹰飞:</t>
        </r>
        <r>
          <rPr>
            <sz val="9"/>
            <color indexed="81"/>
            <rFont val="宋体"/>
            <family val="3"/>
            <charset val="134"/>
          </rPr>
          <t xml:space="preserve">
折旧可根据企业预期投出时间调整</t>
        </r>
      </text>
    </comment>
    <comment ref="J62" authorId="1">
      <text>
        <r>
          <rPr>
            <b/>
            <sz val="9"/>
            <color indexed="81"/>
            <rFont val="宋体"/>
            <family val="3"/>
            <charset val="134"/>
          </rPr>
          <t>周鹰飞:</t>
        </r>
        <r>
          <rPr>
            <sz val="9"/>
            <color indexed="81"/>
            <rFont val="宋体"/>
            <family val="3"/>
            <charset val="134"/>
          </rPr>
          <t xml:space="preserve">
折旧可根据企业预期投出时间调整</t>
        </r>
      </text>
    </comment>
    <comment ref="K63" authorId="1">
      <text>
        <r>
          <rPr>
            <b/>
            <sz val="9"/>
            <color indexed="81"/>
            <rFont val="宋体"/>
            <family val="3"/>
            <charset val="134"/>
          </rPr>
          <t>周鹰飞:</t>
        </r>
        <r>
          <rPr>
            <sz val="9"/>
            <color indexed="81"/>
            <rFont val="宋体"/>
            <family val="3"/>
            <charset val="134"/>
          </rPr>
          <t xml:space="preserve">
折旧可根据企业预期投出时间调整</t>
        </r>
      </text>
    </comment>
    <comment ref="G68" authorId="1">
      <text>
        <r>
          <rPr>
            <b/>
            <sz val="9"/>
            <color indexed="81"/>
            <rFont val="宋体"/>
            <family val="3"/>
            <charset val="134"/>
          </rPr>
          <t>周鹰飞:</t>
        </r>
        <r>
          <rPr>
            <sz val="9"/>
            <color indexed="81"/>
            <rFont val="宋体"/>
            <family val="3"/>
            <charset val="134"/>
          </rPr>
          <t xml:space="preserve">
折旧可根据企业预期投出时间调整</t>
        </r>
      </text>
    </comment>
    <comment ref="H69" authorId="1">
      <text>
        <r>
          <rPr>
            <b/>
            <sz val="9"/>
            <color indexed="81"/>
            <rFont val="宋体"/>
            <family val="3"/>
            <charset val="134"/>
          </rPr>
          <t>周鹰飞:</t>
        </r>
        <r>
          <rPr>
            <sz val="9"/>
            <color indexed="81"/>
            <rFont val="宋体"/>
            <family val="3"/>
            <charset val="134"/>
          </rPr>
          <t xml:space="preserve">
折旧可根据企业预期投出时间调整</t>
        </r>
      </text>
    </comment>
    <comment ref="I70" authorId="1">
      <text>
        <r>
          <rPr>
            <b/>
            <sz val="9"/>
            <color indexed="81"/>
            <rFont val="宋体"/>
            <family val="3"/>
            <charset val="134"/>
          </rPr>
          <t>周鹰飞:</t>
        </r>
        <r>
          <rPr>
            <sz val="9"/>
            <color indexed="81"/>
            <rFont val="宋体"/>
            <family val="3"/>
            <charset val="134"/>
          </rPr>
          <t xml:space="preserve">
折旧可根据企业预期投出时间调整</t>
        </r>
      </text>
    </comment>
    <comment ref="J71" authorId="1">
      <text>
        <r>
          <rPr>
            <b/>
            <sz val="9"/>
            <color indexed="81"/>
            <rFont val="宋体"/>
            <family val="3"/>
            <charset val="134"/>
          </rPr>
          <t>周鹰飞:</t>
        </r>
        <r>
          <rPr>
            <sz val="9"/>
            <color indexed="81"/>
            <rFont val="宋体"/>
            <family val="3"/>
            <charset val="134"/>
          </rPr>
          <t xml:space="preserve">
折旧可根据企业预期投出时间调整</t>
        </r>
      </text>
    </comment>
    <comment ref="K72" authorId="1">
      <text>
        <r>
          <rPr>
            <b/>
            <sz val="9"/>
            <color indexed="81"/>
            <rFont val="宋体"/>
            <family val="3"/>
            <charset val="134"/>
          </rPr>
          <t>周鹰飞:</t>
        </r>
        <r>
          <rPr>
            <sz val="9"/>
            <color indexed="81"/>
            <rFont val="宋体"/>
            <family val="3"/>
            <charset val="134"/>
          </rPr>
          <t xml:space="preserve">
折旧可根据企业预期投出时间调整</t>
        </r>
      </text>
    </comment>
  </commentList>
</comments>
</file>

<file path=xl/comments6.xml><?xml version="1.0" encoding="utf-8"?>
<comments xmlns="http://schemas.openxmlformats.org/spreadsheetml/2006/main">
  <authors>
    <author>zhou</author>
    <author>周鹰飞</author>
  </authors>
  <commentList>
    <comment ref="B13" authorId="0">
      <text>
        <r>
          <rPr>
            <b/>
            <sz val="9"/>
            <color indexed="81"/>
            <rFont val="宋体"/>
            <family val="3"/>
            <charset val="134"/>
          </rPr>
          <t>zhou:</t>
        </r>
        <r>
          <rPr>
            <sz val="9"/>
            <color indexed="81"/>
            <rFont val="宋体"/>
            <family val="3"/>
            <charset val="134"/>
          </rPr>
          <t xml:space="preserve">
在建工程、其他科目中属于土地使用权的账面值</t>
        </r>
      </text>
    </comment>
    <comment ref="B15" authorId="0">
      <text>
        <r>
          <rPr>
            <b/>
            <sz val="9"/>
            <color indexed="81"/>
            <rFont val="宋体"/>
            <family val="3"/>
            <charset val="134"/>
          </rPr>
          <t>zhou:</t>
        </r>
        <r>
          <rPr>
            <sz val="9"/>
            <color indexed="81"/>
            <rFont val="宋体"/>
            <family val="3"/>
            <charset val="134"/>
          </rPr>
          <t xml:space="preserve">
开发支出、其他科目中属于无形资产的账面值</t>
        </r>
      </text>
    </comment>
    <comment ref="C24" authorId="1">
      <text>
        <r>
          <rPr>
            <b/>
            <sz val="9"/>
            <color indexed="81"/>
            <rFont val="宋体"/>
            <family val="3"/>
            <charset val="134"/>
          </rPr>
          <t>周鹰飞:</t>
        </r>
        <r>
          <rPr>
            <sz val="9"/>
            <color indexed="81"/>
            <rFont val="宋体"/>
            <family val="3"/>
            <charset val="134"/>
          </rPr>
          <t xml:space="preserve">
新增土地使用年限</t>
        </r>
      </text>
    </comment>
    <comment ref="E38" authorId="0">
      <text>
        <r>
          <rPr>
            <b/>
            <sz val="9"/>
            <color indexed="81"/>
            <rFont val="宋体"/>
            <family val="3"/>
            <charset val="134"/>
          </rPr>
          <t>zhou:</t>
        </r>
        <r>
          <rPr>
            <sz val="9"/>
            <color indexed="81"/>
            <rFont val="宋体"/>
            <family val="3"/>
            <charset val="134"/>
          </rPr>
          <t xml:space="preserve">
折旧可根据企业预期投出时间调整</t>
        </r>
      </text>
    </comment>
    <comment ref="G39" authorId="1">
      <text>
        <r>
          <rPr>
            <b/>
            <sz val="9"/>
            <color indexed="81"/>
            <rFont val="宋体"/>
            <family val="3"/>
            <charset val="134"/>
          </rPr>
          <t>周鹰飞:</t>
        </r>
        <r>
          <rPr>
            <sz val="9"/>
            <color indexed="81"/>
            <rFont val="宋体"/>
            <family val="3"/>
            <charset val="134"/>
          </rPr>
          <t xml:space="preserve">
折旧可根据企业预期投出时间调整</t>
        </r>
      </text>
    </comment>
    <comment ref="H40" authorId="1">
      <text>
        <r>
          <rPr>
            <b/>
            <sz val="9"/>
            <color indexed="81"/>
            <rFont val="宋体"/>
            <family val="3"/>
            <charset val="134"/>
          </rPr>
          <t>周鹰飞:</t>
        </r>
        <r>
          <rPr>
            <sz val="9"/>
            <color indexed="81"/>
            <rFont val="宋体"/>
            <family val="3"/>
            <charset val="134"/>
          </rPr>
          <t xml:space="preserve">
折旧可根据企业预期投出时间调整</t>
        </r>
      </text>
    </comment>
    <comment ref="I41" authorId="1">
      <text>
        <r>
          <rPr>
            <b/>
            <sz val="9"/>
            <color indexed="81"/>
            <rFont val="宋体"/>
            <family val="3"/>
            <charset val="134"/>
          </rPr>
          <t>周鹰飞:</t>
        </r>
        <r>
          <rPr>
            <sz val="9"/>
            <color indexed="81"/>
            <rFont val="宋体"/>
            <family val="3"/>
            <charset val="134"/>
          </rPr>
          <t xml:space="preserve">
折旧可根据企业预期投出时间调整</t>
        </r>
      </text>
    </comment>
    <comment ref="J42" authorId="1">
      <text>
        <r>
          <rPr>
            <b/>
            <sz val="9"/>
            <color indexed="81"/>
            <rFont val="宋体"/>
            <family val="3"/>
            <charset val="134"/>
          </rPr>
          <t>周鹰飞:</t>
        </r>
        <r>
          <rPr>
            <sz val="9"/>
            <color indexed="81"/>
            <rFont val="宋体"/>
            <family val="3"/>
            <charset val="134"/>
          </rPr>
          <t xml:space="preserve">
折旧可根据企业预期投出时间调整</t>
        </r>
      </text>
    </comment>
    <comment ref="K43" authorId="1">
      <text>
        <r>
          <rPr>
            <b/>
            <sz val="9"/>
            <color indexed="81"/>
            <rFont val="宋体"/>
            <family val="3"/>
            <charset val="134"/>
          </rPr>
          <t>周鹰飞:</t>
        </r>
        <r>
          <rPr>
            <sz val="9"/>
            <color indexed="81"/>
            <rFont val="宋体"/>
            <family val="3"/>
            <charset val="134"/>
          </rPr>
          <t xml:space="preserve">
折旧可根据企业预期投出时间调整</t>
        </r>
      </text>
    </comment>
  </commentList>
</comments>
</file>

<file path=xl/comments7.xml><?xml version="1.0" encoding="utf-8"?>
<comments xmlns="http://schemas.openxmlformats.org/spreadsheetml/2006/main">
  <authors>
    <author>周鹰飞</author>
  </authors>
  <commentList>
    <comment ref="E15" authorId="0">
      <text>
        <r>
          <rPr>
            <b/>
            <sz val="9"/>
            <color indexed="81"/>
            <rFont val="宋体"/>
            <family val="3"/>
            <charset val="134"/>
          </rPr>
          <t>周鹰飞:</t>
        </r>
        <r>
          <rPr>
            <sz val="9"/>
            <color indexed="81"/>
            <rFont val="宋体"/>
            <family val="3"/>
            <charset val="134"/>
          </rPr>
          <t xml:space="preserve">
非整年</t>
        </r>
      </text>
    </comment>
  </commentList>
</comments>
</file>

<file path=xl/comments8.xml><?xml version="1.0" encoding="utf-8"?>
<comments xmlns="http://schemas.openxmlformats.org/spreadsheetml/2006/main">
  <authors>
    <author>zhou</author>
    <author>周鹰飞</author>
  </authors>
  <commentList>
    <comment ref="E4" authorId="0">
      <text>
        <r>
          <rPr>
            <b/>
            <sz val="9"/>
            <color indexed="81"/>
            <rFont val="宋体"/>
            <family val="3"/>
            <charset val="134"/>
          </rPr>
          <t>zhou:</t>
        </r>
        <r>
          <rPr>
            <sz val="9"/>
            <color indexed="81"/>
            <rFont val="宋体"/>
            <family val="3"/>
            <charset val="134"/>
          </rPr>
          <t xml:space="preserve">
指标数据年化处理</t>
        </r>
      </text>
    </comment>
    <comment ref="B6" authorId="1">
      <text>
        <r>
          <rPr>
            <b/>
            <sz val="9"/>
            <color indexed="81"/>
            <rFont val="宋体"/>
            <family val="3"/>
            <charset val="134"/>
          </rPr>
          <t>周鹰飞:</t>
        </r>
        <r>
          <rPr>
            <sz val="9"/>
            <color indexed="81"/>
            <rFont val="宋体"/>
            <family val="3"/>
            <charset val="134"/>
          </rPr>
          <t xml:space="preserve">
分析公司的赊销政策确定</t>
        </r>
      </text>
    </comment>
    <comment ref="B10" authorId="1">
      <text>
        <r>
          <rPr>
            <b/>
            <sz val="9"/>
            <color indexed="81"/>
            <rFont val="宋体"/>
            <family val="3"/>
            <charset val="134"/>
          </rPr>
          <t>周鹰飞:</t>
        </r>
        <r>
          <rPr>
            <sz val="9"/>
            <color indexed="81"/>
            <rFont val="宋体"/>
            <family val="3"/>
            <charset val="134"/>
          </rPr>
          <t xml:space="preserve">
与成本挂钩</t>
        </r>
      </text>
    </comment>
    <comment ref="B16" authorId="1">
      <text>
        <r>
          <rPr>
            <b/>
            <sz val="9"/>
            <color indexed="81"/>
            <rFont val="宋体"/>
            <family val="3"/>
            <charset val="134"/>
          </rPr>
          <t>周鹰飞:</t>
        </r>
        <r>
          <rPr>
            <sz val="9"/>
            <color indexed="81"/>
            <rFont val="宋体"/>
            <family val="3"/>
            <charset val="134"/>
          </rPr>
          <t xml:space="preserve">
与成本挂钩</t>
        </r>
      </text>
    </comment>
    <comment ref="B27" authorId="1">
      <text>
        <r>
          <rPr>
            <b/>
            <sz val="9"/>
            <color indexed="81"/>
            <rFont val="宋体"/>
            <family val="3"/>
            <charset val="134"/>
          </rPr>
          <t>周鹰飞:</t>
        </r>
        <r>
          <rPr>
            <sz val="9"/>
            <color indexed="81"/>
            <rFont val="宋体"/>
            <family val="3"/>
            <charset val="134"/>
          </rPr>
          <t xml:space="preserve">
与收入挂钩</t>
        </r>
      </text>
    </comment>
  </commentList>
</comments>
</file>

<file path=xl/comments9.xml><?xml version="1.0" encoding="utf-8"?>
<comments xmlns="http://schemas.openxmlformats.org/spreadsheetml/2006/main">
  <authors>
    <author>周鹰飞</author>
  </authors>
  <commentList>
    <comment ref="F19" authorId="0">
      <text>
        <r>
          <rPr>
            <b/>
            <sz val="9"/>
            <color indexed="81"/>
            <rFont val="宋体"/>
            <family val="3"/>
            <charset val="134"/>
          </rPr>
          <t>周鹰飞:</t>
        </r>
        <r>
          <rPr>
            <sz val="9"/>
            <color indexed="81"/>
            <rFont val="宋体"/>
            <family val="3"/>
            <charset val="134"/>
          </rPr>
          <t xml:space="preserve">
法定税率或
优惠期间的优惠税率</t>
        </r>
      </text>
    </comment>
  </commentList>
</comments>
</file>

<file path=xl/comments10.xml><?xml version="1.0" encoding="utf-8"?>
<comments xmlns="http://schemas.openxmlformats.org/spreadsheetml/2006/main">
  <authors>
    <author>周鹰飞</author>
    <author>zhou</author>
  </authors>
  <commentList>
    <comment ref="L4" authorId="0">
      <text>
        <r>
          <rPr>
            <b/>
            <sz val="9"/>
            <color indexed="81"/>
            <rFont val="宋体"/>
            <family val="3"/>
            <charset val="134"/>
          </rPr>
          <t>周鹰飞:</t>
        </r>
        <r>
          <rPr>
            <sz val="9"/>
            <color indexed="81"/>
            <rFont val="宋体"/>
            <family val="3"/>
            <charset val="134"/>
          </rPr>
          <t xml:space="preserve">
插入列在稳定期前进行</t>
        </r>
      </text>
    </comment>
    <comment ref="L18" authorId="0">
      <text>
        <r>
          <rPr>
            <b/>
            <sz val="9"/>
            <color indexed="81"/>
            <rFont val="宋体"/>
            <family val="3"/>
            <charset val="134"/>
          </rPr>
          <t>周鹰飞:</t>
        </r>
        <r>
          <rPr>
            <sz val="9"/>
            <color indexed="81"/>
            <rFont val="宋体"/>
            <family val="3"/>
            <charset val="134"/>
          </rPr>
          <t xml:space="preserve">
稳定期间增长率g一般取零。提取的折旧全部用于维护性资本支出，所以：折旧与摊销=资本性支出。</t>
        </r>
      </text>
    </comment>
    <comment ref="L19" authorId="0">
      <text>
        <r>
          <rPr>
            <b/>
            <sz val="9"/>
            <color indexed="81"/>
            <rFont val="宋体"/>
            <family val="3"/>
            <charset val="134"/>
          </rPr>
          <t>周鹰飞:</t>
        </r>
        <r>
          <rPr>
            <sz val="9"/>
            <color indexed="81"/>
            <rFont val="宋体"/>
            <family val="3"/>
            <charset val="134"/>
          </rPr>
          <t xml:space="preserve">
净营运资金变动为零</t>
        </r>
      </text>
    </comment>
    <comment ref="F44" authorId="1">
      <text>
        <r>
          <rPr>
            <b/>
            <sz val="9"/>
            <color indexed="81"/>
            <rFont val="宋体"/>
            <family val="3"/>
            <charset val="134"/>
          </rPr>
          <t>zhou:</t>
        </r>
        <r>
          <rPr>
            <sz val="9"/>
            <color indexed="81"/>
            <rFont val="宋体"/>
            <family val="3"/>
            <charset val="134"/>
          </rPr>
          <t xml:space="preserve">
选择性粘贴</t>
        </r>
      </text>
    </comment>
    <comment ref="G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 ref="I44" authorId="1">
      <text>
        <r>
          <rPr>
            <b/>
            <sz val="9"/>
            <color indexed="81"/>
            <rFont val="宋体"/>
            <family val="3"/>
            <charset val="134"/>
          </rPr>
          <t>zhou:</t>
        </r>
        <r>
          <rPr>
            <sz val="9"/>
            <color indexed="81"/>
            <rFont val="宋体"/>
            <family val="3"/>
            <charset val="134"/>
          </rPr>
          <t xml:space="preserve">
选择性粘贴</t>
        </r>
      </text>
    </comment>
    <comment ref="J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 ref="L44" authorId="1">
      <text>
        <r>
          <rPr>
            <b/>
            <sz val="9"/>
            <color indexed="81"/>
            <rFont val="宋体"/>
            <family val="3"/>
            <charset val="134"/>
          </rPr>
          <t>zhou:</t>
        </r>
        <r>
          <rPr>
            <sz val="9"/>
            <color indexed="81"/>
            <rFont val="宋体"/>
            <family val="3"/>
            <charset val="134"/>
          </rPr>
          <t xml:space="preserve">
选择性粘贴</t>
        </r>
      </text>
    </comment>
    <comment ref="M44" authorId="1">
      <text>
        <r>
          <rPr>
            <b/>
            <sz val="9"/>
            <color indexed="81"/>
            <rFont val="宋体"/>
            <family val="3"/>
            <charset val="134"/>
          </rPr>
          <t>zhou:</t>
        </r>
        <r>
          <rPr>
            <sz val="9"/>
            <color indexed="81"/>
            <rFont val="宋体"/>
            <family val="3"/>
            <charset val="134"/>
          </rPr>
          <t xml:space="preserve">
公式不要破坏！
送审前检查该单元格应为公式，</t>
        </r>
        <r>
          <rPr>
            <b/>
            <sz val="9"/>
            <color indexed="10"/>
            <rFont val="宋体"/>
            <family val="3"/>
            <charset val="134"/>
          </rPr>
          <t>不是数值！</t>
        </r>
      </text>
    </comment>
  </commentList>
</comments>
</file>

<file path=xl/comments11.xml><?xml version="1.0" encoding="utf-8"?>
<comments xmlns="http://schemas.openxmlformats.org/spreadsheetml/2006/main">
  <authors>
    <author>周鹰飞</author>
  </authors>
  <commentList>
    <comment ref="B11" authorId="0">
      <text>
        <r>
          <rPr>
            <b/>
            <sz val="9"/>
            <color indexed="81"/>
            <rFont val="宋体"/>
            <family val="3"/>
            <charset val="134"/>
          </rPr>
          <t>周鹰飞:</t>
        </r>
        <r>
          <rPr>
            <sz val="9"/>
            <color indexed="81"/>
            <rFont val="宋体"/>
            <family val="3"/>
            <charset val="134"/>
          </rPr>
          <t xml:space="preserve">
不考虑企业未来不断积累的溢余现金和保有现金收益。
</t>
        </r>
        <r>
          <rPr>
            <sz val="9"/>
            <color indexed="10"/>
            <rFont val="宋体"/>
            <family val="3"/>
            <charset val="134"/>
          </rPr>
          <t>这是采用FCFE必须处理的事项。</t>
        </r>
      </text>
    </comment>
    <comment ref="L16" authorId="0">
      <text>
        <r>
          <rPr>
            <b/>
            <sz val="9"/>
            <color indexed="81"/>
            <rFont val="宋体"/>
            <family val="3"/>
            <charset val="134"/>
          </rPr>
          <t>周鹰飞:</t>
        </r>
        <r>
          <rPr>
            <sz val="9"/>
            <color indexed="81"/>
            <rFont val="宋体"/>
            <family val="3"/>
            <charset val="134"/>
          </rPr>
          <t xml:space="preserve">
折旧与摊销=资本性支出</t>
        </r>
      </text>
    </comment>
    <comment ref="L18" authorId="0">
      <text>
        <r>
          <rPr>
            <b/>
            <sz val="9"/>
            <color indexed="81"/>
            <rFont val="宋体"/>
            <family val="3"/>
            <charset val="134"/>
          </rPr>
          <t>周鹰飞:</t>
        </r>
        <r>
          <rPr>
            <sz val="9"/>
            <color indexed="81"/>
            <rFont val="宋体"/>
            <family val="3"/>
            <charset val="134"/>
          </rPr>
          <t xml:space="preserve">
净营运资金变动为零</t>
        </r>
      </text>
    </comment>
    <comment ref="B23" authorId="0">
      <text>
        <r>
          <rPr>
            <b/>
            <sz val="9"/>
            <color indexed="81"/>
            <rFont val="宋体"/>
            <family val="3"/>
            <charset val="134"/>
          </rPr>
          <t>周鹰飞:</t>
        </r>
        <r>
          <rPr>
            <sz val="9"/>
            <color indexed="81"/>
            <rFont val="宋体"/>
            <family val="3"/>
            <charset val="134"/>
          </rPr>
          <t xml:space="preserve">
注意：当折现率发生变化时，要这样处理。</t>
        </r>
      </text>
    </comment>
    <comment ref="B25" authorId="0">
      <text>
        <r>
          <rPr>
            <b/>
            <sz val="9"/>
            <color indexed="81"/>
            <rFont val="宋体"/>
            <family val="3"/>
            <charset val="134"/>
          </rPr>
          <t>周鹰飞:</t>
        </r>
        <r>
          <rPr>
            <sz val="9"/>
            <color indexed="81"/>
            <rFont val="宋体"/>
            <family val="3"/>
            <charset val="134"/>
          </rPr>
          <t xml:space="preserve">
整年计算方式</t>
        </r>
      </text>
    </comment>
    <comment ref="B31" authorId="0">
      <text>
        <r>
          <rPr>
            <b/>
            <sz val="9"/>
            <color indexed="81"/>
            <rFont val="宋体"/>
            <family val="3"/>
            <charset val="134"/>
          </rPr>
          <t>周鹰飞:</t>
        </r>
        <r>
          <rPr>
            <sz val="9"/>
            <color indexed="81"/>
            <rFont val="宋体"/>
            <family val="3"/>
            <charset val="134"/>
          </rPr>
          <t xml:space="preserve">
βL＝βU×[1＋(1－T) ×(D/E)]</t>
        </r>
      </text>
    </comment>
    <comment ref="B33" authorId="0">
      <text>
        <r>
          <rPr>
            <b/>
            <sz val="9"/>
            <color indexed="81"/>
            <rFont val="宋体"/>
            <family val="3"/>
            <charset val="134"/>
          </rPr>
          <t>周鹰飞:</t>
        </r>
        <r>
          <rPr>
            <sz val="9"/>
            <color indexed="81"/>
            <rFont val="宋体"/>
            <family val="3"/>
            <charset val="134"/>
          </rPr>
          <t xml:space="preserve">
Ke＝rf＋βL×MRP＋Q</t>
        </r>
      </text>
    </comment>
  </commentList>
</comments>
</file>

<file path=xl/comments12.xml><?xml version="1.0" encoding="utf-8"?>
<comments xmlns="http://schemas.openxmlformats.org/spreadsheetml/2006/main">
  <authors>
    <author>周鹰飞</author>
    <author>zhou</author>
  </authors>
  <commentList>
    <comment ref="B12" authorId="0">
      <text>
        <r>
          <rPr>
            <b/>
            <sz val="9"/>
            <color indexed="81"/>
            <rFont val="宋体"/>
            <family val="3"/>
            <charset val="134"/>
          </rPr>
          <t>周鹰飞:</t>
        </r>
        <r>
          <rPr>
            <sz val="9"/>
            <color indexed="81"/>
            <rFont val="宋体"/>
            <family val="3"/>
            <charset val="134"/>
          </rPr>
          <t xml:space="preserve">
成熟企业，一般按利润的50%派发股息。</t>
        </r>
      </text>
    </comment>
    <comment ref="B26" authorId="0">
      <text>
        <r>
          <rPr>
            <b/>
            <sz val="9"/>
            <color indexed="81"/>
            <rFont val="宋体"/>
            <family val="3"/>
            <charset val="134"/>
          </rPr>
          <t>周鹰飞:</t>
        </r>
        <r>
          <rPr>
            <sz val="9"/>
            <color indexed="81"/>
            <rFont val="宋体"/>
            <family val="3"/>
            <charset val="134"/>
          </rPr>
          <t xml:space="preserve">
除利息外的其他财务费用预测。
未来预测只考虑手续费，不考虑汇兑损益。</t>
        </r>
      </text>
    </comment>
    <comment ref="B50" authorId="1">
      <text>
        <r>
          <rPr>
            <b/>
            <sz val="9"/>
            <color indexed="81"/>
            <rFont val="宋体"/>
            <family val="3"/>
            <charset val="134"/>
          </rPr>
          <t>zhou:</t>
        </r>
        <r>
          <rPr>
            <sz val="9"/>
            <color indexed="81"/>
            <rFont val="宋体"/>
            <family val="3"/>
            <charset val="134"/>
          </rPr>
          <t xml:space="preserve">
历史数据不包括溢余现金，预测数据中溢余现金在下年度以股利全部支付。</t>
        </r>
      </text>
    </comment>
    <comment ref="B54" authorId="0">
      <text>
        <r>
          <rPr>
            <b/>
            <sz val="9"/>
            <color indexed="81"/>
            <rFont val="宋体"/>
            <family val="3"/>
            <charset val="134"/>
          </rPr>
          <t>周鹰飞:</t>
        </r>
        <r>
          <rPr>
            <sz val="9"/>
            <color indexed="81"/>
            <rFont val="宋体"/>
            <family val="3"/>
            <charset val="134"/>
          </rPr>
          <t xml:space="preserve">
预测期假设转固</t>
        </r>
      </text>
    </comment>
    <comment ref="B58" authorId="0">
      <text>
        <r>
          <rPr>
            <b/>
            <sz val="9"/>
            <color indexed="81"/>
            <rFont val="宋体"/>
            <family val="3"/>
            <charset val="134"/>
          </rPr>
          <t>周鹰飞:</t>
        </r>
        <r>
          <rPr>
            <sz val="9"/>
            <color indexed="81"/>
            <rFont val="宋体"/>
            <family val="3"/>
            <charset val="134"/>
          </rPr>
          <t xml:space="preserve">
预测期假设资本化或费用化</t>
        </r>
      </text>
    </comment>
    <comment ref="B59" authorId="0">
      <text>
        <r>
          <rPr>
            <b/>
            <sz val="9"/>
            <color indexed="81"/>
            <rFont val="宋体"/>
            <family val="3"/>
            <charset val="134"/>
          </rPr>
          <t>周鹰飞:</t>
        </r>
        <r>
          <rPr>
            <sz val="9"/>
            <color indexed="81"/>
            <rFont val="宋体"/>
            <family val="3"/>
            <charset val="134"/>
          </rPr>
          <t xml:space="preserve">
预测期不考虑收购，则保持不变。</t>
        </r>
      </text>
    </comment>
    <comment ref="B93" authorId="1">
      <text>
        <r>
          <rPr>
            <b/>
            <sz val="9"/>
            <color indexed="81"/>
            <rFont val="宋体"/>
            <family val="3"/>
            <charset val="134"/>
          </rPr>
          <t>zhou:</t>
        </r>
        <r>
          <rPr>
            <sz val="9"/>
            <color indexed="81"/>
            <rFont val="宋体"/>
            <family val="3"/>
            <charset val="134"/>
          </rPr>
          <t xml:space="preserve">
历史数据扣除溢余现金</t>
        </r>
      </text>
    </comment>
    <comment ref="B112" authorId="0">
      <text>
        <r>
          <rPr>
            <b/>
            <sz val="9"/>
            <color indexed="81"/>
            <rFont val="宋体"/>
            <family val="3"/>
            <charset val="134"/>
          </rPr>
          <t>周鹰飞:</t>
        </r>
        <r>
          <rPr>
            <sz val="9"/>
            <color indexed="81"/>
            <rFont val="宋体"/>
            <family val="3"/>
            <charset val="134"/>
          </rPr>
          <t xml:space="preserve">
保持不变</t>
        </r>
      </text>
    </comment>
    <comment ref="E131" authorId="1">
      <text>
        <r>
          <rPr>
            <b/>
            <sz val="9"/>
            <color indexed="81"/>
            <rFont val="宋体"/>
            <family val="3"/>
            <charset val="134"/>
          </rPr>
          <t>zhou:</t>
        </r>
        <r>
          <rPr>
            <sz val="9"/>
            <color indexed="81"/>
            <rFont val="宋体"/>
            <family val="3"/>
            <charset val="134"/>
          </rPr>
          <t xml:space="preserve">
指标数据年化处理</t>
        </r>
      </text>
    </comment>
    <comment ref="C156" authorId="0">
      <text>
        <r>
          <rPr>
            <b/>
            <sz val="9"/>
            <color indexed="81"/>
            <rFont val="宋体"/>
            <family val="3"/>
            <charset val="134"/>
          </rPr>
          <t>周鹰飞:</t>
        </r>
        <r>
          <rPr>
            <sz val="9"/>
            <color indexed="81"/>
            <rFont val="宋体"/>
            <family val="3"/>
            <charset val="134"/>
          </rPr>
          <t xml:space="preserve">
基于年末</t>
        </r>
      </text>
    </comment>
    <comment ref="B159" authorId="0">
      <text>
        <r>
          <rPr>
            <b/>
            <sz val="9"/>
            <color indexed="81"/>
            <rFont val="宋体"/>
            <family val="3"/>
            <charset val="134"/>
          </rPr>
          <t>周鹰飞:</t>
        </r>
        <r>
          <rPr>
            <sz val="9"/>
            <color indexed="81"/>
            <rFont val="宋体"/>
            <family val="3"/>
            <charset val="134"/>
          </rPr>
          <t xml:space="preserve">
投入资本回报率（年初）=息前税后利润/年初投入资本</t>
        </r>
      </text>
    </comment>
    <comment ref="C159" authorId="0">
      <text>
        <r>
          <rPr>
            <b/>
            <sz val="9"/>
            <color indexed="81"/>
            <rFont val="宋体"/>
            <family val="3"/>
            <charset val="134"/>
          </rPr>
          <t>周鹰飞:</t>
        </r>
        <r>
          <rPr>
            <sz val="9"/>
            <color indexed="81"/>
            <rFont val="宋体"/>
            <family val="3"/>
            <charset val="134"/>
          </rPr>
          <t xml:space="preserve">
基于年末</t>
        </r>
      </text>
    </comment>
    <comment ref="B160" authorId="0">
      <text>
        <r>
          <rPr>
            <b/>
            <sz val="9"/>
            <color indexed="81"/>
            <rFont val="宋体"/>
            <family val="3"/>
            <charset val="134"/>
          </rPr>
          <t>周鹰飞:</t>
        </r>
        <r>
          <rPr>
            <sz val="9"/>
            <color indexed="81"/>
            <rFont val="宋体"/>
            <family val="3"/>
            <charset val="134"/>
          </rPr>
          <t xml:space="preserve">
投入资本回报率（平均）=息前税后利润/平均投入资本</t>
        </r>
      </text>
    </comment>
  </commentList>
</comments>
</file>

<file path=xl/sharedStrings.xml><?xml version="1.0" encoding="utf-8"?>
<sst xmlns="http://schemas.openxmlformats.org/spreadsheetml/2006/main" count="1158" uniqueCount="861">
  <si>
    <t>流动资产：</t>
  </si>
  <si>
    <t>货币资金</t>
  </si>
  <si>
    <t>应收利息</t>
  </si>
  <si>
    <t>应收股利</t>
  </si>
  <si>
    <t>存货</t>
  </si>
  <si>
    <t>一年内到期的非流动资产</t>
  </si>
  <si>
    <t>流动资产合计</t>
  </si>
  <si>
    <t>非流动资产：</t>
  </si>
  <si>
    <t>可供出售金融资产</t>
  </si>
  <si>
    <t>持有至到期投资</t>
  </si>
  <si>
    <t>长期应收款</t>
  </si>
  <si>
    <t>长期股权投资</t>
  </si>
  <si>
    <t>投资性房地产</t>
  </si>
  <si>
    <t>固定资产</t>
  </si>
  <si>
    <t>在建工程</t>
  </si>
  <si>
    <t>生产性生物资产</t>
  </si>
  <si>
    <t>油气资产</t>
  </si>
  <si>
    <t>无形资产</t>
  </si>
  <si>
    <t>开发支出</t>
  </si>
  <si>
    <t>商誉</t>
  </si>
  <si>
    <t>长期待摊费用</t>
  </si>
  <si>
    <t>递延所得税资产</t>
  </si>
  <si>
    <t>其他非流动资产</t>
  </si>
  <si>
    <t>非流动资产合计</t>
  </si>
  <si>
    <t>资产总计</t>
  </si>
  <si>
    <t>流动负债：</t>
  </si>
  <si>
    <t>短期借款</t>
  </si>
  <si>
    <t>交易性金融负债</t>
  </si>
  <si>
    <t>预收款项</t>
  </si>
  <si>
    <t>应付职工薪酬</t>
  </si>
  <si>
    <t>应交税费</t>
  </si>
  <si>
    <t>应付利息</t>
  </si>
  <si>
    <t>应付股利</t>
  </si>
  <si>
    <t>其他应付款</t>
  </si>
  <si>
    <t>一年内到期的非流动负债</t>
  </si>
  <si>
    <t>其他流动负债</t>
  </si>
  <si>
    <t>流动负债合计</t>
  </si>
  <si>
    <t>非流动负债：</t>
  </si>
  <si>
    <t>长期借款</t>
  </si>
  <si>
    <t>应付债券</t>
  </si>
  <si>
    <t>长期应付款</t>
  </si>
  <si>
    <t>预计负债</t>
  </si>
  <si>
    <t>递延所得税负债</t>
  </si>
  <si>
    <t>其他非流动负债</t>
  </si>
  <si>
    <t>非流动负债合计</t>
  </si>
  <si>
    <t>负债合计</t>
  </si>
  <si>
    <t>资本公积</t>
  </si>
  <si>
    <t>减：库存股</t>
  </si>
  <si>
    <t>盈余公积</t>
  </si>
  <si>
    <t>一般风险准备</t>
  </si>
  <si>
    <t>未分配利润</t>
  </si>
  <si>
    <t>检查核对</t>
    <phoneticPr fontId="6" type="noConversion"/>
  </si>
  <si>
    <t>单位：万元</t>
    <phoneticPr fontId="6" type="noConversion"/>
  </si>
  <si>
    <t>科目</t>
    <phoneticPr fontId="6" type="noConversion"/>
  </si>
  <si>
    <t>归属于母公司所有者权益合计</t>
  </si>
  <si>
    <t>少数股东权益</t>
  </si>
  <si>
    <t>所有者权益合计</t>
  </si>
  <si>
    <t>所有者权益：</t>
    <phoneticPr fontId="6" type="noConversion"/>
  </si>
  <si>
    <t>实收资本</t>
    <phoneticPr fontId="6" type="noConversion"/>
  </si>
  <si>
    <t>负债和所有者权益总计</t>
    <phoneticPr fontId="6" type="noConversion"/>
  </si>
  <si>
    <t>一、营业收入</t>
  </si>
  <si>
    <t>加：营业外收入</t>
  </si>
  <si>
    <t>减：营业外支出</t>
  </si>
  <si>
    <t>减：所得税费用</t>
  </si>
  <si>
    <t>项目</t>
    <phoneticPr fontId="6" type="noConversion"/>
  </si>
  <si>
    <t>营业收入</t>
    <phoneticPr fontId="6" type="noConversion"/>
  </si>
  <si>
    <t>预付款项</t>
    <phoneticPr fontId="6" type="noConversion"/>
  </si>
  <si>
    <t>其他应收款</t>
    <phoneticPr fontId="6" type="noConversion"/>
  </si>
  <si>
    <t>非经营性其他应收款</t>
    <phoneticPr fontId="6" type="noConversion"/>
  </si>
  <si>
    <t>折现率</t>
  </si>
  <si>
    <t>折现系数</t>
  </si>
  <si>
    <t>管理费用</t>
  </si>
  <si>
    <t>评估值</t>
    <phoneticPr fontId="6" type="noConversion"/>
  </si>
  <si>
    <t>备注</t>
    <phoneticPr fontId="6" type="noConversion"/>
  </si>
  <si>
    <t>未考虑</t>
    <phoneticPr fontId="6" type="noConversion"/>
  </si>
  <si>
    <t>交易性金融资产</t>
    <phoneticPr fontId="6" type="noConversion"/>
  </si>
  <si>
    <t>其他流动资产</t>
    <phoneticPr fontId="6" type="noConversion"/>
  </si>
  <si>
    <t>非经营性其他流动资产</t>
    <phoneticPr fontId="6" type="noConversion"/>
  </si>
  <si>
    <t>合计</t>
  </si>
  <si>
    <t>毛利率</t>
    <phoneticPr fontId="6" type="noConversion"/>
  </si>
  <si>
    <t>非经营性其他非流动资产</t>
    <phoneticPr fontId="6" type="noConversion"/>
  </si>
  <si>
    <t>应付股利</t>
    <phoneticPr fontId="6" type="noConversion"/>
  </si>
  <si>
    <t>其他综合收益</t>
  </si>
  <si>
    <t>差旅费</t>
  </si>
  <si>
    <t>无形资产摊销</t>
  </si>
  <si>
    <t>加：公允价值变动收益</t>
    <phoneticPr fontId="6" type="noConversion"/>
  </si>
  <si>
    <t>年度</t>
    <phoneticPr fontId="6" type="noConversion"/>
  </si>
  <si>
    <t>年度</t>
    <phoneticPr fontId="6" type="noConversion"/>
  </si>
  <si>
    <t>占收入比</t>
    <phoneticPr fontId="38" type="noConversion"/>
  </si>
  <si>
    <t>单位：万元</t>
    <phoneticPr fontId="6" type="noConversion"/>
  </si>
  <si>
    <t>营运资金</t>
    <phoneticPr fontId="6" type="noConversion"/>
  </si>
  <si>
    <t>营运资金增加额</t>
    <phoneticPr fontId="6" type="noConversion"/>
  </si>
  <si>
    <t>营业收入</t>
    <phoneticPr fontId="6" type="noConversion"/>
  </si>
  <si>
    <t>付息负债合计</t>
    <phoneticPr fontId="6" type="noConversion"/>
  </si>
  <si>
    <r>
      <t>减</t>
    </r>
    <r>
      <rPr>
        <sz val="10"/>
        <rFont val="Arial Narrow"/>
        <family val="2"/>
      </rPr>
      <t>:</t>
    </r>
    <r>
      <rPr>
        <sz val="10"/>
        <rFont val="宋体"/>
        <family val="3"/>
        <charset val="134"/>
      </rPr>
      <t>营业成本</t>
    </r>
    <phoneticPr fontId="6" type="noConversion"/>
  </si>
  <si>
    <t>减:少数股东损益</t>
    <phoneticPr fontId="6" type="noConversion"/>
  </si>
  <si>
    <t>占收入比</t>
  </si>
  <si>
    <t>非经营性资产合计</t>
    <phoneticPr fontId="6" type="noConversion"/>
  </si>
  <si>
    <t>非经营性负债合计</t>
    <phoneticPr fontId="6" type="noConversion"/>
  </si>
  <si>
    <t>扣除溢余现金的资产</t>
    <phoneticPr fontId="6" type="noConversion"/>
  </si>
  <si>
    <t>报表是否平衡？</t>
    <phoneticPr fontId="6" type="noConversion"/>
  </si>
  <si>
    <t>营业收入</t>
    <phoneticPr fontId="6" type="noConversion"/>
  </si>
  <si>
    <t>营运资金占收入比</t>
    <phoneticPr fontId="38" type="noConversion"/>
  </si>
  <si>
    <t>非经营性流动资产小计</t>
    <phoneticPr fontId="6" type="noConversion"/>
  </si>
  <si>
    <t>非经营性一年内到期的非流动资产</t>
    <phoneticPr fontId="6" type="noConversion"/>
  </si>
  <si>
    <t>非经营性固定资产</t>
    <phoneticPr fontId="6" type="noConversion"/>
  </si>
  <si>
    <t>非经营性在建工程</t>
    <phoneticPr fontId="6" type="noConversion"/>
  </si>
  <si>
    <t>非经营性生产性生物资产</t>
    <phoneticPr fontId="6" type="noConversion"/>
  </si>
  <si>
    <t>非经营性油气资产</t>
    <phoneticPr fontId="6" type="noConversion"/>
  </si>
  <si>
    <t>非经营性无形资产</t>
    <phoneticPr fontId="6" type="noConversion"/>
  </si>
  <si>
    <t>非经营性开发支出</t>
    <phoneticPr fontId="6" type="noConversion"/>
  </si>
  <si>
    <t>非经营性长期待摊费用</t>
    <phoneticPr fontId="6" type="noConversion"/>
  </si>
  <si>
    <t>非经营性其他流动负债</t>
    <phoneticPr fontId="6" type="noConversion"/>
  </si>
  <si>
    <t>非经营性长期应付款</t>
    <phoneticPr fontId="6" type="noConversion"/>
  </si>
  <si>
    <t>非经营性其他非流动负债</t>
    <phoneticPr fontId="6" type="noConversion"/>
  </si>
  <si>
    <t>一年内到期的非流动负债</t>
    <phoneticPr fontId="6" type="noConversion"/>
  </si>
  <si>
    <t>加：溢余资产评估值</t>
    <phoneticPr fontId="6" type="noConversion"/>
  </si>
  <si>
    <t>加：非经营性资产评估值</t>
    <phoneticPr fontId="6" type="noConversion"/>
  </si>
  <si>
    <t>减：非经营性负债评估值</t>
    <phoneticPr fontId="6" type="noConversion"/>
  </si>
  <si>
    <t>企业整体资产价值</t>
    <phoneticPr fontId="6" type="noConversion"/>
  </si>
  <si>
    <t>减：付息负债价值</t>
    <phoneticPr fontId="6" type="noConversion"/>
  </si>
  <si>
    <t>减：股票期权</t>
    <phoneticPr fontId="6" type="noConversion"/>
  </si>
  <si>
    <t>减：可转换债券</t>
    <phoneticPr fontId="6" type="noConversion"/>
  </si>
  <si>
    <t>减：少数股东权益</t>
    <phoneticPr fontId="6" type="noConversion"/>
  </si>
  <si>
    <t>股东全部权益价值</t>
    <phoneticPr fontId="6" type="noConversion"/>
  </si>
  <si>
    <t>股东全部权益价值（取整）</t>
    <phoneticPr fontId="6" type="noConversion"/>
  </si>
  <si>
    <t>控制权对评估对象价值的影响</t>
    <phoneticPr fontId="6" type="noConversion"/>
  </si>
  <si>
    <t>流动性对评估对象价值的影响</t>
    <phoneticPr fontId="6" type="noConversion"/>
  </si>
  <si>
    <t>本次评估股权比例</t>
    <phoneticPr fontId="6" type="noConversion"/>
  </si>
  <si>
    <t>部分股权评估值</t>
    <phoneticPr fontId="6" type="noConversion"/>
  </si>
  <si>
    <t>资产负债表</t>
    <phoneticPr fontId="6" type="noConversion"/>
  </si>
  <si>
    <t>利润表</t>
    <phoneticPr fontId="6" type="noConversion"/>
  </si>
  <si>
    <t>加：折旧与摊销</t>
    <phoneticPr fontId="6" type="noConversion"/>
  </si>
  <si>
    <t>减：资本性支出</t>
    <phoneticPr fontId="6" type="noConversion"/>
  </si>
  <si>
    <t>减：净营运资金变动</t>
    <phoneticPr fontId="6" type="noConversion"/>
  </si>
  <si>
    <t>评估实务中还应当对原材料的变化趋势作一说明，公司消化原材料价格变化的经营措施。</t>
    <phoneticPr fontId="6" type="noConversion"/>
  </si>
  <si>
    <t>员工人数是否会随着收入增长而增加，消化人工成本的措施。</t>
    <phoneticPr fontId="6" type="noConversion"/>
  </si>
  <si>
    <t>折现期</t>
    <phoneticPr fontId="6" type="noConversion"/>
  </si>
  <si>
    <t>项目</t>
    <phoneticPr fontId="6" type="noConversion"/>
  </si>
  <si>
    <t>项目</t>
    <phoneticPr fontId="6" type="noConversion"/>
  </si>
  <si>
    <t>管理费用中的折旧</t>
    <phoneticPr fontId="6" type="noConversion"/>
  </si>
  <si>
    <t>固定资产折旧额</t>
    <phoneticPr fontId="6" type="noConversion"/>
  </si>
  <si>
    <t>平均值</t>
    <phoneticPr fontId="6" type="noConversion"/>
  </si>
  <si>
    <t>管理费用分析</t>
    <phoneticPr fontId="6" type="noConversion"/>
  </si>
  <si>
    <t>营业收入增长率</t>
    <phoneticPr fontId="6" type="noConversion"/>
  </si>
  <si>
    <t>应收账款周转率（次）</t>
  </si>
  <si>
    <t>存货周转率（次）</t>
  </si>
  <si>
    <t>成长能力分析</t>
    <phoneticPr fontId="6" type="noConversion"/>
  </si>
  <si>
    <t>应用前提</t>
    <phoneticPr fontId="6" type="noConversion"/>
  </si>
  <si>
    <r>
      <t>2</t>
    </r>
    <r>
      <rPr>
        <sz val="11"/>
        <rFont val="宋体"/>
        <family val="3"/>
        <charset val="134"/>
      </rPr>
      <t>、未考虑预测期内被评估企业依靠收购所创造的收入增长。</t>
    </r>
    <phoneticPr fontId="6" type="noConversion"/>
  </si>
  <si>
    <r>
      <rPr>
        <sz val="11"/>
        <rFont val="宋体"/>
        <family val="3"/>
        <charset val="134"/>
      </rPr>
      <t>同一年的数据在不同表中均在同一列中，方便查找错误。</t>
    </r>
    <phoneticPr fontId="6" type="noConversion"/>
  </si>
  <si>
    <t>税率</t>
  </si>
  <si>
    <t>应交流转税项</t>
  </si>
  <si>
    <t>(1)-(2)</t>
    <phoneticPr fontId="6" type="noConversion"/>
  </si>
  <si>
    <t>应缴增值税</t>
    <phoneticPr fontId="6" type="noConversion"/>
  </si>
  <si>
    <t>应缴营业税</t>
    <phoneticPr fontId="6" type="noConversion"/>
  </si>
  <si>
    <t>应缴流转税合计</t>
    <phoneticPr fontId="6" type="noConversion"/>
  </si>
  <si>
    <t>(3)+(4)</t>
    <phoneticPr fontId="6" type="noConversion"/>
  </si>
  <si>
    <t>合计</t>
    <phoneticPr fontId="6" type="noConversion"/>
  </si>
  <si>
    <t>计税公式</t>
    <phoneticPr fontId="6" type="noConversion"/>
  </si>
  <si>
    <t>计税依据的主要内容</t>
    <phoneticPr fontId="6" type="noConversion"/>
  </si>
  <si>
    <t>城市维护建设税</t>
    <phoneticPr fontId="6" type="noConversion"/>
  </si>
  <si>
    <t>消费税</t>
    <phoneticPr fontId="6" type="noConversion"/>
  </si>
  <si>
    <t>资源税</t>
    <phoneticPr fontId="6" type="noConversion"/>
  </si>
  <si>
    <t>房产税</t>
    <phoneticPr fontId="6" type="noConversion"/>
  </si>
  <si>
    <t>土地使用税</t>
    <phoneticPr fontId="6" type="noConversion"/>
  </si>
  <si>
    <t>车船使用税</t>
    <phoneticPr fontId="6" type="noConversion"/>
  </si>
  <si>
    <t>印花税</t>
    <phoneticPr fontId="6" type="noConversion"/>
  </si>
  <si>
    <r>
      <rPr>
        <sz val="10"/>
        <rFont val="宋体"/>
        <family val="3"/>
        <charset val="134"/>
      </rPr>
      <t>减</t>
    </r>
    <r>
      <rPr>
        <sz val="10"/>
        <rFont val="Arial Narrow"/>
        <family val="2"/>
      </rPr>
      <t>:</t>
    </r>
    <r>
      <rPr>
        <sz val="10"/>
        <rFont val="宋体"/>
        <family val="3"/>
        <charset val="134"/>
      </rPr>
      <t>税金及附加</t>
    </r>
    <phoneticPr fontId="6" type="noConversion"/>
  </si>
  <si>
    <t>税金及附加</t>
    <phoneticPr fontId="6" type="noConversion"/>
  </si>
  <si>
    <t>按科目进行分析</t>
    <phoneticPr fontId="6" type="noConversion"/>
  </si>
  <si>
    <t>综合毛利率</t>
    <phoneticPr fontId="6" type="noConversion"/>
  </si>
  <si>
    <t>注意资本性支出中设备的增值税要加上</t>
    <phoneticPr fontId="6" type="noConversion"/>
  </si>
  <si>
    <t>特殊行业要具实考虑</t>
    <phoneticPr fontId="6" type="noConversion"/>
  </si>
  <si>
    <t>表中数字</t>
    <phoneticPr fontId="6" type="noConversion"/>
  </si>
  <si>
    <t>二、营业利润</t>
    <phoneticPr fontId="6" type="noConversion"/>
  </si>
  <si>
    <t>三、利润总额</t>
    <phoneticPr fontId="6" type="noConversion"/>
  </si>
  <si>
    <r>
      <rPr>
        <sz val="10"/>
        <rFont val="宋体"/>
        <family val="3"/>
        <charset val="134"/>
      </rPr>
      <t>税金及附加</t>
    </r>
    <r>
      <rPr>
        <sz val="10"/>
        <rFont val="Arial Narrow"/>
        <family val="2"/>
      </rPr>
      <t>/</t>
    </r>
    <r>
      <rPr>
        <sz val="10"/>
        <rFont val="宋体"/>
        <family val="3"/>
        <charset val="134"/>
      </rPr>
      <t>收入</t>
    </r>
    <phoneticPr fontId="6" type="noConversion"/>
  </si>
  <si>
    <r>
      <rPr>
        <b/>
        <sz val="12"/>
        <rFont val="宋体"/>
        <family val="3"/>
        <charset val="134"/>
      </rPr>
      <t>索引号：</t>
    </r>
    <r>
      <rPr>
        <b/>
        <sz val="12"/>
        <rFont val="Arial Narrow"/>
        <family val="2"/>
      </rPr>
      <t>SY1</t>
    </r>
    <phoneticPr fontId="38" type="noConversion"/>
  </si>
  <si>
    <r>
      <rPr>
        <sz val="10"/>
        <rFont val="宋体"/>
        <family val="3"/>
        <charset val="134"/>
      </rPr>
      <t>备注：</t>
    </r>
    <phoneticPr fontId="6" type="noConversion"/>
  </si>
  <si>
    <r>
      <rPr>
        <sz val="10"/>
        <rFont val="宋体"/>
        <family val="3"/>
        <charset val="134"/>
      </rPr>
      <t>经营活动一般指主营业务活动以及与与主营业务活动相关的活动。以上活动之外的活动称为其他活动，如：</t>
    </r>
    <phoneticPr fontId="6" type="noConversion"/>
  </si>
  <si>
    <r>
      <rPr>
        <sz val="10"/>
        <rFont val="宋体"/>
        <family val="3"/>
        <charset val="134"/>
      </rPr>
      <t>金融资产、未并表的长期股权投资、投资性房地产以及溢余及非经营资产、负债等相关活动。</t>
    </r>
    <phoneticPr fontId="6" type="noConversion"/>
  </si>
  <si>
    <r>
      <rPr>
        <sz val="10"/>
        <rFont val="宋体"/>
        <family val="3"/>
        <charset val="134"/>
      </rPr>
      <t>评估人员</t>
    </r>
  </si>
  <si>
    <r>
      <rPr>
        <sz val="10"/>
        <rFont val="宋体"/>
        <family val="3"/>
        <charset val="134"/>
      </rPr>
      <t>现场工作日期</t>
    </r>
  </si>
  <si>
    <r>
      <rPr>
        <sz val="10"/>
        <rFont val="宋体"/>
        <family val="3"/>
        <charset val="134"/>
      </rPr>
      <t>复核日期</t>
    </r>
    <phoneticPr fontId="6" type="noConversion"/>
  </si>
  <si>
    <t>复核人</t>
    <phoneticPr fontId="6" type="noConversion"/>
  </si>
  <si>
    <r>
      <rPr>
        <b/>
        <sz val="10"/>
        <color indexed="8"/>
        <rFont val="宋体"/>
        <family val="3"/>
        <charset val="134"/>
      </rPr>
      <t>操作步骤与要求</t>
    </r>
  </si>
  <si>
    <r>
      <rPr>
        <b/>
        <sz val="10"/>
        <color indexed="8"/>
        <rFont val="宋体"/>
        <family val="3"/>
        <charset val="134"/>
      </rPr>
      <t>不适用</t>
    </r>
  </si>
  <si>
    <r>
      <rPr>
        <b/>
        <sz val="10"/>
        <color indexed="8"/>
        <rFont val="宋体"/>
        <family val="3"/>
        <charset val="134"/>
      </rPr>
      <t>是</t>
    </r>
    <phoneticPr fontId="38" type="noConversion"/>
  </si>
  <si>
    <t>说明与备注：</t>
    <phoneticPr fontId="6" type="noConversion"/>
  </si>
  <si>
    <t>管理费用率</t>
    <phoneticPr fontId="6" type="noConversion"/>
  </si>
  <si>
    <t>平均值</t>
    <phoneticPr fontId="6" type="noConversion"/>
  </si>
  <si>
    <r>
      <rPr>
        <sz val="10"/>
        <rFont val="宋体"/>
        <family val="3"/>
        <charset val="134"/>
      </rPr>
      <t>管理费用率</t>
    </r>
    <r>
      <rPr>
        <sz val="10"/>
        <rFont val="Arial Narrow"/>
        <family val="2"/>
      </rPr>
      <t xml:space="preserve"> </t>
    </r>
    <phoneticPr fontId="6" type="noConversion"/>
  </si>
  <si>
    <r>
      <rPr>
        <sz val="10"/>
        <rFont val="宋体"/>
        <family val="3"/>
        <charset val="134"/>
      </rPr>
      <t>减</t>
    </r>
    <r>
      <rPr>
        <sz val="10"/>
        <rFont val="Arial Narrow"/>
        <family val="2"/>
      </rPr>
      <t>:</t>
    </r>
    <r>
      <rPr>
        <sz val="10"/>
        <rFont val="宋体"/>
        <family val="3"/>
        <charset val="134"/>
      </rPr>
      <t>管理费用</t>
    </r>
    <phoneticPr fontId="6" type="noConversion"/>
  </si>
  <si>
    <t>经营最低保有现金</t>
  </si>
  <si>
    <t>项目</t>
    <phoneticPr fontId="6" type="noConversion"/>
  </si>
  <si>
    <t>项目</t>
    <phoneticPr fontId="6" type="noConversion"/>
  </si>
  <si>
    <t>股东权益价值测算表</t>
    <phoneticPr fontId="6" type="noConversion"/>
  </si>
  <si>
    <t>蓝字黄底表示手动录入数据</t>
    <phoneticPr fontId="6" type="noConversion"/>
  </si>
  <si>
    <t>衍生金融资产</t>
    <phoneticPr fontId="6" type="noConversion"/>
  </si>
  <si>
    <t>持有待售资产</t>
    <phoneticPr fontId="6" type="noConversion"/>
  </si>
  <si>
    <t>衍生金融负债</t>
    <phoneticPr fontId="6" type="noConversion"/>
  </si>
  <si>
    <t>持有待售负债</t>
    <phoneticPr fontId="6" type="noConversion"/>
  </si>
  <si>
    <t>递延收益</t>
    <phoneticPr fontId="6" type="noConversion"/>
  </si>
  <si>
    <t>其他权益工具</t>
    <phoneticPr fontId="6" type="noConversion"/>
  </si>
  <si>
    <t>加：投资收益（损失）</t>
    <phoneticPr fontId="6" type="noConversion"/>
  </si>
  <si>
    <t>加：其他收益</t>
    <phoneticPr fontId="6" type="noConversion"/>
  </si>
  <si>
    <t>(一)持续经营净利润</t>
    <phoneticPr fontId="6" type="noConversion"/>
  </si>
  <si>
    <t>(二)终止经营净利润</t>
    <phoneticPr fontId="6" type="noConversion"/>
  </si>
  <si>
    <t>合并</t>
  </si>
  <si>
    <t>以公允价值计量且其变动计入当期损益的金融资产</t>
    <phoneticPr fontId="6" type="noConversion"/>
  </si>
  <si>
    <t>以公允价值计量且其变动计入当期损益的金融负债</t>
  </si>
  <si>
    <t>长期应付职工薪酬</t>
    <phoneticPr fontId="6" type="noConversion"/>
  </si>
  <si>
    <t>销售费用中的折旧</t>
    <phoneticPr fontId="6" type="noConversion"/>
  </si>
  <si>
    <t>归属于母公司所有者的净利润</t>
    <phoneticPr fontId="6" type="noConversion"/>
  </si>
  <si>
    <t>少数股东损益</t>
    <phoneticPr fontId="6" type="noConversion"/>
  </si>
  <si>
    <t>销售费用</t>
    <phoneticPr fontId="6" type="noConversion"/>
  </si>
  <si>
    <t>输入信息</t>
    <phoneticPr fontId="6" type="noConversion"/>
  </si>
  <si>
    <t>评估基准日：</t>
    <phoneticPr fontId="6" type="noConversion"/>
  </si>
  <si>
    <t>被评估单位：</t>
    <phoneticPr fontId="6" type="noConversion"/>
  </si>
  <si>
    <t>预测期间：</t>
    <phoneticPr fontId="6" type="noConversion"/>
  </si>
  <si>
    <t>To</t>
    <phoneticPr fontId="6" type="noConversion"/>
  </si>
  <si>
    <t>生产成本中的折旧</t>
    <phoneticPr fontId="6" type="noConversion"/>
  </si>
  <si>
    <t>数据汇总</t>
  </si>
  <si>
    <t>数据汇总</t>
    <phoneticPr fontId="6" type="noConversion"/>
  </si>
  <si>
    <t>数据汇总</t>
    <phoneticPr fontId="6" type="noConversion"/>
  </si>
  <si>
    <t>其他</t>
    <phoneticPr fontId="6" type="noConversion"/>
  </si>
  <si>
    <t>销售费用</t>
    <phoneticPr fontId="6" type="noConversion"/>
  </si>
  <si>
    <t>数据汇总</t>
    <phoneticPr fontId="6" type="noConversion"/>
  </si>
  <si>
    <t>SGA/Sale</t>
  </si>
  <si>
    <t>相关系数</t>
    <phoneticPr fontId="6" type="noConversion"/>
  </si>
  <si>
    <t>平均值</t>
    <phoneticPr fontId="6" type="noConversion"/>
  </si>
  <si>
    <t>评估取值</t>
    <phoneticPr fontId="6" type="noConversion"/>
  </si>
  <si>
    <t>占收入比例</t>
    <phoneticPr fontId="6" type="noConversion"/>
  </si>
  <si>
    <t>销售费用分析</t>
    <phoneticPr fontId="6" type="noConversion"/>
  </si>
  <si>
    <r>
      <rPr>
        <sz val="10"/>
        <rFont val="宋体"/>
        <family val="3"/>
        <charset val="134"/>
      </rPr>
      <t>减</t>
    </r>
    <r>
      <rPr>
        <sz val="10"/>
        <rFont val="Arial Narrow"/>
        <family val="2"/>
      </rPr>
      <t>:</t>
    </r>
    <r>
      <rPr>
        <sz val="10"/>
        <rFont val="宋体"/>
        <family val="3"/>
        <charset val="134"/>
      </rPr>
      <t>销售费用</t>
    </r>
    <phoneticPr fontId="6" type="noConversion"/>
  </si>
  <si>
    <t>五、归母净利润</t>
    <phoneticPr fontId="6" type="noConversion"/>
  </si>
  <si>
    <t>持有待售资产</t>
  </si>
  <si>
    <t>衍生金融资产</t>
  </si>
  <si>
    <t>长期应付职工薪酬</t>
  </si>
  <si>
    <t>递延收益</t>
  </si>
  <si>
    <t>新增借款</t>
    <phoneticPr fontId="6" type="noConversion"/>
  </si>
  <si>
    <t>溢余现金（新增借款）</t>
    <phoneticPr fontId="6" type="noConversion"/>
  </si>
  <si>
    <t>评估值</t>
    <phoneticPr fontId="6" type="noConversion"/>
  </si>
  <si>
    <t>二、营业利润</t>
  </si>
  <si>
    <t>盈利能力分析</t>
    <phoneticPr fontId="6" type="noConversion"/>
  </si>
  <si>
    <t>偿债能力分析</t>
    <phoneticPr fontId="6" type="noConversion"/>
  </si>
  <si>
    <t>营运能力分析</t>
    <phoneticPr fontId="6" type="noConversion"/>
  </si>
  <si>
    <t>评估基准日</t>
    <phoneticPr fontId="6" type="noConversion"/>
  </si>
  <si>
    <t>购买无形资产进项税</t>
    <phoneticPr fontId="6" type="noConversion"/>
  </si>
  <si>
    <t>购买设备进项税</t>
    <phoneticPr fontId="6" type="noConversion"/>
  </si>
  <si>
    <t>xx公司</t>
    <phoneticPr fontId="6" type="noConversion"/>
  </si>
  <si>
    <t>检查核对</t>
  </si>
  <si>
    <t>与报表一致?</t>
    <phoneticPr fontId="6" type="noConversion"/>
  </si>
  <si>
    <t>项目</t>
    <phoneticPr fontId="6" type="noConversion"/>
  </si>
  <si>
    <t>管理费用</t>
    <phoneticPr fontId="6" type="noConversion"/>
  </si>
  <si>
    <t>占收入比</t>
    <phoneticPr fontId="38" type="noConversion"/>
  </si>
  <si>
    <t>管理费用</t>
    <phoneticPr fontId="6" type="noConversion"/>
  </si>
  <si>
    <t>毛利率</t>
    <phoneticPr fontId="6" type="noConversion"/>
  </si>
  <si>
    <t>增长率</t>
    <phoneticPr fontId="6" type="noConversion"/>
  </si>
  <si>
    <t>占收入比</t>
    <phoneticPr fontId="38" type="noConversion"/>
  </si>
  <si>
    <t>营业成本</t>
  </si>
  <si>
    <t>毛利率</t>
    <phoneticPr fontId="6" type="noConversion"/>
  </si>
  <si>
    <r>
      <rPr>
        <sz val="10"/>
        <rFont val="宋体"/>
        <family val="3"/>
        <charset val="134"/>
      </rPr>
      <t>产品</t>
    </r>
    <r>
      <rPr>
        <sz val="10"/>
        <rFont val="Arial Narrow"/>
        <family val="2"/>
      </rPr>
      <t>a</t>
    </r>
    <phoneticPr fontId="6" type="noConversion"/>
  </si>
  <si>
    <r>
      <rPr>
        <sz val="10"/>
        <rFont val="宋体"/>
        <family val="3"/>
        <charset val="134"/>
      </rPr>
      <t>产品</t>
    </r>
    <r>
      <rPr>
        <sz val="10"/>
        <rFont val="Arial Narrow"/>
        <family val="2"/>
      </rPr>
      <t>b</t>
    </r>
    <phoneticPr fontId="6" type="noConversion"/>
  </si>
  <si>
    <r>
      <rPr>
        <sz val="10"/>
        <rFont val="宋体"/>
        <family val="3"/>
        <charset val="134"/>
      </rPr>
      <t>产品</t>
    </r>
    <r>
      <rPr>
        <sz val="10"/>
        <rFont val="Arial Narrow"/>
        <family val="2"/>
      </rPr>
      <t>c</t>
    </r>
    <phoneticPr fontId="6" type="noConversion"/>
  </si>
  <si>
    <t>中位数</t>
    <phoneticPr fontId="6" type="noConversion"/>
  </si>
  <si>
    <t>平均值</t>
    <phoneticPr fontId="6" type="noConversion"/>
  </si>
  <si>
    <t>中位数</t>
    <phoneticPr fontId="6" type="noConversion"/>
  </si>
  <si>
    <t>年末</t>
    <phoneticPr fontId="6" type="noConversion"/>
  </si>
  <si>
    <t>永续期</t>
  </si>
  <si>
    <t>三、利润总额</t>
  </si>
  <si>
    <t>永续期</t>
    <phoneticPr fontId="6" type="noConversion"/>
  </si>
  <si>
    <t>一、营业收入</t>
    <phoneticPr fontId="6" type="noConversion"/>
  </si>
  <si>
    <t>减：营业成本</t>
    <phoneticPr fontId="6" type="noConversion"/>
  </si>
  <si>
    <t>减：税金及附加</t>
    <phoneticPr fontId="6" type="noConversion"/>
  </si>
  <si>
    <t>减：销售费用</t>
    <phoneticPr fontId="6" type="noConversion"/>
  </si>
  <si>
    <t>减：管理费用</t>
    <phoneticPr fontId="6" type="noConversion"/>
  </si>
  <si>
    <t>减：财务费用</t>
    <phoneticPr fontId="6" type="noConversion"/>
  </si>
  <si>
    <t>减：所得税费用</t>
    <phoneticPr fontId="6" type="noConversion"/>
  </si>
  <si>
    <t>四、净利润</t>
    <phoneticPr fontId="6" type="noConversion"/>
  </si>
  <si>
    <t>五、企业自由现金流量</t>
    <phoneticPr fontId="6" type="noConversion"/>
  </si>
  <si>
    <t>六、企业自由现金流现值合计</t>
    <phoneticPr fontId="6" type="noConversion"/>
  </si>
  <si>
    <t>股权自由现金流现值</t>
    <phoneticPr fontId="6" type="noConversion"/>
  </si>
  <si>
    <t>经营性资产价值</t>
    <phoneticPr fontId="6" type="noConversion"/>
  </si>
  <si>
    <t>股东全部权益价值E1</t>
    <phoneticPr fontId="6" type="noConversion"/>
  </si>
  <si>
    <t>股东全部权益价值E2</t>
    <phoneticPr fontId="6" type="noConversion"/>
  </si>
  <si>
    <t>营业税金及附加</t>
  </si>
  <si>
    <t>月数</t>
  </si>
  <si>
    <t>财务费用中的利息支出</t>
    <phoneticPr fontId="6" type="noConversion"/>
  </si>
  <si>
    <t>生产成本的人工费用</t>
    <phoneticPr fontId="6" type="noConversion"/>
  </si>
  <si>
    <t>减：销售费用中折旧与摊销</t>
    <phoneticPr fontId="6" type="noConversion"/>
  </si>
  <si>
    <t>减：管理费用中折旧与摊销</t>
    <phoneticPr fontId="6" type="noConversion"/>
  </si>
  <si>
    <t>月均付现成本</t>
    <phoneticPr fontId="6" type="noConversion"/>
  </si>
  <si>
    <t>估计的付现成本合计</t>
    <phoneticPr fontId="6" type="noConversion"/>
  </si>
  <si>
    <r>
      <t>保有现金系数</t>
    </r>
    <r>
      <rPr>
        <sz val="10"/>
        <rFont val="Arial Narrow"/>
        <family val="2"/>
      </rPr>
      <t>(</t>
    </r>
    <r>
      <rPr>
        <sz val="10"/>
        <rFont val="宋体"/>
        <family val="3"/>
        <charset val="134"/>
      </rPr>
      <t>月）</t>
    </r>
    <phoneticPr fontId="6" type="noConversion"/>
  </si>
  <si>
    <t>账面值</t>
    <phoneticPr fontId="6" type="noConversion"/>
  </si>
  <si>
    <t>其中：非经营性资产、负债</t>
    <phoneticPr fontId="6" type="noConversion"/>
  </si>
  <si>
    <t>溢余资产</t>
    <phoneticPr fontId="6" type="noConversion"/>
  </si>
  <si>
    <t>调整原因</t>
    <phoneticPr fontId="6" type="noConversion"/>
  </si>
  <si>
    <t>平衡检查？</t>
    <phoneticPr fontId="6" type="noConversion"/>
  </si>
  <si>
    <t>不要隐藏行和列，采用数据中的创建组和取消组合处理，易于查找数据。</t>
    <phoneticPr fontId="6" type="noConversion"/>
  </si>
  <si>
    <t>建模的规则</t>
    <phoneticPr fontId="6" type="noConversion"/>
  </si>
  <si>
    <t>红字表示在该单元格中的公式左右不一样，或强调关注。</t>
    <phoneticPr fontId="6" type="noConversion"/>
  </si>
  <si>
    <t>单元格中的公式不要直接写入数据，数据由表外单元格链入。</t>
    <phoneticPr fontId="6" type="noConversion"/>
  </si>
  <si>
    <t>工作底稿完成后无关数据全部删除，只保留有关数据。</t>
    <phoneticPr fontId="6" type="noConversion"/>
  </si>
  <si>
    <t>减:利息支出(新增借款)</t>
    <phoneticPr fontId="6" type="noConversion"/>
  </si>
  <si>
    <t>增值税计算</t>
    <phoneticPr fontId="6" type="noConversion"/>
  </si>
  <si>
    <t>科目内容只是示例，根据具体项目改动！</t>
    <phoneticPr fontId="6" type="noConversion"/>
  </si>
  <si>
    <r>
      <rPr>
        <sz val="10"/>
        <rFont val="宋体"/>
        <family val="3"/>
        <charset val="134"/>
      </rPr>
      <t>减</t>
    </r>
    <r>
      <rPr>
        <sz val="10"/>
        <rFont val="Arial Narrow"/>
        <family val="2"/>
      </rPr>
      <t>:</t>
    </r>
    <r>
      <rPr>
        <sz val="10"/>
        <rFont val="宋体"/>
        <family val="3"/>
        <charset val="134"/>
      </rPr>
      <t>手续费和汇兑损益等</t>
    </r>
    <phoneticPr fontId="6" type="noConversion"/>
  </si>
  <si>
    <t>销售费用率</t>
    <phoneticPr fontId="6" type="noConversion"/>
  </si>
  <si>
    <t>经营性资产及负债账面值</t>
    <phoneticPr fontId="6" type="noConversion"/>
  </si>
  <si>
    <t>营业收入预测表</t>
    <phoneticPr fontId="6" type="noConversion"/>
  </si>
  <si>
    <t>营业成本预测表</t>
    <phoneticPr fontId="6" type="noConversion"/>
  </si>
  <si>
    <t>税金及附加预测表</t>
    <phoneticPr fontId="6" type="noConversion"/>
  </si>
  <si>
    <t>营运资金预测表</t>
    <phoneticPr fontId="6" type="noConversion"/>
  </si>
  <si>
    <t>企业自由现金流量测算表</t>
    <phoneticPr fontId="6" type="noConversion"/>
  </si>
  <si>
    <t>折现率计算表</t>
    <phoneticPr fontId="6" type="noConversion"/>
  </si>
  <si>
    <t>资产负债表（经营性）</t>
    <phoneticPr fontId="6" type="noConversion"/>
  </si>
  <si>
    <t>利润表（经营性）</t>
    <phoneticPr fontId="6" type="noConversion"/>
  </si>
  <si>
    <t>减:利息支出(原有债务)</t>
    <phoneticPr fontId="6" type="noConversion"/>
  </si>
  <si>
    <t>加:利息收入(保有、溢余现金)</t>
    <phoneticPr fontId="6" type="noConversion"/>
  </si>
  <si>
    <t>递延所得税资产</t>
    <phoneticPr fontId="6" type="noConversion"/>
  </si>
  <si>
    <t>财务指标分析（经营性资产）</t>
    <phoneticPr fontId="6" type="noConversion"/>
  </si>
  <si>
    <t>其他科目转入进项税</t>
    <phoneticPr fontId="6" type="noConversion"/>
  </si>
  <si>
    <t>其他应付款</t>
    <phoneticPr fontId="6" type="noConversion"/>
  </si>
  <si>
    <t>评估对象：</t>
    <phoneticPr fontId="6" type="noConversion"/>
  </si>
  <si>
    <t>股东全部权益价值</t>
    <phoneticPr fontId="6" type="noConversion"/>
  </si>
  <si>
    <t>企业价值评估现金流量折现法(DCF)计算及步骤复核表</t>
    <phoneticPr fontId="6" type="noConversion"/>
  </si>
  <si>
    <t>一般取1，取其他数据应结合行业特点说明</t>
  </si>
  <si>
    <t>四、净利润</t>
    <phoneticPr fontId="6" type="noConversion"/>
  </si>
  <si>
    <t>加：资产处置收益</t>
    <phoneticPr fontId="6" type="noConversion"/>
  </si>
  <si>
    <t>保留</t>
    <phoneticPr fontId="6" type="noConversion"/>
  </si>
  <si>
    <t>合同资产</t>
    <phoneticPr fontId="6" type="noConversion"/>
  </si>
  <si>
    <t>新准则</t>
    <phoneticPr fontId="6" type="noConversion"/>
  </si>
  <si>
    <t>债权投资</t>
  </si>
  <si>
    <t>债权投资</t>
    <phoneticPr fontId="6" type="noConversion"/>
  </si>
  <si>
    <t>其他债权投资</t>
  </si>
  <si>
    <t>其他债权投资</t>
    <phoneticPr fontId="6" type="noConversion"/>
  </si>
  <si>
    <t>其他权益工具投资</t>
  </si>
  <si>
    <t>其他权益工具投资</t>
    <phoneticPr fontId="6" type="noConversion"/>
  </si>
  <si>
    <t>其他非流动金融资产</t>
  </si>
  <si>
    <t>其他非流动金融资产</t>
    <phoneticPr fontId="6" type="noConversion"/>
  </si>
  <si>
    <t>合同负债</t>
    <phoneticPr fontId="6" type="noConversion"/>
  </si>
  <si>
    <t xml:space="preserve">    税金及附加</t>
    <phoneticPr fontId="6" type="noConversion"/>
  </si>
  <si>
    <t xml:space="preserve">    销售费用</t>
    <phoneticPr fontId="6" type="noConversion"/>
  </si>
  <si>
    <t xml:space="preserve">    管理费用</t>
    <phoneticPr fontId="6" type="noConversion"/>
  </si>
  <si>
    <t xml:space="preserve">    财务费用</t>
    <phoneticPr fontId="6" type="noConversion"/>
  </si>
  <si>
    <t xml:space="preserve">    资产减值损失</t>
    <phoneticPr fontId="6" type="noConversion"/>
  </si>
  <si>
    <t xml:space="preserve">    其中：利息费用</t>
    <phoneticPr fontId="6" type="noConversion"/>
  </si>
  <si>
    <t xml:space="preserve">    信用减值损失</t>
    <phoneticPr fontId="6" type="noConversion"/>
  </si>
  <si>
    <t>加：净敞口套期收益</t>
    <phoneticPr fontId="6" type="noConversion"/>
  </si>
  <si>
    <t xml:space="preserve">    研发费用</t>
    <phoneticPr fontId="6" type="noConversion"/>
  </si>
  <si>
    <t>重分类</t>
  </si>
  <si>
    <t>非经营性资产和负债分析表</t>
    <phoneticPr fontId="6" type="noConversion"/>
  </si>
  <si>
    <t>非经营性资产</t>
    <phoneticPr fontId="6" type="noConversion"/>
  </si>
  <si>
    <t>非经营性预付款项</t>
  </si>
  <si>
    <t>非经营、报废的存货</t>
  </si>
  <si>
    <t>非经营性合同资产</t>
    <phoneticPr fontId="6" type="noConversion"/>
  </si>
  <si>
    <t>非经营性长期应收款</t>
  </si>
  <si>
    <t>非经营性负债</t>
    <phoneticPr fontId="6" type="noConversion"/>
  </si>
  <si>
    <t>衍生金融负债</t>
  </si>
  <si>
    <t>非经营性预收款项</t>
  </si>
  <si>
    <t>非经营性合同负债</t>
    <phoneticPr fontId="6" type="noConversion"/>
  </si>
  <si>
    <t>非经营性应付职工薪酬</t>
    <phoneticPr fontId="6" type="noConversion"/>
  </si>
  <si>
    <t>非经营性其他应付款</t>
  </si>
  <si>
    <t>非经营性长期应付职工薪酬</t>
    <phoneticPr fontId="6" type="noConversion"/>
  </si>
  <si>
    <t>非经营性预计负债</t>
    <phoneticPr fontId="6" type="noConversion"/>
  </si>
  <si>
    <t>递延收益</t>
    <phoneticPr fontId="6" type="noConversion"/>
  </si>
  <si>
    <t>非经营性递延收益</t>
    <phoneticPr fontId="6" type="noConversion"/>
  </si>
  <si>
    <t>项目</t>
    <phoneticPr fontId="6" type="noConversion"/>
  </si>
  <si>
    <t>非经营性流动负债小计</t>
    <phoneticPr fontId="6" type="noConversion"/>
  </si>
  <si>
    <t>非经营性非流动负债小计</t>
    <phoneticPr fontId="6" type="noConversion"/>
  </si>
  <si>
    <t>交易性金融资产</t>
  </si>
  <si>
    <t>研发费用</t>
    <phoneticPr fontId="6" type="noConversion"/>
  </si>
  <si>
    <r>
      <rPr>
        <sz val="10"/>
        <rFont val="宋体"/>
        <family val="3"/>
        <charset val="134"/>
      </rPr>
      <t>减</t>
    </r>
    <r>
      <rPr>
        <sz val="10"/>
        <rFont val="Arial Narrow"/>
        <family val="2"/>
      </rPr>
      <t>:</t>
    </r>
    <r>
      <rPr>
        <sz val="10"/>
        <rFont val="宋体"/>
        <family val="3"/>
        <charset val="134"/>
      </rPr>
      <t>研发费用</t>
    </r>
    <phoneticPr fontId="6" type="noConversion"/>
  </si>
  <si>
    <t>研发费用</t>
    <phoneticPr fontId="6" type="noConversion"/>
  </si>
  <si>
    <t>研发费用率</t>
    <phoneticPr fontId="6" type="noConversion"/>
  </si>
  <si>
    <t>平均值</t>
  </si>
  <si>
    <t>销售费用分析（点行"+" 号展开）</t>
    <phoneticPr fontId="6" type="noConversion"/>
  </si>
  <si>
    <t>研发费用</t>
    <phoneticPr fontId="6" type="noConversion"/>
  </si>
  <si>
    <t>管理费用分析（点行 "+" 号展开）</t>
    <phoneticPr fontId="6" type="noConversion"/>
  </si>
  <si>
    <t>研发费用分析（点行 "+" 号展开）</t>
    <phoneticPr fontId="6" type="noConversion"/>
  </si>
  <si>
    <t>销售、管理、研发费用</t>
    <phoneticPr fontId="6" type="noConversion"/>
  </si>
  <si>
    <t>应收票据及应收账款</t>
    <phoneticPr fontId="6" type="noConversion"/>
  </si>
  <si>
    <t>非经营性非流动资产小计</t>
    <phoneticPr fontId="6" type="noConversion"/>
  </si>
  <si>
    <t>应付票据及应付账款</t>
    <phoneticPr fontId="6" type="noConversion"/>
  </si>
  <si>
    <t>减：研发费用</t>
    <phoneticPr fontId="6" type="noConversion"/>
  </si>
  <si>
    <r>
      <rPr>
        <sz val="10"/>
        <rFont val="宋体"/>
        <family val="3"/>
        <charset val="134"/>
      </rPr>
      <t>研发费用率</t>
    </r>
    <r>
      <rPr>
        <sz val="10"/>
        <rFont val="Arial Narrow"/>
        <family val="2"/>
      </rPr>
      <t xml:space="preserve"> </t>
    </r>
    <phoneticPr fontId="6" type="noConversion"/>
  </si>
  <si>
    <t>三费合计</t>
    <phoneticPr fontId="6" type="noConversion"/>
  </si>
  <si>
    <t>研发费用中的折旧</t>
    <phoneticPr fontId="6" type="noConversion"/>
  </si>
  <si>
    <r>
      <t>YLSJ</t>
    </r>
    <r>
      <rPr>
        <sz val="11"/>
        <color rgb="FF0000FF"/>
        <rFont val="宋体"/>
        <family val="3"/>
        <charset val="134"/>
      </rPr>
      <t>公司</t>
    </r>
  </si>
  <si>
    <t>二、营业利润（亏损）</t>
    <phoneticPr fontId="6" type="noConversion"/>
  </si>
  <si>
    <t>三、利润总额（亏损）</t>
    <phoneticPr fontId="6" type="noConversion"/>
  </si>
  <si>
    <t>四、净利润（净亏损）</t>
    <phoneticPr fontId="6" type="noConversion"/>
  </si>
  <si>
    <t>职工房款和职工住房维修基金</t>
  </si>
  <si>
    <t>非经常性损益</t>
  </si>
  <si>
    <t>退休股东费用和调整应收回的自然人股东分红</t>
  </si>
  <si>
    <t>应收的预计无法收回的设计费</t>
  </si>
  <si>
    <t>电力基金，非经营性资产</t>
  </si>
  <si>
    <t>xx开发有限公司,作为非经营性资产单独评估</t>
  </si>
  <si>
    <t>非经营性负债</t>
  </si>
  <si>
    <t>改制费用</t>
  </si>
  <si>
    <t>na</t>
    <phoneticPr fontId="6" type="noConversion"/>
  </si>
  <si>
    <t>应付成本及其他</t>
  </si>
  <si>
    <t>办公差旅费用</t>
  </si>
  <si>
    <r>
      <t>13-16</t>
    </r>
    <r>
      <rPr>
        <sz val="10"/>
        <rFont val="宋体"/>
        <family val="3"/>
        <charset val="134"/>
      </rPr>
      <t>年办公房改造平均支出</t>
    </r>
    <phoneticPr fontId="6" type="noConversion"/>
  </si>
  <si>
    <t>预计固定支出</t>
    <phoneticPr fontId="6" type="noConversion"/>
  </si>
  <si>
    <t>还要加上办公差旅费用</t>
  </si>
  <si>
    <t>减：研发费用中折旧与摊销</t>
    <phoneticPr fontId="6" type="noConversion"/>
  </si>
  <si>
    <t>电力基金</t>
  </si>
  <si>
    <t>xx园林开发有限公司，已破产，无资产可收回</t>
  </si>
  <si>
    <t>扣除新增借款的负债与权益</t>
    <phoneticPr fontId="6" type="noConversion"/>
  </si>
  <si>
    <t>na</t>
    <phoneticPr fontId="6" type="noConversion"/>
  </si>
  <si>
    <t>资产负债调整表</t>
    <phoneticPr fontId="6" type="noConversion"/>
  </si>
  <si>
    <t>少数股东权益</t>
    <phoneticPr fontId="6" type="noConversion"/>
  </si>
  <si>
    <t>销售费用、管理费用、研发费用预测表</t>
    <phoneticPr fontId="6" type="noConversion"/>
  </si>
  <si>
    <t>根据资产负债核实表填写</t>
    <phoneticPr fontId="6" type="noConversion"/>
  </si>
  <si>
    <t>加：扣税后利息费用</t>
    <phoneticPr fontId="6" type="noConversion"/>
  </si>
  <si>
    <t>股权自由现金流量测算表</t>
    <phoneticPr fontId="6" type="noConversion"/>
  </si>
  <si>
    <t>可比公司对比分析（可选）</t>
    <phoneticPr fontId="6" type="noConversion"/>
  </si>
  <si>
    <t>实务中如果企业产品不单一，每种产品或服务适用的增值税率不同，以及金额较大，应分项目评估。示例如下</t>
    <phoneticPr fontId="6" type="noConversion"/>
  </si>
  <si>
    <t>购买土地进项税</t>
    <phoneticPr fontId="6" type="noConversion"/>
  </si>
  <si>
    <r>
      <rPr>
        <sz val="10"/>
        <rFont val="宋体"/>
        <family val="3"/>
        <charset val="134"/>
      </rPr>
      <t>销售、管理、研发费用</t>
    </r>
    <r>
      <rPr>
        <sz val="10"/>
        <rFont val="Arial Narrow"/>
        <family val="2"/>
      </rPr>
      <t>/</t>
    </r>
    <r>
      <rPr>
        <sz val="10"/>
        <rFont val="宋体"/>
        <family val="3"/>
        <charset val="134"/>
      </rPr>
      <t>收入</t>
    </r>
    <phoneticPr fontId="6" type="noConversion"/>
  </si>
  <si>
    <t>净资产增长率</t>
    <phoneticPr fontId="6" type="noConversion"/>
  </si>
  <si>
    <t>营业利润率</t>
    <phoneticPr fontId="6" type="noConversion"/>
  </si>
  <si>
    <t>净利润率</t>
    <phoneticPr fontId="6" type="noConversion"/>
  </si>
  <si>
    <r>
      <rPr>
        <sz val="10"/>
        <rFont val="宋体"/>
        <family val="3"/>
        <charset val="134"/>
      </rPr>
      <t>流动比率</t>
    </r>
    <r>
      <rPr>
        <sz val="10"/>
        <rFont val="Arial Narrow"/>
        <family val="2"/>
      </rPr>
      <t/>
    </r>
    <phoneticPr fontId="6" type="noConversion"/>
  </si>
  <si>
    <r>
      <rPr>
        <sz val="10"/>
        <rFont val="宋体"/>
        <family val="3"/>
        <charset val="134"/>
      </rPr>
      <t>速动比率</t>
    </r>
    <r>
      <rPr>
        <sz val="10"/>
        <rFont val="Arial Narrow"/>
        <family val="2"/>
      </rPr>
      <t/>
    </r>
    <phoneticPr fontId="6" type="noConversion"/>
  </si>
  <si>
    <r>
      <rPr>
        <sz val="10"/>
        <rFont val="宋体"/>
        <family val="3"/>
        <charset val="134"/>
      </rPr>
      <t>资产负债率（</t>
    </r>
    <r>
      <rPr>
        <sz val="10"/>
        <rFont val="Arial Narrow"/>
        <family val="2"/>
      </rPr>
      <t>%</t>
    </r>
    <r>
      <rPr>
        <sz val="10"/>
        <rFont val="宋体"/>
        <family val="3"/>
        <charset val="134"/>
      </rPr>
      <t>）</t>
    </r>
    <phoneticPr fontId="6" type="noConversion"/>
  </si>
  <si>
    <t>应收票据及应收账款周转率（次）</t>
    <phoneticPr fontId="6" type="noConversion"/>
  </si>
  <si>
    <r>
      <rPr>
        <sz val="10"/>
        <rFont val="宋体"/>
        <family val="3"/>
        <charset val="134"/>
      </rPr>
      <t>总资产周转率（</t>
    </r>
    <r>
      <rPr>
        <sz val="10"/>
        <rFont val="宋体"/>
        <family val="3"/>
        <charset val="134"/>
      </rPr>
      <t>次）</t>
    </r>
    <phoneticPr fontId="6" type="noConversion"/>
  </si>
  <si>
    <t>财务指标分析</t>
    <phoneticPr fontId="6" type="noConversion"/>
  </si>
  <si>
    <t>金额大、变动大的科目要具体分析</t>
    <phoneticPr fontId="6" type="noConversion"/>
  </si>
  <si>
    <t>评估基准日溢余现金分析表</t>
    <phoneticPr fontId="6" type="noConversion"/>
  </si>
  <si>
    <t>经营最低保有现金分析表</t>
    <phoneticPr fontId="6" type="noConversion"/>
  </si>
  <si>
    <t>营业成本</t>
    <phoneticPr fontId="6" type="noConversion"/>
  </si>
  <si>
    <t>周转天数</t>
    <phoneticPr fontId="38" type="noConversion"/>
  </si>
  <si>
    <t>周转天数</t>
    <phoneticPr fontId="6" type="noConversion"/>
  </si>
  <si>
    <r>
      <rPr>
        <i/>
        <sz val="10"/>
        <color rgb="FF0000FF"/>
        <rFont val="宋体"/>
        <family val="3"/>
        <charset val="134"/>
      </rPr>
      <t>周转天数</t>
    </r>
    <r>
      <rPr>
        <i/>
        <sz val="10"/>
        <color rgb="FF0000FF"/>
        <rFont val="Arial Narrow"/>
        <family val="2"/>
      </rPr>
      <t/>
    </r>
    <phoneticPr fontId="6" type="noConversion"/>
  </si>
  <si>
    <t>应付票据及应付账款</t>
    <phoneticPr fontId="6" type="noConversion"/>
  </si>
  <si>
    <t>非经营性应付票据及应付账款</t>
    <phoneticPr fontId="6" type="noConversion"/>
  </si>
  <si>
    <t>应收票据及应收账款</t>
    <phoneticPr fontId="6" type="noConversion"/>
  </si>
  <si>
    <t>非经营性应收票据及应收账款</t>
    <phoneticPr fontId="6" type="noConversion"/>
  </si>
  <si>
    <r>
      <rPr>
        <i/>
        <sz val="10"/>
        <color rgb="FF0000FF"/>
        <rFont val="宋体"/>
        <family val="3"/>
        <charset val="134"/>
      </rPr>
      <t>占成本比例</t>
    </r>
    <r>
      <rPr>
        <i/>
        <sz val="10"/>
        <color rgb="FF0000FF"/>
        <rFont val="Arial Narrow"/>
        <family val="2"/>
      </rPr>
      <t/>
    </r>
    <phoneticPr fontId="6" type="noConversion"/>
  </si>
  <si>
    <t>财务费用预测表</t>
    <phoneticPr fontId="6" type="noConversion"/>
  </si>
  <si>
    <t>一年内到期的非流动负债</t>
    <phoneticPr fontId="6" type="noConversion"/>
  </si>
  <si>
    <r>
      <t>利息率</t>
    </r>
    <r>
      <rPr>
        <b/>
        <sz val="10"/>
        <color rgb="FF0000CC"/>
        <rFont val="Arial Narrow"/>
        <family val="2"/>
      </rPr>
      <t>%</t>
    </r>
  </si>
  <si>
    <t>付息负债合计</t>
    <phoneticPr fontId="6" type="noConversion"/>
  </si>
  <si>
    <t>利息支出</t>
  </si>
  <si>
    <t>财务费用测算</t>
    <phoneticPr fontId="6" type="noConversion"/>
  </si>
  <si>
    <t>利息支出小计</t>
  </si>
  <si>
    <t>汇兑损益及手续费等</t>
    <phoneticPr fontId="6" type="noConversion"/>
  </si>
  <si>
    <t>财务费用合计</t>
    <phoneticPr fontId="6" type="noConversion"/>
  </si>
  <si>
    <t>预测期只考虑手续费，不考虑汇兑损益</t>
    <phoneticPr fontId="6" type="noConversion"/>
  </si>
  <si>
    <r>
      <rPr>
        <sz val="10"/>
        <rFont val="宋体"/>
        <family val="3"/>
        <charset val="134"/>
      </rPr>
      <t>减</t>
    </r>
    <r>
      <rPr>
        <sz val="10"/>
        <rFont val="Arial Narrow"/>
        <family val="2"/>
      </rPr>
      <t>:</t>
    </r>
    <r>
      <rPr>
        <sz val="10"/>
        <rFont val="宋体"/>
        <family val="3"/>
        <charset val="134"/>
      </rPr>
      <t>财务费用</t>
    </r>
    <phoneticPr fontId="6" type="noConversion"/>
  </si>
  <si>
    <t>借款起讫日期</t>
    <phoneticPr fontId="6" type="noConversion"/>
  </si>
  <si>
    <t xml:space="preserve">          利息收入</t>
    <phoneticPr fontId="6" type="noConversion"/>
  </si>
  <si>
    <t>利息收入</t>
  </si>
  <si>
    <t>永续期不考虑增长</t>
    <phoneticPr fontId="6" type="noConversion"/>
  </si>
  <si>
    <t>短期借款</t>
    <phoneticPr fontId="6" type="noConversion"/>
  </si>
  <si>
    <t>长期借款</t>
    <phoneticPr fontId="6" type="noConversion"/>
  </si>
  <si>
    <t>短期借款</t>
    <phoneticPr fontId="6" type="noConversion"/>
  </si>
  <si>
    <t>长期借款</t>
    <phoneticPr fontId="6" type="noConversion"/>
  </si>
  <si>
    <t>净资产增长率</t>
    <phoneticPr fontId="6" type="noConversion"/>
  </si>
  <si>
    <r>
      <rPr>
        <sz val="10"/>
        <rFont val="宋体"/>
        <family val="3"/>
        <charset val="134"/>
      </rPr>
      <t>销售、管理、研发费用</t>
    </r>
    <r>
      <rPr>
        <sz val="10"/>
        <rFont val="Arial Narrow"/>
        <family val="2"/>
      </rPr>
      <t>/</t>
    </r>
    <r>
      <rPr>
        <sz val="10"/>
        <rFont val="宋体"/>
        <family val="3"/>
        <charset val="134"/>
      </rPr>
      <t>收入</t>
    </r>
    <phoneticPr fontId="6" type="noConversion"/>
  </si>
  <si>
    <t>营业利润率</t>
    <phoneticPr fontId="6" type="noConversion"/>
  </si>
  <si>
    <t>净利润率</t>
    <phoneticPr fontId="6" type="noConversion"/>
  </si>
  <si>
    <r>
      <rPr>
        <sz val="10"/>
        <rFont val="宋体"/>
        <family val="3"/>
        <charset val="134"/>
      </rPr>
      <t>流动比率</t>
    </r>
    <r>
      <rPr>
        <sz val="10"/>
        <rFont val="Arial Narrow"/>
        <family val="2"/>
      </rPr>
      <t/>
    </r>
    <phoneticPr fontId="6" type="noConversion"/>
  </si>
  <si>
    <r>
      <rPr>
        <sz val="10"/>
        <rFont val="宋体"/>
        <family val="3"/>
        <charset val="134"/>
      </rPr>
      <t>速动比率</t>
    </r>
    <r>
      <rPr>
        <sz val="10"/>
        <rFont val="Arial Narrow"/>
        <family val="2"/>
      </rPr>
      <t/>
    </r>
    <phoneticPr fontId="6" type="noConversion"/>
  </si>
  <si>
    <r>
      <rPr>
        <sz val="10"/>
        <rFont val="宋体"/>
        <family val="3"/>
        <charset val="134"/>
      </rPr>
      <t>资产负债率（</t>
    </r>
    <r>
      <rPr>
        <sz val="10"/>
        <rFont val="Arial Narrow"/>
        <family val="2"/>
      </rPr>
      <t>%</t>
    </r>
    <r>
      <rPr>
        <sz val="10"/>
        <rFont val="宋体"/>
        <family val="3"/>
        <charset val="134"/>
      </rPr>
      <t>）</t>
    </r>
    <phoneticPr fontId="6" type="noConversion"/>
  </si>
  <si>
    <r>
      <rPr>
        <sz val="10"/>
        <rFont val="宋体"/>
        <family val="3"/>
        <charset val="134"/>
      </rPr>
      <t>总资产周转率（</t>
    </r>
    <r>
      <rPr>
        <sz val="10"/>
        <rFont val="宋体"/>
        <family val="3"/>
        <charset val="134"/>
      </rPr>
      <t>次）</t>
    </r>
    <phoneticPr fontId="6" type="noConversion"/>
  </si>
  <si>
    <t>单位：万元</t>
    <phoneticPr fontId="6" type="noConversion"/>
  </si>
  <si>
    <t>科目</t>
  </si>
  <si>
    <t>资产：</t>
    <phoneticPr fontId="6" type="noConversion"/>
  </si>
  <si>
    <t>减：递延所得税资产</t>
    <phoneticPr fontId="6" type="noConversion"/>
  </si>
  <si>
    <t>减：商誉</t>
    <phoneticPr fontId="6" type="noConversion"/>
  </si>
  <si>
    <t>加：商誉</t>
    <phoneticPr fontId="6" type="noConversion"/>
  </si>
  <si>
    <t>加：累计减值的商誉</t>
    <phoneticPr fontId="6" type="noConversion"/>
  </si>
  <si>
    <t>负债：</t>
    <phoneticPr fontId="6" type="noConversion"/>
  </si>
  <si>
    <t>付息负债</t>
    <phoneticPr fontId="6" type="noConversion"/>
  </si>
  <si>
    <t>权益等价物：</t>
    <phoneticPr fontId="6" type="noConversion"/>
  </si>
  <si>
    <t>权益等价物小计</t>
  </si>
  <si>
    <r>
      <t>所有者权益</t>
    </r>
    <r>
      <rPr>
        <b/>
        <sz val="10"/>
        <color rgb="FF0000FF"/>
        <rFont val="宋体"/>
        <family val="3"/>
        <charset val="134"/>
      </rPr>
      <t>：</t>
    </r>
    <phoneticPr fontId="6" type="noConversion"/>
  </si>
  <si>
    <t>经营性投入资金</t>
    <phoneticPr fontId="6" type="noConversion"/>
  </si>
  <si>
    <t>检查核对</t>
    <phoneticPr fontId="6" type="noConversion"/>
  </si>
  <si>
    <t>调整后财务报表是否平衡？</t>
    <phoneticPr fontId="6" type="noConversion"/>
  </si>
  <si>
    <t>项目</t>
    <phoneticPr fontId="6" type="noConversion"/>
  </si>
  <si>
    <t>净利润</t>
    <phoneticPr fontId="6" type="noConversion"/>
  </si>
  <si>
    <t>税后利息费用</t>
    <phoneticPr fontId="6" type="noConversion"/>
  </si>
  <si>
    <t>na</t>
    <phoneticPr fontId="6" type="noConversion"/>
  </si>
  <si>
    <t>所有者权益合计</t>
    <phoneticPr fontId="6" type="noConversion"/>
  </si>
  <si>
    <t>金额大、变动大的科目要分析</t>
    <phoneticPr fontId="6" type="noConversion"/>
  </si>
  <si>
    <t>少数股东权益</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</si>
  <si>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</si>
  <si>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单位：万元</t>
  </si>
  <si>
    <t>汇总数据</t>
  </si>
  <si>
    <r>
      <rPr>
        <b/>
        <sz val="10"/>
        <rFont val="宋体"/>
        <family val="3"/>
        <charset val="134"/>
      </rPr>
      <t>一、前期工作</t>
    </r>
    <phoneticPr fontId="6" type="noConversion"/>
  </si>
  <si>
    <r>
      <t>1.</t>
    </r>
    <r>
      <rPr>
        <sz val="10"/>
        <rFont val="宋体"/>
        <family val="3"/>
        <charset val="134"/>
      </rPr>
      <t>取得被评估企业前</t>
    </r>
    <r>
      <rPr>
        <sz val="10"/>
        <rFont val="Arial Narrow"/>
        <family val="2"/>
      </rPr>
      <t>3~5</t>
    </r>
    <r>
      <rPr>
        <sz val="10"/>
        <rFont val="宋体"/>
        <family val="3"/>
        <charset val="134"/>
      </rPr>
      <t>年和本期审计报告、会计报表、科目明细表，以及相关收入、成本、费用等统计资料</t>
    </r>
    <phoneticPr fontId="6" type="noConversion"/>
  </si>
  <si>
    <r>
      <t>2.</t>
    </r>
    <r>
      <rPr>
        <sz val="10"/>
        <rFont val="宋体"/>
        <family val="3"/>
        <charset val="134"/>
      </rPr>
      <t>取得企业资产、财务、经营状况资料，着重了解经营活动涉及的范围，收入、收益结构，资产配置情况，在此基础上区分企业经营活动和经营活动之外的其他活动涉及相关资产、负债、损益等。布置企业填报资产基础法申报表、收益预测申报表，并在资产基础法的申报表上标识经营性资产（负债）与非经营性资产（负债）。以上资料由企业盖章或签字确认。</t>
    </r>
    <phoneticPr fontId="6" type="noConversion"/>
  </si>
  <si>
    <r>
      <rPr>
        <b/>
        <sz val="10"/>
        <rFont val="宋体"/>
        <family val="3"/>
        <charset val="134"/>
      </rPr>
      <t>二、统计、调整</t>
    </r>
    <phoneticPr fontId="6" type="noConversion"/>
  </si>
  <si>
    <r>
      <t>3.</t>
    </r>
    <r>
      <rPr>
        <sz val="10"/>
        <rFont val="宋体"/>
        <family val="3"/>
        <charset val="134"/>
      </rPr>
      <t>根据评估业务的具体情况，在分析企业各科目明细的基础上，分析和调整被评估企业（</t>
    </r>
    <r>
      <rPr>
        <sz val="10"/>
        <rFont val="Arial Narrow"/>
        <family val="2"/>
      </rPr>
      <t>1</t>
    </r>
    <r>
      <rPr>
        <sz val="10"/>
        <rFont val="宋体"/>
        <family val="3"/>
        <charset val="134"/>
      </rPr>
      <t>）财务报表编制基础；（</t>
    </r>
    <r>
      <rPr>
        <sz val="10"/>
        <rFont val="Arial Narrow"/>
        <family val="2"/>
      </rPr>
      <t>2</t>
    </r>
    <r>
      <rPr>
        <sz val="10"/>
        <rFont val="宋体"/>
        <family val="3"/>
        <charset val="134"/>
      </rPr>
      <t>）非经常性收入和支出；（</t>
    </r>
    <r>
      <rPr>
        <sz val="10"/>
        <rFont val="Arial Narrow"/>
        <family val="2"/>
      </rPr>
      <t>3</t>
    </r>
    <r>
      <rPr>
        <sz val="10"/>
        <rFont val="宋体"/>
        <family val="3"/>
        <charset val="134"/>
      </rPr>
      <t>）非经营性资产、负债和溢余资产及其相关的收入和支出。如涉及可比企业同理处理。</t>
    </r>
    <phoneticPr fontId="38" type="noConversion"/>
  </si>
  <si>
    <r>
      <t>4.</t>
    </r>
    <r>
      <rPr>
        <sz val="10"/>
        <rFont val="宋体"/>
        <family val="3"/>
        <charset val="134"/>
      </rPr>
      <t xml:space="preserve">区分经营活动与其他活动，并统计、分析：
</t>
    </r>
    <r>
      <rPr>
        <sz val="10"/>
        <rFont val="Arial Narrow"/>
        <family val="2"/>
      </rPr>
      <t>a\</t>
    </r>
    <r>
      <rPr>
        <sz val="10"/>
        <rFont val="宋体"/>
        <family val="3"/>
        <charset val="134"/>
      </rPr>
      <t>营业收入；</t>
    </r>
    <r>
      <rPr>
        <sz val="10"/>
        <rFont val="Arial Narrow"/>
        <family val="2"/>
      </rPr>
      <t>b\</t>
    </r>
    <r>
      <rPr>
        <sz val="10"/>
        <rFont val="宋体"/>
        <family val="3"/>
        <charset val="134"/>
      </rPr>
      <t>营业成本</t>
    </r>
    <r>
      <rPr>
        <sz val="10"/>
        <rFont val="Arial Narrow"/>
        <family val="2"/>
      </rPr>
      <t>(</t>
    </r>
    <r>
      <rPr>
        <sz val="10"/>
        <rFont val="宋体"/>
        <family val="3"/>
        <charset val="134"/>
      </rPr>
      <t>材料、燃料动力、人工、制造费用</t>
    </r>
    <r>
      <rPr>
        <sz val="10"/>
        <rFont val="Arial Narrow"/>
        <family val="2"/>
      </rPr>
      <t>)</t>
    </r>
    <r>
      <rPr>
        <sz val="10"/>
        <rFont val="宋体"/>
        <family val="3"/>
        <charset val="134"/>
      </rPr>
      <t>；</t>
    </r>
    <r>
      <rPr>
        <sz val="10"/>
        <rFont val="Arial Narrow"/>
        <family val="2"/>
      </rPr>
      <t>c\</t>
    </r>
    <r>
      <rPr>
        <sz val="10"/>
        <rFont val="宋体"/>
        <family val="3"/>
        <charset val="134"/>
      </rPr>
      <t>税金及附加；</t>
    </r>
    <r>
      <rPr>
        <sz val="10"/>
        <rFont val="Arial Narrow"/>
        <family val="2"/>
      </rPr>
      <t>d\</t>
    </r>
    <r>
      <rPr>
        <sz val="10"/>
        <rFont val="宋体"/>
        <family val="3"/>
        <charset val="134"/>
      </rPr>
      <t>折旧及摊销、固定及无形资产、长期待摊；</t>
    </r>
    <r>
      <rPr>
        <sz val="10"/>
        <rFont val="Arial Narrow"/>
        <family val="2"/>
      </rPr>
      <t>e\</t>
    </r>
    <r>
      <rPr>
        <sz val="10"/>
        <rFont val="宋体"/>
        <family val="3"/>
        <charset val="134"/>
      </rPr>
      <t>销售、管理费用；</t>
    </r>
    <r>
      <rPr>
        <sz val="10"/>
        <rFont val="Arial Narrow"/>
        <family val="2"/>
      </rPr>
      <t>f\</t>
    </r>
    <r>
      <rPr>
        <sz val="10"/>
        <rFont val="宋体"/>
        <family val="3"/>
        <charset val="134"/>
      </rPr>
      <t>资产减值损失、公允价值变动收益；</t>
    </r>
    <r>
      <rPr>
        <sz val="10"/>
        <rFont val="Arial Narrow"/>
        <family val="2"/>
      </rPr>
      <t>g\</t>
    </r>
    <r>
      <rPr>
        <sz val="10"/>
        <rFont val="宋体"/>
        <family val="3"/>
        <charset val="134"/>
      </rPr>
      <t>营业外收支；</t>
    </r>
    <r>
      <rPr>
        <sz val="10"/>
        <rFont val="Arial Narrow"/>
        <family val="2"/>
      </rPr>
      <t>h\</t>
    </r>
    <r>
      <rPr>
        <sz val="10"/>
        <rFont val="宋体"/>
        <family val="3"/>
        <charset val="134"/>
      </rPr>
      <t>财务费用</t>
    </r>
    <phoneticPr fontId="6" type="noConversion"/>
  </si>
  <si>
    <r>
      <t>5.</t>
    </r>
    <r>
      <rPr>
        <sz val="10"/>
        <rFont val="宋体"/>
        <family val="3"/>
        <charset val="134"/>
      </rPr>
      <t>区分经营活动和其他活动，编制利润调整表</t>
    </r>
    <phoneticPr fontId="6" type="noConversion"/>
  </si>
  <si>
    <r>
      <t>6.</t>
    </r>
    <r>
      <rPr>
        <sz val="10"/>
        <rFont val="宋体"/>
        <family val="3"/>
        <charset val="134"/>
      </rPr>
      <t>计算经营最低保有现金，测算溢余现金</t>
    </r>
    <phoneticPr fontId="38" type="noConversion"/>
  </si>
  <si>
    <r>
      <t>7.</t>
    </r>
    <r>
      <rPr>
        <sz val="10"/>
        <rFont val="宋体"/>
        <family val="3"/>
        <charset val="134"/>
      </rPr>
      <t>区分经营活动和其他活动编制资产负债调整表</t>
    </r>
    <phoneticPr fontId="6" type="noConversion"/>
  </si>
  <si>
    <r>
      <t>8.</t>
    </r>
    <r>
      <rPr>
        <sz val="10"/>
        <rFont val="宋体"/>
        <family val="3"/>
        <charset val="134"/>
      </rPr>
      <t>根据调整后的资产负债表、利润表，分析历史财务指标。</t>
    </r>
    <phoneticPr fontId="6" type="noConversion"/>
  </si>
  <si>
    <r>
      <t>9.</t>
    </r>
    <r>
      <rPr>
        <sz val="10"/>
        <rFont val="宋体"/>
        <family val="3"/>
        <charset val="134"/>
      </rPr>
      <t>正确识别被评估企业所属行业，审慎选择参考上市公司，并统计相关财务指标</t>
    </r>
    <phoneticPr fontId="6" type="noConversion"/>
  </si>
  <si>
    <r>
      <rPr>
        <b/>
        <sz val="10"/>
        <rFont val="宋体"/>
        <family val="3"/>
        <charset val="134"/>
      </rPr>
      <t>三、分析、预测</t>
    </r>
    <phoneticPr fontId="6" type="noConversion"/>
  </si>
  <si>
    <r>
      <t>10.</t>
    </r>
    <r>
      <rPr>
        <sz val="10"/>
        <rFont val="宋体"/>
        <family val="3"/>
        <charset val="134"/>
      </rPr>
      <t>根据历史统计数据、财务指标、参考上市公司平均财务指标、宏观经济状况、行业经济状况、企业发展状况等，调整企业预测的经营活动营业收入、营业成本、税金及附加、销售费用、管理费用等利润表项目</t>
    </r>
    <phoneticPr fontId="38" type="noConversion"/>
  </si>
  <si>
    <r>
      <t>11.</t>
    </r>
    <r>
      <rPr>
        <sz val="10"/>
        <rFont val="宋体"/>
        <family val="3"/>
        <charset val="134"/>
      </rPr>
      <t>预测营运资金及其净变动；
预测固定资产【存量固定资产、新增固定资产、在建工程转入</t>
    </r>
    <r>
      <rPr>
        <sz val="10"/>
        <rFont val="宋体"/>
        <family val="3"/>
        <charset val="134"/>
      </rPr>
      <t>】、无形资产【土地使用权、技术、软件使用费、开发支出转入】、长期待摊费用、并编制资本性支出预测表。
预测其他非流动资产</t>
    </r>
    <r>
      <rPr>
        <sz val="10"/>
        <rFont val="Arial Narrow"/>
        <family val="2"/>
      </rPr>
      <t>(</t>
    </r>
    <r>
      <rPr>
        <sz val="10"/>
        <rFont val="宋体"/>
        <family val="3"/>
        <charset val="134"/>
      </rPr>
      <t>固定资产清理、商誉、递延所得税资产、其他</t>
    </r>
    <r>
      <rPr>
        <sz val="10"/>
        <rFont val="Arial Narrow"/>
        <family val="2"/>
      </rPr>
      <t>)</t>
    </r>
    <r>
      <rPr>
        <sz val="10"/>
        <rFont val="宋体"/>
        <family val="3"/>
        <charset val="134"/>
      </rPr>
      <t>、非流动负债</t>
    </r>
    <r>
      <rPr>
        <sz val="10"/>
        <rFont val="Arial Narrow"/>
        <family val="2"/>
      </rPr>
      <t>(</t>
    </r>
    <r>
      <rPr>
        <sz val="10"/>
        <rFont val="宋体"/>
        <family val="3"/>
        <charset val="134"/>
      </rPr>
      <t>长期应付款、专项应付款、预计负债、递延所得税负债、其他</t>
    </r>
    <r>
      <rPr>
        <sz val="10"/>
        <rFont val="Arial Narrow"/>
        <family val="2"/>
      </rPr>
      <t>)</t>
    </r>
    <r>
      <rPr>
        <sz val="10"/>
        <rFont val="宋体"/>
        <family val="3"/>
        <charset val="134"/>
      </rPr>
      <t>等资产负债表项目。</t>
    </r>
    <phoneticPr fontId="6" type="noConversion"/>
  </si>
  <si>
    <r>
      <t>12.</t>
    </r>
    <r>
      <rPr>
        <sz val="10"/>
        <rFont val="宋体"/>
        <family val="3"/>
        <charset val="134"/>
      </rPr>
      <t>根据历史情况，选择恰当的融资政策、现有借款合同等预测付息债务及利息费用，以及债务资本成本</t>
    </r>
    <phoneticPr fontId="38" type="noConversion"/>
  </si>
  <si>
    <r>
      <t>13.</t>
    </r>
    <r>
      <rPr>
        <sz val="10"/>
        <rFont val="宋体"/>
        <family val="3"/>
        <charset val="134"/>
      </rPr>
      <t>编制收益预测表。</t>
    </r>
    <phoneticPr fontId="6" type="noConversion"/>
  </si>
  <si>
    <r>
      <t>14.</t>
    </r>
    <r>
      <rPr>
        <sz val="10"/>
        <rFont val="宋体"/>
        <family val="3"/>
        <charset val="134"/>
      </rPr>
      <t>根据收益预测表，编制自由现金流量测算表。</t>
    </r>
    <phoneticPr fontId="6" type="noConversion"/>
  </si>
  <si>
    <r>
      <rPr>
        <b/>
        <sz val="10"/>
        <rFont val="宋体"/>
        <family val="3"/>
        <charset val="134"/>
      </rPr>
      <t>四、评估计算</t>
    </r>
    <phoneticPr fontId="6" type="noConversion"/>
  </si>
  <si>
    <r>
      <t>15.</t>
    </r>
    <r>
      <rPr>
        <sz val="10"/>
        <rFont val="宋体"/>
        <family val="3"/>
        <charset val="134"/>
      </rPr>
      <t>计算折现率涉及的</t>
    </r>
    <r>
      <rPr>
        <sz val="10"/>
        <rFont val="Arial Narrow"/>
        <family val="2"/>
      </rPr>
      <t>(Ke</t>
    </r>
    <r>
      <rPr>
        <sz val="10"/>
        <rFont val="宋体"/>
        <family val="3"/>
        <charset val="134"/>
      </rPr>
      <t>、</t>
    </r>
    <r>
      <rPr>
        <sz val="10"/>
        <rFont val="Arial Narrow"/>
        <family val="2"/>
      </rPr>
      <t>Kd</t>
    </r>
    <r>
      <rPr>
        <sz val="10"/>
        <rFont val="宋体"/>
        <family val="3"/>
        <charset val="134"/>
      </rPr>
      <t>、</t>
    </r>
    <r>
      <rPr>
        <sz val="10"/>
        <rFont val="Arial Narrow"/>
        <family val="2"/>
      </rPr>
      <t>WACC)</t>
    </r>
    <r>
      <rPr>
        <sz val="10"/>
        <rFont val="宋体"/>
        <family val="3"/>
        <charset val="134"/>
      </rPr>
      <t>等参数</t>
    </r>
    <phoneticPr fontId="6" type="noConversion"/>
  </si>
  <si>
    <r>
      <t>16.</t>
    </r>
    <r>
      <rPr>
        <sz val="10"/>
        <rFont val="宋体"/>
        <family val="3"/>
        <charset val="134"/>
      </rPr>
      <t>采用现金流量折现法对债务融资现金流量进行折现，计算付息债务市场价值</t>
    </r>
    <phoneticPr fontId="6" type="noConversion"/>
  </si>
  <si>
    <r>
      <t>17.</t>
    </r>
    <r>
      <rPr>
        <sz val="10"/>
        <rFont val="宋体"/>
        <family val="3"/>
        <charset val="134"/>
      </rPr>
      <t>计算企业经营资产价值</t>
    </r>
    <phoneticPr fontId="6" type="noConversion"/>
  </si>
  <si>
    <r>
      <t>18.</t>
    </r>
    <r>
      <rPr>
        <sz val="10"/>
        <rFont val="宋体"/>
        <family val="3"/>
        <charset val="134"/>
      </rPr>
      <t>选用恰当的评估方法，计算其他活动涉及的资产、负债价值，计算子公司少数股东权益价值</t>
    </r>
    <phoneticPr fontId="6" type="noConversion"/>
  </si>
  <si>
    <r>
      <t>19.</t>
    </r>
    <r>
      <rPr>
        <sz val="10"/>
        <rFont val="宋体"/>
        <family val="3"/>
        <charset val="134"/>
      </rPr>
      <t>计算企业整体价值，股东全部权益价值</t>
    </r>
    <phoneticPr fontId="6" type="noConversion"/>
  </si>
  <si>
    <r>
      <t>20.</t>
    </r>
    <r>
      <rPr>
        <sz val="10"/>
        <rFont val="宋体"/>
        <family val="3"/>
        <charset val="134"/>
      </rPr>
      <t>如涉及股东部分权益价值，恰当考虑股权流动性折扣、控制权的溢折价等并计算之。</t>
    </r>
    <phoneticPr fontId="6" type="noConversion"/>
  </si>
  <si>
    <r>
      <rPr>
        <b/>
        <sz val="10"/>
        <rFont val="宋体"/>
        <family val="3"/>
        <charset val="134"/>
      </rPr>
      <t>五、检查、分析</t>
    </r>
    <phoneticPr fontId="6" type="noConversion"/>
  </si>
  <si>
    <r>
      <t>21.</t>
    </r>
    <r>
      <rPr>
        <sz val="10"/>
        <rFont val="宋体"/>
        <family val="3"/>
        <charset val="134"/>
      </rPr>
      <t>检查收益法的逻辑计算过程及分析评估结果的合理性</t>
    </r>
    <phoneticPr fontId="6" type="noConversion"/>
  </si>
  <si>
    <r>
      <t>22.</t>
    </r>
    <r>
      <rPr>
        <sz val="10"/>
        <rFont val="宋体"/>
        <family val="3"/>
        <charset val="134"/>
      </rPr>
      <t>以计算表为基础，编写收益法评估说明</t>
    </r>
    <phoneticPr fontId="6" type="noConversion"/>
  </si>
  <si>
    <r>
      <t>23.</t>
    </r>
    <r>
      <rPr>
        <sz val="10"/>
        <rFont val="宋体"/>
        <family val="3"/>
        <charset val="134"/>
      </rPr>
      <t>撰写本项目中需要特别关注的事项和需要披露的特别事项。</t>
    </r>
    <phoneticPr fontId="6" type="noConversion"/>
  </si>
  <si>
    <t>需具体分析毛利率变动原因，以及提高或降低措施，而不是仅仅列张汇总表（要有具体的纸质底稿支撑）</t>
    <phoneticPr fontId="6" type="noConversion"/>
  </si>
  <si>
    <t>（要有具体的纸质底稿支撑）</t>
    <phoneticPr fontId="6" type="noConversion"/>
  </si>
  <si>
    <t>基准日建筑类账面净值</t>
    <phoneticPr fontId="6" type="noConversion"/>
  </si>
  <si>
    <t>存量建筑类折旧额</t>
    <phoneticPr fontId="6" type="noConversion"/>
  </si>
  <si>
    <t>期末建筑物类账面净值</t>
    <phoneticPr fontId="6" type="noConversion"/>
  </si>
  <si>
    <t>存量设备类折旧额</t>
    <phoneticPr fontId="6" type="noConversion"/>
  </si>
  <si>
    <t>期末设备类账面净值</t>
    <phoneticPr fontId="6" type="noConversion"/>
  </si>
  <si>
    <t>长期待摊费用账面净值</t>
  </si>
  <si>
    <t>年度</t>
    <phoneticPr fontId="6" type="noConversion"/>
  </si>
  <si>
    <t>基准日其他无形资产账面原值</t>
    <phoneticPr fontId="6" type="noConversion"/>
  </si>
  <si>
    <t>基准日其他无形资产账面净值</t>
    <phoneticPr fontId="6" type="noConversion"/>
  </si>
  <si>
    <t>存量其他无形资产摊销额</t>
    <phoneticPr fontId="6" type="noConversion"/>
  </si>
  <si>
    <t>基准日账面净值</t>
    <phoneticPr fontId="6" type="noConversion"/>
  </si>
  <si>
    <t>折旧年限</t>
    <phoneticPr fontId="6" type="noConversion"/>
  </si>
  <si>
    <t>长摊资产支出</t>
    <phoneticPr fontId="6" type="noConversion"/>
  </si>
  <si>
    <t>无形资产支出</t>
    <phoneticPr fontId="6" type="noConversion"/>
  </si>
  <si>
    <t>长期待摊费用摊销</t>
    <phoneticPr fontId="6" type="noConversion"/>
  </si>
  <si>
    <t>采用上年数计算，可根据具体发生情况填列</t>
  </si>
  <si>
    <t>减:少数股东损益</t>
    <phoneticPr fontId="6" type="noConversion"/>
  </si>
  <si>
    <t>五、归母净利润</t>
    <phoneticPr fontId="6" type="noConversion"/>
  </si>
  <si>
    <t>折现期</t>
    <phoneticPr fontId="6" type="noConversion"/>
  </si>
  <si>
    <t>股权自由现金流现值</t>
    <phoneticPr fontId="6" type="noConversion"/>
  </si>
  <si>
    <t>六、股权自由现金流现值合计</t>
    <phoneticPr fontId="6" type="noConversion"/>
  </si>
  <si>
    <t>一、营业收入</t>
    <phoneticPr fontId="6" type="noConversion"/>
  </si>
  <si>
    <t>减：营业成本</t>
    <phoneticPr fontId="6" type="noConversion"/>
  </si>
  <si>
    <t>减：税金及附加</t>
    <phoneticPr fontId="6" type="noConversion"/>
  </si>
  <si>
    <t>减：销售费用</t>
    <phoneticPr fontId="6" type="noConversion"/>
  </si>
  <si>
    <t>减：管理费用</t>
    <phoneticPr fontId="6" type="noConversion"/>
  </si>
  <si>
    <t>减：研发费用</t>
    <phoneticPr fontId="6" type="noConversion"/>
  </si>
  <si>
    <t>减：财务费用</t>
    <phoneticPr fontId="6" type="noConversion"/>
  </si>
  <si>
    <t>二、营业利润</t>
    <phoneticPr fontId="6" type="noConversion"/>
  </si>
  <si>
    <t>三、利润总额</t>
    <phoneticPr fontId="6" type="noConversion"/>
  </si>
  <si>
    <t>减:所得税费用</t>
    <phoneticPr fontId="6" type="noConversion"/>
  </si>
  <si>
    <t>四、净利润</t>
    <phoneticPr fontId="6" type="noConversion"/>
  </si>
  <si>
    <t>加：折旧与摊销</t>
    <phoneticPr fontId="6" type="noConversion"/>
  </si>
  <si>
    <t>减：资本性支出</t>
    <phoneticPr fontId="6" type="noConversion"/>
  </si>
  <si>
    <t>减：净营运资金变动</t>
    <phoneticPr fontId="6" type="noConversion"/>
  </si>
  <si>
    <t>加：付息债务的增加</t>
    <phoneticPr fontId="6" type="noConversion"/>
  </si>
  <si>
    <r>
      <rPr>
        <b/>
        <sz val="10"/>
        <rFont val="宋体"/>
        <family val="3"/>
        <charset val="134"/>
      </rPr>
      <t>股权自由现金流</t>
    </r>
    <r>
      <rPr>
        <b/>
        <sz val="10"/>
        <rFont val="Arial Narrow"/>
        <family val="2"/>
      </rPr>
      <t xml:space="preserve"> (FCFE)</t>
    </r>
    <phoneticPr fontId="6" type="noConversion"/>
  </si>
  <si>
    <t>项目</t>
    <phoneticPr fontId="6" type="noConversion"/>
  </si>
  <si>
    <r>
      <rPr>
        <sz val="10"/>
        <rFont val="宋体"/>
        <family val="3"/>
        <charset val="134"/>
      </rPr>
      <t>无风险报酬率（</t>
    </r>
    <r>
      <rPr>
        <sz val="10"/>
        <rFont val="Arial Narrow"/>
        <family val="2"/>
      </rPr>
      <t>R</t>
    </r>
    <r>
      <rPr>
        <vertAlign val="subscript"/>
        <sz val="10"/>
        <rFont val="Arial Narrow"/>
        <family val="2"/>
      </rPr>
      <t>f</t>
    </r>
    <r>
      <rPr>
        <sz val="10"/>
        <rFont val="宋体"/>
        <family val="3"/>
        <charset val="134"/>
      </rPr>
      <t>）</t>
    </r>
    <phoneticPr fontId="6" type="noConversion"/>
  </si>
  <si>
    <r>
      <t>MRP</t>
    </r>
    <r>
      <rPr>
        <sz val="10"/>
        <rFont val="宋体"/>
        <family val="3"/>
        <charset val="134"/>
      </rPr>
      <t>（市场风险溢价）</t>
    </r>
    <r>
      <rPr>
        <sz val="10"/>
        <rFont val="Arial Narrow"/>
        <family val="2"/>
      </rPr>
      <t>=R</t>
    </r>
    <r>
      <rPr>
        <vertAlign val="subscript"/>
        <sz val="10"/>
        <rFont val="Arial Narrow"/>
        <family val="2"/>
      </rPr>
      <t>m</t>
    </r>
    <r>
      <rPr>
        <sz val="10"/>
        <rFont val="Arial Narrow"/>
        <family val="2"/>
      </rPr>
      <t>-R</t>
    </r>
    <r>
      <rPr>
        <vertAlign val="subscript"/>
        <sz val="10"/>
        <rFont val="Arial Narrow"/>
        <family val="2"/>
      </rPr>
      <t>f</t>
    </r>
    <phoneticPr fontId="6" type="noConversion"/>
  </si>
  <si>
    <t>Q</t>
    <phoneticPr fontId="6" type="noConversion"/>
  </si>
  <si>
    <r>
      <t>经营性资产财务报表预测表</t>
    </r>
    <r>
      <rPr>
        <b/>
        <sz val="20"/>
        <color rgb="FFFF0000"/>
        <rFont val="微软雅黑"/>
        <family val="2"/>
        <charset val="134"/>
      </rPr>
      <t>（检查用）</t>
    </r>
    <phoneticPr fontId="6" type="noConversion"/>
  </si>
  <si>
    <t>该工作表已保护！</t>
    <phoneticPr fontId="6" type="noConversion"/>
  </si>
  <si>
    <r>
      <rPr>
        <sz val="10"/>
        <rFont val="宋体"/>
        <family val="3"/>
        <charset val="134"/>
      </rPr>
      <t>具体预测见</t>
    </r>
    <r>
      <rPr>
        <sz val="10"/>
        <rFont val="Arial Narrow"/>
        <family val="2"/>
      </rPr>
      <t>“</t>
    </r>
    <r>
      <rPr>
        <sz val="10"/>
        <rFont val="宋体"/>
        <family val="3"/>
        <charset val="134"/>
      </rPr>
      <t>收益法预测操作手册</t>
    </r>
    <r>
      <rPr>
        <sz val="10"/>
        <rFont val="Arial Narrow"/>
        <family val="2"/>
      </rPr>
      <t>”</t>
    </r>
    <phoneticPr fontId="6" type="noConversion"/>
  </si>
  <si>
    <t>经营最低保有现金测算</t>
    <phoneticPr fontId="6" type="noConversion"/>
  </si>
  <si>
    <t>3、FCFE模型只适用评估基准日及未来预测期间无付息负债的情形。</t>
  </si>
  <si>
    <r>
      <rPr>
        <sz val="12"/>
        <rFont val="宋体"/>
        <family val="3"/>
        <charset val="134"/>
      </rPr>
      <t>密码</t>
    </r>
    <r>
      <rPr>
        <sz val="12"/>
        <rFont val="Arial"/>
        <family val="2"/>
      </rPr>
      <t>0528</t>
    </r>
    <phoneticPr fontId="6" type="noConversion"/>
  </si>
  <si>
    <t>原材料</t>
    <phoneticPr fontId="6" type="noConversion"/>
  </si>
  <si>
    <t>燃料及动力</t>
    <phoneticPr fontId="6" type="noConversion"/>
  </si>
  <si>
    <t>生产人员工资及附加</t>
  </si>
  <si>
    <t>其他</t>
    <phoneticPr fontId="6" type="noConversion"/>
  </si>
  <si>
    <t>示例</t>
    <phoneticPr fontId="6" type="noConversion"/>
  </si>
  <si>
    <t>成本分析</t>
  </si>
  <si>
    <t>折旧（及摊销）</t>
    <phoneticPr fontId="6" type="noConversion"/>
  </si>
  <si>
    <t>房屋建筑物</t>
    <phoneticPr fontId="6" type="noConversion"/>
  </si>
  <si>
    <r>
      <t>βL</t>
    </r>
    <r>
      <rPr>
        <sz val="10"/>
        <rFont val="宋体"/>
        <family val="3"/>
        <charset val="134"/>
      </rPr>
      <t>（</t>
    </r>
    <r>
      <rPr>
        <sz val="10"/>
        <rFont val="Arial Narrow"/>
        <family val="2"/>
      </rPr>
      <t>=β</t>
    </r>
    <r>
      <rPr>
        <vertAlign val="subscript"/>
        <sz val="10"/>
        <rFont val="Arial Narrow"/>
        <family val="2"/>
      </rPr>
      <t>U</t>
    </r>
    <r>
      <rPr>
        <sz val="10"/>
        <rFont val="宋体"/>
        <family val="3"/>
        <charset val="134"/>
      </rPr>
      <t>）</t>
    </r>
    <phoneticPr fontId="6" type="noConversion"/>
  </si>
  <si>
    <r>
      <rPr>
        <sz val="10"/>
        <rFont val="宋体"/>
        <family val="3"/>
        <charset val="134"/>
      </rPr>
      <t>权益成本</t>
    </r>
    <r>
      <rPr>
        <sz val="10"/>
        <rFont val="Arial Narrow"/>
        <family val="2"/>
      </rPr>
      <t>Ke</t>
    </r>
    <phoneticPr fontId="6" type="noConversion"/>
  </si>
  <si>
    <t>应用前提</t>
    <phoneticPr fontId="6" type="noConversion"/>
  </si>
  <si>
    <r>
      <rPr>
        <b/>
        <sz val="10"/>
        <rFont val="宋体"/>
        <family val="3"/>
        <charset val="134"/>
      </rPr>
      <t>该</t>
    </r>
    <r>
      <rPr>
        <b/>
        <sz val="10"/>
        <rFont val="Arial Narrow"/>
        <family val="2"/>
      </rPr>
      <t>FCFE</t>
    </r>
    <r>
      <rPr>
        <b/>
        <sz val="10"/>
        <rFont val="宋体"/>
        <family val="3"/>
        <charset val="134"/>
      </rPr>
      <t>模型只适用评估基准日及未来预测期间无付息负债的情形。</t>
    </r>
    <phoneticPr fontId="6" type="noConversion"/>
  </si>
  <si>
    <t>取值</t>
  </si>
  <si>
    <r>
      <t>1</t>
    </r>
    <r>
      <rPr>
        <sz val="11"/>
        <rFont val="宋体"/>
        <family val="3"/>
        <charset val="134"/>
      </rPr>
      <t>、稳定期增长率假设为零，如考虑永续增长，终值需另外用价值驱动因素模型计算。</t>
    </r>
    <phoneticPr fontId="6" type="noConversion"/>
  </si>
  <si>
    <t>不含商誉</t>
    <phoneticPr fontId="6" type="noConversion"/>
  </si>
  <si>
    <t>含商誉</t>
    <phoneticPr fontId="6" type="noConversion"/>
  </si>
  <si>
    <t>EBIT(1-T)</t>
    <phoneticPr fontId="6" type="noConversion"/>
  </si>
  <si>
    <t>溢余现金</t>
    <phoneticPr fontId="6" type="noConversion"/>
  </si>
  <si>
    <r>
      <rPr>
        <sz val="10"/>
        <rFont val="宋体"/>
        <family val="3"/>
        <charset val="134"/>
      </rPr>
      <t>减</t>
    </r>
    <r>
      <rPr>
        <sz val="10"/>
        <rFont val="Arial Narrow"/>
        <family val="2"/>
      </rPr>
      <t>:</t>
    </r>
    <r>
      <rPr>
        <sz val="10"/>
        <rFont val="宋体"/>
        <family val="3"/>
        <charset val="134"/>
      </rPr>
      <t>所得税费用</t>
    </r>
    <phoneticPr fontId="6" type="noConversion"/>
  </si>
  <si>
    <t>应收票据及应收账款</t>
    <phoneticPr fontId="6" type="noConversion"/>
  </si>
  <si>
    <t>预付款项</t>
    <phoneticPr fontId="6" type="noConversion"/>
  </si>
  <si>
    <t>其他应收款</t>
    <phoneticPr fontId="6" type="noConversion"/>
  </si>
  <si>
    <t>存货</t>
    <phoneticPr fontId="6" type="noConversion"/>
  </si>
  <si>
    <t>合同资产</t>
    <phoneticPr fontId="6" type="noConversion"/>
  </si>
  <si>
    <t>一年内到期的非流动资产</t>
    <phoneticPr fontId="6" type="noConversion"/>
  </si>
  <si>
    <t>其他流动资产</t>
    <phoneticPr fontId="6" type="noConversion"/>
  </si>
  <si>
    <t>长期应收款</t>
    <phoneticPr fontId="6" type="noConversion"/>
  </si>
  <si>
    <t>固定资产</t>
    <phoneticPr fontId="6" type="noConversion"/>
  </si>
  <si>
    <t>在建工程</t>
    <phoneticPr fontId="6" type="noConversion"/>
  </si>
  <si>
    <t>生产性生物资产</t>
    <phoneticPr fontId="6" type="noConversion"/>
  </si>
  <si>
    <t>油气资产</t>
    <phoneticPr fontId="6" type="noConversion"/>
  </si>
  <si>
    <t>无形资产</t>
    <phoneticPr fontId="6" type="noConversion"/>
  </si>
  <si>
    <t>开发支出</t>
    <phoneticPr fontId="6" type="noConversion"/>
  </si>
  <si>
    <t>长期待摊费用</t>
    <phoneticPr fontId="6" type="noConversion"/>
  </si>
  <si>
    <t>其他非流动资产</t>
    <phoneticPr fontId="6" type="noConversion"/>
  </si>
  <si>
    <t>应付票据及应付款项</t>
    <phoneticPr fontId="38" type="noConversion"/>
  </si>
  <si>
    <t>预收款项</t>
    <phoneticPr fontId="6" type="noConversion"/>
  </si>
  <si>
    <t>合同负债</t>
    <phoneticPr fontId="6" type="noConversion"/>
  </si>
  <si>
    <t>其他应付款</t>
    <phoneticPr fontId="6" type="noConversion"/>
  </si>
  <si>
    <t>其他流动负债</t>
    <phoneticPr fontId="6" type="noConversion"/>
  </si>
  <si>
    <t>长期应付款</t>
    <phoneticPr fontId="6" type="noConversion"/>
  </si>
  <si>
    <t>预计负债</t>
    <phoneticPr fontId="6" type="noConversion"/>
  </si>
  <si>
    <t>其他非流动负债</t>
    <phoneticPr fontId="6" type="noConversion"/>
  </si>
  <si>
    <t>非付息流动负债合计</t>
    <phoneticPr fontId="6" type="noConversion"/>
  </si>
  <si>
    <t>非付息非流动负债合计</t>
    <phoneticPr fontId="6" type="noConversion"/>
  </si>
  <si>
    <t>非流动资产合计</t>
    <phoneticPr fontId="6" type="noConversion"/>
  </si>
  <si>
    <t>流动资产合计</t>
    <phoneticPr fontId="6" type="noConversion"/>
  </si>
  <si>
    <t>资产总计</t>
    <phoneticPr fontId="6" type="noConversion"/>
  </si>
  <si>
    <t>归母权益</t>
    <phoneticPr fontId="6" type="noConversion"/>
  </si>
  <si>
    <t>所有者权益合计</t>
    <phoneticPr fontId="6" type="noConversion"/>
  </si>
  <si>
    <t>负债和所有者权益总计</t>
    <phoneticPr fontId="6" type="noConversion"/>
  </si>
  <si>
    <t>流动资产</t>
    <phoneticPr fontId="6" type="noConversion"/>
  </si>
  <si>
    <t>流动负债</t>
    <phoneticPr fontId="6" type="noConversion"/>
  </si>
  <si>
    <t>投入资本（不含商誉）</t>
    <phoneticPr fontId="6" type="noConversion"/>
  </si>
  <si>
    <t>投入资本（含商誉）</t>
    <phoneticPr fontId="6" type="noConversion"/>
  </si>
  <si>
    <r>
      <t>ROIC</t>
    </r>
    <r>
      <rPr>
        <sz val="10"/>
        <rFont val="宋体"/>
        <family val="3"/>
        <charset val="134"/>
      </rPr>
      <t>（年初）</t>
    </r>
    <phoneticPr fontId="6" type="noConversion"/>
  </si>
  <si>
    <r>
      <t>ROIC</t>
    </r>
    <r>
      <rPr>
        <sz val="10"/>
        <rFont val="宋体"/>
        <family val="3"/>
        <charset val="134"/>
      </rPr>
      <t>（平均）</t>
    </r>
    <phoneticPr fontId="6" type="noConversion"/>
  </si>
  <si>
    <t>流动资产</t>
    <phoneticPr fontId="6" type="noConversion"/>
  </si>
  <si>
    <t>非流动资产</t>
    <phoneticPr fontId="6" type="noConversion"/>
  </si>
  <si>
    <t>非付息流动负债</t>
    <phoneticPr fontId="6" type="noConversion"/>
  </si>
  <si>
    <t>非付息非流动负债</t>
    <phoneticPr fontId="6" type="noConversion"/>
  </si>
  <si>
    <t>付息负债</t>
    <phoneticPr fontId="6" type="noConversion"/>
  </si>
  <si>
    <t>所有者权益</t>
    <phoneticPr fontId="6" type="noConversion"/>
  </si>
  <si>
    <t>少数股东所在公司派发股利的比例</t>
    <phoneticPr fontId="6" type="noConversion"/>
  </si>
  <si>
    <t>完成利润表剩余项目</t>
    <phoneticPr fontId="6" type="noConversion"/>
  </si>
  <si>
    <t>新增借款利率</t>
    <phoneticPr fontId="6" type="noConversion"/>
  </si>
  <si>
    <t>所得税税率</t>
    <phoneticPr fontId="6" type="noConversion"/>
  </si>
  <si>
    <t>完成资产负债表剩余项目</t>
    <phoneticPr fontId="6" type="noConversion"/>
  </si>
  <si>
    <t>收益预测表</t>
    <phoneticPr fontId="6" type="noConversion"/>
  </si>
  <si>
    <t>补充投入资本计算表剩余历史数据</t>
    <phoneticPr fontId="6" type="noConversion"/>
  </si>
  <si>
    <t>加：累计减值的商誉</t>
    <phoneticPr fontId="6" type="noConversion"/>
  </si>
  <si>
    <t>盈余现金</t>
    <phoneticPr fontId="6" type="noConversion"/>
  </si>
  <si>
    <t>折旧率</t>
    <phoneticPr fontId="6" type="noConversion"/>
  </si>
  <si>
    <t>折旧率</t>
    <phoneticPr fontId="6" type="noConversion"/>
  </si>
  <si>
    <t>固定资产支出</t>
    <phoneticPr fontId="6" type="noConversion"/>
  </si>
  <si>
    <t>新增建筑类折旧额</t>
    <phoneticPr fontId="6" type="noConversion"/>
  </si>
  <si>
    <t>折旧年限</t>
    <phoneticPr fontId="6" type="noConversion"/>
  </si>
  <si>
    <t>建筑类折旧额小计</t>
    <phoneticPr fontId="6" type="noConversion"/>
  </si>
  <si>
    <t>机器折旧额自动计算过程</t>
    <phoneticPr fontId="6" type="noConversion"/>
  </si>
  <si>
    <t>新增机器折旧额</t>
    <phoneticPr fontId="6" type="noConversion"/>
  </si>
  <si>
    <t>新增车辆折旧额</t>
    <phoneticPr fontId="6" type="noConversion"/>
  </si>
  <si>
    <t>新增电子设备折旧额</t>
    <phoneticPr fontId="6" type="noConversion"/>
  </si>
  <si>
    <t>车辆折旧额自动计算过程</t>
    <phoneticPr fontId="6" type="noConversion"/>
  </si>
  <si>
    <t>电子设备折旧额自动计算过程</t>
    <phoneticPr fontId="6" type="noConversion"/>
  </si>
  <si>
    <t>固定资产支出与折旧预测表</t>
    <phoneticPr fontId="6" type="noConversion"/>
  </si>
  <si>
    <t>设备类折旧额小计</t>
    <phoneticPr fontId="6" type="noConversion"/>
  </si>
  <si>
    <t>长摊和无形资产支出与摊销预测表</t>
    <phoneticPr fontId="6" type="noConversion"/>
  </si>
  <si>
    <t>长摊和无形资产支出</t>
    <phoneticPr fontId="6" type="noConversion"/>
  </si>
  <si>
    <t>摊销年限</t>
    <phoneticPr fontId="6" type="noConversion"/>
  </si>
  <si>
    <r>
      <t>土地使用权</t>
    </r>
    <r>
      <rPr>
        <b/>
        <sz val="10"/>
        <color rgb="FF0000FF"/>
        <rFont val="Arial Narrow"/>
        <family val="2"/>
      </rPr>
      <t/>
    </r>
    <phoneticPr fontId="6" type="noConversion"/>
  </si>
  <si>
    <t>未转固资产的处理</t>
    <phoneticPr fontId="6" type="noConversion"/>
  </si>
  <si>
    <t>项目</t>
    <phoneticPr fontId="6" type="noConversion"/>
  </si>
  <si>
    <t>未转固建筑物的账面值</t>
    <phoneticPr fontId="6" type="noConversion"/>
  </si>
  <si>
    <t>年度转固金额</t>
    <phoneticPr fontId="6" type="noConversion"/>
  </si>
  <si>
    <t>未转固设备的账面值</t>
    <phoneticPr fontId="6" type="noConversion"/>
  </si>
  <si>
    <t>年度转固金额-机器</t>
    <phoneticPr fontId="6" type="noConversion"/>
  </si>
  <si>
    <t>年度转固金额-车辆</t>
    <phoneticPr fontId="6" type="noConversion"/>
  </si>
  <si>
    <t>年度转固金额-电子设备</t>
    <phoneticPr fontId="6" type="noConversion"/>
  </si>
  <si>
    <t>设备</t>
    <phoneticPr fontId="6" type="noConversion"/>
  </si>
  <si>
    <t>新增建筑物投入原值</t>
    <phoneticPr fontId="6" type="noConversion"/>
  </si>
  <si>
    <t>新增机器投入原值</t>
    <phoneticPr fontId="6" type="noConversion"/>
  </si>
  <si>
    <t>新增车辆投入原值</t>
    <phoneticPr fontId="6" type="noConversion"/>
  </si>
  <si>
    <t>新增电子设备投入原值</t>
    <phoneticPr fontId="6" type="noConversion"/>
  </si>
  <si>
    <t>摊销合计</t>
    <phoneticPr fontId="6" type="noConversion"/>
  </si>
  <si>
    <t>未资本化无形资产的处理</t>
    <phoneticPr fontId="6" type="noConversion"/>
  </si>
  <si>
    <t>科目</t>
    <phoneticPr fontId="6" type="noConversion"/>
  </si>
  <si>
    <t>年度资本化金额</t>
    <phoneticPr fontId="6" type="noConversion"/>
  </si>
  <si>
    <t>未资本化的无形资产</t>
    <phoneticPr fontId="6" type="noConversion"/>
  </si>
  <si>
    <t>未资本化的土地</t>
    <phoneticPr fontId="6" type="noConversion"/>
  </si>
  <si>
    <t>基准日土地账面原值</t>
    <phoneticPr fontId="6" type="noConversion"/>
  </si>
  <si>
    <t>基准日土地账面净值</t>
    <phoneticPr fontId="6" type="noConversion"/>
  </si>
  <si>
    <t>存量土地摊销额</t>
    <phoneticPr fontId="6" type="noConversion"/>
  </si>
  <si>
    <t>新增土地投入原值</t>
    <phoneticPr fontId="6" type="noConversion"/>
  </si>
  <si>
    <t>新增土地摊销额</t>
    <phoneticPr fontId="6" type="noConversion"/>
  </si>
  <si>
    <t>土地摊销额小计</t>
    <phoneticPr fontId="6" type="noConversion"/>
  </si>
  <si>
    <t>土地使用权账面净值</t>
    <phoneticPr fontId="6" type="noConversion"/>
  </si>
  <si>
    <t>其他无形资产</t>
    <phoneticPr fontId="6" type="noConversion"/>
  </si>
  <si>
    <t>新增技术类无形资产投入原值</t>
    <phoneticPr fontId="6" type="noConversion"/>
  </si>
  <si>
    <t>新增无形资产摊销额</t>
    <phoneticPr fontId="6" type="noConversion"/>
  </si>
  <si>
    <t>无形资产摊销额小计</t>
    <phoneticPr fontId="6" type="noConversion"/>
  </si>
  <si>
    <t>其他无形资产账面净值</t>
    <phoneticPr fontId="6" type="noConversion"/>
  </si>
  <si>
    <t>技术无形资产摊销额自动计算过程</t>
    <phoneticPr fontId="6" type="noConversion"/>
  </si>
  <si>
    <r>
      <t>长期待摊费用</t>
    </r>
    <r>
      <rPr>
        <b/>
        <sz val="10"/>
        <color rgb="FF0000FF"/>
        <rFont val="Arial Narrow"/>
        <family val="2"/>
      </rPr>
      <t/>
    </r>
    <phoneticPr fontId="6" type="noConversion"/>
  </si>
  <si>
    <t>长摊资产摊销额自动计算过程</t>
    <phoneticPr fontId="6" type="noConversion"/>
  </si>
  <si>
    <t>基准日长摊费用原值</t>
    <phoneticPr fontId="6" type="noConversion"/>
  </si>
  <si>
    <t>基准日长摊费用净值</t>
    <phoneticPr fontId="6" type="noConversion"/>
  </si>
  <si>
    <t>存量长期费用摊销额</t>
    <phoneticPr fontId="6" type="noConversion"/>
  </si>
  <si>
    <t>新增长摊资产投入原值</t>
    <phoneticPr fontId="6" type="noConversion"/>
  </si>
  <si>
    <t>新增长摊费用摊销额</t>
  </si>
  <si>
    <t>长期费用摊销额小计</t>
    <phoneticPr fontId="6" type="noConversion"/>
  </si>
  <si>
    <t>限制用途现金</t>
    <phoneticPr fontId="6" type="noConversion"/>
  </si>
  <si>
    <t>其中：经营最低保有现金</t>
    <phoneticPr fontId="6" type="noConversion"/>
  </si>
  <si>
    <t>资产负债表中的货币资金</t>
    <phoneticPr fontId="6" type="noConversion"/>
  </si>
  <si>
    <t>当企业不稳定时，不能用周转天数预测！采用绝对额进行预测！</t>
    <phoneticPr fontId="6" type="noConversion"/>
  </si>
  <si>
    <t>全部为经营性资产负债；不含非经营！</t>
    <phoneticPr fontId="6" type="noConversion"/>
  </si>
  <si>
    <t>应收票据及应收账款计算行</t>
    <phoneticPr fontId="6" type="noConversion"/>
  </si>
  <si>
    <t>应收票据及应收账款</t>
    <phoneticPr fontId="6" type="noConversion"/>
  </si>
  <si>
    <t>预付款项计算行</t>
    <phoneticPr fontId="6" type="noConversion"/>
  </si>
  <si>
    <t>其他应收款计算行</t>
    <phoneticPr fontId="6" type="noConversion"/>
  </si>
  <si>
    <t>存货计算行</t>
    <phoneticPr fontId="6" type="noConversion"/>
  </si>
  <si>
    <t>合同资产</t>
    <phoneticPr fontId="6" type="noConversion"/>
  </si>
  <si>
    <t>一年内到期的非流动资产</t>
    <phoneticPr fontId="6" type="noConversion"/>
  </si>
  <si>
    <t>其他流动资产</t>
    <phoneticPr fontId="6" type="noConversion"/>
  </si>
  <si>
    <t>应付票据及应付款项计算行</t>
    <phoneticPr fontId="38" type="noConversion"/>
  </si>
  <si>
    <t>应付票据及应付账款</t>
    <phoneticPr fontId="38" type="noConversion"/>
  </si>
  <si>
    <t>预收款项计算行</t>
    <phoneticPr fontId="6" type="noConversion"/>
  </si>
  <si>
    <t>其他应付款计算行</t>
    <phoneticPr fontId="6" type="noConversion"/>
  </si>
  <si>
    <t>其他流动负债计算行</t>
    <phoneticPr fontId="6" type="noConversion"/>
  </si>
  <si>
    <t>流动负债合计</t>
    <phoneticPr fontId="6" type="noConversion"/>
  </si>
  <si>
    <t>如果将历史年度的非经营剔除后，营运资金占比就更清晰反映出趋势。</t>
    <phoneticPr fontId="6" type="noConversion"/>
  </si>
  <si>
    <t>新增借款</t>
    <phoneticPr fontId="6" type="noConversion"/>
  </si>
  <si>
    <t>新增借款</t>
    <phoneticPr fontId="6" type="noConversion"/>
  </si>
  <si>
    <r>
      <rPr>
        <sz val="10"/>
        <rFont val="宋体"/>
        <family val="3"/>
        <charset val="134"/>
      </rPr>
      <t>新增借款</t>
    </r>
    <r>
      <rPr>
        <sz val="10"/>
        <rFont val="Arial Narrow"/>
        <family val="2"/>
      </rPr>
      <t>(</t>
    </r>
    <r>
      <rPr>
        <sz val="10"/>
        <rFont val="宋体"/>
        <family val="3"/>
        <charset val="134"/>
      </rPr>
      <t>由预测资产负债表计算得出</t>
    </r>
    <r>
      <rPr>
        <sz val="10"/>
        <rFont val="Arial Narrow"/>
        <family val="2"/>
      </rPr>
      <t>)</t>
    </r>
    <phoneticPr fontId="6" type="noConversion"/>
  </si>
  <si>
    <r>
      <t>(</t>
    </r>
    <r>
      <rPr>
        <b/>
        <sz val="10"/>
        <rFont val="宋体"/>
        <family val="3"/>
        <charset val="134"/>
      </rPr>
      <t>计算</t>
    </r>
    <r>
      <rPr>
        <b/>
        <sz val="10"/>
        <rFont val="Arial"/>
        <family val="2"/>
      </rPr>
      <t>WACC</t>
    </r>
    <r>
      <rPr>
        <b/>
        <vertAlign val="subscript"/>
        <sz val="10"/>
        <rFont val="Arial"/>
        <family val="2"/>
      </rPr>
      <t>1</t>
    </r>
    <r>
      <rPr>
        <b/>
        <sz val="10"/>
        <rFont val="Arial"/>
        <family val="2"/>
      </rPr>
      <t>)</t>
    </r>
    <r>
      <rPr>
        <b/>
        <sz val="10"/>
        <rFont val="宋体"/>
        <family val="3"/>
        <charset val="134"/>
      </rPr>
      <t>折现值</t>
    </r>
    <phoneticPr fontId="6" type="noConversion"/>
  </si>
  <si>
    <t>迭代后折现率</t>
    <phoneticPr fontId="6" type="noConversion"/>
  </si>
  <si>
    <t>迭代后折现系数</t>
    <phoneticPr fontId="6" type="noConversion"/>
  </si>
  <si>
    <t>最终评估折现值</t>
  </si>
  <si>
    <t>是否选择年中折现？</t>
    <phoneticPr fontId="6" type="noConversion"/>
  </si>
  <si>
    <t>调整系数</t>
    <phoneticPr fontId="6" type="noConversion"/>
  </si>
  <si>
    <t>本公式为单一折现率使用的年中折现调整系数，多折现率的公式尚未导出。</t>
    <phoneticPr fontId="6" type="noConversion"/>
  </si>
  <si>
    <t>经营性资产价值</t>
    <phoneticPr fontId="6" type="noConversion"/>
  </si>
  <si>
    <t>项目</t>
    <phoneticPr fontId="6" type="noConversion"/>
  </si>
  <si>
    <t>企业所得税率T</t>
  </si>
  <si>
    <r>
      <rPr>
        <b/>
        <sz val="12"/>
        <rFont val="Times New Roman"/>
        <family val="1"/>
      </rPr>
      <t>WACC</t>
    </r>
    <r>
      <rPr>
        <b/>
        <vertAlign val="subscript"/>
        <sz val="12"/>
        <rFont val="Times New Roman"/>
        <family val="1"/>
      </rPr>
      <t>1</t>
    </r>
    <r>
      <rPr>
        <sz val="12"/>
        <rFont val="黑体"/>
        <family val="3"/>
        <charset val="134"/>
      </rPr>
      <t>测算（</t>
    </r>
    <r>
      <rPr>
        <sz val="12"/>
        <rFont val="Times New Roman"/>
        <family val="1"/>
      </rPr>
      <t>2018</t>
    </r>
    <r>
      <rPr>
        <sz val="12"/>
        <rFont val="黑体"/>
        <family val="3"/>
        <charset val="134"/>
      </rPr>
      <t>年）</t>
    </r>
    <phoneticPr fontId="6" type="noConversion"/>
  </si>
  <si>
    <r>
      <rPr>
        <b/>
        <sz val="12"/>
        <rFont val="Times New Roman"/>
        <family val="1"/>
      </rPr>
      <t>WACC</t>
    </r>
    <r>
      <rPr>
        <b/>
        <vertAlign val="subscript"/>
        <sz val="12"/>
        <rFont val="Times New Roman"/>
        <family val="1"/>
      </rPr>
      <t>2</t>
    </r>
    <r>
      <rPr>
        <sz val="12"/>
        <rFont val="黑体"/>
        <family val="3"/>
        <charset val="134"/>
      </rPr>
      <t>测算（</t>
    </r>
    <r>
      <rPr>
        <sz val="12"/>
        <rFont val="Times New Roman"/>
        <family val="1"/>
      </rPr>
      <t>2019-2021</t>
    </r>
    <r>
      <rPr>
        <sz val="12"/>
        <rFont val="黑体"/>
        <family val="3"/>
        <charset val="134"/>
      </rPr>
      <t>年）</t>
    </r>
    <phoneticPr fontId="6" type="noConversion"/>
  </si>
  <si>
    <r>
      <rPr>
        <b/>
        <sz val="12"/>
        <rFont val="Times New Roman"/>
        <family val="1"/>
      </rPr>
      <t>WACC</t>
    </r>
    <r>
      <rPr>
        <b/>
        <vertAlign val="subscript"/>
        <sz val="12"/>
        <rFont val="Times New Roman"/>
        <family val="1"/>
      </rPr>
      <t>3</t>
    </r>
    <r>
      <rPr>
        <sz val="12"/>
        <rFont val="黑体"/>
        <family val="3"/>
        <charset val="134"/>
      </rPr>
      <t>测算（</t>
    </r>
    <r>
      <rPr>
        <sz val="12"/>
        <rFont val="Times New Roman"/>
        <family val="1"/>
      </rPr>
      <t>2022</t>
    </r>
    <r>
      <rPr>
        <sz val="12"/>
        <rFont val="黑体"/>
        <family val="3"/>
        <charset val="134"/>
      </rPr>
      <t>年及以后）</t>
    </r>
    <phoneticPr fontId="6" type="noConversion"/>
  </si>
  <si>
    <r>
      <rPr>
        <b/>
        <sz val="10"/>
        <rFont val="宋体"/>
        <family val="3"/>
        <charset val="134"/>
      </rPr>
      <t>付息债务</t>
    </r>
    <r>
      <rPr>
        <b/>
        <sz val="10"/>
        <rFont val="Arial Narrow"/>
        <family val="2"/>
      </rPr>
      <t>D</t>
    </r>
    <phoneticPr fontId="6" type="noConversion"/>
  </si>
  <si>
    <r>
      <rPr>
        <sz val="10"/>
        <rFont val="宋体"/>
        <family val="3"/>
        <charset val="134"/>
      </rPr>
      <t>企业所得税率</t>
    </r>
    <r>
      <rPr>
        <sz val="10"/>
        <rFont val="Arial Narrow"/>
        <family val="2"/>
      </rPr>
      <t>T</t>
    </r>
    <phoneticPr fontId="6" type="noConversion"/>
  </si>
  <si>
    <r>
      <rPr>
        <sz val="10"/>
        <rFont val="宋体"/>
        <family val="3"/>
        <charset val="134"/>
      </rPr>
      <t>无风险报酬率</t>
    </r>
    <r>
      <rPr>
        <sz val="10"/>
        <rFont val="Arial Narrow"/>
        <family val="2"/>
      </rPr>
      <t>Rf</t>
    </r>
    <phoneticPr fontId="6" type="noConversion"/>
  </si>
  <si>
    <r>
      <rPr>
        <sz val="10"/>
        <rFont val="宋体"/>
        <family val="3"/>
        <charset val="134"/>
      </rPr>
      <t>市场风险溢价</t>
    </r>
    <r>
      <rPr>
        <sz val="10"/>
        <rFont val="Arial Narrow"/>
        <family val="2"/>
      </rPr>
      <t>MRP</t>
    </r>
    <phoneticPr fontId="6" type="noConversion"/>
  </si>
  <si>
    <r>
      <rPr>
        <sz val="10"/>
        <rFont val="宋体"/>
        <family val="3"/>
        <charset val="134"/>
      </rPr>
      <t>个别风险调整系数</t>
    </r>
    <r>
      <rPr>
        <sz val="10"/>
        <rFont val="Arial Narrow"/>
        <family val="2"/>
      </rPr>
      <t>Q</t>
    </r>
    <phoneticPr fontId="6" type="noConversion"/>
  </si>
  <si>
    <r>
      <rPr>
        <sz val="10"/>
        <rFont val="宋体"/>
        <family val="3"/>
        <charset val="134"/>
      </rPr>
      <t>行业</t>
    </r>
    <r>
      <rPr>
        <sz val="10"/>
        <rFont val="Arial Narrow"/>
        <family val="2"/>
      </rPr>
      <t>β</t>
    </r>
    <r>
      <rPr>
        <vertAlign val="subscript"/>
        <sz val="10"/>
        <rFont val="Arial Narrow"/>
        <family val="2"/>
      </rPr>
      <t>U</t>
    </r>
    <phoneticPr fontId="6" type="noConversion"/>
  </si>
  <si>
    <r>
      <rPr>
        <b/>
        <sz val="10"/>
        <rFont val="宋体"/>
        <family val="3"/>
        <charset val="134"/>
      </rPr>
      <t>债务成本</t>
    </r>
    <r>
      <rPr>
        <b/>
        <sz val="10"/>
        <rFont val="Arial Narrow"/>
        <family val="2"/>
      </rPr>
      <t>K</t>
    </r>
    <r>
      <rPr>
        <b/>
        <vertAlign val="subscript"/>
        <sz val="10"/>
        <rFont val="Arial Narrow"/>
        <family val="2"/>
      </rPr>
      <t>d</t>
    </r>
    <phoneticPr fontId="6" type="noConversion"/>
  </si>
  <si>
    <t>βL=βu[1+(1-T)D/E]</t>
    <phoneticPr fontId="6" type="noConversion"/>
  </si>
  <si>
    <r>
      <rPr>
        <b/>
        <sz val="10"/>
        <rFont val="宋体"/>
        <family val="3"/>
        <charset val="134"/>
      </rPr>
      <t>权益成本</t>
    </r>
    <r>
      <rPr>
        <b/>
        <sz val="10"/>
        <rFont val="Arial Narrow"/>
        <family val="2"/>
      </rPr>
      <t>Ke</t>
    </r>
    <r>
      <rPr>
        <b/>
        <sz val="10"/>
        <rFont val="宋体"/>
        <family val="3"/>
        <charset val="134"/>
      </rPr>
      <t>＝</t>
    </r>
    <r>
      <rPr>
        <b/>
        <sz val="10"/>
        <rFont val="Arial Narrow"/>
        <family val="2"/>
      </rPr>
      <t>Rf</t>
    </r>
    <r>
      <rPr>
        <b/>
        <sz val="10"/>
        <rFont val="宋体"/>
        <family val="3"/>
        <charset val="134"/>
      </rPr>
      <t>＋</t>
    </r>
    <r>
      <rPr>
        <b/>
        <sz val="10"/>
        <rFont val="Arial Narrow"/>
        <family val="2"/>
      </rPr>
      <t>βL×MRP</t>
    </r>
    <r>
      <rPr>
        <b/>
        <sz val="10"/>
        <rFont val="宋体"/>
        <family val="3"/>
        <charset val="134"/>
      </rPr>
      <t>＋</t>
    </r>
    <r>
      <rPr>
        <b/>
        <sz val="10"/>
        <rFont val="Arial Narrow"/>
        <family val="2"/>
      </rPr>
      <t>Q</t>
    </r>
    <phoneticPr fontId="6" type="noConversion"/>
  </si>
  <si>
    <t>D/E</t>
    <phoneticPr fontId="6" type="noConversion"/>
  </si>
  <si>
    <t>We=E/(D+E)</t>
    <phoneticPr fontId="6" type="noConversion"/>
  </si>
  <si>
    <t>Wd=D/(D+E)</t>
    <phoneticPr fontId="6" type="noConversion"/>
  </si>
  <si>
    <r>
      <t>WACC=K</t>
    </r>
    <r>
      <rPr>
        <b/>
        <vertAlign val="subscript"/>
        <sz val="10"/>
        <rFont val="Arial Narrow"/>
        <family val="2"/>
      </rPr>
      <t>e</t>
    </r>
    <r>
      <rPr>
        <b/>
        <sz val="10"/>
        <rFont val="Arial Narrow"/>
        <family val="2"/>
      </rPr>
      <t>×We+(1-T)K</t>
    </r>
    <r>
      <rPr>
        <b/>
        <vertAlign val="subscript"/>
        <sz val="10"/>
        <rFont val="Arial Narrow"/>
        <family val="2"/>
      </rPr>
      <t>d</t>
    </r>
    <r>
      <rPr>
        <b/>
        <sz val="10"/>
        <rFont val="Arial Narrow"/>
        <family val="2"/>
      </rPr>
      <t>×Wd</t>
    </r>
    <phoneticPr fontId="6" type="noConversion"/>
  </si>
  <si>
    <r>
      <t>FCFF</t>
    </r>
    <r>
      <rPr>
        <sz val="10"/>
        <color rgb="FFFF0000"/>
        <rFont val="宋体"/>
        <family val="3"/>
        <charset val="134"/>
      </rPr>
      <t>和FCFE两种口径计算值相同</t>
    </r>
    <phoneticPr fontId="6" type="noConversion"/>
  </si>
  <si>
    <t>无付息负债，无需迭代计算！</t>
    <phoneticPr fontId="6" type="noConversion"/>
  </si>
  <si>
    <t>股利支付</t>
  </si>
  <si>
    <t>扣除股利支付后净利润</t>
  </si>
  <si>
    <t>报表调平自动计算公式</t>
    <phoneticPr fontId="6" type="noConversion"/>
  </si>
  <si>
    <t>经营性投入资本的计算</t>
    <phoneticPr fontId="6" type="noConversion"/>
  </si>
  <si>
    <t>经营最低保有现金</t>
    <phoneticPr fontId="6" type="noConversion"/>
  </si>
  <si>
    <r>
      <t>经营必备现金/收入</t>
    </r>
    <r>
      <rPr>
        <sz val="10"/>
        <color rgb="FFFF0000"/>
        <rFont val="宋体"/>
        <family val="3"/>
        <charset val="134"/>
      </rPr>
      <t>（检查）</t>
    </r>
    <phoneticPr fontId="6" type="noConversion"/>
  </si>
  <si>
    <t>短期预测(期)：</t>
    <phoneticPr fontId="6" type="noConversion"/>
  </si>
  <si>
    <r>
      <t>V5.0</t>
    </r>
    <r>
      <rPr>
        <b/>
        <sz val="11"/>
        <color rgb="FF0000FF"/>
        <rFont val="宋体"/>
        <family val="3"/>
        <charset val="134"/>
      </rPr>
      <t>修改记录</t>
    </r>
    <phoneticPr fontId="6" type="noConversion"/>
  </si>
  <si>
    <r>
      <t>1</t>
    </r>
    <r>
      <rPr>
        <sz val="11"/>
        <rFont val="宋体"/>
        <family val="3"/>
        <charset val="134"/>
      </rPr>
      <t>、</t>
    </r>
    <r>
      <rPr>
        <sz val="11"/>
        <rFont val="Arial"/>
        <family val="2"/>
      </rPr>
      <t>“1</t>
    </r>
    <r>
      <rPr>
        <sz val="11"/>
        <rFont val="宋体"/>
        <family val="3"/>
        <charset val="134"/>
      </rPr>
      <t>报表</t>
    </r>
    <r>
      <rPr>
        <sz val="11"/>
        <rFont val="Arial"/>
        <family val="2"/>
      </rPr>
      <t>”</t>
    </r>
    <r>
      <rPr>
        <sz val="11"/>
        <rFont val="宋体"/>
        <family val="3"/>
        <charset val="134"/>
      </rPr>
      <t>营运能力分析财务指标非整年进行年化处理。</t>
    </r>
    <phoneticPr fontId="6" type="noConversion"/>
  </si>
  <si>
    <t>项目2</t>
    <phoneticPr fontId="6" type="noConversion"/>
  </si>
  <si>
    <t>项目4</t>
    <phoneticPr fontId="6" type="noConversion"/>
  </si>
  <si>
    <r>
      <rPr>
        <b/>
        <sz val="10"/>
        <rFont val="宋体"/>
        <family val="3"/>
        <charset val="134"/>
      </rPr>
      <t>项目</t>
    </r>
    <r>
      <rPr>
        <b/>
        <sz val="10"/>
        <rFont val="Arial"/>
        <family val="2"/>
      </rPr>
      <t>1</t>
    </r>
    <phoneticPr fontId="6" type="noConversion"/>
  </si>
  <si>
    <r>
      <rPr>
        <b/>
        <sz val="10"/>
        <rFont val="宋体"/>
        <family val="3"/>
        <charset val="134"/>
      </rPr>
      <t>项目</t>
    </r>
    <r>
      <rPr>
        <b/>
        <sz val="10"/>
        <rFont val="Arial"/>
        <family val="2"/>
      </rPr>
      <t>2</t>
    </r>
    <phoneticPr fontId="6" type="noConversion"/>
  </si>
  <si>
    <r>
      <rPr>
        <b/>
        <sz val="10"/>
        <rFont val="宋体"/>
        <family val="3"/>
        <charset val="134"/>
      </rPr>
      <t>项目</t>
    </r>
    <r>
      <rPr>
        <b/>
        <sz val="10"/>
        <rFont val="Arial"/>
        <family val="2"/>
      </rPr>
      <t>3</t>
    </r>
    <phoneticPr fontId="6" type="noConversion"/>
  </si>
  <si>
    <r>
      <rPr>
        <b/>
        <sz val="10"/>
        <rFont val="宋体"/>
        <family val="3"/>
        <charset val="134"/>
      </rPr>
      <t>项目</t>
    </r>
    <r>
      <rPr>
        <b/>
        <sz val="10"/>
        <rFont val="Arial"/>
        <family val="2"/>
      </rPr>
      <t>4</t>
    </r>
    <phoneticPr fontId="6" type="noConversion"/>
  </si>
  <si>
    <r>
      <rPr>
        <b/>
        <sz val="10"/>
        <rFont val="宋体"/>
        <family val="3"/>
        <charset val="134"/>
      </rPr>
      <t>项目</t>
    </r>
    <r>
      <rPr>
        <b/>
        <sz val="10"/>
        <rFont val="Arial"/>
        <family val="2"/>
      </rPr>
      <t>5</t>
    </r>
    <phoneticPr fontId="6" type="noConversion"/>
  </si>
  <si>
    <t>项目（汇总）</t>
    <phoneticPr fontId="6" type="noConversion"/>
  </si>
  <si>
    <t>营业成本预测（生产型企业）（方式一）</t>
    <phoneticPr fontId="6" type="noConversion"/>
  </si>
  <si>
    <r>
      <t>按产品</t>
    </r>
    <r>
      <rPr>
        <b/>
        <sz val="12"/>
        <color rgb="FF0000CC"/>
        <rFont val="Arial Narrow"/>
        <family val="2"/>
      </rPr>
      <t>/</t>
    </r>
    <r>
      <rPr>
        <b/>
        <sz val="12"/>
        <color rgb="FF0000CC"/>
        <rFont val="宋体"/>
        <family val="3"/>
        <charset val="134"/>
      </rPr>
      <t>项目毛利率分析（方式二）</t>
    </r>
    <phoneticPr fontId="6" type="noConversion"/>
  </si>
  <si>
    <t>项目1</t>
    <phoneticPr fontId="6" type="noConversion"/>
  </si>
  <si>
    <t>项目3</t>
    <phoneticPr fontId="6" type="noConversion"/>
  </si>
  <si>
    <t>按收入占比分析（方式一）</t>
    <phoneticPr fontId="6" type="noConversion"/>
  </si>
  <si>
    <t>分项目进行分析（方式二）</t>
    <phoneticPr fontId="6" type="noConversion"/>
  </si>
  <si>
    <t>增值税销项</t>
    <phoneticPr fontId="6" type="noConversion"/>
  </si>
  <si>
    <t>增值税进项</t>
    <phoneticPr fontId="6" type="noConversion"/>
  </si>
  <si>
    <t>教育费附加</t>
    <phoneticPr fontId="6" type="noConversion"/>
  </si>
  <si>
    <t>实务中如果企业产品不单一，每种产品或服务适用的税率不同，以及金额较大，应分项目评估。示例如下</t>
    <phoneticPr fontId="6" type="noConversion"/>
  </si>
  <si>
    <t>实务中如果历史数据比较平稳，可采用下例简化处理。</t>
    <phoneticPr fontId="6" type="noConversion"/>
  </si>
  <si>
    <t>营改增后，该项无。</t>
    <phoneticPr fontId="6" type="noConversion"/>
  </si>
  <si>
    <t>增值税销项税</t>
    <phoneticPr fontId="6" type="noConversion"/>
  </si>
  <si>
    <t>原辅材料进项税</t>
    <phoneticPr fontId="6" type="noConversion"/>
  </si>
  <si>
    <t>运输费</t>
    <phoneticPr fontId="6" type="noConversion"/>
  </si>
  <si>
    <t>水电费</t>
    <phoneticPr fontId="6" type="noConversion"/>
  </si>
  <si>
    <t>未抵扣进项税</t>
    <phoneticPr fontId="6" type="noConversion"/>
  </si>
  <si>
    <t>增值税进项税合计</t>
    <phoneticPr fontId="6" type="noConversion"/>
  </si>
  <si>
    <t>应交增值税</t>
    <phoneticPr fontId="6" type="noConversion"/>
  </si>
  <si>
    <t>招待费</t>
    <phoneticPr fontId="6" type="noConversion"/>
  </si>
  <si>
    <r>
      <rPr>
        <sz val="10"/>
        <rFont val="宋体"/>
        <family val="3"/>
        <charset val="134"/>
      </rPr>
      <t>广告</t>
    </r>
    <r>
      <rPr>
        <sz val="10"/>
        <rFont val="Arial Narrow"/>
        <family val="2"/>
      </rPr>
      <t>/</t>
    </r>
    <r>
      <rPr>
        <sz val="10"/>
        <rFont val="宋体"/>
        <family val="3"/>
        <charset val="134"/>
      </rPr>
      <t>宣传费</t>
    </r>
    <phoneticPr fontId="6" type="noConversion"/>
  </si>
  <si>
    <r>
      <rPr>
        <sz val="10"/>
        <rFont val="宋体"/>
        <family val="3"/>
        <charset val="134"/>
      </rPr>
      <t>商检</t>
    </r>
    <r>
      <rPr>
        <sz val="10"/>
        <rFont val="Arial Narrow"/>
        <family val="2"/>
      </rPr>
      <t>/</t>
    </r>
    <r>
      <rPr>
        <sz val="10"/>
        <rFont val="宋体"/>
        <family val="3"/>
        <charset val="134"/>
      </rPr>
      <t>报关费</t>
    </r>
    <phoneticPr fontId="6" type="noConversion"/>
  </si>
  <si>
    <r>
      <rPr>
        <sz val="10"/>
        <rFont val="宋体"/>
        <family val="3"/>
        <charset val="134"/>
      </rPr>
      <t>检定费</t>
    </r>
    <r>
      <rPr>
        <sz val="10"/>
        <rFont val="Arial Narrow"/>
        <family val="2"/>
      </rPr>
      <t>/</t>
    </r>
    <r>
      <rPr>
        <sz val="10"/>
        <rFont val="宋体"/>
        <family val="3"/>
        <charset val="134"/>
      </rPr>
      <t>检测费</t>
    </r>
    <phoneticPr fontId="6" type="noConversion"/>
  </si>
  <si>
    <t>工资</t>
    <phoneticPr fontId="6" type="noConversion"/>
  </si>
  <si>
    <t>社保费</t>
    <phoneticPr fontId="6" type="noConversion"/>
  </si>
  <si>
    <t>其他</t>
    <phoneticPr fontId="6" type="noConversion"/>
  </si>
  <si>
    <t>合计</t>
    <phoneticPr fontId="6" type="noConversion"/>
  </si>
  <si>
    <t>相关系数</t>
    <phoneticPr fontId="6" type="noConversion"/>
  </si>
  <si>
    <t>工资及福利</t>
    <phoneticPr fontId="6" type="noConversion"/>
  </si>
  <si>
    <t>办公差旅费用</t>
    <phoneticPr fontId="6" type="noConversion"/>
  </si>
  <si>
    <t>无形资产摊销</t>
    <phoneticPr fontId="6" type="noConversion"/>
  </si>
  <si>
    <t>办公房改造</t>
    <phoneticPr fontId="6" type="noConversion"/>
  </si>
  <si>
    <t>少于3个数据，无意义</t>
    <phoneticPr fontId="6" type="noConversion"/>
  </si>
  <si>
    <t>增长比例</t>
    <phoneticPr fontId="6" type="noConversion"/>
  </si>
  <si>
    <t>平均值</t>
    <phoneticPr fontId="6" type="noConversion"/>
  </si>
  <si>
    <t>评估取值</t>
    <phoneticPr fontId="6" type="noConversion"/>
  </si>
  <si>
    <t>占收入比</t>
    <phoneticPr fontId="6" type="noConversion"/>
  </si>
  <si>
    <t>尽可能取得明细分项，同上分析。</t>
    <phoneticPr fontId="6" type="noConversion"/>
  </si>
  <si>
    <r>
      <t>2</t>
    </r>
    <r>
      <rPr>
        <sz val="11"/>
        <rFont val="宋体"/>
        <family val="3"/>
        <charset val="134"/>
      </rPr>
      <t>、表</t>
    </r>
    <r>
      <rPr>
        <sz val="11"/>
        <rFont val="Arial"/>
        <family val="2"/>
      </rPr>
      <t>“7</t>
    </r>
    <r>
      <rPr>
        <sz val="11"/>
        <rFont val="宋体"/>
        <family val="3"/>
        <charset val="134"/>
      </rPr>
      <t>折旧</t>
    </r>
    <r>
      <rPr>
        <sz val="11"/>
        <rFont val="Arial"/>
        <family val="2"/>
      </rPr>
      <t>”</t>
    </r>
    <r>
      <rPr>
        <sz val="11"/>
        <rFont val="宋体"/>
        <family val="3"/>
        <charset val="134"/>
      </rPr>
      <t>、</t>
    </r>
    <r>
      <rPr>
        <sz val="11"/>
        <rFont val="Arial"/>
        <family val="2"/>
      </rPr>
      <t>“8</t>
    </r>
    <r>
      <rPr>
        <sz val="11"/>
        <rFont val="宋体"/>
        <family val="3"/>
        <charset val="134"/>
      </rPr>
      <t>摊销</t>
    </r>
    <r>
      <rPr>
        <sz val="11"/>
        <rFont val="Arial"/>
        <family val="2"/>
      </rPr>
      <t>”</t>
    </r>
    <r>
      <rPr>
        <sz val="11"/>
        <rFont val="宋体"/>
        <family val="3"/>
        <charset val="134"/>
      </rPr>
      <t>、</t>
    </r>
    <r>
      <rPr>
        <sz val="11"/>
        <rFont val="Arial"/>
        <family val="2"/>
      </rPr>
      <t>“9</t>
    </r>
    <r>
      <rPr>
        <sz val="11"/>
        <rFont val="宋体"/>
        <family val="3"/>
        <charset val="134"/>
      </rPr>
      <t>溢余现金</t>
    </r>
    <r>
      <rPr>
        <sz val="11"/>
        <rFont val="Arial"/>
        <family val="2"/>
      </rPr>
      <t>”</t>
    </r>
    <r>
      <rPr>
        <sz val="11"/>
        <rFont val="宋体"/>
        <family val="3"/>
        <charset val="134"/>
      </rPr>
      <t>、</t>
    </r>
    <r>
      <rPr>
        <sz val="11"/>
        <rFont val="Arial"/>
        <family val="2"/>
      </rPr>
      <t>“10</t>
    </r>
    <r>
      <rPr>
        <sz val="11"/>
        <rFont val="宋体"/>
        <family val="3"/>
        <charset val="134"/>
      </rPr>
      <t>营运</t>
    </r>
    <r>
      <rPr>
        <sz val="11"/>
        <rFont val="Arial"/>
        <family val="2"/>
      </rPr>
      <t>”</t>
    </r>
    <r>
      <rPr>
        <sz val="11"/>
        <rFont val="宋体"/>
        <family val="3"/>
        <charset val="134"/>
      </rPr>
      <t>进行拆分，表“</t>
    </r>
    <r>
      <rPr>
        <sz val="11"/>
        <rFont val="Arial"/>
        <family val="2"/>
      </rPr>
      <t>7</t>
    </r>
    <r>
      <rPr>
        <sz val="11"/>
        <rFont val="宋体"/>
        <family val="3"/>
        <charset val="134"/>
      </rPr>
      <t>折旧”和“</t>
    </r>
    <r>
      <rPr>
        <sz val="11"/>
        <rFont val="Arial"/>
        <family val="2"/>
      </rPr>
      <t>8</t>
    </r>
    <r>
      <rPr>
        <sz val="11"/>
        <rFont val="宋体"/>
        <family val="3"/>
        <charset val="134"/>
      </rPr>
      <t>摊销”“</t>
    </r>
    <r>
      <rPr>
        <sz val="11"/>
        <rFont val="Arial"/>
        <family val="2"/>
      </rPr>
      <t>+</t>
    </r>
    <r>
      <rPr>
        <sz val="11"/>
        <rFont val="宋体"/>
        <family val="3"/>
        <charset val="134"/>
      </rPr>
      <t>”后隐藏的是自动计算公式，一般无需改动。</t>
    </r>
    <phoneticPr fontId="6" type="noConversion"/>
  </si>
  <si>
    <r>
      <rPr>
        <sz val="11"/>
        <rFont val="宋体"/>
        <family val="3"/>
        <charset val="134"/>
      </rPr>
      <t>限制用途现金位置进行了移动；“</t>
    </r>
    <r>
      <rPr>
        <sz val="11"/>
        <rFont val="Arial"/>
        <family val="2"/>
      </rPr>
      <t>9</t>
    </r>
    <r>
      <rPr>
        <sz val="11"/>
        <rFont val="宋体"/>
        <family val="3"/>
        <charset val="134"/>
      </rPr>
      <t>溢余现金”、“</t>
    </r>
    <r>
      <rPr>
        <sz val="11"/>
        <rFont val="Arial"/>
        <family val="2"/>
      </rPr>
      <t>10</t>
    </r>
    <r>
      <rPr>
        <sz val="11"/>
        <rFont val="宋体"/>
        <family val="3"/>
        <charset val="134"/>
      </rPr>
      <t>营运”，增加了历史数据分析，反映趋势变化。</t>
    </r>
    <phoneticPr fontId="6" type="noConversion"/>
  </si>
  <si>
    <t>无“预测财报”表删除</t>
    <phoneticPr fontId="6" type="noConversion"/>
  </si>
  <si>
    <t>借款明细核实如下</t>
    <phoneticPr fontId="6" type="noConversion"/>
  </si>
  <si>
    <t>只有通过预测资产负债表计算才能得出。</t>
    <phoneticPr fontId="6" type="noConversion"/>
  </si>
  <si>
    <t>是否相等？</t>
    <phoneticPr fontId="6" type="noConversion"/>
  </si>
  <si>
    <t>企业未来是否有资金缺口，需要融多少资金，</t>
    <phoneticPr fontId="6" type="noConversion"/>
  </si>
  <si>
    <t>该行迭代计算得出</t>
    <phoneticPr fontId="6" type="noConversion"/>
  </si>
  <si>
    <t>预测资产负债表可以合理分析企业未来的借款金额。</t>
    <phoneticPr fontId="6" type="noConversion"/>
  </si>
  <si>
    <r>
      <t>3</t>
    </r>
    <r>
      <rPr>
        <sz val="11"/>
        <rFont val="宋体"/>
        <family val="3"/>
        <charset val="134"/>
      </rPr>
      <t>、表“预测财报”布局调整：增加完成资产负债表、利润表剩余项目，后面报表自动计算得出财务指标，用于分析历史与未来趋势。</t>
    </r>
    <phoneticPr fontId="6" type="noConversion"/>
  </si>
  <si>
    <r>
      <t>4</t>
    </r>
    <r>
      <rPr>
        <sz val="11"/>
        <rFont val="宋体"/>
        <family val="3"/>
        <charset val="134"/>
      </rPr>
      <t>、表</t>
    </r>
    <r>
      <rPr>
        <sz val="11"/>
        <rFont val="Arial"/>
        <family val="2"/>
      </rPr>
      <t>“9</t>
    </r>
    <r>
      <rPr>
        <sz val="11"/>
        <rFont val="宋体"/>
        <family val="3"/>
        <charset val="134"/>
      </rPr>
      <t>财务费用</t>
    </r>
    <r>
      <rPr>
        <sz val="11"/>
        <rFont val="Arial"/>
        <family val="2"/>
      </rPr>
      <t>”</t>
    </r>
    <r>
      <rPr>
        <sz val="11"/>
        <rFont val="宋体"/>
        <family val="3"/>
        <charset val="134"/>
      </rPr>
      <t>末端行增加</t>
    </r>
    <r>
      <rPr>
        <sz val="11"/>
        <rFont val="Arial"/>
        <family val="2"/>
      </rPr>
      <t>(</t>
    </r>
    <r>
      <rPr>
        <sz val="11"/>
        <rFont val="宋体"/>
        <family val="3"/>
        <charset val="134"/>
      </rPr>
      <t>由预测资产负债表计算得出</t>
    </r>
    <r>
      <rPr>
        <sz val="11"/>
        <rFont val="Arial"/>
        <family val="2"/>
      </rPr>
      <t>)</t>
    </r>
    <r>
      <rPr>
        <sz val="11"/>
        <rFont val="宋体"/>
        <family val="3"/>
        <charset val="134"/>
      </rPr>
      <t>新增借款，反映企业未来是否有资金缺口，需要融多少资金。</t>
    </r>
    <phoneticPr fontId="6" type="noConversion"/>
  </si>
  <si>
    <t>减：弥补以前年度亏损</t>
    <phoneticPr fontId="6" type="noConversion"/>
  </si>
  <si>
    <t>减：研发费用加计扣除</t>
    <phoneticPr fontId="6" type="noConversion"/>
  </si>
  <si>
    <t>减：其他纳税调减额</t>
    <phoneticPr fontId="6" type="noConversion"/>
  </si>
  <si>
    <t>加：其他纳税调增额</t>
    <phoneticPr fontId="6" type="noConversion"/>
  </si>
  <si>
    <t>应纳税所得额</t>
    <phoneticPr fontId="6" type="noConversion"/>
  </si>
  <si>
    <t>所得税税率</t>
    <phoneticPr fontId="6" type="noConversion"/>
  </si>
  <si>
    <t>补充预测利润表用数据，无“预测财报”表删除下列数据！</t>
    <phoneticPr fontId="6" type="noConversion"/>
  </si>
  <si>
    <t>减：弥补以前年度亏损</t>
    <phoneticPr fontId="6" type="noConversion"/>
  </si>
  <si>
    <t>减：研发费用加计扣除</t>
    <phoneticPr fontId="6" type="noConversion"/>
  </si>
  <si>
    <t>减：其他纳税调减额</t>
    <phoneticPr fontId="6" type="noConversion"/>
  </si>
  <si>
    <t>加：其他纳税调增额</t>
    <phoneticPr fontId="6" type="noConversion"/>
  </si>
  <si>
    <t>应纳税所得额</t>
    <phoneticPr fontId="6" type="noConversion"/>
  </si>
  <si>
    <t>加：收购无形资产的累计摊销额</t>
    <phoneticPr fontId="6" type="noConversion"/>
  </si>
  <si>
    <r>
      <rPr>
        <sz val="10"/>
        <rFont val="宋体"/>
        <family val="3"/>
        <charset val="134"/>
      </rPr>
      <t>非流动资产（扣除</t>
    </r>
    <r>
      <rPr>
        <sz val="10"/>
        <rFont val="Arial"/>
        <family val="2"/>
      </rPr>
      <t>DTA</t>
    </r>
    <r>
      <rPr>
        <sz val="10"/>
        <rFont val="宋体"/>
        <family val="3"/>
        <charset val="134"/>
      </rPr>
      <t>）</t>
    </r>
    <phoneticPr fontId="6" type="noConversion"/>
  </si>
  <si>
    <t>加：收购无形资产的累计摊销额</t>
    <phoneticPr fontId="6" type="noConversion"/>
  </si>
  <si>
    <t>加：收购无形资产的累计摊销额</t>
    <phoneticPr fontId="6" type="noConversion"/>
  </si>
  <si>
    <t>检查核对</t>
    <phoneticPr fontId="6" type="noConversion"/>
  </si>
  <si>
    <t>报表是否平衡？</t>
    <phoneticPr fontId="6" type="noConversion"/>
  </si>
  <si>
    <t>从融资来源计算，二者数据相同</t>
    <phoneticPr fontId="6" type="noConversion"/>
  </si>
  <si>
    <r>
      <rPr>
        <sz val="10"/>
        <rFont val="宋体"/>
        <family val="3"/>
        <charset val="134"/>
      </rPr>
      <t>非付息非流动负债（扣除</t>
    </r>
    <r>
      <rPr>
        <sz val="10"/>
        <rFont val="Arial"/>
        <family val="2"/>
      </rPr>
      <t>DTL</t>
    </r>
    <r>
      <rPr>
        <sz val="10"/>
        <rFont val="宋体"/>
        <family val="3"/>
        <charset val="134"/>
      </rPr>
      <t>）</t>
    </r>
    <phoneticPr fontId="6" type="noConversion"/>
  </si>
  <si>
    <t>递延所得税负债</t>
    <phoneticPr fontId="6" type="noConversion"/>
  </si>
  <si>
    <t>流动资产：</t>
    <phoneticPr fontId="6" type="noConversion"/>
  </si>
  <si>
    <t>占收入比</t>
    <phoneticPr fontId="6" type="noConversion"/>
  </si>
  <si>
    <t>基准日数据与资产负债表检查核对</t>
    <phoneticPr fontId="6" type="noConversion"/>
  </si>
  <si>
    <t>固定资产投入分析</t>
    <phoneticPr fontId="6" type="noConversion"/>
  </si>
  <si>
    <t>建筑类</t>
    <phoneticPr fontId="6" type="noConversion"/>
  </si>
  <si>
    <t>设备类</t>
    <phoneticPr fontId="6" type="noConversion"/>
  </si>
  <si>
    <t>小计</t>
    <phoneticPr fontId="6" type="noConversion"/>
  </si>
  <si>
    <t>基准日数据与资产负债表检查核对</t>
    <phoneticPr fontId="6" type="noConversion"/>
  </si>
  <si>
    <t>在建工程</t>
    <phoneticPr fontId="6" type="noConversion"/>
  </si>
  <si>
    <t>无形资产</t>
    <phoneticPr fontId="6" type="noConversion"/>
  </si>
  <si>
    <t>开发支出</t>
    <phoneticPr fontId="6" type="noConversion"/>
  </si>
  <si>
    <t>基准年已经营月数</t>
    <phoneticPr fontId="6" type="noConversion"/>
  </si>
  <si>
    <r>
      <t>5</t>
    </r>
    <r>
      <rPr>
        <sz val="11"/>
        <rFont val="宋体"/>
        <family val="3"/>
        <charset val="134"/>
      </rPr>
      <t>、表</t>
    </r>
    <r>
      <rPr>
        <sz val="11"/>
        <rFont val="Arial"/>
        <family val="2"/>
      </rPr>
      <t>“13FCFF”</t>
    </r>
    <r>
      <rPr>
        <sz val="11"/>
        <rFont val="宋体"/>
        <family val="3"/>
        <charset val="134"/>
      </rPr>
      <t>修改折现率计算方法</t>
    </r>
    <r>
      <rPr>
        <sz val="11"/>
        <rFont val="Arial"/>
        <family val="2"/>
      </rPr>
      <t>——</t>
    </r>
    <r>
      <rPr>
        <sz val="11"/>
        <rFont val="宋体"/>
        <family val="3"/>
        <charset val="134"/>
      </rPr>
      <t>迭代计算。</t>
    </r>
    <phoneticPr fontId="6" type="noConversion"/>
  </si>
  <si>
    <r>
      <t>V5.1</t>
    </r>
    <r>
      <rPr>
        <b/>
        <sz val="11"/>
        <color rgb="FF0000FF"/>
        <rFont val="宋体"/>
        <family val="3"/>
        <charset val="134"/>
      </rPr>
      <t>修改记录</t>
    </r>
    <phoneticPr fontId="6" type="noConversion"/>
  </si>
  <si>
    <t>1、表“7折旧”行42即“期末设备类账面净值”公式汇总错误，已修改。该行数据不影响估值，但影响“预测财报”数据。</t>
    <phoneticPr fontId="6" type="noConversion"/>
  </si>
  <si>
    <t>基准日已提足折旧建筑类账面原值</t>
    <phoneticPr fontId="6" type="noConversion"/>
  </si>
  <si>
    <t>基准日未提足折旧建筑类账面原值</t>
    <phoneticPr fontId="6" type="noConversion"/>
  </si>
  <si>
    <t>基准日已提足折旧设备类账面原值</t>
    <phoneticPr fontId="6" type="noConversion"/>
  </si>
  <si>
    <t>基准日未提足折旧设备类账面原值</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</si>
</sst>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2">
    <numFmt numFmtId="8" formatCode="&quot;¥&quot;#,##0.00;[Red]&quot;¥&quot;\-#,##0.00"/>
    <numFmt numFmtId="41" formatCode="_ * #,##0_ ;_ * \-#,##0_ ;_ * &quot;-&quot;_ ;_ @_ "/>
    <numFmt numFmtId="43" formatCode="_ * #,##0.00_ ;_ * \-#,##0.00_ ;_ * &quot;-&quot;??_ ;_ @_ "/>
    <numFmt numFmtId="176" formatCode="#,##0.00_ ;[Red]\-#,##0.00\ "/>
    <numFmt numFmtId="177" formatCode="#,##0.000_ ;[Red]\-#,##0.000\ "/>
    <numFmt numFmtId="178" formatCode="#,##0_ ;[Red]\-#,##0\ "/>
    <numFmt numFmtId="179" formatCode="#,##0.00_ "/>
    <numFmt numFmtId="180" formatCode="0.0%"/>
    <numFmt numFmtId="181" formatCode="#,##0.0000_ ;[Red]\-#,##0.0000\ "/>
    <numFmt numFmtId="182" formatCode="_ * #,##0_ ;_ * \-#,##0_ ;_ * &quot;-&quot;??_ ;_ @_ "/>
    <numFmt numFmtId="183" formatCode="_(&quot;$&quot;* #,##0.00_);_(&quot;$&quot;* \(#,##0.00\);_(&quot;$&quot;* &quot;-&quot;??_);_(@_)"/>
    <numFmt numFmtId="184" formatCode="_ * #,##0.00_ ;_ * \-#,##0.00_ ;_ * &quot;-&quot;_ ;_ @_ "/>
    <numFmt numFmtId="185" formatCode="0.0000_ "/>
    <numFmt numFmtId="186" formatCode="#,##0_ "/>
    <numFmt numFmtId="187" formatCode="_(&quot;$&quot;* #,##0_);_(&quot;$&quot;* \(#,##0\);_(&quot;$&quot;* &quot;-&quot;_);_(@_)"/>
    <numFmt numFmtId="188" formatCode="0.0000000"/>
    <numFmt numFmtId="189" formatCode="0.000000"/>
    <numFmt numFmtId="190" formatCode="0.00000000"/>
    <numFmt numFmtId="191" formatCode="yyyy\-mm\-dd;@"/>
    <numFmt numFmtId="192" formatCode="[$-F800]dddd\,\ mmmm\ dd\,\ yyyy"/>
    <numFmt numFmtId="193" formatCode="0.00_ "/>
    <numFmt numFmtId="194" formatCode="#,##0.0_ ;[Red]\-#,##0.0\ "/>
  </numFmts>
  <fonts count="120">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sz val="9"/>
      <name val="宋体"/>
      <family val="3"/>
      <charset val="134"/>
    </font>
    <font>
      <sz val="11"/>
      <name val="宋体"/>
      <family val="3"/>
      <charset val="134"/>
    </font>
    <font>
      <sz val="12"/>
      <name val="Arial Narrow"/>
      <family val="2"/>
    </font>
    <font>
      <sz val="10"/>
      <color indexed="10"/>
      <name val="宋体"/>
      <family val="3"/>
      <charset val="134"/>
    </font>
    <font>
      <sz val="12"/>
      <name val="宋体"/>
      <family val="3"/>
      <charset val="134"/>
    </font>
    <font>
      <sz val="10"/>
      <color indexed="10"/>
      <name val="Arial Narrow"/>
      <family val="2"/>
    </font>
    <font>
      <sz val="10"/>
      <name val="宋体"/>
      <family val="3"/>
      <charset val="134"/>
    </font>
    <font>
      <sz val="10"/>
      <name val="Arial Narrow"/>
      <family val="2"/>
    </font>
    <font>
      <sz val="11"/>
      <name val="Arial Narrow"/>
      <family val="2"/>
    </font>
    <font>
      <b/>
      <sz val="10"/>
      <name val="Arial Narrow"/>
      <family val="2"/>
    </font>
    <font>
      <b/>
      <sz val="10"/>
      <color indexed="8"/>
      <name val="Arial Narrow"/>
      <family val="2"/>
    </font>
    <font>
      <b/>
      <sz val="10"/>
      <name val="宋体"/>
      <family val="3"/>
      <charset val="134"/>
    </font>
    <font>
      <b/>
      <sz val="10"/>
      <color indexed="8"/>
      <name val="宋体"/>
      <family val="3"/>
      <charset val="134"/>
    </font>
    <font>
      <b/>
      <sz val="10"/>
      <color indexed="10"/>
      <name val="宋体"/>
      <family val="3"/>
      <charset val="134"/>
    </font>
    <font>
      <sz val="10"/>
      <name val="Arial"/>
      <family val="2"/>
    </font>
    <font>
      <vertAlign val="subscript"/>
      <sz val="10"/>
      <name val="Arial Narrow"/>
      <family val="2"/>
    </font>
    <font>
      <sz val="9"/>
      <color indexed="81"/>
      <name val="宋体"/>
      <family val="3"/>
      <charset val="134"/>
    </font>
    <font>
      <sz val="10"/>
      <color rgb="FFFF0000"/>
      <name val="Arial Narrow"/>
      <family val="2"/>
    </font>
    <font>
      <sz val="10"/>
      <color rgb="FFFF0000"/>
      <name val="宋体"/>
      <family val="3"/>
      <charset val="134"/>
    </font>
    <font>
      <sz val="10"/>
      <color rgb="FF0000FF"/>
      <name val="宋体"/>
      <family val="3"/>
      <charset val="134"/>
    </font>
    <font>
      <sz val="10"/>
      <color rgb="FF0000FF"/>
      <name val="Arial Narrow"/>
      <family val="2"/>
    </font>
    <font>
      <sz val="10"/>
      <color rgb="FF0000CC"/>
      <name val="Arial Narrow"/>
      <family val="2"/>
    </font>
    <font>
      <b/>
      <sz val="10"/>
      <color rgb="FF0000CC"/>
      <name val="宋体"/>
      <family val="3"/>
      <charset val="134"/>
    </font>
    <font>
      <sz val="10"/>
      <color rgb="FF0000CC"/>
      <name val="宋体"/>
      <family val="3"/>
      <charset val="134"/>
    </font>
    <font>
      <b/>
      <sz val="10"/>
      <color rgb="FF0000CC"/>
      <name val="Arial Narrow"/>
      <family val="2"/>
    </font>
    <font>
      <sz val="10"/>
      <color theme="1"/>
      <name val="宋体"/>
      <family val="3"/>
      <charset val="134"/>
    </font>
    <font>
      <b/>
      <sz val="9"/>
      <color indexed="81"/>
      <name val="宋体"/>
      <family val="3"/>
      <charset val="134"/>
    </font>
    <font>
      <b/>
      <sz val="10"/>
      <color rgb="FFFF0000"/>
      <name val="宋体"/>
      <family val="3"/>
      <charset val="134"/>
    </font>
    <font>
      <sz val="12"/>
      <name val="宋体"/>
      <family val="3"/>
      <charset val="134"/>
    </font>
    <font>
      <b/>
      <sz val="10"/>
      <color rgb="FF0000FF"/>
      <name val="宋体"/>
      <family val="3"/>
      <charset val="134"/>
    </font>
    <font>
      <b/>
      <sz val="10"/>
      <color theme="1"/>
      <name val="Arial Narrow"/>
      <family val="2"/>
    </font>
    <font>
      <sz val="11"/>
      <color theme="0"/>
      <name val="Arial Narrow"/>
      <family val="2"/>
    </font>
    <font>
      <sz val="9"/>
      <name val="宋体"/>
      <family val="3"/>
      <charset val="134"/>
      <scheme val="minor"/>
    </font>
    <font>
      <sz val="10"/>
      <color theme="1"/>
      <name val="Arial Narrow"/>
      <family val="2"/>
    </font>
    <font>
      <b/>
      <sz val="11"/>
      <color rgb="FFFF0000"/>
      <name val="宋体"/>
      <family val="3"/>
      <charset val="134"/>
    </font>
    <font>
      <sz val="12"/>
      <name val="Arial"/>
      <family val="2"/>
    </font>
    <font>
      <b/>
      <sz val="12"/>
      <name val="宋体"/>
      <family val="3"/>
      <charset val="134"/>
    </font>
    <font>
      <sz val="11"/>
      <name val="Arial"/>
      <family val="2"/>
    </font>
    <font>
      <b/>
      <sz val="10"/>
      <color rgb="FFFF0000"/>
      <name val="Arial Narrow"/>
      <family val="2"/>
    </font>
    <font>
      <i/>
      <sz val="10"/>
      <color rgb="FF0000CC"/>
      <name val="Arial Narrow"/>
      <family val="2"/>
    </font>
    <font>
      <i/>
      <sz val="10"/>
      <color rgb="FF0000FF"/>
      <name val="Arial Narrow"/>
      <family val="2"/>
    </font>
    <font>
      <i/>
      <sz val="10"/>
      <name val="Arial Narrow"/>
      <family val="2"/>
    </font>
    <font>
      <sz val="11"/>
      <color rgb="FFFF0000"/>
      <name val="宋体"/>
      <family val="3"/>
      <charset val="134"/>
    </font>
    <font>
      <sz val="11"/>
      <color rgb="FFFF0000"/>
      <name val="Arial Narrow"/>
      <family val="2"/>
    </font>
    <font>
      <sz val="9"/>
      <color indexed="10"/>
      <name val="宋体"/>
      <family val="3"/>
      <charset val="134"/>
    </font>
    <font>
      <sz val="10"/>
      <color indexed="12"/>
      <name val="宋体"/>
      <family val="3"/>
      <charset val="134"/>
    </font>
    <font>
      <b/>
      <sz val="12"/>
      <color rgb="FF0000CC"/>
      <name val="宋体"/>
      <family val="3"/>
      <charset val="134"/>
    </font>
    <font>
      <b/>
      <sz val="11"/>
      <name val="Arial Narrow"/>
      <family val="2"/>
    </font>
    <font>
      <b/>
      <sz val="20"/>
      <name val="宋体"/>
      <family val="3"/>
      <charset val="134"/>
    </font>
    <font>
      <b/>
      <sz val="20"/>
      <name val="Arial"/>
      <family val="2"/>
    </font>
    <font>
      <sz val="10"/>
      <color rgb="FFFF0000"/>
      <name val="Arial"/>
      <family val="2"/>
    </font>
    <font>
      <b/>
      <sz val="12"/>
      <color rgb="FFFF0000"/>
      <name val="宋体"/>
      <family val="3"/>
      <charset val="134"/>
    </font>
    <font>
      <b/>
      <sz val="12"/>
      <name val="Arial Narrow"/>
      <family val="2"/>
    </font>
    <font>
      <b/>
      <sz val="14"/>
      <name val="Arial Narrow"/>
      <family val="2"/>
    </font>
    <font>
      <b/>
      <sz val="8"/>
      <name val="Arial"/>
      <family val="2"/>
    </font>
    <font>
      <sz val="20"/>
      <name val="Letter Gothic (W1)"/>
      <family val="1"/>
    </font>
    <font>
      <sz val="8"/>
      <name val="Arial"/>
      <family val="2"/>
    </font>
    <font>
      <sz val="7"/>
      <name val="Small Fonts"/>
      <family val="2"/>
    </font>
    <font>
      <b/>
      <i/>
      <sz val="16"/>
      <name val="Helv"/>
      <family val="2"/>
    </font>
    <font>
      <sz val="10"/>
      <name val="Times New Roman"/>
      <family val="1"/>
    </font>
    <font>
      <b/>
      <sz val="12"/>
      <name val="MS Sans Serif"/>
      <family val="2"/>
    </font>
    <font>
      <sz val="12"/>
      <name val="MS Sans Serif"/>
      <family val="2"/>
    </font>
    <font>
      <sz val="11"/>
      <color theme="1"/>
      <name val="宋体"/>
      <family val="3"/>
      <charset val="134"/>
      <scheme val="minor"/>
    </font>
    <font>
      <sz val="10"/>
      <color theme="1"/>
      <name val="宋体"/>
      <family val="3"/>
      <charset val="134"/>
      <scheme val="minor"/>
    </font>
    <font>
      <sz val="12"/>
      <name val="Times New Roman"/>
      <family val="1"/>
    </font>
    <font>
      <b/>
      <sz val="10"/>
      <name val="MS Sans Serif"/>
      <family val="2"/>
    </font>
    <font>
      <b/>
      <sz val="12"/>
      <name val="Times New Roman"/>
      <family val="1"/>
    </font>
    <font>
      <sz val="11"/>
      <name val="蹈框"/>
      <family val="2"/>
    </font>
    <font>
      <sz val="11"/>
      <name val="ＭＳ Ｐゴシック"/>
      <family val="2"/>
    </font>
    <font>
      <sz val="12"/>
      <name val="바탕체"/>
      <family val="3"/>
    </font>
    <font>
      <b/>
      <sz val="16"/>
      <name val="隶书"/>
      <family val="3"/>
      <charset val="134"/>
    </font>
    <font>
      <b/>
      <sz val="16"/>
      <name val="Arial Narrow"/>
      <family val="2"/>
    </font>
    <font>
      <i/>
      <sz val="10"/>
      <name val="宋体"/>
      <family val="3"/>
      <charset val="134"/>
    </font>
    <font>
      <sz val="11"/>
      <color rgb="FF0000FF"/>
      <name val="Arial Narrow"/>
      <family val="2"/>
    </font>
    <font>
      <b/>
      <sz val="10"/>
      <color theme="5" tint="-0.249977111117893"/>
      <name val="Arial Narrow"/>
      <family val="2"/>
    </font>
    <font>
      <b/>
      <sz val="9"/>
      <name val="宋体"/>
      <family val="3"/>
      <charset val="134"/>
    </font>
    <font>
      <b/>
      <sz val="12"/>
      <name val="微软雅黑"/>
      <family val="2"/>
      <charset val="134"/>
    </font>
    <font>
      <b/>
      <sz val="11"/>
      <color indexed="8"/>
      <name val="宋体"/>
      <family val="3"/>
      <charset val="134"/>
    </font>
    <font>
      <sz val="11"/>
      <color indexed="8"/>
      <name val="宋体"/>
      <family val="3"/>
      <charset val="134"/>
    </font>
    <font>
      <b/>
      <sz val="11"/>
      <color indexed="8"/>
      <name val="Arial Narrow"/>
      <family val="2"/>
    </font>
    <font>
      <b/>
      <sz val="11"/>
      <color indexed="12"/>
      <name val="Arial Narrow"/>
      <family val="2"/>
    </font>
    <font>
      <b/>
      <sz val="11"/>
      <name val="宋体"/>
      <family val="3"/>
      <charset val="134"/>
    </font>
    <font>
      <sz val="11"/>
      <color indexed="8"/>
      <name val="Arial Narrow"/>
      <family val="2"/>
    </font>
    <font>
      <sz val="11"/>
      <name val="微软雅黑"/>
      <family val="2"/>
      <charset val="134"/>
    </font>
    <font>
      <b/>
      <sz val="11"/>
      <color rgb="FFC00000"/>
      <name val="微软雅黑"/>
      <family val="2"/>
      <charset val="134"/>
    </font>
    <font>
      <sz val="11"/>
      <color rgb="FF0000FF"/>
      <name val="宋体"/>
      <family val="3"/>
      <charset val="134"/>
    </font>
    <font>
      <sz val="10"/>
      <color theme="1"/>
      <name val="Arial"/>
      <family val="2"/>
    </font>
    <font>
      <i/>
      <sz val="10"/>
      <color rgb="FF0000FF"/>
      <name val="宋体"/>
      <family val="3"/>
      <charset val="134"/>
    </font>
    <font>
      <b/>
      <sz val="11"/>
      <color rgb="FF0000FF"/>
      <name val="宋体"/>
      <family val="3"/>
      <charset val="134"/>
    </font>
    <font>
      <b/>
      <sz val="20"/>
      <name val="微软雅黑"/>
      <family val="2"/>
      <charset val="134"/>
    </font>
    <font>
      <b/>
      <sz val="10"/>
      <color rgb="FF0000FF"/>
      <name val="Arial Narrow"/>
      <family val="2"/>
    </font>
    <font>
      <b/>
      <sz val="10"/>
      <color rgb="FFC00000"/>
      <name val="微软雅黑"/>
      <family val="2"/>
      <charset val="134"/>
    </font>
    <font>
      <b/>
      <sz val="11"/>
      <name val="微软雅黑"/>
      <family val="2"/>
      <charset val="134"/>
    </font>
    <font>
      <sz val="11"/>
      <color rgb="FF0000CC"/>
      <name val="Arial Narrow"/>
      <family val="2"/>
    </font>
    <font>
      <b/>
      <sz val="11"/>
      <color rgb="FFFF0000"/>
      <name val="Arial Narrow"/>
      <family val="2"/>
    </font>
    <font>
      <b/>
      <sz val="10"/>
      <color rgb="FF0000CC"/>
      <name val="微软雅黑"/>
      <family val="2"/>
      <charset val="134"/>
    </font>
    <font>
      <b/>
      <sz val="10"/>
      <color rgb="FF0000FF"/>
      <name val="微软雅黑"/>
      <family val="2"/>
      <charset val="134"/>
    </font>
    <font>
      <b/>
      <sz val="11"/>
      <color rgb="FF0000FF"/>
      <name val="Arial Narrow"/>
      <family val="2"/>
    </font>
    <font>
      <b/>
      <sz val="12"/>
      <color rgb="FF0000CC"/>
      <name val="Arial Narrow"/>
      <family val="2"/>
    </font>
    <font>
      <b/>
      <sz val="14"/>
      <color rgb="FF0000CC"/>
      <name val="微软雅黑"/>
      <family val="2"/>
      <charset val="134"/>
    </font>
    <font>
      <i/>
      <sz val="11"/>
      <name val="Arial Narrow"/>
      <family val="2"/>
    </font>
    <font>
      <i/>
      <sz val="11"/>
      <color rgb="FF0000FF"/>
      <name val="Arial Narrow"/>
      <family val="2"/>
    </font>
    <font>
      <b/>
      <sz val="20"/>
      <color rgb="FFFF0000"/>
      <name val="微软雅黑"/>
      <family val="2"/>
      <charset val="134"/>
    </font>
    <font>
      <b/>
      <sz val="11"/>
      <color rgb="FF0000FF"/>
      <name val="Arial"/>
      <family val="2"/>
    </font>
    <font>
      <b/>
      <sz val="11"/>
      <color rgb="FF0000CC"/>
      <name val="宋体"/>
      <family val="3"/>
      <charset val="134"/>
    </font>
    <font>
      <b/>
      <sz val="10"/>
      <name val="Arial"/>
      <family val="2"/>
    </font>
    <font>
      <b/>
      <vertAlign val="subscript"/>
      <sz val="10"/>
      <name val="Arial"/>
      <family val="2"/>
    </font>
    <font>
      <sz val="12"/>
      <name val="黑体"/>
      <family val="3"/>
      <charset val="134"/>
    </font>
    <font>
      <b/>
      <vertAlign val="subscript"/>
      <sz val="12"/>
      <name val="Times New Roman"/>
      <family val="1"/>
    </font>
    <font>
      <b/>
      <vertAlign val="subscript"/>
      <sz val="10"/>
      <name val="Arial Narrow"/>
      <family val="2"/>
    </font>
    <font>
      <sz val="10"/>
      <name val="宋体"/>
      <family val="3"/>
      <charset val="134"/>
      <scheme val="minor"/>
    </font>
    <font>
      <sz val="9"/>
      <color rgb="FFFF0000"/>
      <name val="宋体"/>
      <family val="3"/>
      <charset val="134"/>
    </font>
    <font>
      <b/>
      <sz val="9"/>
      <color indexed="10"/>
      <name val="宋体"/>
      <family val="3"/>
      <charset val="134"/>
    </font>
    <font>
      <b/>
      <sz val="11"/>
      <color theme="0"/>
      <name val="宋体"/>
      <family val="3"/>
      <charset val="134"/>
    </font>
  </fonts>
  <fills count="17">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gray125">
        <fgColor auto="1"/>
        <bgColor auto="1"/>
      </patternFill>
    </fill>
    <fill>
      <patternFill patternType="solid">
        <fgColor theme="1" tint="0.34998626667073579"/>
        <bgColor indexed="64"/>
      </patternFill>
    </fill>
    <fill>
      <patternFill patternType="solid">
        <fgColor indexed="22"/>
        <bgColor indexed="64"/>
      </patternFill>
    </fill>
    <fill>
      <patternFill patternType="solid">
        <fgColor indexed="9"/>
        <bgColor indexed="9"/>
      </patternFill>
    </fill>
    <fill>
      <patternFill patternType="solid">
        <fgColor theme="9" tint="0.39997558519241921"/>
        <bgColor indexed="64"/>
      </patternFill>
    </fill>
    <fill>
      <patternFill patternType="solid">
        <fgColor rgb="FFFFFFCC"/>
        <bgColor indexed="64"/>
      </patternFill>
    </fill>
    <fill>
      <patternFill patternType="solid">
        <fgColor indexed="41"/>
        <bgColor indexed="64"/>
      </patternFill>
    </fill>
    <fill>
      <patternFill patternType="solid">
        <fgColor theme="3" tint="0.79998168889431442"/>
        <bgColor indexed="64"/>
      </patternFill>
    </fill>
    <fill>
      <patternFill patternType="solid">
        <fgColor indexed="11"/>
        <bgColor indexed="64"/>
      </patternFill>
    </fill>
    <fill>
      <patternFill patternType="solid">
        <fgColor theme="9"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bottom/>
      <diagonal/>
    </border>
    <border>
      <left/>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style="thick">
        <color theme="0"/>
      </left>
      <right/>
      <top/>
      <bottom/>
      <diagonal/>
    </border>
    <border>
      <left/>
      <right style="thick">
        <color theme="0"/>
      </right>
      <top style="thin">
        <color indexed="64"/>
      </top>
      <bottom/>
      <diagonal/>
    </border>
    <border>
      <left/>
      <right style="thick">
        <color theme="0"/>
      </right>
      <top/>
      <bottom style="thin">
        <color indexed="64"/>
      </bottom>
      <diagonal/>
    </border>
    <border>
      <left/>
      <right style="thick">
        <color theme="0"/>
      </right>
      <top/>
      <bottom style="medium">
        <color indexed="64"/>
      </bottom>
      <diagonal/>
    </border>
    <border>
      <left/>
      <right/>
      <top style="medium">
        <color indexed="64"/>
      </top>
      <bottom style="thin">
        <color indexed="64"/>
      </bottom>
      <diagonal/>
    </border>
    <border>
      <left/>
      <right style="thick">
        <color theme="0"/>
      </right>
      <top style="medium">
        <color indexed="64"/>
      </top>
      <bottom style="medium">
        <color indexed="64"/>
      </bottom>
      <diagonal/>
    </border>
    <border>
      <left/>
      <right style="thick">
        <color theme="0"/>
      </right>
      <top/>
      <bottom/>
      <diagonal/>
    </border>
  </borders>
  <cellStyleXfs count="64">
    <xf numFmtId="0" fontId="0" fillId="0" borderId="0"/>
    <xf numFmtId="0" fontId="10" fillId="0" borderId="0"/>
    <xf numFmtId="9" fontId="5" fillId="0" borderId="0" applyFont="0" applyFill="0" applyBorder="0" applyAlignment="0" applyProtection="0"/>
    <xf numFmtId="0" fontId="10" fillId="0" borderId="0"/>
    <xf numFmtId="0" fontId="20" fillId="0" borderId="0"/>
    <xf numFmtId="0" fontId="10" fillId="0" borderId="0">
      <alignment vertical="center"/>
    </xf>
    <xf numFmtId="43" fontId="5"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0" fontId="20" fillId="0" borderId="0"/>
    <xf numFmtId="183" fontId="20" fillId="0" borderId="0" applyFont="0" applyFill="0" applyBorder="0" applyAlignment="0" applyProtection="0"/>
    <xf numFmtId="9" fontId="20" fillId="0" borderId="0" applyFont="0" applyFill="0" applyBorder="0" applyAlignment="0" applyProtection="0"/>
    <xf numFmtId="0" fontId="4" fillId="0" borderId="0">
      <alignment vertical="center"/>
    </xf>
    <xf numFmtId="0" fontId="3" fillId="0" borderId="0">
      <alignment vertical="center"/>
    </xf>
    <xf numFmtId="0" fontId="5" fillId="0" borderId="0"/>
    <xf numFmtId="0" fontId="5" fillId="0" borderId="0"/>
    <xf numFmtId="9" fontId="5" fillId="0" borderId="0" applyFont="0" applyFill="0" applyBorder="0" applyAlignment="0" applyProtection="0"/>
    <xf numFmtId="0" fontId="5" fillId="0" borderId="0"/>
    <xf numFmtId="0" fontId="5" fillId="0" borderId="0">
      <alignment vertical="center"/>
    </xf>
    <xf numFmtId="43" fontId="5" fillId="0" borderId="0" applyFont="0" applyFill="0" applyBorder="0" applyAlignment="0" applyProtection="0"/>
    <xf numFmtId="43" fontId="5" fillId="0" borderId="0" applyFont="0" applyFill="0" applyBorder="0" applyAlignment="0" applyProtection="0"/>
    <xf numFmtId="41" fontId="5" fillId="0" borderId="0" applyFont="0" applyFill="0" applyBorder="0" applyAlignment="0" applyProtection="0"/>
    <xf numFmtId="0" fontId="3" fillId="0" borderId="0">
      <alignment vertical="center"/>
    </xf>
    <xf numFmtId="9" fontId="34" fillId="0" borderId="0" applyFont="0" applyFill="0" applyBorder="0" applyAlignment="0" applyProtection="0"/>
    <xf numFmtId="0" fontId="5" fillId="0" borderId="0"/>
    <xf numFmtId="0" fontId="60" fillId="0" borderId="3">
      <alignment horizontal="center"/>
    </xf>
    <xf numFmtId="41" fontId="20" fillId="0" borderId="0" applyFont="0" applyFill="0" applyBorder="0" applyAlignment="0" applyProtection="0"/>
    <xf numFmtId="43" fontId="20" fillId="0" borderId="0" applyFont="0" applyFill="0" applyBorder="0" applyAlignment="0" applyProtection="0"/>
    <xf numFmtId="187" fontId="61" fillId="0" borderId="0" applyFont="0" applyFill="0" applyBorder="0" applyAlignment="0" applyProtection="0"/>
    <xf numFmtId="183" fontId="61" fillId="0" borderId="0" applyFont="0" applyFill="0" applyBorder="0" applyAlignment="0" applyProtection="0"/>
    <xf numFmtId="38" fontId="62" fillId="9" borderId="0" applyNumberFormat="0" applyBorder="0" applyAlignment="0" applyProtection="0"/>
    <xf numFmtId="10" fontId="62" fillId="3" borderId="1" applyNumberFormat="0" applyBorder="0" applyAlignment="0" applyProtection="0"/>
    <xf numFmtId="37" fontId="63" fillId="0" borderId="0"/>
    <xf numFmtId="0" fontId="64" fillId="0" borderId="0"/>
    <xf numFmtId="0" fontId="65" fillId="0" borderId="0"/>
    <xf numFmtId="10" fontId="20" fillId="0" borderId="0" applyFont="0" applyFill="0" applyBorder="0" applyAlignment="0" applyProtection="0"/>
    <xf numFmtId="0" fontId="66" fillId="0" borderId="1">
      <alignment horizontal="center"/>
    </xf>
    <xf numFmtId="0" fontId="66" fillId="0" borderId="0">
      <alignment horizontal="center" vertical="center"/>
    </xf>
    <xf numFmtId="0" fontId="67" fillId="10" borderId="0" applyNumberFormat="0" applyFill="0">
      <alignment horizontal="left" vertical="center"/>
    </xf>
    <xf numFmtId="0" fontId="68" fillId="0" borderId="0">
      <alignment vertical="center"/>
    </xf>
    <xf numFmtId="0" fontId="69" fillId="0" borderId="0">
      <alignment vertical="center"/>
    </xf>
    <xf numFmtId="0" fontId="71" fillId="0" borderId="0" applyNumberFormat="0" applyFill="0" applyBorder="0" applyAlignment="0" applyProtection="0"/>
    <xf numFmtId="0" fontId="72" fillId="0" borderId="0" applyNumberFormat="0" applyFill="0" applyBorder="0" applyAlignment="0" applyProtection="0"/>
    <xf numFmtId="188" fontId="70" fillId="0" borderId="0" applyFont="0" applyFill="0" applyBorder="0" applyAlignment="0" applyProtection="0"/>
    <xf numFmtId="8" fontId="5" fillId="0" borderId="0" applyFont="0" applyFill="0" applyBorder="0" applyAlignment="0" applyProtection="0"/>
    <xf numFmtId="189" fontId="70" fillId="0" borderId="0" applyFont="0" applyFill="0" applyBorder="0" applyAlignment="0" applyProtection="0"/>
    <xf numFmtId="190" fontId="70" fillId="0" borderId="0" applyFont="0" applyFill="0" applyBorder="0" applyAlignment="0" applyProtection="0"/>
    <xf numFmtId="0" fontId="65" fillId="0" borderId="0"/>
    <xf numFmtId="41" fontId="65" fillId="0" borderId="0" applyFont="0" applyFill="0" applyBorder="0" applyAlignment="0" applyProtection="0"/>
    <xf numFmtId="43" fontId="6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0" fontId="73" fillId="0" borderId="0"/>
    <xf numFmtId="38" fontId="74" fillId="0" borderId="0" applyFont="0" applyFill="0" applyBorder="0" applyAlignment="0" applyProtection="0"/>
    <xf numFmtId="4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5" fillId="0" borderId="0"/>
    <xf numFmtId="0" fontId="5" fillId="0" borderId="0"/>
    <xf numFmtId="0" fontId="5" fillId="0" borderId="0"/>
    <xf numFmtId="0" fontId="2" fillId="0" borderId="0">
      <alignment vertical="center"/>
    </xf>
    <xf numFmtId="0" fontId="68" fillId="0" borderId="0"/>
    <xf numFmtId="9" fontId="1" fillId="0" borderId="0" applyFont="0" applyFill="0" applyBorder="0" applyAlignment="0" applyProtection="0">
      <alignment vertical="center"/>
    </xf>
    <xf numFmtId="0" fontId="5" fillId="0" borderId="0">
      <alignment vertical="center"/>
    </xf>
  </cellStyleXfs>
  <cellXfs count="754">
    <xf numFmtId="0" fontId="0" fillId="0" borderId="0" xfId="0"/>
    <xf numFmtId="0" fontId="9" fillId="0" borderId="0" xfId="0" applyFont="1" applyAlignment="1" applyProtection="1">
      <alignment horizontal="left"/>
    </xf>
    <xf numFmtId="176" fontId="13" fillId="0" borderId="1" xfId="0" applyNumberFormat="1" applyFont="1" applyBorder="1" applyProtection="1"/>
    <xf numFmtId="176" fontId="14" fillId="0" borderId="0" xfId="0" applyNumberFormat="1" applyFont="1" applyProtection="1"/>
    <xf numFmtId="0" fontId="13" fillId="0" borderId="1" xfId="0" applyFont="1" applyBorder="1" applyProtection="1"/>
    <xf numFmtId="0" fontId="12" fillId="0" borderId="1" xfId="0" applyFont="1" applyBorder="1" applyProtection="1"/>
    <xf numFmtId="176" fontId="12" fillId="0" borderId="1" xfId="0" applyNumberFormat="1" applyFont="1" applyBorder="1" applyProtection="1"/>
    <xf numFmtId="176" fontId="17" fillId="0" borderId="1" xfId="0" applyNumberFormat="1" applyFont="1" applyBorder="1" applyProtection="1"/>
    <xf numFmtId="176" fontId="15" fillId="0" borderId="1" xfId="0" applyNumberFormat="1" applyFont="1" applyBorder="1" applyProtection="1"/>
    <xf numFmtId="180" fontId="13" fillId="0" borderId="1" xfId="2" applyNumberFormat="1" applyFont="1" applyBorder="1" applyProtection="1"/>
    <xf numFmtId="10" fontId="13" fillId="0" borderId="1" xfId="2" applyNumberFormat="1" applyFont="1" applyBorder="1" applyProtection="1"/>
    <xf numFmtId="176" fontId="13" fillId="0" borderId="0" xfId="0" applyNumberFormat="1" applyFont="1" applyProtection="1"/>
    <xf numFmtId="176" fontId="17" fillId="0" borderId="1" xfId="0" applyNumberFormat="1" applyFont="1" applyBorder="1" applyAlignment="1" applyProtection="1">
      <alignment horizontal="center"/>
    </xf>
    <xf numFmtId="176" fontId="13" fillId="0" borderId="0" xfId="0" applyNumberFormat="1" applyFont="1" applyBorder="1" applyProtection="1"/>
    <xf numFmtId="181" fontId="13" fillId="0" borderId="1" xfId="0" applyNumberFormat="1" applyFont="1" applyBorder="1" applyProtection="1"/>
    <xf numFmtId="176" fontId="12" fillId="0" borderId="0" xfId="0" applyNumberFormat="1" applyFont="1" applyAlignment="1" applyProtection="1">
      <alignment horizontal="right"/>
    </xf>
    <xf numFmtId="176" fontId="7" fillId="0" borderId="0" xfId="0" applyNumberFormat="1" applyFont="1" applyAlignment="1" applyProtection="1">
      <alignment horizontal="center"/>
    </xf>
    <xf numFmtId="176" fontId="12" fillId="0" borderId="0" xfId="0" applyNumberFormat="1" applyFont="1" applyProtection="1"/>
    <xf numFmtId="10" fontId="13" fillId="0" borderId="0" xfId="2" applyNumberFormat="1" applyFont="1" applyProtection="1"/>
    <xf numFmtId="180" fontId="13" fillId="0" borderId="0" xfId="2" applyNumberFormat="1" applyFont="1" applyProtection="1"/>
    <xf numFmtId="176" fontId="15" fillId="0" borderId="0" xfId="0" applyNumberFormat="1" applyFont="1" applyProtection="1"/>
    <xf numFmtId="0" fontId="5" fillId="0" borderId="0" xfId="0" applyFont="1"/>
    <xf numFmtId="176" fontId="15" fillId="0" borderId="0" xfId="0" applyNumberFormat="1" applyFont="1" applyBorder="1" applyProtection="1"/>
    <xf numFmtId="176" fontId="15" fillId="0" borderId="1" xfId="0" applyNumberFormat="1" applyFont="1" applyBorder="1" applyAlignment="1" applyProtection="1">
      <alignment horizontal="center" vertical="center" wrapText="1"/>
    </xf>
    <xf numFmtId="176" fontId="17" fillId="0" borderId="1" xfId="0" applyNumberFormat="1" applyFont="1" applyBorder="1" applyAlignment="1" applyProtection="1">
      <alignment horizontal="center" vertical="center" wrapText="1"/>
    </xf>
    <xf numFmtId="176" fontId="15" fillId="0" borderId="1" xfId="0" applyNumberFormat="1" applyFont="1" applyBorder="1" applyAlignment="1" applyProtection="1">
      <alignment horizontal="center" vertical="center"/>
    </xf>
    <xf numFmtId="0" fontId="13" fillId="5" borderId="1" xfId="0" applyFont="1" applyFill="1" applyBorder="1" applyProtection="1"/>
    <xf numFmtId="0" fontId="14" fillId="0" borderId="0" xfId="0" applyFont="1" applyAlignment="1">
      <alignment horizontal="center"/>
    </xf>
    <xf numFmtId="41" fontId="11" fillId="0" borderId="0" xfId="0" applyNumberFormat="1" applyFont="1" applyProtection="1"/>
    <xf numFmtId="176" fontId="14" fillId="0" borderId="0" xfId="0" applyNumberFormat="1" applyFont="1" applyAlignment="1" applyProtection="1">
      <alignment horizontal="center"/>
    </xf>
    <xf numFmtId="9" fontId="14" fillId="0" borderId="0" xfId="2" applyFont="1" applyProtection="1"/>
    <xf numFmtId="0" fontId="9" fillId="0" borderId="0" xfId="0" applyFont="1" applyAlignment="1" applyProtection="1">
      <alignment horizontal="left" shrinkToFit="1"/>
    </xf>
    <xf numFmtId="176" fontId="28" fillId="0" borderId="0" xfId="0" applyNumberFormat="1" applyFont="1" applyProtection="1"/>
    <xf numFmtId="9" fontId="13" fillId="0" borderId="0" xfId="2" applyFont="1" applyProtection="1"/>
    <xf numFmtId="176" fontId="13" fillId="0" borderId="5" xfId="0" applyNumberFormat="1" applyFont="1" applyBorder="1" applyProtection="1"/>
    <xf numFmtId="0" fontId="17" fillId="5" borderId="1" xfId="0" applyFont="1" applyFill="1" applyBorder="1" applyProtection="1"/>
    <xf numFmtId="43" fontId="12" fillId="0" borderId="0" xfId="0" applyNumberFormat="1" applyFont="1" applyAlignment="1" applyProtection="1">
      <alignment horizontal="left"/>
    </xf>
    <xf numFmtId="43" fontId="15" fillId="0" borderId="1" xfId="0" applyNumberFormat="1" applyFont="1" applyBorder="1" applyProtection="1"/>
    <xf numFmtId="43" fontId="13" fillId="0" borderId="1" xfId="0" applyNumberFormat="1" applyFont="1" applyBorder="1" applyProtection="1"/>
    <xf numFmtId="43" fontId="13" fillId="0" borderId="0" xfId="0" applyNumberFormat="1" applyFont="1" applyBorder="1" applyProtection="1"/>
    <xf numFmtId="43" fontId="13" fillId="0" borderId="0" xfId="0" applyNumberFormat="1" applyFont="1" applyAlignment="1" applyProtection="1">
      <alignment horizontal="center"/>
    </xf>
    <xf numFmtId="43" fontId="13" fillId="0" borderId="0" xfId="0" applyNumberFormat="1" applyFont="1" applyProtection="1"/>
    <xf numFmtId="180" fontId="13" fillId="0" borderId="7" xfId="2" applyNumberFormat="1" applyFont="1" applyBorder="1" applyProtection="1"/>
    <xf numFmtId="43" fontId="13" fillId="0" borderId="7" xfId="0" applyNumberFormat="1" applyFont="1" applyBorder="1" applyProtection="1"/>
    <xf numFmtId="43" fontId="11" fillId="0" borderId="0" xfId="0" applyNumberFormat="1" applyFont="1" applyAlignment="1" applyProtection="1">
      <alignment horizontal="center"/>
    </xf>
    <xf numFmtId="176" fontId="12" fillId="0" borderId="4" xfId="0" applyNumberFormat="1" applyFont="1" applyBorder="1" applyProtection="1"/>
    <xf numFmtId="176" fontId="13" fillId="0" borderId="4" xfId="0" applyNumberFormat="1" applyFont="1" applyBorder="1" applyProtection="1"/>
    <xf numFmtId="176" fontId="15" fillId="0" borderId="0" xfId="0" applyNumberFormat="1" applyFont="1" applyBorder="1" applyAlignment="1" applyProtection="1">
      <alignment horizontal="center" vertical="center"/>
    </xf>
    <xf numFmtId="176" fontId="15" fillId="0" borderId="15" xfId="0" applyNumberFormat="1" applyFont="1" applyBorder="1" applyAlignment="1" applyProtection="1">
      <alignment horizontal="center" vertical="center"/>
    </xf>
    <xf numFmtId="176" fontId="12" fillId="0" borderId="16" xfId="0" applyNumberFormat="1" applyFont="1" applyBorder="1" applyProtection="1"/>
    <xf numFmtId="184" fontId="13" fillId="0" borderId="1" xfId="0" applyNumberFormat="1" applyFont="1" applyBorder="1" applyProtection="1"/>
    <xf numFmtId="184" fontId="13" fillId="5" borderId="1" xfId="0" applyNumberFormat="1" applyFont="1" applyFill="1" applyBorder="1" applyProtection="1"/>
    <xf numFmtId="184" fontId="15" fillId="0" borderId="1" xfId="0" applyNumberFormat="1" applyFont="1" applyBorder="1" applyProtection="1"/>
    <xf numFmtId="43" fontId="23" fillId="0" borderId="0" xfId="0" applyNumberFormat="1" applyFont="1" applyProtection="1"/>
    <xf numFmtId="176" fontId="30" fillId="0" borderId="1" xfId="0" applyNumberFormat="1" applyFont="1" applyBorder="1" applyAlignment="1" applyProtection="1">
      <alignment horizontal="center" vertical="center"/>
    </xf>
    <xf numFmtId="176" fontId="13" fillId="0" borderId="16" xfId="0" applyNumberFormat="1" applyFont="1" applyBorder="1" applyProtection="1"/>
    <xf numFmtId="176" fontId="17" fillId="0" borderId="4" xfId="0" applyNumberFormat="1" applyFont="1" applyBorder="1" applyProtection="1"/>
    <xf numFmtId="176" fontId="15" fillId="0" borderId="2" xfId="0" applyNumberFormat="1" applyFont="1" applyBorder="1" applyProtection="1"/>
    <xf numFmtId="179" fontId="13" fillId="0" borderId="0" xfId="15" applyNumberFormat="1" applyFont="1" applyBorder="1" applyProtection="1"/>
    <xf numFmtId="14" fontId="12" fillId="0" borderId="4" xfId="0" applyNumberFormat="1" applyFont="1" applyBorder="1" applyAlignment="1" applyProtection="1">
      <alignment horizontal="left"/>
    </xf>
    <xf numFmtId="14" fontId="17" fillId="0" borderId="4" xfId="0" applyNumberFormat="1" applyFont="1" applyBorder="1" applyAlignment="1" applyProtection="1">
      <alignment horizontal="left"/>
    </xf>
    <xf numFmtId="176" fontId="30" fillId="0" borderId="1" xfId="0" applyNumberFormat="1" applyFont="1" applyBorder="1" applyAlignment="1" applyProtection="1">
      <alignment horizontal="center" vertical="center" wrapText="1"/>
    </xf>
    <xf numFmtId="14" fontId="13" fillId="0" borderId="4" xfId="0" applyNumberFormat="1" applyFont="1" applyBorder="1" applyAlignment="1" applyProtection="1">
      <alignment horizontal="left"/>
    </xf>
    <xf numFmtId="177" fontId="13" fillId="0" borderId="0" xfId="0" applyNumberFormat="1" applyFont="1" applyBorder="1" applyProtection="1"/>
    <xf numFmtId="176" fontId="13" fillId="0" borderId="1" xfId="0" applyNumberFormat="1" applyFont="1" applyBorder="1" applyAlignment="1" applyProtection="1">
      <alignment horizontal="center"/>
    </xf>
    <xf numFmtId="43" fontId="13" fillId="7" borderId="1" xfId="0" applyNumberFormat="1" applyFont="1" applyFill="1" applyBorder="1" applyProtection="1"/>
    <xf numFmtId="176" fontId="13" fillId="0" borderId="1" xfId="2" applyNumberFormat="1" applyFont="1" applyBorder="1" applyProtection="1"/>
    <xf numFmtId="0" fontId="43" fillId="0" borderId="0" xfId="0" applyFont="1"/>
    <xf numFmtId="0" fontId="7" fillId="0" borderId="0" xfId="0" applyFont="1"/>
    <xf numFmtId="10" fontId="39" fillId="5" borderId="1" xfId="2" applyNumberFormat="1" applyFont="1" applyFill="1" applyBorder="1" applyAlignment="1" applyProtection="1">
      <alignment horizontal="right"/>
    </xf>
    <xf numFmtId="43" fontId="53" fillId="0" borderId="0" xfId="0" applyNumberFormat="1" applyFont="1" applyFill="1" applyAlignment="1" applyProtection="1">
      <alignment horizontal="left"/>
    </xf>
    <xf numFmtId="43" fontId="53" fillId="0" borderId="0" xfId="0" applyNumberFormat="1" applyFont="1" applyFill="1" applyProtection="1"/>
    <xf numFmtId="176" fontId="14" fillId="0" borderId="0" xfId="0" applyNumberFormat="1" applyFont="1" applyFill="1" applyProtection="1"/>
    <xf numFmtId="176" fontId="13" fillId="0" borderId="0" xfId="0" applyNumberFormat="1" applyFont="1" applyFill="1" applyProtection="1"/>
    <xf numFmtId="176" fontId="54" fillId="0" borderId="0" xfId="0" applyNumberFormat="1" applyFont="1" applyFill="1" applyAlignment="1" applyProtection="1">
      <alignment horizontal="left"/>
    </xf>
    <xf numFmtId="176" fontId="13" fillId="0" borderId="1" xfId="0" applyNumberFormat="1" applyFont="1" applyFill="1" applyBorder="1" applyProtection="1"/>
    <xf numFmtId="176" fontId="39" fillId="0" borderId="0" xfId="0" applyNumberFormat="1" applyFont="1" applyProtection="1"/>
    <xf numFmtId="180" fontId="13" fillId="0" borderId="0" xfId="2" applyNumberFormat="1" applyFont="1" applyBorder="1" applyProtection="1"/>
    <xf numFmtId="176" fontId="12" fillId="0" borderId="18" xfId="0" applyNumberFormat="1" applyFont="1" applyBorder="1" applyProtection="1"/>
    <xf numFmtId="180" fontId="13" fillId="0" borderId="18" xfId="2" applyNumberFormat="1" applyFont="1" applyBorder="1" applyProtection="1"/>
    <xf numFmtId="43" fontId="13" fillId="0" borderId="18" xfId="0" applyNumberFormat="1" applyFont="1" applyBorder="1" applyProtection="1"/>
    <xf numFmtId="0" fontId="28" fillId="6" borderId="0" xfId="9" applyFont="1" applyFill="1" applyAlignment="1" applyProtection="1">
      <alignment horizontal="center"/>
    </xf>
    <xf numFmtId="186" fontId="13" fillId="0" borderId="0" xfId="0" applyNumberFormat="1" applyFont="1" applyBorder="1" applyAlignment="1" applyProtection="1">
      <alignment horizontal="center"/>
    </xf>
    <xf numFmtId="176" fontId="13" fillId="0" borderId="1" xfId="0" applyNumberFormat="1" applyFont="1" applyBorder="1" applyAlignment="1" applyProtection="1">
      <alignment horizontal="right"/>
    </xf>
    <xf numFmtId="179" fontId="29" fillId="6" borderId="1" xfId="0" applyNumberFormat="1" applyFont="1" applyFill="1" applyBorder="1" applyAlignment="1" applyProtection="1">
      <alignment horizontal="center"/>
    </xf>
    <xf numFmtId="176" fontId="24" fillId="0" borderId="1" xfId="0" applyNumberFormat="1" applyFont="1" applyBorder="1" applyAlignment="1" applyProtection="1">
      <alignment horizontal="center"/>
    </xf>
    <xf numFmtId="0" fontId="41" fillId="0" borderId="0" xfId="0" applyFont="1"/>
    <xf numFmtId="10" fontId="39" fillId="5" borderId="2" xfId="2" applyNumberFormat="1" applyFont="1" applyFill="1" applyBorder="1" applyAlignment="1" applyProtection="1">
      <alignment horizontal="right"/>
    </xf>
    <xf numFmtId="181" fontId="13" fillId="0" borderId="2" xfId="0" applyNumberFormat="1" applyFont="1" applyBorder="1" applyProtection="1"/>
    <xf numFmtId="176" fontId="13" fillId="0" borderId="2" xfId="0" applyNumberFormat="1" applyFont="1" applyBorder="1" applyProtection="1"/>
    <xf numFmtId="176" fontId="44" fillId="0" borderId="0" xfId="0" applyNumberFormat="1" applyFont="1" applyFill="1" applyBorder="1" applyProtection="1"/>
    <xf numFmtId="176" fontId="39" fillId="0" borderId="1" xfId="0" applyNumberFormat="1" applyFont="1" applyFill="1" applyBorder="1" applyProtection="1"/>
    <xf numFmtId="176" fontId="15" fillId="0" borderId="2" xfId="0" applyNumberFormat="1" applyFont="1" applyBorder="1" applyAlignment="1" applyProtection="1">
      <alignment horizontal="center" vertical="center"/>
    </xf>
    <xf numFmtId="176" fontId="15" fillId="0" borderId="5" xfId="0" applyNumberFormat="1" applyFont="1" applyBorder="1" applyAlignment="1" applyProtection="1">
      <alignment horizontal="center" vertical="center"/>
    </xf>
    <xf numFmtId="0" fontId="58" fillId="0" borderId="0" xfId="24" applyFont="1" applyAlignment="1">
      <alignment horizontal="center" vertical="center"/>
    </xf>
    <xf numFmtId="0" fontId="58" fillId="0" borderId="0" xfId="24" applyFont="1" applyAlignment="1">
      <alignment vertical="center" wrapText="1"/>
    </xf>
    <xf numFmtId="0" fontId="58" fillId="0" borderId="0" xfId="24" applyFont="1" applyAlignment="1">
      <alignment vertical="center"/>
    </xf>
    <xf numFmtId="0" fontId="58" fillId="0" borderId="0" xfId="24" applyFont="1" applyAlignment="1">
      <alignment horizontal="right" vertical="center"/>
    </xf>
    <xf numFmtId="0" fontId="59" fillId="0" borderId="0" xfId="24" applyFont="1" applyAlignment="1">
      <alignment vertical="center"/>
    </xf>
    <xf numFmtId="0" fontId="13" fillId="0" borderId="0" xfId="24" applyFont="1" applyAlignment="1">
      <alignment vertical="center" wrapText="1"/>
    </xf>
    <xf numFmtId="0" fontId="13" fillId="0" borderId="0" xfId="24" applyFont="1" applyAlignment="1">
      <alignment vertical="center"/>
    </xf>
    <xf numFmtId="0" fontId="13" fillId="0" borderId="0" xfId="24" applyFont="1" applyAlignment="1">
      <alignment horizontal="left" vertical="center"/>
    </xf>
    <xf numFmtId="0" fontId="8" fillId="0" borderId="0" xfId="24" applyFont="1" applyAlignment="1">
      <alignment vertical="center"/>
    </xf>
    <xf numFmtId="0" fontId="8" fillId="0" borderId="0" xfId="24" applyFont="1" applyAlignment="1">
      <alignment horizontal="center" vertical="center"/>
    </xf>
    <xf numFmtId="0" fontId="8" fillId="0" borderId="0" xfId="24" applyFont="1" applyAlignment="1">
      <alignment vertical="center" wrapText="1"/>
    </xf>
    <xf numFmtId="0" fontId="13" fillId="0" borderId="0" xfId="58" applyFont="1" applyAlignment="1">
      <alignment vertical="center"/>
    </xf>
    <xf numFmtId="0" fontId="13" fillId="0" borderId="1" xfId="58" applyFont="1" applyBorder="1" applyAlignment="1">
      <alignment vertical="center"/>
    </xf>
    <xf numFmtId="191" fontId="13" fillId="0" borderId="1" xfId="59" applyNumberFormat="1" applyFont="1" applyFill="1" applyBorder="1" applyAlignment="1" applyProtection="1">
      <alignment horizontal="center" vertical="center" wrapText="1"/>
    </xf>
    <xf numFmtId="0" fontId="13" fillId="0" borderId="4" xfId="59" applyFont="1" applyBorder="1" applyAlignment="1" applyProtection="1">
      <alignment vertical="center" wrapText="1"/>
      <protection locked="0"/>
    </xf>
    <xf numFmtId="0" fontId="12" fillId="0" borderId="4" xfId="59" applyFont="1" applyBorder="1" applyAlignment="1" applyProtection="1">
      <alignment vertical="center" wrapText="1"/>
      <protection locked="0"/>
    </xf>
    <xf numFmtId="0" fontId="16" fillId="0" borderId="0" xfId="0" applyFont="1" applyAlignment="1">
      <alignment horizontal="center" vertical="center"/>
    </xf>
    <xf numFmtId="0" fontId="16" fillId="0" borderId="1" xfId="0" applyFont="1" applyBorder="1" applyAlignment="1">
      <alignment horizontal="center" vertical="center"/>
    </xf>
    <xf numFmtId="0" fontId="15" fillId="0" borderId="1" xfId="24" applyFont="1" applyBorder="1" applyAlignment="1">
      <alignment vertical="center"/>
    </xf>
    <xf numFmtId="0" fontId="13" fillId="0" borderId="1" xfId="24" applyFont="1" applyBorder="1" applyAlignment="1">
      <alignment vertical="center"/>
    </xf>
    <xf numFmtId="0" fontId="13" fillId="0" borderId="1" xfId="59" applyFont="1" applyBorder="1" applyAlignment="1" applyProtection="1">
      <alignment horizontal="center" vertical="center" shrinkToFit="1"/>
      <protection locked="0"/>
    </xf>
    <xf numFmtId="0" fontId="13" fillId="0" borderId="0" xfId="24" applyFont="1" applyBorder="1" applyAlignment="1">
      <alignment horizontal="left" vertical="center" wrapText="1"/>
    </xf>
    <xf numFmtId="0" fontId="13" fillId="0" borderId="0" xfId="24" applyFont="1" applyBorder="1" applyAlignment="1">
      <alignment vertical="center"/>
    </xf>
    <xf numFmtId="0" fontId="12" fillId="0" borderId="19" xfId="24" applyFont="1" applyBorder="1" applyAlignment="1">
      <alignment horizontal="left" vertical="center" wrapText="1"/>
    </xf>
    <xf numFmtId="0" fontId="13" fillId="0" borderId="18" xfId="24" applyFont="1" applyBorder="1" applyAlignment="1">
      <alignment horizontal="left" vertical="center" wrapText="1"/>
    </xf>
    <xf numFmtId="0" fontId="13" fillId="0" borderId="18" xfId="24" applyFont="1" applyBorder="1" applyAlignment="1">
      <alignment vertical="center"/>
    </xf>
    <xf numFmtId="0" fontId="13" fillId="0" borderId="20" xfId="24" applyFont="1" applyBorder="1" applyAlignment="1">
      <alignment vertical="center"/>
    </xf>
    <xf numFmtId="0" fontId="13" fillId="0" borderId="16" xfId="24" applyFont="1" applyBorder="1" applyAlignment="1">
      <alignment horizontal="left" vertical="center" wrapText="1"/>
    </xf>
    <xf numFmtId="0" fontId="13" fillId="0" borderId="21" xfId="24" applyFont="1" applyBorder="1" applyAlignment="1">
      <alignment vertical="center"/>
    </xf>
    <xf numFmtId="0" fontId="13" fillId="0" borderId="22" xfId="24" applyFont="1" applyBorder="1" applyAlignment="1">
      <alignment horizontal="left" vertical="center" wrapText="1"/>
    </xf>
    <xf numFmtId="0" fontId="13" fillId="0" borderId="5" xfId="24" applyFont="1" applyBorder="1" applyAlignment="1">
      <alignment horizontal="left" vertical="center" wrapText="1"/>
    </xf>
    <xf numFmtId="0" fontId="13" fillId="0" borderId="5" xfId="24" applyFont="1" applyBorder="1" applyAlignment="1">
      <alignment vertical="center"/>
    </xf>
    <xf numFmtId="0" fontId="13" fillId="0" borderId="23" xfId="24" applyFont="1" applyBorder="1" applyAlignment="1">
      <alignment vertical="center"/>
    </xf>
    <xf numFmtId="176" fontId="17" fillId="0" borderId="4" xfId="0" applyNumberFormat="1" applyFont="1" applyBorder="1" applyAlignment="1" applyProtection="1">
      <alignment horizontal="center" vertical="center"/>
    </xf>
    <xf numFmtId="176" fontId="13" fillId="0" borderId="0" xfId="0" applyNumberFormat="1" applyFont="1" applyAlignment="1" applyProtection="1">
      <alignment horizontal="center"/>
    </xf>
    <xf numFmtId="10" fontId="13" fillId="0" borderId="1" xfId="2" applyNumberFormat="1" applyFont="1" applyFill="1" applyBorder="1" applyProtection="1"/>
    <xf numFmtId="10" fontId="13" fillId="0" borderId="0" xfId="2" applyNumberFormat="1" applyFont="1" applyFill="1" applyBorder="1" applyProtection="1"/>
    <xf numFmtId="43" fontId="13" fillId="0" borderId="0" xfId="0" applyNumberFormat="1" applyFont="1" applyFill="1" applyProtection="1"/>
    <xf numFmtId="0" fontId="13" fillId="0" borderId="0" xfId="0" applyNumberFormat="1" applyFont="1" applyBorder="1" applyProtection="1"/>
    <xf numFmtId="43" fontId="15" fillId="0" borderId="0" xfId="0" applyNumberFormat="1" applyFont="1" applyBorder="1" applyAlignment="1" applyProtection="1">
      <alignment horizontal="center" vertical="center" wrapText="1"/>
    </xf>
    <xf numFmtId="43" fontId="13" fillId="7" borderId="0" xfId="0" applyNumberFormat="1" applyFont="1" applyFill="1" applyBorder="1" applyProtection="1"/>
    <xf numFmtId="0" fontId="15" fillId="0" borderId="0" xfId="0" applyNumberFormat="1" applyFont="1" applyBorder="1" applyAlignment="1" applyProtection="1">
      <alignment horizontal="center" vertical="center"/>
    </xf>
    <xf numFmtId="0" fontId="13" fillId="0" borderId="0" xfId="0" applyNumberFormat="1" applyFont="1" applyBorder="1" applyAlignment="1" applyProtection="1">
      <alignment horizontal="center"/>
    </xf>
    <xf numFmtId="0" fontId="13" fillId="0" borderId="0" xfId="0" applyNumberFormat="1" applyFont="1" applyFill="1" applyBorder="1" applyAlignment="1" applyProtection="1">
      <alignment horizontal="center"/>
    </xf>
    <xf numFmtId="43" fontId="13" fillId="0" borderId="18" xfId="0" applyNumberFormat="1" applyFont="1" applyFill="1" applyBorder="1" applyProtection="1"/>
    <xf numFmtId="186" fontId="13" fillId="0" borderId="0" xfId="0" applyNumberFormat="1" applyFont="1" applyFill="1" applyBorder="1" applyAlignment="1" applyProtection="1">
      <alignment horizontal="center"/>
    </xf>
    <xf numFmtId="43" fontId="39" fillId="5" borderId="1" xfId="0" applyNumberFormat="1" applyFont="1" applyFill="1" applyBorder="1" applyAlignment="1" applyProtection="1"/>
    <xf numFmtId="14" fontId="17" fillId="0" borderId="4" xfId="0" applyNumberFormat="1" applyFont="1" applyBorder="1" applyAlignment="1" applyProtection="1">
      <alignment horizontal="center"/>
    </xf>
    <xf numFmtId="14" fontId="17" fillId="0" borderId="1" xfId="0" applyNumberFormat="1" applyFont="1" applyBorder="1" applyAlignment="1" applyProtection="1">
      <alignment horizontal="center"/>
    </xf>
    <xf numFmtId="43" fontId="15" fillId="0" borderId="1" xfId="0" applyNumberFormat="1" applyFont="1" applyFill="1" applyBorder="1" applyProtection="1"/>
    <xf numFmtId="43" fontId="13" fillId="0" borderId="1" xfId="0" applyNumberFormat="1" applyFont="1" applyFill="1" applyBorder="1" applyProtection="1"/>
    <xf numFmtId="176" fontId="13" fillId="0" borderId="1" xfId="0" applyNumberFormat="1" applyFont="1" applyBorder="1" applyAlignment="1" applyProtection="1">
      <alignment horizontal="center" vertical="center" wrapText="1"/>
    </xf>
    <xf numFmtId="176" fontId="12" fillId="0" borderId="1" xfId="0" applyNumberFormat="1" applyFont="1" applyBorder="1" applyAlignment="1" applyProtection="1">
      <alignment horizontal="center" vertical="center" wrapText="1"/>
    </xf>
    <xf numFmtId="176" fontId="24" fillId="0" borderId="0" xfId="0" applyNumberFormat="1" applyFont="1" applyProtection="1"/>
    <xf numFmtId="180" fontId="13" fillId="0" borderId="1" xfId="2" applyNumberFormat="1" applyFont="1" applyBorder="1" applyAlignment="1" applyProtection="1">
      <alignment horizontal="right"/>
    </xf>
    <xf numFmtId="10" fontId="13" fillId="0" borderId="1" xfId="2" applyNumberFormat="1" applyFont="1" applyBorder="1" applyAlignment="1" applyProtection="1">
      <alignment horizontal="right"/>
    </xf>
    <xf numFmtId="0" fontId="82" fillId="0" borderId="0" xfId="0" applyFont="1"/>
    <xf numFmtId="0" fontId="83" fillId="3" borderId="1" xfId="0" applyFont="1" applyFill="1" applyBorder="1" applyAlignment="1" applyProtection="1">
      <alignment horizontal="left" shrinkToFit="1"/>
    </xf>
    <xf numFmtId="176" fontId="14" fillId="0" borderId="1" xfId="0" applyNumberFormat="1" applyFont="1" applyFill="1" applyBorder="1" applyAlignment="1" applyProtection="1">
      <alignment horizontal="right" shrinkToFit="1"/>
    </xf>
    <xf numFmtId="0" fontId="84" fillId="3" borderId="1" xfId="0" applyFont="1" applyFill="1" applyBorder="1" applyAlignment="1" applyProtection="1">
      <alignment shrinkToFit="1"/>
    </xf>
    <xf numFmtId="0" fontId="48" fillId="3" borderId="1" xfId="0" applyFont="1" applyFill="1" applyBorder="1" applyAlignment="1" applyProtection="1">
      <alignment shrinkToFit="1"/>
    </xf>
    <xf numFmtId="0" fontId="84" fillId="3" borderId="1" xfId="0" applyFont="1" applyFill="1" applyBorder="1" applyAlignment="1" applyProtection="1">
      <alignment horizontal="left" shrinkToFit="1"/>
    </xf>
    <xf numFmtId="43" fontId="14" fillId="0" borderId="1" xfId="0" applyNumberFormat="1" applyFont="1" applyBorder="1" applyAlignment="1" applyProtection="1">
      <alignment horizontal="right" shrinkToFit="1"/>
    </xf>
    <xf numFmtId="0" fontId="14" fillId="0" borderId="1" xfId="0" applyFont="1" applyBorder="1" applyAlignment="1" applyProtection="1">
      <alignment shrinkToFit="1"/>
    </xf>
    <xf numFmtId="0" fontId="48" fillId="0" borderId="1" xfId="0" applyFont="1" applyBorder="1" applyAlignment="1" applyProtection="1">
      <alignment shrinkToFit="1"/>
    </xf>
    <xf numFmtId="0" fontId="7" fillId="0" borderId="1" xfId="0" applyFont="1" applyBorder="1" applyAlignment="1" applyProtection="1">
      <alignment shrinkToFit="1"/>
    </xf>
    <xf numFmtId="176" fontId="85" fillId="0" borderId="1" xfId="0" applyNumberFormat="1" applyFont="1" applyFill="1" applyBorder="1" applyAlignment="1" applyProtection="1">
      <alignment horizontal="right" shrinkToFit="1"/>
    </xf>
    <xf numFmtId="0" fontId="87" fillId="0" borderId="1" xfId="0" applyFont="1" applyBorder="1" applyAlignment="1" applyProtection="1">
      <alignment shrinkToFit="1"/>
    </xf>
    <xf numFmtId="0" fontId="48" fillId="3" borderId="1" xfId="0" applyFont="1" applyFill="1" applyBorder="1" applyAlignment="1" applyProtection="1">
      <alignment horizontal="left" shrinkToFit="1"/>
    </xf>
    <xf numFmtId="0" fontId="13" fillId="0" borderId="0" xfId="0" applyFont="1" applyBorder="1" applyAlignment="1" applyProtection="1">
      <alignment horizontal="center" shrinkToFit="1"/>
    </xf>
    <xf numFmtId="178" fontId="13" fillId="0" borderId="0" xfId="0" applyNumberFormat="1" applyFont="1" applyBorder="1" applyAlignment="1" applyProtection="1">
      <alignment horizontal="center"/>
    </xf>
    <xf numFmtId="0" fontId="15" fillId="0" borderId="0" xfId="0" applyFont="1" applyFill="1" applyBorder="1" applyProtection="1"/>
    <xf numFmtId="14" fontId="12" fillId="0" borderId="0" xfId="0" applyNumberFormat="1" applyFont="1" applyBorder="1" applyAlignment="1" applyProtection="1">
      <alignment horizontal="center" vertical="center" wrapText="1"/>
    </xf>
    <xf numFmtId="0" fontId="15" fillId="0" borderId="0" xfId="0" applyFont="1" applyBorder="1" applyAlignment="1" applyProtection="1">
      <alignment horizontal="center" shrinkToFit="1"/>
    </xf>
    <xf numFmtId="176" fontId="13" fillId="0" borderId="0" xfId="0" applyNumberFormat="1" applyFont="1" applyFill="1" applyBorder="1" applyProtection="1"/>
    <xf numFmtId="176" fontId="12" fillId="0" borderId="1" xfId="0" applyNumberFormat="1" applyFont="1" applyFill="1" applyBorder="1" applyProtection="1"/>
    <xf numFmtId="43" fontId="15" fillId="0" borderId="0" xfId="0" applyNumberFormat="1" applyFont="1" applyFill="1" applyProtection="1"/>
    <xf numFmtId="43" fontId="12" fillId="0" borderId="0" xfId="0" applyNumberFormat="1" applyFont="1" applyFill="1" applyProtection="1"/>
    <xf numFmtId="176" fontId="17" fillId="0" borderId="1" xfId="0" applyNumberFormat="1" applyFont="1" applyFill="1" applyBorder="1" applyProtection="1"/>
    <xf numFmtId="176" fontId="15" fillId="0" borderId="1" xfId="0" applyNumberFormat="1" applyFont="1" applyFill="1" applyBorder="1" applyAlignment="1" applyProtection="1">
      <alignment horizontal="center"/>
    </xf>
    <xf numFmtId="43" fontId="53" fillId="0" borderId="0" xfId="0" applyNumberFormat="1" applyFont="1" applyFill="1" applyAlignment="1" applyProtection="1"/>
    <xf numFmtId="0" fontId="15" fillId="0" borderId="0" xfId="0" applyFont="1" applyFill="1" applyBorder="1" applyAlignment="1" applyProtection="1">
      <alignment horizontal="left"/>
    </xf>
    <xf numFmtId="43" fontId="15" fillId="0" borderId="0" xfId="0" applyNumberFormat="1" applyFont="1" applyFill="1" applyBorder="1" applyAlignment="1" applyProtection="1">
      <alignment horizontal="left"/>
    </xf>
    <xf numFmtId="0" fontId="24" fillId="0" borderId="0" xfId="0" applyFont="1" applyBorder="1" applyAlignment="1" applyProtection="1">
      <alignment horizontal="center" shrinkToFit="1"/>
    </xf>
    <xf numFmtId="176" fontId="88" fillId="3" borderId="1" xfId="0" applyNumberFormat="1" applyFont="1" applyFill="1" applyBorder="1" applyAlignment="1" applyProtection="1">
      <alignment horizontal="right" shrinkToFit="1"/>
    </xf>
    <xf numFmtId="176" fontId="14" fillId="0" borderId="1" xfId="0" applyNumberFormat="1" applyFont="1" applyBorder="1" applyAlignment="1" applyProtection="1">
      <alignment horizontal="right" shrinkToFit="1"/>
    </xf>
    <xf numFmtId="176" fontId="7" fillId="0" borderId="0" xfId="0" applyNumberFormat="1" applyFont="1" applyProtection="1"/>
    <xf numFmtId="176" fontId="31" fillId="0" borderId="0" xfId="0" applyNumberFormat="1" applyFont="1" applyProtection="1"/>
    <xf numFmtId="176" fontId="23" fillId="0" borderId="0" xfId="0" applyNumberFormat="1" applyFont="1" applyProtection="1"/>
    <xf numFmtId="176" fontId="17" fillId="0" borderId="1" xfId="0" applyNumberFormat="1" applyFont="1" applyBorder="1" applyAlignment="1" applyProtection="1">
      <alignment horizontal="center" vertical="center"/>
    </xf>
    <xf numFmtId="43" fontId="14" fillId="0" borderId="0" xfId="0" applyNumberFormat="1" applyFont="1" applyFill="1" applyProtection="1"/>
    <xf numFmtId="43" fontId="7" fillId="0" borderId="0" xfId="0" applyNumberFormat="1" applyFont="1" applyFill="1" applyAlignment="1" applyProtection="1">
      <alignment horizontal="right"/>
    </xf>
    <xf numFmtId="176" fontId="51" fillId="0" borderId="0" xfId="0" applyNumberFormat="1" applyFont="1" applyFill="1" applyAlignment="1" applyProtection="1">
      <alignment horizontal="center"/>
    </xf>
    <xf numFmtId="176" fontId="24" fillId="0" borderId="0" xfId="0" applyNumberFormat="1" applyFont="1" applyFill="1" applyProtection="1"/>
    <xf numFmtId="43" fontId="15" fillId="0" borderId="0" xfId="0" applyNumberFormat="1" applyFont="1" applyFill="1" applyBorder="1" applyProtection="1"/>
    <xf numFmtId="0" fontId="14" fillId="0" borderId="0" xfId="0" applyFont="1" applyProtection="1"/>
    <xf numFmtId="176" fontId="12" fillId="0" borderId="0" xfId="0" applyNumberFormat="1" applyFont="1" applyBorder="1" applyProtection="1"/>
    <xf numFmtId="176" fontId="12" fillId="0" borderId="5" xfId="0" applyNumberFormat="1" applyFont="1" applyBorder="1" applyProtection="1"/>
    <xf numFmtId="176" fontId="13" fillId="0" borderId="7" xfId="0" applyNumberFormat="1" applyFont="1" applyBorder="1" applyProtection="1"/>
    <xf numFmtId="176" fontId="13" fillId="0" borderId="18" xfId="0" applyNumberFormat="1" applyFont="1" applyBorder="1" applyProtection="1"/>
    <xf numFmtId="176" fontId="26" fillId="6" borderId="0" xfId="0" applyNumberFormat="1" applyFont="1" applyFill="1" applyProtection="1"/>
    <xf numFmtId="180" fontId="26" fillId="6" borderId="5" xfId="2" applyNumberFormat="1" applyFont="1" applyFill="1" applyBorder="1" applyProtection="1"/>
    <xf numFmtId="176" fontId="12" fillId="0" borderId="7" xfId="0" applyNumberFormat="1" applyFont="1" applyBorder="1" applyProtection="1"/>
    <xf numFmtId="176" fontId="17" fillId="0" borderId="0" xfId="0" applyNumberFormat="1" applyFont="1" applyProtection="1"/>
    <xf numFmtId="10" fontId="26" fillId="6" borderId="5" xfId="2" applyNumberFormat="1" applyFont="1" applyFill="1" applyBorder="1" applyProtection="1"/>
    <xf numFmtId="9" fontId="13" fillId="6" borderId="1" xfId="2" applyFont="1" applyFill="1" applyBorder="1" applyAlignment="1" applyProtection="1">
      <alignment horizontal="center"/>
    </xf>
    <xf numFmtId="176" fontId="13" fillId="0" borderId="1" xfId="0" applyNumberFormat="1" applyFont="1" applyBorder="1" applyAlignment="1" applyProtection="1">
      <alignment shrinkToFit="1"/>
    </xf>
    <xf numFmtId="176" fontId="24" fillId="0" borderId="1" xfId="0" applyNumberFormat="1" applyFont="1" applyBorder="1" applyProtection="1"/>
    <xf numFmtId="9" fontId="13" fillId="0" borderId="1" xfId="2" applyFont="1" applyBorder="1" applyAlignment="1" applyProtection="1">
      <alignment horizontal="center"/>
    </xf>
    <xf numFmtId="10" fontId="13" fillId="6" borderId="1" xfId="2" applyNumberFormat="1" applyFont="1" applyFill="1" applyBorder="1" applyAlignment="1" applyProtection="1">
      <alignment horizontal="center"/>
    </xf>
    <xf numFmtId="0" fontId="12" fillId="0" borderId="0" xfId="0" applyFont="1" applyBorder="1" applyAlignment="1" applyProtection="1">
      <alignment horizontal="left"/>
    </xf>
    <xf numFmtId="43" fontId="26" fillId="6" borderId="1" xfId="0" applyNumberFormat="1" applyFont="1" applyFill="1" applyBorder="1" applyProtection="1"/>
    <xf numFmtId="176" fontId="12" fillId="0" borderId="0" xfId="0" applyNumberFormat="1" applyFont="1" applyAlignment="1" applyProtection="1">
      <alignment horizontal="center"/>
    </xf>
    <xf numFmtId="176" fontId="24" fillId="0" borderId="0" xfId="0" applyNumberFormat="1" applyFont="1" applyBorder="1" applyProtection="1"/>
    <xf numFmtId="185" fontId="13" fillId="0" borderId="1" xfId="2" applyNumberFormat="1" applyFont="1" applyBorder="1" applyProtection="1"/>
    <xf numFmtId="43" fontId="23" fillId="0" borderId="0" xfId="0" applyNumberFormat="1" applyFont="1" applyFill="1" applyProtection="1"/>
    <xf numFmtId="14" fontId="13" fillId="0" borderId="0" xfId="0" applyNumberFormat="1" applyFont="1" applyFill="1" applyProtection="1"/>
    <xf numFmtId="43" fontId="14" fillId="0" borderId="0" xfId="0" applyNumberFormat="1" applyFont="1" applyAlignment="1" applyProtection="1">
      <alignment horizontal="center"/>
    </xf>
    <xf numFmtId="43" fontId="14" fillId="0" borderId="0" xfId="0" applyNumberFormat="1" applyFont="1" applyProtection="1"/>
    <xf numFmtId="43" fontId="14" fillId="0" borderId="0" xfId="0" applyNumberFormat="1" applyFont="1" applyFill="1" applyAlignment="1" applyProtection="1">
      <alignment horizontal="center"/>
    </xf>
    <xf numFmtId="43" fontId="12" fillId="0" borderId="0" xfId="0" applyNumberFormat="1" applyFont="1" applyProtection="1"/>
    <xf numFmtId="43" fontId="14" fillId="5" borderId="0" xfId="0" applyNumberFormat="1" applyFont="1" applyFill="1" applyProtection="1"/>
    <xf numFmtId="43" fontId="24" fillId="0" borderId="0" xfId="0" applyNumberFormat="1" applyFont="1" applyProtection="1"/>
    <xf numFmtId="43" fontId="25" fillId="0" borderId="0" xfId="0" applyNumberFormat="1" applyFont="1" applyProtection="1"/>
    <xf numFmtId="43" fontId="31" fillId="0" borderId="0" xfId="0" applyNumberFormat="1" applyFont="1" applyProtection="1"/>
    <xf numFmtId="43" fontId="15" fillId="0" borderId="0" xfId="0" applyNumberFormat="1" applyFont="1" applyProtection="1"/>
    <xf numFmtId="43" fontId="31" fillId="0" borderId="0" xfId="0" applyNumberFormat="1" applyFont="1" applyFill="1" applyProtection="1"/>
    <xf numFmtId="43" fontId="29" fillId="0" borderId="0" xfId="0" applyNumberFormat="1" applyFont="1" applyFill="1" applyProtection="1"/>
    <xf numFmtId="43" fontId="26" fillId="0" borderId="0" xfId="0" applyNumberFormat="1" applyFont="1" applyProtection="1"/>
    <xf numFmtId="43" fontId="25" fillId="0" borderId="0" xfId="0" applyNumberFormat="1" applyFont="1" applyFill="1" applyProtection="1"/>
    <xf numFmtId="43" fontId="7" fillId="0" borderId="0" xfId="0" applyNumberFormat="1" applyFont="1" applyFill="1" applyAlignment="1" applyProtection="1">
      <alignment horizontal="left"/>
    </xf>
    <xf numFmtId="10" fontId="46" fillId="0" borderId="0" xfId="0" applyNumberFormat="1" applyFont="1" applyFill="1" applyBorder="1" applyProtection="1"/>
    <xf numFmtId="178" fontId="13" fillId="0" borderId="0" xfId="0" applyNumberFormat="1" applyFont="1" applyAlignment="1" applyProtection="1">
      <alignment horizontal="center"/>
    </xf>
    <xf numFmtId="182" fontId="13" fillId="0" borderId="0" xfId="0" applyNumberFormat="1" applyFont="1" applyAlignment="1" applyProtection="1">
      <alignment horizontal="center"/>
    </xf>
    <xf numFmtId="43" fontId="24" fillId="0" borderId="0" xfId="0" applyNumberFormat="1" applyFont="1" applyBorder="1" applyProtection="1"/>
    <xf numFmtId="0" fontId="13" fillId="0" borderId="0" xfId="0" applyNumberFormat="1" applyFont="1" applyProtection="1"/>
    <xf numFmtId="0" fontId="92" fillId="0" borderId="0" xfId="0" applyFont="1" applyAlignment="1">
      <alignment horizontal="left" vertical="center"/>
    </xf>
    <xf numFmtId="0" fontId="92" fillId="0" borderId="0" xfId="0" applyFont="1" applyAlignment="1">
      <alignment vertical="center"/>
    </xf>
    <xf numFmtId="176" fontId="13" fillId="0" borderId="15" xfId="0" applyNumberFormat="1" applyFont="1" applyBorder="1" applyProtection="1"/>
    <xf numFmtId="176" fontId="56" fillId="0" borderId="0" xfId="0" applyNumberFormat="1" applyFont="1" applyFill="1" applyBorder="1" applyProtection="1"/>
    <xf numFmtId="0" fontId="12" fillId="0" borderId="0" xfId="0" applyFont="1" applyBorder="1" applyProtection="1"/>
    <xf numFmtId="176" fontId="24" fillId="0" borderId="0" xfId="0" applyNumberFormat="1" applyFont="1" applyFill="1" applyBorder="1" applyProtection="1"/>
    <xf numFmtId="180" fontId="13" fillId="2" borderId="1" xfId="2" applyNumberFormat="1" applyFont="1" applyFill="1" applyBorder="1" applyProtection="1"/>
    <xf numFmtId="176" fontId="13" fillId="5" borderId="0" xfId="0" applyNumberFormat="1" applyFont="1" applyFill="1" applyProtection="1"/>
    <xf numFmtId="43" fontId="40" fillId="0" borderId="1" xfId="0" applyNumberFormat="1" applyFont="1" applyBorder="1" applyProtection="1"/>
    <xf numFmtId="178" fontId="7" fillId="0" borderId="0" xfId="0" applyNumberFormat="1" applyFont="1" applyAlignment="1" applyProtection="1">
      <alignment horizontal="center"/>
    </xf>
    <xf numFmtId="176" fontId="14" fillId="5" borderId="0" xfId="0" applyNumberFormat="1" applyFont="1" applyFill="1" applyProtection="1"/>
    <xf numFmtId="0" fontId="13" fillId="0" borderId="0" xfId="0" applyFont="1" applyFill="1" applyProtection="1"/>
    <xf numFmtId="176" fontId="13" fillId="0" borderId="1" xfId="2" applyNumberFormat="1" applyFont="1" applyBorder="1" applyAlignment="1" applyProtection="1">
      <alignment horizontal="right"/>
    </xf>
    <xf numFmtId="0" fontId="35" fillId="0" borderId="1" xfId="0" applyFont="1" applyFill="1" applyBorder="1" applyAlignment="1" applyProtection="1">
      <alignment shrinkToFit="1"/>
    </xf>
    <xf numFmtId="176" fontId="12" fillId="0" borderId="1" xfId="0" applyNumberFormat="1" applyFont="1" applyBorder="1" applyAlignment="1" applyProtection="1">
      <alignment shrinkToFit="1"/>
    </xf>
    <xf numFmtId="14" fontId="13" fillId="0" borderId="2" xfId="59" applyNumberFormat="1" applyFont="1" applyFill="1" applyBorder="1" applyAlignment="1" applyProtection="1">
      <alignment vertical="center" shrinkToFit="1"/>
    </xf>
    <xf numFmtId="176" fontId="90" fillId="0" borderId="8" xfId="0" applyNumberFormat="1" applyFont="1" applyBorder="1" applyProtection="1"/>
    <xf numFmtId="176" fontId="14" fillId="0" borderId="9" xfId="0" applyNumberFormat="1" applyFont="1" applyBorder="1" applyProtection="1"/>
    <xf numFmtId="176" fontId="14" fillId="0" borderId="10" xfId="0" applyNumberFormat="1" applyFont="1" applyBorder="1" applyProtection="1"/>
    <xf numFmtId="176" fontId="89" fillId="0" borderId="11" xfId="0" applyNumberFormat="1" applyFont="1" applyBorder="1" applyProtection="1"/>
    <xf numFmtId="176" fontId="14" fillId="0" borderId="0" xfId="0" applyNumberFormat="1" applyFont="1" applyBorder="1" applyProtection="1"/>
    <xf numFmtId="14" fontId="79" fillId="6" borderId="12" xfId="0" applyNumberFormat="1" applyFont="1" applyFill="1" applyBorder="1" applyProtection="1"/>
    <xf numFmtId="176" fontId="14" fillId="0" borderId="0" xfId="0" applyNumberFormat="1" applyFont="1" applyBorder="1" applyAlignment="1" applyProtection="1">
      <alignment horizontal="center"/>
    </xf>
    <xf numFmtId="176" fontId="14" fillId="0" borderId="13" xfId="0" applyNumberFormat="1" applyFont="1" applyBorder="1" applyProtection="1"/>
    <xf numFmtId="176" fontId="14" fillId="0" borderId="7" xfId="0" applyNumberFormat="1" applyFont="1" applyBorder="1" applyProtection="1"/>
    <xf numFmtId="176" fontId="14" fillId="0" borderId="14" xfId="0" applyNumberFormat="1" applyFont="1" applyBorder="1" applyProtection="1"/>
    <xf numFmtId="176" fontId="79" fillId="2" borderId="1" xfId="6" applyNumberFormat="1" applyFont="1" applyFill="1" applyBorder="1" applyAlignment="1" applyProtection="1">
      <alignment horizontal="right" shrinkToFit="1"/>
    </xf>
    <xf numFmtId="176" fontId="79" fillId="2" borderId="1" xfId="0" applyNumberFormat="1" applyFont="1" applyFill="1" applyBorder="1" applyAlignment="1" applyProtection="1">
      <alignment horizontal="right" shrinkToFit="1"/>
    </xf>
    <xf numFmtId="43" fontId="86" fillId="0" borderId="1" xfId="0" applyNumberFormat="1" applyFont="1" applyBorder="1" applyAlignment="1" applyProtection="1">
      <alignment horizontal="right" shrinkToFit="1"/>
    </xf>
    <xf numFmtId="0" fontId="53" fillId="0" borderId="1" xfId="0" applyFont="1" applyBorder="1" applyAlignment="1" applyProtection="1">
      <alignment horizontal="center" vertical="center" shrinkToFit="1"/>
    </xf>
    <xf numFmtId="14" fontId="53" fillId="0" borderId="1" xfId="0" applyNumberFormat="1" applyFont="1" applyBorder="1" applyAlignment="1" applyProtection="1">
      <alignment horizontal="center" vertical="center" shrinkToFit="1"/>
    </xf>
    <xf numFmtId="14" fontId="87" fillId="0" borderId="1" xfId="0" applyNumberFormat="1" applyFont="1" applyBorder="1" applyAlignment="1" applyProtection="1">
      <alignment horizontal="center" vertical="center" shrinkToFit="1"/>
    </xf>
    <xf numFmtId="0" fontId="87" fillId="0" borderId="1" xfId="0" applyFont="1" applyBorder="1" applyAlignment="1" applyProtection="1">
      <alignment horizontal="center" vertical="center" shrinkToFit="1"/>
    </xf>
    <xf numFmtId="176" fontId="12" fillId="0" borderId="0" xfId="0" applyNumberFormat="1" applyFont="1" applyBorder="1" applyAlignment="1" applyProtection="1">
      <alignment horizontal="left"/>
    </xf>
    <xf numFmtId="180" fontId="13" fillId="0" borderId="0" xfId="2" applyNumberFormat="1" applyFont="1" applyBorder="1" applyAlignment="1" applyProtection="1">
      <alignment horizontal="right"/>
    </xf>
    <xf numFmtId="176" fontId="94" fillId="0" borderId="5" xfId="0" applyNumberFormat="1" applyFont="1" applyBorder="1" applyProtection="1"/>
    <xf numFmtId="180" fontId="13" fillId="0" borderId="0" xfId="2" applyNumberFormat="1" applyFont="1" applyAlignment="1" applyProtection="1">
      <alignment horizontal="right"/>
    </xf>
    <xf numFmtId="43" fontId="23" fillId="0" borderId="0" xfId="0" applyNumberFormat="1" applyFont="1" applyBorder="1" applyProtection="1"/>
    <xf numFmtId="176" fontId="30" fillId="0" borderId="1" xfId="0" applyNumberFormat="1" applyFont="1" applyFill="1" applyBorder="1" applyAlignment="1" applyProtection="1">
      <alignment horizontal="center"/>
    </xf>
    <xf numFmtId="176" fontId="28" fillId="0" borderId="7" xfId="0" applyNumberFormat="1" applyFont="1" applyBorder="1" applyProtection="1"/>
    <xf numFmtId="176" fontId="26" fillId="6" borderId="18" xfId="0" applyNumberFormat="1" applyFont="1" applyFill="1" applyBorder="1" applyProtection="1"/>
    <xf numFmtId="180" fontId="13" fillId="0" borderId="5" xfId="2" applyNumberFormat="1" applyFont="1" applyBorder="1" applyAlignment="1" applyProtection="1">
      <alignment horizontal="right"/>
    </xf>
    <xf numFmtId="43" fontId="13" fillId="0" borderId="26" xfId="0" applyNumberFormat="1" applyFont="1" applyBorder="1" applyProtection="1"/>
    <xf numFmtId="180" fontId="13" fillId="0" borderId="27" xfId="2" applyNumberFormat="1" applyFont="1" applyBorder="1" applyAlignment="1" applyProtection="1">
      <alignment horizontal="right"/>
    </xf>
    <xf numFmtId="180" fontId="13" fillId="0" borderId="28" xfId="2" applyNumberFormat="1" applyFont="1" applyBorder="1" applyProtection="1"/>
    <xf numFmtId="176" fontId="17" fillId="0" borderId="0" xfId="0" applyNumberFormat="1" applyFont="1" applyFill="1" applyAlignment="1" applyProtection="1">
      <alignment vertical="center"/>
    </xf>
    <xf numFmtId="176" fontId="30" fillId="0" borderId="0" xfId="0" applyNumberFormat="1" applyFont="1" applyFill="1" applyAlignment="1" applyProtection="1">
      <alignment horizontal="center" vertical="center"/>
    </xf>
    <xf numFmtId="176" fontId="15" fillId="0" borderId="25" xfId="0" applyNumberFormat="1" applyFont="1" applyFill="1" applyBorder="1" applyAlignment="1" applyProtection="1">
      <alignment horizontal="center" vertical="center"/>
    </xf>
    <xf numFmtId="176" fontId="15" fillId="0" borderId="0" xfId="0" applyNumberFormat="1" applyFont="1" applyFill="1" applyAlignment="1" applyProtection="1">
      <alignment horizontal="center" vertical="center"/>
    </xf>
    <xf numFmtId="176" fontId="12" fillId="0" borderId="24" xfId="0" applyNumberFormat="1" applyFont="1" applyBorder="1" applyProtection="1"/>
    <xf numFmtId="180" fontId="13" fillId="0" borderId="24" xfId="2" applyNumberFormat="1" applyFont="1" applyBorder="1" applyProtection="1"/>
    <xf numFmtId="176" fontId="28" fillId="0" borderId="29" xfId="0" applyNumberFormat="1" applyFont="1" applyBorder="1" applyProtection="1"/>
    <xf numFmtId="176" fontId="15" fillId="0" borderId="0" xfId="0" applyNumberFormat="1" applyFont="1" applyAlignment="1" applyProtection="1">
      <alignment horizontal="center" vertical="center"/>
    </xf>
    <xf numFmtId="176" fontId="17" fillId="0" borderId="0" xfId="0" applyNumberFormat="1" applyFont="1" applyFill="1" applyAlignment="1" applyProtection="1">
      <alignment horizontal="center" vertical="center"/>
    </xf>
    <xf numFmtId="176" fontId="15" fillId="6" borderId="29" xfId="0" applyNumberFormat="1" applyFont="1" applyFill="1" applyBorder="1" applyAlignment="1" applyProtection="1">
      <alignment horizontal="center" vertical="center"/>
    </xf>
    <xf numFmtId="180" fontId="15" fillId="0" borderId="18" xfId="2" applyNumberFormat="1" applyFont="1" applyFill="1" applyBorder="1" applyProtection="1"/>
    <xf numFmtId="180" fontId="15" fillId="0" borderId="0" xfId="2" applyNumberFormat="1" applyFont="1" applyFill="1" applyBorder="1" applyProtection="1"/>
    <xf numFmtId="180" fontId="15" fillId="0" borderId="24" xfId="2" applyNumberFormat="1" applyFont="1" applyFill="1" applyBorder="1" applyProtection="1"/>
    <xf numFmtId="41" fontId="11" fillId="0" borderId="7" xfId="0" applyNumberFormat="1" applyFont="1" applyBorder="1" applyProtection="1"/>
    <xf numFmtId="0" fontId="12" fillId="0" borderId="18" xfId="0" applyFont="1" applyBorder="1" applyAlignment="1" applyProtection="1">
      <alignment horizontal="left"/>
    </xf>
    <xf numFmtId="176" fontId="13" fillId="0" borderId="5" xfId="0" applyNumberFormat="1" applyFont="1" applyBorder="1" applyAlignment="1" applyProtection="1">
      <alignment horizontal="center" vertical="center"/>
    </xf>
    <xf numFmtId="176" fontId="30" fillId="0" borderId="0" xfId="0" applyNumberFormat="1" applyFont="1" applyAlignment="1" applyProtection="1">
      <alignment horizontal="center" vertical="center"/>
    </xf>
    <xf numFmtId="43" fontId="13" fillId="2" borderId="1" xfId="0" applyNumberFormat="1" applyFont="1" applyFill="1" applyBorder="1" applyProtection="1"/>
    <xf numFmtId="43" fontId="26" fillId="2" borderId="1" xfId="0" applyNumberFormat="1" applyFont="1" applyFill="1" applyBorder="1" applyProtection="1"/>
    <xf numFmtId="43" fontId="27" fillId="0" borderId="1" xfId="0" applyNumberFormat="1" applyFont="1" applyBorder="1" applyProtection="1"/>
    <xf numFmtId="184" fontId="13" fillId="5" borderId="1" xfId="0" applyNumberFormat="1" applyFont="1" applyFill="1" applyBorder="1" applyAlignment="1" applyProtection="1">
      <alignment horizontal="right"/>
    </xf>
    <xf numFmtId="43" fontId="85" fillId="0" borderId="1" xfId="0" applyNumberFormat="1" applyFont="1" applyFill="1" applyBorder="1" applyAlignment="1" applyProtection="1">
      <alignment horizontal="right" shrinkToFit="1"/>
    </xf>
    <xf numFmtId="43" fontId="53" fillId="0" borderId="1" xfId="0" applyNumberFormat="1" applyFont="1" applyFill="1" applyBorder="1" applyAlignment="1" applyProtection="1">
      <alignment horizontal="right" shrinkToFit="1"/>
    </xf>
    <xf numFmtId="43" fontId="85" fillId="3" borderId="1" xfId="0" applyNumberFormat="1" applyFont="1" applyFill="1" applyBorder="1" applyAlignment="1" applyProtection="1">
      <alignment horizontal="right" shrinkToFit="1"/>
    </xf>
    <xf numFmtId="176" fontId="13" fillId="0" borderId="17" xfId="0" applyNumberFormat="1" applyFont="1" applyBorder="1" applyProtection="1"/>
    <xf numFmtId="176" fontId="52" fillId="0" borderId="7" xfId="0" applyNumberFormat="1" applyFont="1" applyBorder="1" applyProtection="1"/>
    <xf numFmtId="180" fontId="13" fillId="0" borderId="7" xfId="2" applyNumberFormat="1" applyFont="1" applyBorder="1" applyAlignment="1" applyProtection="1">
      <alignment horizontal="right"/>
    </xf>
    <xf numFmtId="180" fontId="13" fillId="0" borderId="28" xfId="2" applyNumberFormat="1" applyFont="1" applyBorder="1" applyAlignment="1" applyProtection="1">
      <alignment horizontal="right"/>
    </xf>
    <xf numFmtId="176" fontId="96" fillId="0" borderId="0" xfId="0" applyNumberFormat="1" applyFont="1" applyAlignment="1" applyProtection="1">
      <alignment horizontal="center" vertical="center"/>
    </xf>
    <xf numFmtId="176" fontId="96" fillId="6" borderId="29" xfId="0" applyNumberFormat="1" applyFont="1" applyFill="1" applyBorder="1" applyAlignment="1" applyProtection="1">
      <alignment horizontal="center" vertical="center"/>
    </xf>
    <xf numFmtId="10" fontId="26" fillId="6" borderId="1" xfId="2" applyNumberFormat="1" applyFont="1" applyFill="1" applyBorder="1" applyProtection="1"/>
    <xf numFmtId="10" fontId="15" fillId="0" borderId="1" xfId="2" applyNumberFormat="1" applyFont="1" applyFill="1" applyBorder="1" applyProtection="1"/>
    <xf numFmtId="43" fontId="26" fillId="6" borderId="18" xfId="0" applyNumberFormat="1" applyFont="1" applyFill="1" applyBorder="1" applyProtection="1"/>
    <xf numFmtId="176" fontId="15" fillId="0" borderId="0" xfId="0" applyNumberFormat="1" applyFont="1" applyFill="1" applyBorder="1" applyAlignment="1" applyProtection="1">
      <alignment horizontal="center" vertical="center"/>
    </xf>
    <xf numFmtId="176" fontId="13" fillId="0" borderId="30" xfId="0" applyNumberFormat="1" applyFont="1" applyBorder="1" applyProtection="1"/>
    <xf numFmtId="176" fontId="30" fillId="0" borderId="31" xfId="0" applyNumberFormat="1" applyFont="1" applyFill="1" applyBorder="1" applyAlignment="1" applyProtection="1">
      <alignment horizontal="center" vertical="center"/>
    </xf>
    <xf numFmtId="176" fontId="12" fillId="0" borderId="6" xfId="0" applyNumberFormat="1" applyFont="1" applyBorder="1" applyProtection="1"/>
    <xf numFmtId="176" fontId="30" fillId="0" borderId="2" xfId="0" applyNumberFormat="1" applyFont="1" applyBorder="1" applyAlignment="1" applyProtection="1">
      <alignment horizontal="center" vertical="center"/>
    </xf>
    <xf numFmtId="180" fontId="26" fillId="6" borderId="1" xfId="2" applyNumberFormat="1" applyFont="1" applyFill="1" applyBorder="1" applyAlignment="1" applyProtection="1">
      <alignment horizontal="right"/>
    </xf>
    <xf numFmtId="180" fontId="13" fillId="0" borderId="2" xfId="2" applyNumberFormat="1" applyFont="1" applyBorder="1" applyAlignment="1" applyProtection="1">
      <alignment horizontal="right"/>
    </xf>
    <xf numFmtId="176" fontId="17" fillId="0" borderId="0" xfId="0" applyNumberFormat="1" applyFont="1" applyAlignment="1" applyProtection="1">
      <alignment vertical="center"/>
    </xf>
    <xf numFmtId="176" fontId="17" fillId="0" borderId="18" xfId="0" applyNumberFormat="1" applyFont="1" applyFill="1" applyBorder="1" applyAlignment="1" applyProtection="1">
      <alignment horizontal="center"/>
    </xf>
    <xf numFmtId="176" fontId="13" fillId="0" borderId="18" xfId="0" applyNumberFormat="1" applyFont="1" applyFill="1" applyBorder="1" applyProtection="1"/>
    <xf numFmtId="176" fontId="17" fillId="0" borderId="7" xfId="0" applyNumberFormat="1" applyFont="1" applyFill="1" applyBorder="1" applyAlignment="1" applyProtection="1">
      <alignment horizontal="center" vertical="center"/>
    </xf>
    <xf numFmtId="176" fontId="13" fillId="0" borderId="7" xfId="0" applyNumberFormat="1" applyFont="1" applyFill="1" applyBorder="1" applyProtection="1"/>
    <xf numFmtId="180" fontId="15" fillId="0" borderId="7" xfId="2" applyNumberFormat="1" applyFont="1" applyFill="1" applyBorder="1" applyProtection="1"/>
    <xf numFmtId="180" fontId="13" fillId="0" borderId="0" xfId="2" applyNumberFormat="1" applyFont="1" applyFill="1" applyProtection="1"/>
    <xf numFmtId="176" fontId="17" fillId="0" borderId="17" xfId="0" applyNumberFormat="1" applyFont="1" applyFill="1" applyBorder="1" applyAlignment="1" applyProtection="1">
      <alignment horizontal="center"/>
    </xf>
    <xf numFmtId="176" fontId="13" fillId="0" borderId="17" xfId="0" applyNumberFormat="1" applyFont="1" applyFill="1" applyBorder="1" applyProtection="1"/>
    <xf numFmtId="180" fontId="15" fillId="0" borderId="17" xfId="2" applyNumberFormat="1" applyFont="1" applyFill="1" applyBorder="1" applyProtection="1"/>
    <xf numFmtId="43" fontId="15" fillId="0" borderId="0" xfId="0" applyNumberFormat="1" applyFont="1" applyFill="1" applyAlignment="1" applyProtection="1"/>
    <xf numFmtId="178" fontId="12" fillId="0" borderId="0" xfId="24" applyNumberFormat="1" applyFont="1" applyAlignment="1" applyProtection="1">
      <alignment horizontal="left"/>
    </xf>
    <xf numFmtId="176" fontId="12" fillId="0" borderId="0" xfId="24" applyNumberFormat="1" applyFont="1" applyAlignment="1" applyProtection="1">
      <alignment horizontal="right"/>
    </xf>
    <xf numFmtId="176" fontId="15" fillId="0" borderId="1" xfId="24" applyNumberFormat="1" applyFont="1" applyBorder="1" applyAlignment="1" applyProtection="1">
      <alignment horizontal="center" vertical="center"/>
    </xf>
    <xf numFmtId="176" fontId="15" fillId="5" borderId="1" xfId="24" applyNumberFormat="1" applyFont="1" applyFill="1" applyBorder="1" applyProtection="1"/>
    <xf numFmtId="176" fontId="13" fillId="5" borderId="1" xfId="24" applyNumberFormat="1" applyFont="1" applyFill="1" applyBorder="1" applyProtection="1"/>
    <xf numFmtId="176" fontId="15" fillId="0" borderId="1" xfId="24" applyNumberFormat="1" applyFont="1" applyBorder="1" applyProtection="1"/>
    <xf numFmtId="176" fontId="13" fillId="0" borderId="1" xfId="24" applyNumberFormat="1" applyFont="1" applyBorder="1" applyProtection="1"/>
    <xf numFmtId="179" fontId="13" fillId="0" borderId="1" xfId="24" applyNumberFormat="1" applyFont="1" applyBorder="1" applyProtection="1"/>
    <xf numFmtId="43" fontId="11" fillId="0" borderId="0" xfId="24" applyNumberFormat="1" applyFont="1" applyAlignment="1" applyProtection="1">
      <alignment horizontal="center"/>
    </xf>
    <xf numFmtId="10" fontId="13" fillId="0" borderId="1" xfId="16" applyNumberFormat="1" applyFont="1" applyBorder="1" applyProtection="1"/>
    <xf numFmtId="0" fontId="19" fillId="0" borderId="0" xfId="24" applyFont="1" applyAlignment="1" applyProtection="1">
      <alignment horizontal="left"/>
    </xf>
    <xf numFmtId="176" fontId="13" fillId="0" borderId="0" xfId="24" applyNumberFormat="1" applyFont="1" applyBorder="1" applyProtection="1"/>
    <xf numFmtId="176" fontId="13" fillId="0" borderId="0" xfId="24" applyNumberFormat="1" applyFont="1" applyProtection="1"/>
    <xf numFmtId="0" fontId="97" fillId="0" borderId="0" xfId="0" applyFont="1" applyBorder="1" applyProtection="1"/>
    <xf numFmtId="176" fontId="15" fillId="0" borderId="15" xfId="0" applyNumberFormat="1" applyFont="1" applyBorder="1" applyProtection="1"/>
    <xf numFmtId="0" fontId="55" fillId="0" borderId="0" xfId="24" applyFont="1" applyFill="1" applyBorder="1" applyAlignment="1" applyProtection="1">
      <alignment horizontal="center"/>
    </xf>
    <xf numFmtId="14" fontId="13" fillId="0" borderId="0" xfId="0" applyNumberFormat="1" applyFont="1" applyFill="1" applyAlignment="1" applyProtection="1">
      <alignment horizontal="left"/>
    </xf>
    <xf numFmtId="0" fontId="58" fillId="0" borderId="0" xfId="24" applyFont="1" applyFill="1" applyBorder="1" applyProtection="1"/>
    <xf numFmtId="0" fontId="40" fillId="0" borderId="0" xfId="24" applyFont="1" applyFill="1" applyBorder="1" applyProtection="1"/>
    <xf numFmtId="176" fontId="14" fillId="0" borderId="0" xfId="24" applyNumberFormat="1" applyFont="1" applyProtection="1"/>
    <xf numFmtId="181" fontId="27" fillId="6" borderId="1" xfId="24" applyNumberFormat="1" applyFont="1" applyFill="1" applyBorder="1" applyProtection="1"/>
    <xf numFmtId="176" fontId="13" fillId="5" borderId="0" xfId="24" applyNumberFormat="1" applyFont="1" applyFill="1" applyProtection="1"/>
    <xf numFmtId="43" fontId="13" fillId="0" borderId="1" xfId="0" applyNumberFormat="1" applyFont="1" applyBorder="1" applyAlignment="1" applyProtection="1">
      <alignment horizontal="right"/>
    </xf>
    <xf numFmtId="43" fontId="13" fillId="0" borderId="0" xfId="0" applyNumberFormat="1" applyFont="1" applyFill="1" applyAlignment="1" applyProtection="1">
      <alignment horizontal="right"/>
    </xf>
    <xf numFmtId="0" fontId="7" fillId="0" borderId="1" xfId="24" applyFont="1" applyBorder="1" applyAlignment="1">
      <alignment horizontal="center" vertical="center" wrapText="1"/>
    </xf>
    <xf numFmtId="0" fontId="7" fillId="0" borderId="1" xfId="24" applyFont="1" applyBorder="1" applyAlignment="1">
      <alignment horizontal="center" vertical="center"/>
    </xf>
    <xf numFmtId="179" fontId="31" fillId="0" borderId="0" xfId="0" applyNumberFormat="1" applyFont="1" applyAlignment="1">
      <alignment horizontal="right"/>
    </xf>
    <xf numFmtId="43" fontId="14" fillId="0" borderId="1" xfId="0" applyNumberFormat="1" applyFont="1" applyFill="1" applyBorder="1" applyAlignment="1" applyProtection="1">
      <alignment horizontal="right" shrinkToFit="1"/>
    </xf>
    <xf numFmtId="43" fontId="14" fillId="0" borderId="1" xfId="6" applyNumberFormat="1" applyFont="1" applyFill="1" applyBorder="1" applyAlignment="1" applyProtection="1">
      <alignment horizontal="right" shrinkToFit="1"/>
    </xf>
    <xf numFmtId="0" fontId="14" fillId="0" borderId="1" xfId="6" applyNumberFormat="1" applyFont="1" applyFill="1" applyBorder="1" applyAlignment="1" applyProtection="1">
      <alignment horizontal="left" shrinkToFit="1"/>
    </xf>
    <xf numFmtId="0" fontId="14" fillId="0" borderId="1" xfId="0" applyNumberFormat="1" applyFont="1" applyBorder="1" applyAlignment="1" applyProtection="1">
      <alignment horizontal="left" shrinkToFit="1"/>
    </xf>
    <xf numFmtId="0" fontId="53" fillId="0" borderId="1" xfId="0" applyNumberFormat="1" applyFont="1" applyFill="1" applyBorder="1" applyAlignment="1" applyProtection="1">
      <alignment horizontal="left" shrinkToFit="1"/>
    </xf>
    <xf numFmtId="0" fontId="14" fillId="0" borderId="1" xfId="0" applyNumberFormat="1" applyFont="1" applyFill="1" applyBorder="1" applyAlignment="1" applyProtection="1">
      <alignment horizontal="left" shrinkToFit="1"/>
    </xf>
    <xf numFmtId="0" fontId="13" fillId="0" borderId="0" xfId="0" applyNumberFormat="1" applyFont="1" applyFill="1" applyAlignment="1" applyProtection="1">
      <alignment horizontal="left"/>
    </xf>
    <xf numFmtId="0" fontId="98" fillId="0" borderId="0" xfId="0" applyFont="1"/>
    <xf numFmtId="43" fontId="79" fillId="6" borderId="1" xfId="6" applyNumberFormat="1" applyFont="1" applyFill="1" applyBorder="1" applyAlignment="1" applyProtection="1">
      <alignment horizontal="right" shrinkToFit="1"/>
    </xf>
    <xf numFmtId="43" fontId="79" fillId="6" borderId="1" xfId="0" applyNumberFormat="1" applyFont="1" applyFill="1" applyBorder="1" applyAlignment="1" applyProtection="1">
      <alignment horizontal="right" shrinkToFit="1"/>
    </xf>
    <xf numFmtId="180" fontId="13" fillId="0" borderId="5" xfId="2" applyNumberFormat="1" applyFont="1" applyFill="1" applyBorder="1" applyAlignment="1" applyProtection="1">
      <alignment horizontal="right"/>
    </xf>
    <xf numFmtId="176" fontId="28" fillId="0" borderId="0" xfId="0" applyNumberFormat="1" applyFont="1" applyFill="1" applyBorder="1" applyAlignment="1" applyProtection="1">
      <alignment horizontal="left"/>
    </xf>
    <xf numFmtId="176" fontId="93" fillId="0" borderId="0" xfId="0" applyNumberFormat="1" applyFont="1" applyBorder="1" applyAlignment="1" applyProtection="1">
      <alignment horizontal="right"/>
    </xf>
    <xf numFmtId="0" fontId="93" fillId="0" borderId="0" xfId="0" applyNumberFormat="1" applyFont="1" applyFill="1" applyBorder="1" applyAlignment="1" applyProtection="1">
      <alignment horizontal="right"/>
    </xf>
    <xf numFmtId="0" fontId="93" fillId="0" borderId="0" xfId="0" applyNumberFormat="1" applyFont="1" applyBorder="1" applyAlignment="1" applyProtection="1">
      <alignment horizontal="right"/>
    </xf>
    <xf numFmtId="0" fontId="46" fillId="0" borderId="0" xfId="0" applyNumberFormat="1" applyFont="1" applyBorder="1" applyAlignment="1" applyProtection="1">
      <alignment horizontal="right"/>
    </xf>
    <xf numFmtId="0" fontId="46" fillId="0" borderId="0" xfId="0" applyNumberFormat="1" applyFont="1" applyFill="1" applyBorder="1" applyAlignment="1" applyProtection="1">
      <alignment horizontal="right"/>
    </xf>
    <xf numFmtId="0" fontId="30" fillId="0" borderId="0" xfId="0" applyNumberFormat="1" applyFont="1" applyProtection="1"/>
    <xf numFmtId="176" fontId="52" fillId="0" borderId="0" xfId="0" applyNumberFormat="1" applyFont="1" applyFill="1" applyAlignment="1" applyProtection="1">
      <alignment horizontal="left"/>
    </xf>
    <xf numFmtId="0" fontId="5" fillId="0" borderId="0" xfId="24" applyFont="1" applyAlignment="1">
      <alignment vertical="center"/>
    </xf>
    <xf numFmtId="43" fontId="27" fillId="2" borderId="1" xfId="0" applyNumberFormat="1" applyFont="1" applyFill="1" applyBorder="1" applyAlignment="1" applyProtection="1">
      <alignment horizontal="right"/>
    </xf>
    <xf numFmtId="43" fontId="15" fillId="0" borderId="1" xfId="0" applyNumberFormat="1" applyFont="1" applyBorder="1" applyAlignment="1" applyProtection="1">
      <alignment horizontal="right"/>
    </xf>
    <xf numFmtId="43" fontId="13" fillId="0" borderId="1" xfId="0" applyNumberFormat="1" applyFont="1" applyFill="1" applyBorder="1" applyAlignment="1" applyProtection="1">
      <alignment horizontal="right"/>
    </xf>
    <xf numFmtId="0" fontId="12" fillId="0" borderId="1" xfId="0" applyNumberFormat="1" applyFont="1" applyBorder="1" applyAlignment="1" applyProtection="1">
      <alignment shrinkToFit="1"/>
    </xf>
    <xf numFmtId="0" fontId="13" fillId="0" borderId="1" xfId="0" applyNumberFormat="1" applyFont="1" applyBorder="1" applyAlignment="1" applyProtection="1">
      <alignment shrinkToFit="1"/>
    </xf>
    <xf numFmtId="0" fontId="17" fillId="0" borderId="1" xfId="0" applyNumberFormat="1" applyFont="1" applyBorder="1" applyAlignment="1" applyProtection="1">
      <alignment shrinkToFit="1"/>
    </xf>
    <xf numFmtId="43" fontId="48" fillId="0" borderId="0" xfId="0" applyNumberFormat="1" applyFont="1" applyFill="1" applyProtection="1"/>
    <xf numFmtId="43" fontId="8" fillId="0" borderId="0" xfId="0" applyNumberFormat="1" applyFont="1" applyFill="1" applyProtection="1"/>
    <xf numFmtId="14" fontId="13" fillId="0" borderId="0" xfId="0" applyNumberFormat="1" applyFont="1" applyFill="1" applyAlignment="1" applyProtection="1">
      <alignment horizontal="right"/>
    </xf>
    <xf numFmtId="14" fontId="13" fillId="0" borderId="0" xfId="0" applyNumberFormat="1" applyFont="1" applyAlignment="1" applyProtection="1">
      <alignment horizontal="left"/>
    </xf>
    <xf numFmtId="14" fontId="13" fillId="0" borderId="0" xfId="0" applyNumberFormat="1" applyFont="1" applyFill="1" applyAlignment="1" applyProtection="1">
      <alignment horizontal="center"/>
    </xf>
    <xf numFmtId="176" fontId="91" fillId="0" borderId="12" xfId="0" applyNumberFormat="1" applyFont="1" applyFill="1" applyBorder="1" applyAlignment="1" applyProtection="1">
      <alignment horizontal="right"/>
    </xf>
    <xf numFmtId="43" fontId="14" fillId="0" borderId="1" xfId="0" applyNumberFormat="1" applyFont="1" applyBorder="1" applyProtection="1"/>
    <xf numFmtId="43" fontId="100" fillId="0" borderId="1" xfId="6" applyNumberFormat="1" applyFont="1" applyFill="1" applyBorder="1" applyAlignment="1" applyProtection="1">
      <alignment horizontal="right" shrinkToFit="1"/>
    </xf>
    <xf numFmtId="0" fontId="23" fillId="0" borderId="0" xfId="0" applyFont="1" applyBorder="1" applyAlignment="1" applyProtection="1">
      <alignment horizontal="center" shrinkToFit="1"/>
    </xf>
    <xf numFmtId="14" fontId="53" fillId="0" borderId="4" xfId="0" applyNumberFormat="1" applyFont="1" applyBorder="1" applyAlignment="1" applyProtection="1">
      <alignment horizontal="center" vertical="center" shrinkToFit="1"/>
    </xf>
    <xf numFmtId="0" fontId="7" fillId="0" borderId="1" xfId="0" applyNumberFormat="1" applyFont="1" applyBorder="1" applyProtection="1"/>
    <xf numFmtId="43" fontId="99" fillId="6" borderId="2" xfId="0" applyNumberFormat="1" applyFont="1" applyFill="1" applyBorder="1" applyProtection="1"/>
    <xf numFmtId="43" fontId="99" fillId="6" borderId="1" xfId="0" applyNumberFormat="1" applyFont="1" applyFill="1" applyBorder="1" applyProtection="1"/>
    <xf numFmtId="43" fontId="99" fillId="0" borderId="4" xfId="0" applyNumberFormat="1" applyFont="1" applyFill="1" applyBorder="1" applyProtection="1"/>
    <xf numFmtId="43" fontId="99" fillId="0" borderId="1" xfId="0" applyNumberFormat="1" applyFont="1" applyFill="1" applyBorder="1" applyProtection="1"/>
    <xf numFmtId="0" fontId="14" fillId="0" borderId="1" xfId="0" applyNumberFormat="1" applyFont="1" applyBorder="1" applyProtection="1"/>
    <xf numFmtId="0" fontId="7" fillId="0" borderId="1" xfId="0" applyNumberFormat="1" applyFont="1" applyBorder="1" applyAlignment="1" applyProtection="1">
      <alignment horizontal="left"/>
    </xf>
    <xf numFmtId="0" fontId="48" fillId="0" borderId="1" xfId="0" applyNumberFormat="1" applyFont="1" applyBorder="1" applyProtection="1"/>
    <xf numFmtId="0" fontId="53" fillId="0" borderId="1" xfId="0" applyNumberFormat="1" applyFont="1" applyBorder="1" applyProtection="1"/>
    <xf numFmtId="43" fontId="53" fillId="5" borderId="2" xfId="0" applyNumberFormat="1" applyFont="1" applyFill="1" applyBorder="1" applyProtection="1"/>
    <xf numFmtId="0" fontId="14" fillId="0" borderId="1" xfId="0" applyNumberFormat="1" applyFont="1" applyFill="1" applyBorder="1" applyProtection="1"/>
    <xf numFmtId="43" fontId="53" fillId="0" borderId="2" xfId="0" applyNumberFormat="1" applyFont="1" applyFill="1" applyBorder="1" applyProtection="1"/>
    <xf numFmtId="43" fontId="53" fillId="0" borderId="2" xfId="0" applyNumberFormat="1" applyFont="1" applyBorder="1" applyProtection="1"/>
    <xf numFmtId="0" fontId="87" fillId="5" borderId="1" xfId="0" applyNumberFormat="1" applyFont="1" applyFill="1" applyBorder="1" applyProtection="1"/>
    <xf numFmtId="43" fontId="14" fillId="0" borderId="4" xfId="0" applyNumberFormat="1" applyFont="1" applyFill="1" applyBorder="1" applyProtection="1"/>
    <xf numFmtId="43" fontId="14" fillId="0" borderId="2" xfId="0" applyNumberFormat="1" applyFont="1" applyFill="1" applyBorder="1" applyProtection="1"/>
    <xf numFmtId="43" fontId="14" fillId="0" borderId="1" xfId="0" applyNumberFormat="1" applyFont="1" applyFill="1" applyBorder="1" applyProtection="1"/>
    <xf numFmtId="176" fontId="101" fillId="0" borderId="1" xfId="0" applyNumberFormat="1" applyFont="1" applyBorder="1" applyAlignment="1" applyProtection="1">
      <alignment horizontal="center" vertical="center" wrapText="1"/>
    </xf>
    <xf numFmtId="0" fontId="53" fillId="0" borderId="1" xfId="0" applyFont="1" applyFill="1" applyBorder="1" applyAlignment="1" applyProtection="1">
      <alignment horizontal="center" vertical="center" shrinkToFit="1"/>
    </xf>
    <xf numFmtId="43" fontId="40" fillId="0" borderId="1" xfId="0" applyNumberFormat="1" applyFont="1" applyBorder="1" applyAlignment="1" applyProtection="1">
      <alignment horizontal="center" vertical="center"/>
    </xf>
    <xf numFmtId="43" fontId="79" fillId="6" borderId="1" xfId="0" applyNumberFormat="1" applyFont="1" applyFill="1" applyBorder="1" applyProtection="1"/>
    <xf numFmtId="43" fontId="26" fillId="6" borderId="26" xfId="0" applyNumberFormat="1" applyFont="1" applyFill="1" applyBorder="1" applyProtection="1"/>
    <xf numFmtId="0" fontId="87" fillId="0" borderId="1" xfId="0" applyNumberFormat="1" applyFont="1" applyFill="1" applyBorder="1" applyProtection="1"/>
    <xf numFmtId="0" fontId="12" fillId="0" borderId="1" xfId="24" applyFont="1" applyBorder="1" applyAlignment="1">
      <alignment horizontal="center" vertical="center" wrapText="1"/>
    </xf>
    <xf numFmtId="0" fontId="12" fillId="0" borderId="1" xfId="24" applyFont="1" applyFill="1" applyBorder="1" applyAlignment="1">
      <alignment horizontal="center" vertical="center" wrapText="1"/>
    </xf>
    <xf numFmtId="176" fontId="12" fillId="0" borderId="0" xfId="24" applyNumberFormat="1" applyFont="1" applyProtection="1"/>
    <xf numFmtId="176" fontId="102" fillId="0" borderId="0" xfId="24" applyNumberFormat="1" applyFont="1" applyProtection="1"/>
    <xf numFmtId="43" fontId="23" fillId="0" borderId="1" xfId="0" applyNumberFormat="1" applyFont="1" applyFill="1" applyBorder="1" applyProtection="1"/>
    <xf numFmtId="176" fontId="79" fillId="6" borderId="12" xfId="0" applyNumberFormat="1" applyFont="1" applyFill="1" applyBorder="1" applyAlignment="1" applyProtection="1">
      <alignment horizontal="right"/>
    </xf>
    <xf numFmtId="43" fontId="15" fillId="0" borderId="1" xfId="0" applyNumberFormat="1" applyFont="1" applyFill="1" applyBorder="1" applyAlignment="1" applyProtection="1">
      <alignment horizontal="right"/>
    </xf>
    <xf numFmtId="43" fontId="27" fillId="2" borderId="1" xfId="0" applyNumberFormat="1" applyFont="1" applyFill="1" applyBorder="1" applyProtection="1"/>
    <xf numFmtId="176" fontId="99" fillId="2" borderId="1" xfId="0" applyNumberFormat="1" applyFont="1" applyFill="1" applyBorder="1" applyAlignment="1" applyProtection="1">
      <alignment horizontal="right"/>
      <protection locked="0"/>
    </xf>
    <xf numFmtId="43" fontId="99" fillId="6" borderId="1" xfId="0" applyNumberFormat="1" applyFont="1" applyFill="1" applyBorder="1" applyProtection="1">
      <protection locked="0"/>
    </xf>
    <xf numFmtId="14" fontId="103" fillId="0" borderId="1" xfId="0" applyNumberFormat="1" applyFont="1" applyBorder="1" applyAlignment="1" applyProtection="1">
      <alignment horizontal="center" vertical="center"/>
    </xf>
    <xf numFmtId="14" fontId="100" fillId="0" borderId="1" xfId="0" applyNumberFormat="1" applyFont="1" applyBorder="1" applyAlignment="1" applyProtection="1">
      <alignment horizontal="center" vertical="center"/>
    </xf>
    <xf numFmtId="10" fontId="27" fillId="6" borderId="1" xfId="2" applyNumberFormat="1" applyFont="1" applyFill="1" applyBorder="1" applyProtection="1">
      <protection locked="0"/>
    </xf>
    <xf numFmtId="181" fontId="13" fillId="0" borderId="1" xfId="0" applyNumberFormat="1" applyFont="1" applyBorder="1" applyAlignment="1" applyProtection="1">
      <alignment horizontal="right"/>
    </xf>
    <xf numFmtId="176" fontId="23" fillId="0" borderId="1" xfId="24" applyNumberFormat="1" applyFont="1" applyBorder="1" applyProtection="1"/>
    <xf numFmtId="176" fontId="23" fillId="0" borderId="1" xfId="0" applyNumberFormat="1" applyFont="1" applyBorder="1" applyProtection="1"/>
    <xf numFmtId="176" fontId="33" fillId="4" borderId="0" xfId="0" applyNumberFormat="1" applyFont="1" applyFill="1" applyProtection="1"/>
    <xf numFmtId="180" fontId="23" fillId="0" borderId="0" xfId="2" applyNumberFormat="1" applyFont="1" applyAlignment="1" applyProtection="1">
      <alignment horizontal="right"/>
    </xf>
    <xf numFmtId="180" fontId="23" fillId="0" borderId="0" xfId="2" applyNumberFormat="1" applyFont="1" applyBorder="1" applyAlignment="1" applyProtection="1">
      <alignment horizontal="right"/>
    </xf>
    <xf numFmtId="176" fontId="52" fillId="0" borderId="0" xfId="0" applyNumberFormat="1" applyFont="1" applyBorder="1" applyProtection="1"/>
    <xf numFmtId="176" fontId="14" fillId="0" borderId="1" xfId="0" applyNumberFormat="1" applyFont="1" applyBorder="1" applyProtection="1"/>
    <xf numFmtId="10" fontId="13" fillId="0" borderId="5" xfId="2" applyNumberFormat="1" applyFont="1" applyBorder="1" applyAlignment="1" applyProtection="1">
      <alignment horizontal="right"/>
    </xf>
    <xf numFmtId="43" fontId="13" fillId="0" borderId="6" xfId="0" applyNumberFormat="1" applyFont="1" applyFill="1" applyBorder="1" applyProtection="1"/>
    <xf numFmtId="193" fontId="26" fillId="6" borderId="1" xfId="2" applyNumberFormat="1" applyFont="1" applyFill="1" applyBorder="1" applyProtection="1"/>
    <xf numFmtId="176" fontId="12" fillId="0" borderId="0" xfId="0" applyNumberFormat="1" applyFont="1" applyFill="1" applyBorder="1" applyProtection="1"/>
    <xf numFmtId="176" fontId="95" fillId="0" borderId="0" xfId="0" applyNumberFormat="1" applyFont="1" applyFill="1" applyAlignment="1" applyProtection="1"/>
    <xf numFmtId="43" fontId="27" fillId="0" borderId="1" xfId="0" applyNumberFormat="1" applyFont="1" applyFill="1" applyBorder="1" applyProtection="1"/>
    <xf numFmtId="176" fontId="105" fillId="0" borderId="0" xfId="0" applyNumberFormat="1" applyFont="1" applyFill="1" applyProtection="1"/>
    <xf numFmtId="184" fontId="15" fillId="0" borderId="4" xfId="0" applyNumberFormat="1" applyFont="1" applyBorder="1" applyProtection="1"/>
    <xf numFmtId="43" fontId="39" fillId="5" borderId="2" xfId="0" applyNumberFormat="1" applyFont="1" applyFill="1" applyBorder="1" applyAlignment="1" applyProtection="1"/>
    <xf numFmtId="0" fontId="93" fillId="0" borderId="0" xfId="0" applyNumberFormat="1" applyFont="1" applyFill="1" applyBorder="1" applyProtection="1"/>
    <xf numFmtId="0" fontId="12" fillId="0" borderId="1" xfId="0" applyNumberFormat="1" applyFont="1" applyFill="1" applyBorder="1" applyProtection="1"/>
    <xf numFmtId="176" fontId="93" fillId="0" borderId="0" xfId="0" applyNumberFormat="1" applyFont="1" applyBorder="1" applyProtection="1"/>
    <xf numFmtId="43" fontId="106" fillId="6" borderId="0" xfId="0" applyNumberFormat="1" applyFont="1" applyFill="1" applyBorder="1" applyProtection="1"/>
    <xf numFmtId="43" fontId="46" fillId="0" borderId="0" xfId="0" applyNumberFormat="1" applyFont="1" applyBorder="1" applyProtection="1"/>
    <xf numFmtId="43" fontId="46" fillId="6" borderId="0" xfId="0" applyNumberFormat="1" applyFont="1" applyFill="1" applyBorder="1" applyProtection="1"/>
    <xf numFmtId="0" fontId="78" fillId="0" borderId="0" xfId="0" applyNumberFormat="1" applyFont="1" applyBorder="1" applyProtection="1"/>
    <xf numFmtId="43" fontId="46" fillId="0" borderId="0" xfId="0" applyNumberFormat="1" applyFont="1" applyFill="1" applyBorder="1" applyProtection="1"/>
    <xf numFmtId="43" fontId="107" fillId="6" borderId="0" xfId="0" applyNumberFormat="1" applyFont="1" applyFill="1" applyProtection="1"/>
    <xf numFmtId="0" fontId="12" fillId="0" borderId="1" xfId="0" applyNumberFormat="1" applyFont="1" applyBorder="1" applyProtection="1"/>
    <xf numFmtId="0" fontId="93" fillId="0" borderId="0" xfId="0" applyNumberFormat="1" applyFont="1" applyBorder="1" applyProtection="1"/>
    <xf numFmtId="43" fontId="46" fillId="6" borderId="0" xfId="0" applyNumberFormat="1" applyFont="1" applyFill="1" applyProtection="1"/>
    <xf numFmtId="184" fontId="15" fillId="0" borderId="0" xfId="0" applyNumberFormat="1" applyFont="1" applyFill="1" applyBorder="1" applyProtection="1"/>
    <xf numFmtId="176" fontId="14" fillId="0" borderId="0" xfId="0" applyNumberFormat="1" applyFont="1" applyFill="1" applyBorder="1" applyProtection="1"/>
    <xf numFmtId="180" fontId="46" fillId="0" borderId="0" xfId="2" applyNumberFormat="1" applyFont="1" applyFill="1" applyBorder="1" applyProtection="1"/>
    <xf numFmtId="180" fontId="46" fillId="6" borderId="0" xfId="2" applyNumberFormat="1" applyFont="1" applyFill="1" applyBorder="1" applyProtection="1"/>
    <xf numFmtId="180" fontId="46" fillId="0" borderId="0" xfId="2" applyNumberFormat="1" applyFont="1" applyBorder="1" applyProtection="1"/>
    <xf numFmtId="43"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wrapText="1"/>
    </xf>
    <xf numFmtId="43" fontId="30" fillId="0" borderId="1" xfId="0" applyNumberFormat="1" applyFont="1" applyFill="1" applyBorder="1" applyAlignment="1" applyProtection="1">
      <alignment horizontal="center" vertical="center" wrapText="1"/>
    </xf>
    <xf numFmtId="43" fontId="15" fillId="0" borderId="1" xfId="0" applyNumberFormat="1" applyFont="1" applyFill="1" applyBorder="1" applyAlignment="1" applyProtection="1">
      <alignment horizontal="center" vertical="center" wrapText="1"/>
    </xf>
    <xf numFmtId="176" fontId="12" fillId="0" borderId="1" xfId="0" applyNumberFormat="1" applyFont="1" applyFill="1" applyBorder="1" applyAlignment="1" applyProtection="1">
      <alignment shrinkToFit="1"/>
    </xf>
    <xf numFmtId="176" fontId="17" fillId="0" borderId="1" xfId="0" applyNumberFormat="1" applyFont="1" applyFill="1" applyBorder="1" applyAlignment="1" applyProtection="1">
      <alignment shrinkToFit="1"/>
    </xf>
    <xf numFmtId="43" fontId="23" fillId="0" borderId="1" xfId="0" applyNumberFormat="1" applyFont="1" applyFill="1" applyBorder="1" applyAlignment="1" applyProtection="1">
      <alignment horizontal="right"/>
    </xf>
    <xf numFmtId="176" fontId="28" fillId="0" borderId="1" xfId="0" applyNumberFormat="1" applyFont="1" applyBorder="1" applyAlignment="1" applyProtection="1">
      <alignment horizontal="center" vertical="center" wrapText="1"/>
    </xf>
    <xf numFmtId="43" fontId="14" fillId="0" borderId="0" xfId="0" applyNumberFormat="1" applyFont="1" applyBorder="1" applyProtection="1"/>
    <xf numFmtId="43" fontId="40" fillId="0" borderId="0" xfId="0" applyNumberFormat="1" applyFont="1" applyBorder="1" applyProtection="1"/>
    <xf numFmtId="43" fontId="57" fillId="0" borderId="0" xfId="0" applyNumberFormat="1" applyFont="1" applyBorder="1" applyProtection="1"/>
    <xf numFmtId="43" fontId="12" fillId="0" borderId="0" xfId="0" applyNumberFormat="1" applyFont="1" applyBorder="1" applyAlignment="1" applyProtection="1">
      <alignment horizontal="right"/>
    </xf>
    <xf numFmtId="43" fontId="42" fillId="0" borderId="1" xfId="0" applyNumberFormat="1" applyFont="1" applyBorder="1" applyAlignment="1" applyProtection="1">
      <alignment horizontal="left" vertical="center" wrapText="1"/>
    </xf>
    <xf numFmtId="43" fontId="30" fillId="0" borderId="1" xfId="0" applyNumberFormat="1" applyFont="1" applyBorder="1" applyAlignment="1" applyProtection="1">
      <alignment horizontal="center" vertical="center" wrapText="1"/>
    </xf>
    <xf numFmtId="43" fontId="15" fillId="0" borderId="1" xfId="0" applyNumberFormat="1" applyFont="1" applyBorder="1" applyAlignment="1" applyProtection="1">
      <alignment horizontal="center" vertical="center" wrapText="1"/>
    </xf>
    <xf numFmtId="176" fontId="18" fillId="0" borderId="1" xfId="0" applyNumberFormat="1" applyFont="1" applyFill="1" applyBorder="1" applyAlignment="1" applyProtection="1">
      <alignment horizontal="left" shrinkToFit="1"/>
    </xf>
    <xf numFmtId="176" fontId="27" fillId="6" borderId="1" xfId="0" applyNumberFormat="1" applyFont="1" applyFill="1" applyBorder="1" applyProtection="1"/>
    <xf numFmtId="180" fontId="27" fillId="6" borderId="1" xfId="2" applyNumberFormat="1" applyFont="1" applyFill="1" applyBorder="1" applyProtection="1"/>
    <xf numFmtId="176" fontId="17" fillId="0" borderId="1" xfId="0" applyNumberFormat="1" applyFont="1" applyBorder="1" applyAlignment="1" applyProtection="1">
      <alignment shrinkToFit="1"/>
    </xf>
    <xf numFmtId="176" fontId="26" fillId="6" borderId="1" xfId="0" applyNumberFormat="1" applyFont="1" applyFill="1" applyBorder="1" applyProtection="1"/>
    <xf numFmtId="176" fontId="15" fillId="0" borderId="1" xfId="0" applyNumberFormat="1" applyFont="1" applyFill="1" applyBorder="1" applyProtection="1"/>
    <xf numFmtId="176" fontId="12" fillId="0" borderId="4" xfId="0" applyNumberFormat="1" applyFont="1" applyFill="1" applyBorder="1" applyProtection="1"/>
    <xf numFmtId="14" fontId="12" fillId="0" borderId="0" xfId="0" applyNumberFormat="1" applyFont="1" applyBorder="1" applyAlignment="1" applyProtection="1">
      <alignment horizontal="left"/>
    </xf>
    <xf numFmtId="176" fontId="13" fillId="0" borderId="0" xfId="0" applyNumberFormat="1" applyFont="1" applyBorder="1" applyAlignment="1" applyProtection="1">
      <alignment horizontal="center" vertical="center"/>
    </xf>
    <xf numFmtId="178" fontId="12" fillId="0" borderId="0" xfId="0" applyNumberFormat="1" applyFont="1" applyAlignment="1" applyProtection="1">
      <alignment horizontal="left"/>
    </xf>
    <xf numFmtId="176" fontId="14" fillId="0" borderId="0" xfId="0" applyNumberFormat="1" applyFont="1" applyProtection="1">
      <protection locked="0"/>
    </xf>
    <xf numFmtId="176" fontId="49" fillId="0" borderId="0" xfId="0" applyNumberFormat="1" applyFont="1" applyProtection="1">
      <protection locked="0"/>
    </xf>
    <xf numFmtId="176" fontId="15" fillId="0" borderId="1" xfId="0" applyNumberFormat="1" applyFont="1" applyBorder="1" applyAlignment="1" applyProtection="1">
      <alignment horizontal="center"/>
    </xf>
    <xf numFmtId="43" fontId="30" fillId="0" borderId="1" xfId="0" applyNumberFormat="1" applyFont="1" applyBorder="1" applyAlignment="1" applyProtection="1">
      <alignment horizontal="center"/>
    </xf>
    <xf numFmtId="43" fontId="15" fillId="0" borderId="1" xfId="0" applyNumberFormat="1" applyFont="1" applyBorder="1" applyAlignment="1" applyProtection="1">
      <alignment horizontal="center"/>
    </xf>
    <xf numFmtId="176" fontId="35" fillId="11" borderId="1" xfId="0" applyNumberFormat="1" applyFont="1" applyFill="1" applyBorder="1" applyProtection="1"/>
    <xf numFmtId="14" fontId="30" fillId="0" borderId="1" xfId="0" applyNumberFormat="1" applyFont="1" applyBorder="1" applyAlignment="1" applyProtection="1">
      <alignment horizontal="center"/>
    </xf>
    <xf numFmtId="14" fontId="15" fillId="0" borderId="1" xfId="0" applyNumberFormat="1" applyFont="1" applyBorder="1" applyAlignment="1" applyProtection="1">
      <alignment horizontal="center"/>
    </xf>
    <xf numFmtId="176" fontId="14" fillId="5" borderId="1" xfId="0" applyNumberFormat="1" applyFont="1" applyFill="1" applyBorder="1" applyProtection="1">
      <protection locked="0"/>
    </xf>
    <xf numFmtId="176" fontId="12" fillId="5" borderId="1" xfId="0" applyNumberFormat="1" applyFont="1" applyFill="1" applyBorder="1" applyAlignment="1" applyProtection="1">
      <alignment shrinkToFit="1"/>
    </xf>
    <xf numFmtId="176" fontId="13" fillId="5" borderId="1" xfId="0" applyNumberFormat="1" applyFont="1" applyFill="1" applyBorder="1" applyProtection="1"/>
    <xf numFmtId="176" fontId="35" fillId="11" borderId="1" xfId="0" applyNumberFormat="1" applyFont="1" applyFill="1" applyBorder="1" applyAlignment="1" applyProtection="1">
      <alignment shrinkToFit="1"/>
    </xf>
    <xf numFmtId="176" fontId="14" fillId="0" borderId="1" xfId="0" applyNumberFormat="1" applyFont="1" applyFill="1" applyBorder="1" applyProtection="1">
      <protection locked="0"/>
    </xf>
    <xf numFmtId="182" fontId="11" fillId="0" borderId="0" xfId="0" applyNumberFormat="1" applyFont="1" applyProtection="1"/>
    <xf numFmtId="178" fontId="13" fillId="0" borderId="0" xfId="0" applyNumberFormat="1" applyFont="1" applyAlignment="1" applyProtection="1">
      <alignment horizontal="center"/>
      <protection locked="0"/>
    </xf>
    <xf numFmtId="0" fontId="19" fillId="0" borderId="0" xfId="0" applyFont="1" applyAlignment="1" applyProtection="1">
      <alignment horizontal="left"/>
    </xf>
    <xf numFmtId="176" fontId="14" fillId="0" borderId="0" xfId="0" applyNumberFormat="1" applyFont="1" applyFill="1" applyProtection="1">
      <protection locked="0"/>
    </xf>
    <xf numFmtId="176" fontId="30" fillId="0" borderId="1" xfId="0" applyNumberFormat="1" applyFont="1" applyBorder="1" applyAlignment="1" applyProtection="1">
      <alignment horizontal="center"/>
    </xf>
    <xf numFmtId="176" fontId="49" fillId="0" borderId="0" xfId="0" applyNumberFormat="1" applyFont="1" applyFill="1" applyProtection="1">
      <protection locked="0"/>
    </xf>
    <xf numFmtId="176" fontId="33" fillId="0" borderId="0" xfId="0" applyNumberFormat="1" applyFont="1" applyFill="1" applyBorder="1" applyProtection="1"/>
    <xf numFmtId="43" fontId="27" fillId="0" borderId="1" xfId="0" applyNumberFormat="1" applyFont="1" applyBorder="1" applyAlignment="1" applyProtection="1">
      <alignment horizontal="right"/>
    </xf>
    <xf numFmtId="0" fontId="13" fillId="0" borderId="1" xfId="0" applyNumberFormat="1" applyFont="1" applyBorder="1" applyProtection="1"/>
    <xf numFmtId="176" fontId="13" fillId="0" borderId="1" xfId="24" applyNumberFormat="1" applyFont="1" applyFill="1" applyBorder="1" applyProtection="1"/>
    <xf numFmtId="176" fontId="15" fillId="0" borderId="1" xfId="24" applyNumberFormat="1" applyFont="1" applyFill="1" applyBorder="1" applyProtection="1"/>
    <xf numFmtId="10" fontId="24" fillId="0" borderId="0" xfId="2" applyNumberFormat="1" applyFont="1" applyProtection="1"/>
    <xf numFmtId="176" fontId="17" fillId="0" borderId="1" xfId="0" applyNumberFormat="1" applyFont="1" applyFill="1" applyBorder="1" applyAlignment="1" applyProtection="1">
      <alignment horizontal="left" shrinkToFit="1"/>
    </xf>
    <xf numFmtId="43" fontId="23" fillId="0" borderId="2" xfId="0" applyNumberFormat="1" applyFont="1" applyFill="1" applyBorder="1" applyAlignment="1" applyProtection="1">
      <alignment horizontal="right"/>
    </xf>
    <xf numFmtId="43" fontId="49" fillId="0" borderId="0" xfId="0" applyNumberFormat="1" applyFont="1" applyFill="1" applyAlignment="1" applyProtection="1">
      <alignment horizontal="left"/>
    </xf>
    <xf numFmtId="43" fontId="27" fillId="0" borderId="1" xfId="0" applyNumberFormat="1" applyFont="1" applyFill="1" applyBorder="1" applyAlignment="1" applyProtection="1">
      <alignment horizontal="center" vertical="center" wrapText="1"/>
    </xf>
    <xf numFmtId="176" fontId="17" fillId="0" borderId="1" xfId="0" applyNumberFormat="1" applyFont="1" applyFill="1" applyBorder="1" applyAlignment="1" applyProtection="1">
      <alignment horizontal="center" vertical="center"/>
    </xf>
    <xf numFmtId="43" fontId="30" fillId="0" borderId="1" xfId="0" applyNumberFormat="1" applyFont="1" applyFill="1" applyBorder="1" applyAlignment="1" applyProtection="1">
      <alignment horizontal="center" vertical="center"/>
    </xf>
    <xf numFmtId="43" fontId="15" fillId="0" borderId="1" xfId="0" applyNumberFormat="1" applyFont="1" applyFill="1" applyBorder="1" applyAlignment="1" applyProtection="1">
      <alignment horizontal="center" vertical="center"/>
    </xf>
    <xf numFmtId="176" fontId="23" fillId="5" borderId="1" xfId="24" applyNumberFormat="1" applyFont="1" applyFill="1" applyBorder="1" applyProtection="1"/>
    <xf numFmtId="176" fontId="23" fillId="0" borderId="6" xfId="24" applyNumberFormat="1" applyFont="1" applyBorder="1" applyProtection="1"/>
    <xf numFmtId="176" fontId="13" fillId="0" borderId="15" xfId="24" applyNumberFormat="1" applyFont="1" applyBorder="1" applyProtection="1"/>
    <xf numFmtId="0" fontId="14" fillId="0" borderId="0" xfId="0" applyFont="1" applyFill="1" applyProtection="1">
      <protection locked="0"/>
    </xf>
    <xf numFmtId="176" fontId="13" fillId="0" borderId="0" xfId="0" applyNumberFormat="1" applyFont="1" applyFill="1" applyProtection="1">
      <protection locked="0"/>
    </xf>
    <xf numFmtId="43" fontId="13" fillId="0" borderId="0" xfId="0" applyNumberFormat="1" applyFont="1" applyFill="1" applyProtection="1">
      <protection locked="0"/>
    </xf>
    <xf numFmtId="43" fontId="12" fillId="0" borderId="0" xfId="0" applyNumberFormat="1" applyFont="1" applyFill="1" applyAlignment="1" applyProtection="1">
      <alignment horizontal="center" vertical="center"/>
      <protection locked="0"/>
    </xf>
    <xf numFmtId="43" fontId="27" fillId="6" borderId="1" xfId="0" applyNumberFormat="1" applyFont="1" applyFill="1" applyBorder="1" applyAlignment="1" applyProtection="1">
      <alignment horizontal="right" wrapText="1"/>
      <protection locked="0"/>
    </xf>
    <xf numFmtId="10" fontId="27" fillId="6" borderId="1" xfId="2" applyNumberFormat="1" applyFont="1" applyFill="1" applyBorder="1" applyAlignment="1" applyProtection="1">
      <alignment horizontal="right" wrapText="1"/>
      <protection locked="0"/>
    </xf>
    <xf numFmtId="43" fontId="26" fillId="6" borderId="1" xfId="0" applyNumberFormat="1" applyFont="1" applyFill="1" applyBorder="1" applyAlignment="1" applyProtection="1">
      <alignment horizontal="right"/>
      <protection locked="0"/>
    </xf>
    <xf numFmtId="43" fontId="27" fillId="6" borderId="2" xfId="0" applyNumberFormat="1" applyFont="1" applyFill="1" applyBorder="1" applyAlignment="1" applyProtection="1">
      <alignment horizontal="right" wrapText="1"/>
      <protection locked="0"/>
    </xf>
    <xf numFmtId="176" fontId="13" fillId="0" borderId="0" xfId="0" applyNumberFormat="1" applyFont="1" applyProtection="1">
      <protection locked="0"/>
    </xf>
    <xf numFmtId="43" fontId="26" fillId="6" borderId="1" xfId="0" applyNumberFormat="1" applyFont="1" applyFill="1" applyBorder="1" applyProtection="1">
      <protection locked="0"/>
    </xf>
    <xf numFmtId="176" fontId="23" fillId="0" borderId="0" xfId="0" applyNumberFormat="1" applyFont="1" applyProtection="1">
      <protection locked="0"/>
    </xf>
    <xf numFmtId="43" fontId="28" fillId="0" borderId="1" xfId="0" applyNumberFormat="1" applyFont="1" applyFill="1" applyBorder="1" applyAlignment="1" applyProtection="1">
      <alignment horizontal="center" vertical="center" wrapText="1"/>
      <protection locked="0"/>
    </xf>
    <xf numFmtId="43" fontId="13" fillId="0" borderId="2" xfId="0" applyNumberFormat="1" applyFont="1" applyBorder="1" applyProtection="1"/>
    <xf numFmtId="43" fontId="23" fillId="0" borderId="1" xfId="0" applyNumberFormat="1" applyFont="1" applyBorder="1" applyProtection="1"/>
    <xf numFmtId="10" fontId="13" fillId="6" borderId="1" xfId="2" applyNumberFormat="1" applyFont="1" applyFill="1" applyBorder="1" applyProtection="1">
      <protection locked="0"/>
    </xf>
    <xf numFmtId="176" fontId="33" fillId="0" borderId="0" xfId="0" applyNumberFormat="1" applyFont="1" applyFill="1" applyProtection="1">
      <protection locked="0"/>
    </xf>
    <xf numFmtId="176" fontId="12" fillId="0" borderId="0" xfId="0" applyNumberFormat="1" applyFont="1" applyFill="1" applyProtection="1"/>
    <xf numFmtId="176" fontId="33" fillId="0" borderId="0" xfId="0" applyNumberFormat="1" applyFont="1" applyProtection="1"/>
    <xf numFmtId="176" fontId="17" fillId="0" borderId="7" xfId="0" applyNumberFormat="1" applyFont="1" applyBorder="1" applyProtection="1"/>
    <xf numFmtId="176" fontId="35" fillId="0" borderId="0" xfId="0" applyNumberFormat="1" applyFont="1" applyFill="1" applyProtection="1"/>
    <xf numFmtId="176" fontId="15" fillId="0" borderId="0" xfId="24" applyNumberFormat="1" applyFont="1" applyProtection="1"/>
    <xf numFmtId="14" fontId="14" fillId="0" borderId="0" xfId="0" applyNumberFormat="1" applyFont="1" applyBorder="1" applyAlignment="1">
      <alignment horizontal="right"/>
    </xf>
    <xf numFmtId="14" fontId="14" fillId="0" borderId="12" xfId="0" applyNumberFormat="1" applyFont="1" applyBorder="1" applyAlignment="1">
      <alignment horizontal="right"/>
    </xf>
    <xf numFmtId="0" fontId="17" fillId="0" borderId="1" xfId="0" applyNumberFormat="1" applyFont="1" applyBorder="1" applyProtection="1"/>
    <xf numFmtId="0" fontId="28" fillId="0" borderId="0" xfId="0" applyNumberFormat="1" applyFont="1" applyProtection="1"/>
    <xf numFmtId="0" fontId="31" fillId="0" borderId="1" xfId="0" applyNumberFormat="1" applyFont="1" applyFill="1" applyBorder="1" applyAlignment="1" applyProtection="1">
      <alignment shrinkToFit="1"/>
    </xf>
    <xf numFmtId="0" fontId="42" fillId="0" borderId="1" xfId="0" applyNumberFormat="1" applyFont="1" applyBorder="1" applyAlignment="1" applyProtection="1">
      <alignment horizontal="center" vertical="center"/>
    </xf>
    <xf numFmtId="14" fontId="30" fillId="0" borderId="1" xfId="0" applyNumberFormat="1" applyFont="1" applyBorder="1" applyAlignment="1" applyProtection="1">
      <alignment horizontal="center" vertical="center"/>
    </xf>
    <xf numFmtId="14" fontId="15" fillId="0" borderId="1" xfId="0" applyNumberFormat="1" applyFont="1" applyBorder="1" applyAlignment="1" applyProtection="1">
      <alignment horizontal="center" vertical="center"/>
    </xf>
    <xf numFmtId="43" fontId="37" fillId="0" borderId="1" xfId="0" applyNumberFormat="1" applyFont="1" applyFill="1" applyBorder="1" applyProtection="1"/>
    <xf numFmtId="0" fontId="24" fillId="0" borderId="1" xfId="0" applyNumberFormat="1" applyFont="1" applyFill="1" applyBorder="1" applyProtection="1"/>
    <xf numFmtId="43" fontId="11" fillId="0" borderId="1" xfId="0" applyNumberFormat="1" applyFont="1" applyFill="1" applyBorder="1" applyProtection="1"/>
    <xf numFmtId="0" fontId="17" fillId="0" borderId="1" xfId="0" applyNumberFormat="1" applyFont="1" applyFill="1" applyBorder="1" applyProtection="1"/>
    <xf numFmtId="43" fontId="53" fillId="0" borderId="1" xfId="0" applyNumberFormat="1" applyFont="1" applyFill="1" applyBorder="1" applyProtection="1"/>
    <xf numFmtId="43" fontId="27" fillId="6" borderId="1" xfId="0" applyNumberFormat="1" applyFont="1" applyFill="1" applyBorder="1" applyProtection="1"/>
    <xf numFmtId="43" fontId="80" fillId="5" borderId="1" xfId="0" applyNumberFormat="1" applyFont="1" applyFill="1" applyBorder="1" applyProtection="1"/>
    <xf numFmtId="43" fontId="80" fillId="0" borderId="1" xfId="0" applyNumberFormat="1" applyFont="1" applyFill="1" applyBorder="1" applyProtection="1"/>
    <xf numFmtId="0" fontId="13" fillId="0" borderId="1" xfId="0" applyNumberFormat="1" applyFont="1" applyFill="1" applyBorder="1" applyProtection="1"/>
    <xf numFmtId="43" fontId="47" fillId="0" borderId="1" xfId="0" applyNumberFormat="1" applyFont="1" applyBorder="1" applyProtection="1"/>
    <xf numFmtId="43" fontId="47" fillId="0" borderId="1" xfId="0" applyNumberFormat="1" applyFont="1" applyFill="1" applyBorder="1" applyProtection="1"/>
    <xf numFmtId="0" fontId="24" fillId="0" borderId="1" xfId="0" applyNumberFormat="1" applyFont="1" applyBorder="1" applyProtection="1"/>
    <xf numFmtId="0" fontId="15" fillId="0" borderId="1" xfId="0" applyNumberFormat="1" applyFont="1" applyBorder="1" applyProtection="1"/>
    <xf numFmtId="43" fontId="12" fillId="0" borderId="1" xfId="0" applyNumberFormat="1" applyFont="1" applyBorder="1" applyProtection="1"/>
    <xf numFmtId="43" fontId="93" fillId="0" borderId="1" xfId="0" applyNumberFormat="1" applyFont="1" applyFill="1" applyBorder="1" applyAlignment="1" applyProtection="1">
      <alignment horizontal="right"/>
    </xf>
    <xf numFmtId="43" fontId="45" fillId="6" borderId="1" xfId="2" applyNumberFormat="1" applyFont="1" applyFill="1" applyBorder="1" applyProtection="1"/>
    <xf numFmtId="0" fontId="17" fillId="0" borderId="0" xfId="0" applyNumberFormat="1" applyFont="1" applyBorder="1" applyProtection="1"/>
    <xf numFmtId="43" fontId="42" fillId="0" borderId="1" xfId="0" applyNumberFormat="1" applyFont="1" applyBorder="1" applyAlignment="1" applyProtection="1">
      <alignment horizontal="center" vertical="center" wrapText="1"/>
    </xf>
    <xf numFmtId="0" fontId="109" fillId="0" borderId="0" xfId="0" applyFont="1"/>
    <xf numFmtId="43" fontId="45" fillId="0" borderId="0" xfId="2" applyNumberFormat="1" applyFont="1" applyFill="1" applyBorder="1" applyProtection="1"/>
    <xf numFmtId="10" fontId="13" fillId="6" borderId="1" xfId="2" applyNumberFormat="1" applyFont="1" applyFill="1" applyBorder="1" applyProtection="1"/>
    <xf numFmtId="43" fontId="13" fillId="5" borderId="1" xfId="0" applyNumberFormat="1" applyFont="1" applyFill="1" applyBorder="1" applyProtection="1"/>
    <xf numFmtId="43" fontId="13" fillId="0" borderId="1" xfId="0" applyNumberFormat="1" applyFont="1" applyFill="1" applyBorder="1" applyProtection="1">
      <protection locked="0"/>
    </xf>
    <xf numFmtId="43" fontId="14" fillId="0" borderId="1" xfId="0" applyNumberFormat="1" applyFont="1" applyFill="1" applyBorder="1" applyProtection="1">
      <protection locked="0"/>
    </xf>
    <xf numFmtId="43" fontId="15" fillId="0" borderId="1" xfId="0" applyNumberFormat="1" applyFont="1" applyFill="1" applyBorder="1" applyAlignment="1" applyProtection="1">
      <alignment horizontal="center" vertical="center" shrinkToFit="1"/>
    </xf>
    <xf numFmtId="43" fontId="26" fillId="12" borderId="1" xfId="0" applyNumberFormat="1" applyFont="1" applyFill="1" applyBorder="1" applyAlignment="1" applyProtection="1">
      <alignment horizontal="right"/>
      <protection locked="0"/>
    </xf>
    <xf numFmtId="43" fontId="13" fillId="12" borderId="1" xfId="0" applyNumberFormat="1" applyFont="1" applyFill="1" applyBorder="1" applyAlignment="1" applyProtection="1">
      <alignment horizontal="right"/>
    </xf>
    <xf numFmtId="43" fontId="15" fillId="12" borderId="1" xfId="0" applyNumberFormat="1" applyFont="1" applyFill="1" applyBorder="1" applyAlignment="1" applyProtection="1">
      <alignment horizontal="center" vertical="center" wrapText="1"/>
      <protection locked="0"/>
    </xf>
    <xf numFmtId="43" fontId="13" fillId="12" borderId="1" xfId="0" applyNumberFormat="1" applyFont="1" applyFill="1" applyBorder="1" applyAlignment="1" applyProtection="1">
      <alignment horizontal="right"/>
      <protection locked="0"/>
    </xf>
    <xf numFmtId="176" fontId="12" fillId="0" borderId="0" xfId="0" applyNumberFormat="1" applyFont="1" applyFill="1" applyBorder="1" applyAlignment="1" applyProtection="1">
      <alignment shrinkToFit="1"/>
    </xf>
    <xf numFmtId="43" fontId="13" fillId="0" borderId="0" xfId="0" applyNumberFormat="1" applyFont="1" applyFill="1" applyBorder="1" applyAlignment="1" applyProtection="1">
      <alignment horizontal="right"/>
    </xf>
    <xf numFmtId="43" fontId="27" fillId="12" borderId="2" xfId="0" applyNumberFormat="1" applyFont="1" applyFill="1" applyBorder="1" applyAlignment="1" applyProtection="1">
      <alignment horizontal="right" wrapText="1"/>
      <protection locked="0"/>
    </xf>
    <xf numFmtId="43" fontId="17" fillId="0" borderId="0" xfId="0" applyNumberFormat="1" applyFont="1" applyFill="1" applyBorder="1" applyAlignment="1" applyProtection="1">
      <alignment horizontal="center" vertical="center" wrapText="1"/>
    </xf>
    <xf numFmtId="43" fontId="13" fillId="0" borderId="1" xfId="0" applyNumberFormat="1" applyFont="1" applyFill="1" applyBorder="1" applyAlignment="1" applyProtection="1">
      <alignment horizontal="left"/>
    </xf>
    <xf numFmtId="43" fontId="36" fillId="0" borderId="1" xfId="0" applyNumberFormat="1" applyFont="1" applyFill="1" applyBorder="1" applyProtection="1"/>
    <xf numFmtId="43" fontId="36" fillId="0" borderId="1" xfId="0" applyNumberFormat="1" applyFont="1" applyFill="1" applyBorder="1" applyAlignment="1" applyProtection="1">
      <alignment horizontal="right"/>
    </xf>
    <xf numFmtId="43" fontId="44" fillId="0" borderId="1" xfId="0" applyNumberFormat="1" applyFont="1" applyFill="1" applyBorder="1" applyProtection="1"/>
    <xf numFmtId="176" fontId="110" fillId="0" borderId="0" xfId="0" applyNumberFormat="1" applyFont="1" applyFill="1" applyProtection="1"/>
    <xf numFmtId="176" fontId="12" fillId="0" borderId="6" xfId="0" applyNumberFormat="1" applyFont="1" applyFill="1" applyBorder="1" applyAlignment="1" applyProtection="1">
      <alignment shrinkToFit="1"/>
    </xf>
    <xf numFmtId="176" fontId="12" fillId="0" borderId="1" xfId="0" applyNumberFormat="1" applyFont="1" applyFill="1" applyBorder="1" applyAlignment="1" applyProtection="1">
      <alignment horizontal="right" shrinkToFit="1"/>
    </xf>
    <xf numFmtId="176" fontId="13" fillId="0" borderId="1" xfId="0" applyNumberFormat="1" applyFont="1" applyFill="1" applyBorder="1" applyAlignment="1" applyProtection="1">
      <alignment shrinkToFit="1"/>
    </xf>
    <xf numFmtId="176" fontId="17" fillId="0" borderId="0" xfId="0" applyNumberFormat="1" applyFont="1" applyFill="1" applyBorder="1" applyAlignment="1" applyProtection="1">
      <alignment horizontal="left" shrinkToFit="1"/>
    </xf>
    <xf numFmtId="43" fontId="36" fillId="0" borderId="0" xfId="0" applyNumberFormat="1" applyFont="1" applyFill="1" applyBorder="1" applyProtection="1"/>
    <xf numFmtId="43" fontId="36" fillId="0" borderId="0" xfId="0" applyNumberFormat="1" applyFont="1" applyFill="1" applyBorder="1" applyAlignment="1" applyProtection="1">
      <alignment horizontal="right"/>
    </xf>
    <xf numFmtId="176" fontId="13" fillId="6" borderId="1" xfId="0" applyNumberFormat="1" applyFont="1" applyFill="1" applyBorder="1" applyProtection="1">
      <protection locked="0"/>
    </xf>
    <xf numFmtId="43" fontId="13" fillId="12" borderId="1" xfId="0" applyNumberFormat="1" applyFont="1" applyFill="1" applyBorder="1" applyProtection="1">
      <protection locked="0"/>
    </xf>
    <xf numFmtId="176" fontId="24" fillId="0" borderId="1" xfId="0" applyNumberFormat="1" applyFont="1" applyBorder="1" applyProtection="1">
      <protection locked="0"/>
    </xf>
    <xf numFmtId="43" fontId="23" fillId="0" borderId="4" xfId="0" applyNumberFormat="1" applyFont="1" applyBorder="1" applyProtection="1"/>
    <xf numFmtId="43" fontId="13" fillId="0" borderId="4" xfId="0" applyNumberFormat="1" applyFont="1" applyBorder="1" applyProtection="1"/>
    <xf numFmtId="43" fontId="13" fillId="0" borderId="4" xfId="0" applyNumberFormat="1" applyFont="1" applyFill="1" applyBorder="1" applyProtection="1"/>
    <xf numFmtId="43" fontId="23" fillId="0" borderId="2" xfId="0" applyNumberFormat="1" applyFont="1" applyFill="1" applyBorder="1" applyProtection="1"/>
    <xf numFmtId="43" fontId="13" fillId="0" borderId="2" xfId="0" applyNumberFormat="1" applyFont="1" applyFill="1" applyBorder="1" applyProtection="1"/>
    <xf numFmtId="0" fontId="24" fillId="0" borderId="1" xfId="0" applyNumberFormat="1" applyFont="1" applyBorder="1" applyAlignment="1" applyProtection="1">
      <alignment shrinkToFit="1"/>
    </xf>
    <xf numFmtId="43" fontId="26" fillId="2" borderId="1" xfId="0" applyNumberFormat="1" applyFont="1" applyFill="1" applyBorder="1" applyAlignment="1" applyProtection="1">
      <alignment horizontal="right"/>
    </xf>
    <xf numFmtId="180" fontId="26" fillId="0" borderId="1" xfId="2" applyNumberFormat="1" applyFont="1" applyBorder="1" applyAlignment="1" applyProtection="1">
      <alignment horizontal="right"/>
    </xf>
    <xf numFmtId="43" fontId="26" fillId="0" borderId="1" xfId="0" applyNumberFormat="1" applyFont="1" applyBorder="1" applyAlignment="1" applyProtection="1">
      <alignment horizontal="right"/>
    </xf>
    <xf numFmtId="193" fontId="12" fillId="0" borderId="1" xfId="0" applyNumberFormat="1" applyFont="1" applyBorder="1" applyAlignment="1" applyProtection="1">
      <alignment horizontal="left" shrinkToFit="1"/>
    </xf>
    <xf numFmtId="193" fontId="17" fillId="0" borderId="1" xfId="0" applyNumberFormat="1" applyFont="1" applyBorder="1" applyAlignment="1" applyProtection="1">
      <alignment horizontal="left" shrinkToFit="1"/>
    </xf>
    <xf numFmtId="176" fontId="40" fillId="0" borderId="0" xfId="0" applyNumberFormat="1" applyFont="1" applyProtection="1"/>
    <xf numFmtId="176" fontId="48" fillId="0" borderId="0" xfId="0" applyNumberFormat="1" applyFont="1" applyProtection="1"/>
    <xf numFmtId="184" fontId="13" fillId="4" borderId="1" xfId="0" applyNumberFormat="1" applyFont="1" applyFill="1" applyBorder="1" applyAlignment="1" applyProtection="1">
      <alignment horizontal="right"/>
    </xf>
    <xf numFmtId="180" fontId="26" fillId="0" borderId="0" xfId="2" applyNumberFormat="1" applyFont="1" applyBorder="1" applyAlignment="1" applyProtection="1">
      <alignment horizontal="right"/>
    </xf>
    <xf numFmtId="176" fontId="49" fillId="0" borderId="0" xfId="0" applyNumberFormat="1" applyFont="1" applyAlignment="1" applyProtection="1">
      <alignment horizontal="right"/>
    </xf>
    <xf numFmtId="0" fontId="9" fillId="0" borderId="1" xfId="0" applyFont="1" applyBorder="1" applyProtection="1"/>
    <xf numFmtId="176" fontId="8" fillId="0" borderId="0" xfId="0" applyNumberFormat="1" applyFont="1"/>
    <xf numFmtId="176" fontId="111" fillId="0" borderId="4" xfId="0" applyNumberFormat="1" applyFont="1" applyBorder="1" applyProtection="1"/>
    <xf numFmtId="176" fontId="13" fillId="0" borderId="15" xfId="0" applyNumberFormat="1" applyFont="1" applyBorder="1" applyAlignment="1" applyProtection="1">
      <alignment horizontal="center" vertical="center"/>
    </xf>
    <xf numFmtId="176" fontId="20" fillId="0" borderId="4" xfId="0" applyNumberFormat="1" applyFont="1" applyBorder="1" applyProtection="1"/>
    <xf numFmtId="10" fontId="13" fillId="0" borderId="15" xfId="2" applyNumberFormat="1" applyFont="1" applyBorder="1" applyProtection="1"/>
    <xf numFmtId="0" fontId="113" fillId="0" borderId="8" xfId="63" applyFont="1" applyBorder="1" applyAlignment="1"/>
    <xf numFmtId="0" fontId="0" fillId="0" borderId="9" xfId="0" applyBorder="1"/>
    <xf numFmtId="0" fontId="20" fillId="0" borderId="9" xfId="9" applyBorder="1" applyAlignment="1">
      <alignment horizontal="center"/>
    </xf>
    <xf numFmtId="0" fontId="20" fillId="0" borderId="9" xfId="9" applyBorder="1"/>
    <xf numFmtId="176" fontId="13" fillId="0" borderId="9" xfId="0" applyNumberFormat="1" applyFont="1" applyBorder="1" applyProtection="1"/>
    <xf numFmtId="0" fontId="65" fillId="0" borderId="9" xfId="63" applyFont="1" applyBorder="1" applyAlignment="1"/>
    <xf numFmtId="0" fontId="65" fillId="0" borderId="10" xfId="63" applyFont="1" applyBorder="1" applyAlignment="1"/>
    <xf numFmtId="0" fontId="65" fillId="0" borderId="0" xfId="63" applyFont="1" applyBorder="1" applyAlignment="1"/>
    <xf numFmtId="0" fontId="15" fillId="13" borderId="11" xfId="63" applyFont="1" applyFill="1" applyBorder="1" applyAlignment="1"/>
    <xf numFmtId="0" fontId="8" fillId="0" borderId="0" xfId="0" applyFont="1" applyBorder="1"/>
    <xf numFmtId="0" fontId="13" fillId="0" borderId="0" xfId="9" applyFont="1" applyBorder="1" applyAlignment="1">
      <alignment horizontal="center"/>
    </xf>
    <xf numFmtId="0" fontId="13" fillId="0" borderId="0" xfId="9" applyFont="1" applyBorder="1"/>
    <xf numFmtId="0" fontId="13" fillId="0" borderId="0" xfId="63" applyFont="1" applyBorder="1" applyAlignment="1"/>
    <xf numFmtId="0" fontId="13" fillId="0" borderId="12" xfId="63" applyFont="1" applyBorder="1" applyAlignment="1"/>
    <xf numFmtId="0" fontId="13" fillId="0" borderId="11" xfId="63" applyFont="1" applyBorder="1" applyAlignment="1"/>
    <xf numFmtId="0" fontId="13" fillId="0" borderId="11" xfId="63" applyFont="1" applyFill="1" applyBorder="1" applyAlignment="1"/>
    <xf numFmtId="176" fontId="13" fillId="0" borderId="12" xfId="0" applyNumberFormat="1" applyFont="1" applyBorder="1" applyProtection="1"/>
    <xf numFmtId="0" fontId="13" fillId="0" borderId="11" xfId="63" applyFont="1" applyBorder="1" applyAlignment="1">
      <alignment horizontal="right"/>
    </xf>
    <xf numFmtId="10" fontId="13" fillId="14" borderId="0" xfId="2" applyNumberFormat="1" applyFont="1" applyFill="1" applyBorder="1" applyAlignment="1"/>
    <xf numFmtId="10" fontId="13" fillId="14" borderId="11" xfId="2" applyNumberFormat="1" applyFont="1" applyFill="1" applyBorder="1" applyAlignment="1"/>
    <xf numFmtId="10" fontId="26" fillId="6" borderId="0" xfId="2" applyNumberFormat="1" applyFont="1" applyFill="1" applyBorder="1" applyProtection="1"/>
    <xf numFmtId="10" fontId="13" fillId="0" borderId="11" xfId="2" applyNumberFormat="1" applyFont="1" applyFill="1" applyBorder="1" applyAlignment="1"/>
    <xf numFmtId="0" fontId="13" fillId="0" borderId="0" xfId="63" applyFont="1" applyFill="1" applyBorder="1" applyAlignment="1"/>
    <xf numFmtId="0" fontId="13" fillId="0" borderId="12" xfId="63" applyFont="1" applyFill="1" applyBorder="1" applyAlignment="1"/>
    <xf numFmtId="14" fontId="13" fillId="0" borderId="11" xfId="0" applyNumberFormat="1" applyFont="1" applyBorder="1" applyAlignment="1" applyProtection="1">
      <alignment horizontal="right"/>
    </xf>
    <xf numFmtId="181" fontId="27" fillId="6" borderId="0" xfId="0" applyNumberFormat="1" applyFont="1" applyFill="1" applyBorder="1" applyProtection="1"/>
    <xf numFmtId="181" fontId="13" fillId="0" borderId="11" xfId="0" applyNumberFormat="1" applyFont="1" applyFill="1" applyBorder="1" applyProtection="1"/>
    <xf numFmtId="0" fontId="15" fillId="0" borderId="11" xfId="63" applyFont="1" applyFill="1" applyBorder="1" applyAlignment="1"/>
    <xf numFmtId="10" fontId="13" fillId="0" borderId="11" xfId="2" applyNumberFormat="1" applyFont="1" applyFill="1" applyBorder="1" applyProtection="1"/>
    <xf numFmtId="185" fontId="13" fillId="0" borderId="0" xfId="63" applyNumberFormat="1" applyFont="1" applyFill="1" applyBorder="1" applyAlignment="1"/>
    <xf numFmtId="185" fontId="13" fillId="0" borderId="11" xfId="63" applyNumberFormat="1" applyFont="1" applyFill="1" applyBorder="1" applyAlignment="1"/>
    <xf numFmtId="0" fontId="13" fillId="0" borderId="0" xfId="63" applyFont="1" applyFill="1" applyBorder="1" applyAlignment="1">
      <alignment horizontal="center"/>
    </xf>
    <xf numFmtId="0" fontId="13" fillId="0" borderId="0" xfId="63" applyFont="1" applyBorder="1" applyAlignment="1">
      <alignment horizontal="center"/>
    </xf>
    <xf numFmtId="0" fontId="15" fillId="0" borderId="11" xfId="9" applyFont="1" applyBorder="1" applyAlignment="1">
      <alignment horizontal="left"/>
    </xf>
    <xf numFmtId="10" fontId="15" fillId="0" borderId="0" xfId="2" applyNumberFormat="1" applyFont="1" applyFill="1" applyBorder="1" applyAlignment="1"/>
    <xf numFmtId="10" fontId="15" fillId="0" borderId="11" xfId="2" applyNumberFormat="1" applyFont="1" applyFill="1" applyBorder="1" applyAlignment="1"/>
    <xf numFmtId="0" fontId="17" fillId="0" borderId="0" xfId="63" applyFont="1" applyFill="1" applyBorder="1" applyAlignment="1">
      <alignment horizontal="right"/>
    </xf>
    <xf numFmtId="0" fontId="65" fillId="0" borderId="0" xfId="63" applyFont="1" applyFill="1" applyBorder="1" applyAlignment="1"/>
    <xf numFmtId="0" fontId="13" fillId="0" borderId="11" xfId="9" applyFont="1" applyBorder="1"/>
    <xf numFmtId="0" fontId="15" fillId="0" borderId="0" xfId="63" applyFont="1" applyFill="1" applyBorder="1" applyAlignment="1"/>
    <xf numFmtId="0" fontId="12" fillId="0" borderId="0" xfId="63" applyFont="1" applyFill="1" applyBorder="1" applyAlignment="1">
      <alignment horizontal="center"/>
    </xf>
    <xf numFmtId="10" fontId="12" fillId="0" borderId="0" xfId="2" applyNumberFormat="1" applyFont="1" applyFill="1" applyBorder="1" applyAlignment="1">
      <alignment horizontal="center"/>
    </xf>
    <xf numFmtId="181" fontId="13" fillId="15" borderId="0" xfId="63" applyNumberFormat="1" applyFont="1" applyFill="1" applyBorder="1" applyAlignment="1"/>
    <xf numFmtId="181" fontId="13" fillId="0" borderId="12" xfId="63" applyNumberFormat="1" applyFont="1" applyBorder="1" applyAlignment="1"/>
    <xf numFmtId="181" fontId="13" fillId="15" borderId="11" xfId="63" applyNumberFormat="1" applyFont="1" applyFill="1" applyBorder="1" applyAlignment="1"/>
    <xf numFmtId="0" fontId="15" fillId="13" borderId="13" xfId="63" applyFont="1" applyFill="1" applyBorder="1" applyAlignment="1">
      <alignment horizontal="right"/>
    </xf>
    <xf numFmtId="0" fontId="8" fillId="0" borderId="7" xfId="0" applyFont="1" applyBorder="1"/>
    <xf numFmtId="0" fontId="13" fillId="0" borderId="7" xfId="9" applyFont="1" applyBorder="1" applyAlignment="1">
      <alignment horizontal="center"/>
    </xf>
    <xf numFmtId="0" fontId="13" fillId="0" borderId="7" xfId="9" applyFont="1" applyBorder="1"/>
    <xf numFmtId="10" fontId="15" fillId="13" borderId="7" xfId="2" applyNumberFormat="1" applyFont="1" applyFill="1" applyBorder="1" applyAlignment="1"/>
    <xf numFmtId="0" fontId="13" fillId="0" borderId="7" xfId="63" applyFont="1" applyBorder="1" applyAlignment="1"/>
    <xf numFmtId="0" fontId="13" fillId="0" borderId="14" xfId="63" applyFont="1" applyBorder="1" applyAlignment="1"/>
    <xf numFmtId="10" fontId="15" fillId="13" borderId="13" xfId="2" applyNumberFormat="1" applyFont="1" applyFill="1" applyBorder="1" applyAlignment="1"/>
    <xf numFmtId="0" fontId="13" fillId="0" borderId="7" xfId="63" applyFont="1" applyFill="1" applyBorder="1" applyAlignment="1"/>
    <xf numFmtId="0" fontId="13" fillId="0" borderId="14" xfId="63" applyFont="1" applyFill="1" applyBorder="1" applyAlignment="1"/>
    <xf numFmtId="10" fontId="23" fillId="5" borderId="1" xfId="2" applyNumberFormat="1" applyFont="1" applyFill="1" applyBorder="1" applyAlignment="1" applyProtection="1">
      <alignment horizontal="right"/>
    </xf>
    <xf numFmtId="10" fontId="27" fillId="5" borderId="1" xfId="2" applyNumberFormat="1" applyFont="1" applyFill="1" applyBorder="1" applyAlignment="1" applyProtection="1">
      <alignment horizontal="right"/>
    </xf>
    <xf numFmtId="176" fontId="15" fillId="13" borderId="0" xfId="63" applyNumberFormat="1" applyFont="1" applyFill="1" applyBorder="1" applyAlignment="1"/>
    <xf numFmtId="10" fontId="30" fillId="0" borderId="1" xfId="0" applyNumberFormat="1" applyFont="1" applyFill="1" applyBorder="1" applyProtection="1"/>
    <xf numFmtId="194" fontId="23" fillId="0" borderId="0" xfId="0" applyNumberFormat="1" applyFont="1" applyFill="1" applyAlignment="1" applyProtection="1">
      <alignment horizontal="center"/>
    </xf>
    <xf numFmtId="43" fontId="24" fillId="0" borderId="0" xfId="0" applyNumberFormat="1" applyFont="1" applyFill="1" applyAlignment="1" applyProtection="1">
      <alignment horizontal="right" shrinkToFit="1"/>
    </xf>
    <xf numFmtId="43" fontId="23" fillId="0" borderId="0" xfId="0" applyNumberFormat="1" applyFont="1" applyAlignment="1" applyProtection="1">
      <alignment horizontal="right"/>
    </xf>
    <xf numFmtId="176" fontId="116" fillId="0" borderId="1" xfId="0" applyNumberFormat="1" applyFont="1" applyBorder="1" applyAlignment="1" applyProtection="1">
      <alignment shrinkToFit="1"/>
    </xf>
    <xf numFmtId="43" fontId="53" fillId="0" borderId="1" xfId="6" applyNumberFormat="1" applyFont="1" applyFill="1" applyBorder="1" applyAlignment="1" applyProtection="1">
      <alignment horizontal="right" shrinkToFit="1"/>
    </xf>
    <xf numFmtId="176" fontId="36" fillId="0" borderId="1" xfId="0" applyNumberFormat="1" applyFont="1" applyBorder="1" applyAlignment="1" applyProtection="1">
      <alignment horizontal="center" vertical="center" wrapText="1"/>
    </xf>
    <xf numFmtId="176" fontId="12" fillId="0" borderId="1" xfId="0" applyNumberFormat="1" applyFont="1" applyBorder="1" applyAlignment="1" applyProtection="1">
      <alignment horizontal="left"/>
    </xf>
    <xf numFmtId="176" fontId="111" fillId="0" borderId="0" xfId="0" applyNumberFormat="1" applyFont="1" applyFill="1" applyAlignment="1" applyProtection="1">
      <alignment vertical="center"/>
    </xf>
    <xf numFmtId="41" fontId="9" fillId="0" borderId="7" xfId="0" applyNumberFormat="1" applyFont="1" applyBorder="1" applyProtection="1"/>
    <xf numFmtId="176" fontId="24" fillId="0" borderId="7" xfId="0" applyNumberFormat="1" applyFont="1" applyBorder="1" applyProtection="1"/>
    <xf numFmtId="176" fontId="17" fillId="0" borderId="24" xfId="0" applyNumberFormat="1" applyFont="1" applyBorder="1" applyProtection="1"/>
    <xf numFmtId="176" fontId="15" fillId="0" borderId="24" xfId="0" applyNumberFormat="1" applyFont="1" applyBorder="1" applyProtection="1"/>
    <xf numFmtId="176" fontId="17" fillId="0" borderId="15" xfId="0" applyNumberFormat="1" applyFont="1" applyBorder="1" applyProtection="1"/>
    <xf numFmtId="176" fontId="26" fillId="6" borderId="15" xfId="0" applyNumberFormat="1" applyFont="1" applyFill="1" applyBorder="1" applyProtection="1"/>
    <xf numFmtId="176" fontId="26" fillId="6" borderId="5" xfId="0" applyNumberFormat="1" applyFont="1" applyFill="1" applyBorder="1" applyProtection="1"/>
    <xf numFmtId="0" fontId="12" fillId="0" borderId="1" xfId="0" applyFont="1" applyBorder="1" applyAlignment="1" applyProtection="1">
      <alignment horizontal="left"/>
    </xf>
    <xf numFmtId="176" fontId="13" fillId="0" borderId="0" xfId="0" applyNumberFormat="1" applyFont="1" applyAlignment="1" applyProtection="1">
      <alignment horizontal="right" shrinkToFit="1"/>
    </xf>
    <xf numFmtId="180" fontId="13" fillId="0" borderId="1" xfId="2" applyNumberFormat="1" applyFont="1" applyFill="1" applyBorder="1" applyProtection="1"/>
    <xf numFmtId="180" fontId="13" fillId="0" borderId="0" xfId="2" applyNumberFormat="1" applyFont="1" applyFill="1" applyBorder="1" applyProtection="1"/>
    <xf numFmtId="43" fontId="117" fillId="0" borderId="1" xfId="0" applyNumberFormat="1" applyFont="1" applyFill="1" applyBorder="1" applyProtection="1">
      <protection locked="0"/>
    </xf>
    <xf numFmtId="176" fontId="24" fillId="0" borderId="15" xfId="0" applyNumberFormat="1" applyFont="1" applyBorder="1" applyProtection="1"/>
    <xf numFmtId="176" fontId="13" fillId="0" borderId="15" xfId="0" applyNumberFormat="1" applyFont="1" applyBorder="1"/>
    <xf numFmtId="43" fontId="13" fillId="0" borderId="15" xfId="0" applyNumberFormat="1" applyFont="1" applyBorder="1"/>
    <xf numFmtId="0" fontId="24" fillId="0" borderId="1" xfId="0" applyFont="1" applyBorder="1" applyProtection="1"/>
    <xf numFmtId="10" fontId="23" fillId="6" borderId="1" xfId="2" applyNumberFormat="1" applyFont="1" applyFill="1" applyBorder="1" applyProtection="1"/>
    <xf numFmtId="176" fontId="23" fillId="6" borderId="1" xfId="0" applyNumberFormat="1" applyFont="1" applyFill="1" applyBorder="1" applyProtection="1"/>
    <xf numFmtId="176" fontId="23" fillId="0" borderId="1" xfId="0" applyNumberFormat="1" applyFont="1" applyBorder="1" applyAlignment="1" applyProtection="1">
      <alignment horizontal="right"/>
    </xf>
    <xf numFmtId="176" fontId="12" fillId="4" borderId="0" xfId="0" applyNumberFormat="1" applyFont="1" applyFill="1" applyProtection="1"/>
    <xf numFmtId="176" fontId="13" fillId="4" borderId="0" xfId="0" applyNumberFormat="1" applyFont="1" applyFill="1" applyProtection="1"/>
    <xf numFmtId="176" fontId="8" fillId="0" borderId="18" xfId="0" applyNumberFormat="1" applyFont="1" applyBorder="1"/>
    <xf numFmtId="0" fontId="48" fillId="0" borderId="0" xfId="0" applyFont="1"/>
    <xf numFmtId="186" fontId="26" fillId="0" borderId="0" xfId="0" applyNumberFormat="1" applyFont="1" applyBorder="1" applyAlignment="1" applyProtection="1">
      <alignment horizontal="center"/>
    </xf>
    <xf numFmtId="176" fontId="29" fillId="0" borderId="1" xfId="0" applyNumberFormat="1" applyFont="1" applyFill="1" applyBorder="1" applyAlignment="1" applyProtection="1">
      <alignment shrinkToFit="1"/>
    </xf>
    <xf numFmtId="186" fontId="27" fillId="0" borderId="0" xfId="0" applyNumberFormat="1" applyFont="1" applyBorder="1" applyAlignment="1" applyProtection="1">
      <alignment horizontal="center"/>
    </xf>
    <xf numFmtId="176" fontId="29" fillId="0" borderId="1" xfId="0" applyNumberFormat="1" applyFont="1" applyBorder="1" applyAlignment="1" applyProtection="1">
      <alignment shrinkToFit="1"/>
    </xf>
    <xf numFmtId="176" fontId="27" fillId="0" borderId="1" xfId="0" applyNumberFormat="1" applyFont="1" applyBorder="1" applyAlignment="1" applyProtection="1">
      <alignment shrinkToFit="1"/>
    </xf>
    <xf numFmtId="0" fontId="33" fillId="0" borderId="0" xfId="0" applyNumberFormat="1" applyFont="1" applyProtection="1"/>
    <xf numFmtId="176" fontId="20" fillId="5" borderId="1" xfId="0" applyNumberFormat="1" applyFont="1" applyFill="1" applyBorder="1" applyAlignment="1" applyProtection="1">
      <alignment shrinkToFit="1"/>
    </xf>
    <xf numFmtId="43" fontId="11" fillId="0" borderId="0" xfId="0" applyNumberFormat="1" applyFont="1" applyProtection="1"/>
    <xf numFmtId="176" fontId="12" fillId="5" borderId="1" xfId="0" applyNumberFormat="1" applyFont="1" applyFill="1" applyBorder="1" applyProtection="1"/>
    <xf numFmtId="43" fontId="24" fillId="0" borderId="1" xfId="0" applyNumberFormat="1" applyFont="1" applyBorder="1" applyProtection="1"/>
    <xf numFmtId="176" fontId="20" fillId="0" borderId="1" xfId="0" applyNumberFormat="1" applyFont="1" applyBorder="1" applyAlignment="1" applyProtection="1">
      <alignment shrinkToFit="1"/>
    </xf>
    <xf numFmtId="178" fontId="12" fillId="0" borderId="0" xfId="0" applyNumberFormat="1" applyFont="1" applyFill="1" applyAlignment="1" applyProtection="1">
      <alignment horizontal="left"/>
    </xf>
    <xf numFmtId="185" fontId="13" fillId="16" borderId="0" xfId="63" applyNumberFormat="1" applyFont="1" applyFill="1" applyBorder="1" applyAlignment="1"/>
    <xf numFmtId="0" fontId="119" fillId="8" borderId="1" xfId="0" applyFont="1" applyFill="1" applyBorder="1" applyAlignment="1" applyProtection="1">
      <alignment shrinkToFit="1"/>
    </xf>
    <xf numFmtId="0" fontId="87" fillId="0" borderId="1" xfId="0" applyFont="1" applyFill="1" applyBorder="1" applyAlignment="1" applyProtection="1">
      <alignment shrinkToFit="1"/>
    </xf>
    <xf numFmtId="43" fontId="33" fillId="0" borderId="0" xfId="0" applyNumberFormat="1" applyFont="1" applyFill="1" applyProtection="1">
      <protection locked="0"/>
    </xf>
    <xf numFmtId="43" fontId="23" fillId="0" borderId="0" xfId="0" applyNumberFormat="1" applyFont="1" applyFill="1" applyAlignment="1" applyProtection="1">
      <alignment horizontal="center"/>
    </xf>
    <xf numFmtId="43" fontId="87" fillId="0" borderId="0" xfId="0" applyNumberFormat="1" applyFont="1" applyFill="1" applyProtection="1">
      <protection locked="0"/>
    </xf>
    <xf numFmtId="43" fontId="17" fillId="0" borderId="0" xfId="0" applyNumberFormat="1" applyFont="1" applyFill="1" applyProtection="1">
      <protection locked="0"/>
    </xf>
    <xf numFmtId="43" fontId="13" fillId="0" borderId="5" xfId="0" applyNumberFormat="1" applyFont="1" applyFill="1" applyBorder="1" applyProtection="1"/>
    <xf numFmtId="43" fontId="13" fillId="0" borderId="0" xfId="0" applyNumberFormat="1" applyFont="1" applyFill="1" applyAlignment="1" applyProtection="1">
      <alignment shrinkToFit="1"/>
    </xf>
    <xf numFmtId="43" fontId="12" fillId="0" borderId="0" xfId="0" applyNumberFormat="1" applyFont="1" applyFill="1" applyProtection="1">
      <protection locked="0"/>
    </xf>
    <xf numFmtId="194" fontId="49" fillId="0" borderId="0" xfId="0" applyNumberFormat="1" applyFont="1" applyFill="1" applyAlignment="1" applyProtection="1">
      <alignment horizontal="center"/>
    </xf>
    <xf numFmtId="43" fontId="40" fillId="0" borderId="0" xfId="0" applyNumberFormat="1" applyFont="1" applyFill="1" applyAlignment="1" applyProtection="1">
      <alignment horizontal="left"/>
    </xf>
    <xf numFmtId="43" fontId="23" fillId="0" borderId="0" xfId="0" applyNumberFormat="1" applyFont="1" applyAlignment="1" applyProtection="1">
      <alignment horizontal="center"/>
    </xf>
    <xf numFmtId="0" fontId="76" fillId="0" borderId="5" xfId="24" applyFont="1" applyBorder="1" applyAlignment="1">
      <alignment horizontal="center" vertical="center"/>
    </xf>
    <xf numFmtId="0" fontId="77" fillId="0" borderId="5" xfId="24" applyFont="1" applyBorder="1" applyAlignment="1">
      <alignment horizontal="center" vertical="center"/>
    </xf>
    <xf numFmtId="0" fontId="13" fillId="0" borderId="4" xfId="59" applyFont="1" applyFill="1" applyBorder="1" applyAlignment="1" applyProtection="1">
      <alignment horizontal="left" vertical="center" shrinkToFit="1"/>
    </xf>
    <xf numFmtId="0" fontId="13" fillId="0" borderId="2" xfId="59" applyFont="1" applyFill="1" applyBorder="1" applyAlignment="1" applyProtection="1">
      <alignment horizontal="left" vertical="center" shrinkToFit="1"/>
    </xf>
    <xf numFmtId="0" fontId="16" fillId="0" borderId="1" xfId="0" applyFont="1" applyBorder="1" applyAlignment="1">
      <alignment horizontal="center" vertical="center"/>
    </xf>
    <xf numFmtId="0" fontId="15" fillId="0" borderId="1" xfId="24" applyFont="1" applyBorder="1" applyAlignment="1">
      <alignment horizontal="left" vertical="center" wrapText="1"/>
    </xf>
    <xf numFmtId="0" fontId="13" fillId="0" borderId="1" xfId="24" applyFont="1" applyBorder="1" applyAlignment="1">
      <alignment horizontal="left" vertical="center" wrapText="1"/>
    </xf>
    <xf numFmtId="0" fontId="13" fillId="0" borderId="1" xfId="24" applyFont="1" applyFill="1" applyBorder="1" applyAlignment="1">
      <alignment horizontal="left" vertical="center" wrapText="1"/>
    </xf>
    <xf numFmtId="0" fontId="13" fillId="0" borderId="1" xfId="24" applyFont="1" applyBorder="1" applyAlignment="1">
      <alignment vertical="center" wrapText="1"/>
    </xf>
    <xf numFmtId="0" fontId="13" fillId="0" borderId="4" xfId="24" applyFont="1" applyBorder="1" applyAlignment="1">
      <alignment horizontal="left" vertical="center" wrapText="1"/>
    </xf>
    <xf numFmtId="0" fontId="13" fillId="0" borderId="2" xfId="24" applyFont="1" applyBorder="1" applyAlignment="1">
      <alignment horizontal="left" vertical="center" wrapText="1"/>
    </xf>
    <xf numFmtId="0" fontId="95" fillId="0" borderId="0" xfId="0" applyFont="1" applyFill="1" applyBorder="1" applyAlignment="1" applyProtection="1">
      <alignment horizontal="center"/>
    </xf>
    <xf numFmtId="176" fontId="95" fillId="0" borderId="0" xfId="0" applyNumberFormat="1" applyFont="1" applyAlignment="1" applyProtection="1">
      <alignment horizontal="center"/>
    </xf>
    <xf numFmtId="14" fontId="87" fillId="0" borderId="1" xfId="0" applyNumberFormat="1" applyFont="1" applyBorder="1" applyAlignment="1" applyProtection="1">
      <alignment horizontal="center" vertical="center" shrinkToFit="1"/>
    </xf>
    <xf numFmtId="192" fontId="14" fillId="0" borderId="4" xfId="0" applyNumberFormat="1" applyFont="1" applyBorder="1" applyAlignment="1" applyProtection="1">
      <alignment horizontal="center" vertical="center"/>
    </xf>
    <xf numFmtId="192" fontId="14" fillId="0" borderId="15" xfId="0" applyNumberFormat="1" applyFont="1" applyBorder="1" applyAlignment="1" applyProtection="1">
      <alignment horizontal="center" vertical="center"/>
    </xf>
    <xf numFmtId="192" fontId="14" fillId="0" borderId="2" xfId="0" applyNumberFormat="1" applyFont="1" applyBorder="1" applyAlignment="1" applyProtection="1">
      <alignment horizontal="center" vertical="center"/>
    </xf>
    <xf numFmtId="176" fontId="95" fillId="0" borderId="0" xfId="0" applyNumberFormat="1" applyFont="1" applyFill="1" applyAlignment="1" applyProtection="1">
      <alignment horizontal="center"/>
    </xf>
    <xf numFmtId="0" fontId="55" fillId="0" borderId="0" xfId="0" applyFont="1" applyFill="1" applyBorder="1" applyAlignment="1" applyProtection="1">
      <alignment horizontal="center"/>
    </xf>
    <xf numFmtId="0" fontId="95" fillId="0" borderId="0" xfId="24" applyFont="1" applyFill="1" applyBorder="1" applyAlignment="1" applyProtection="1">
      <alignment horizontal="center"/>
    </xf>
    <xf numFmtId="0" fontId="55" fillId="0" borderId="0" xfId="24" applyFont="1" applyFill="1" applyBorder="1" applyAlignment="1" applyProtection="1">
      <alignment horizontal="center"/>
    </xf>
    <xf numFmtId="176" fontId="17" fillId="0" borderId="1" xfId="0" applyNumberFormat="1" applyFont="1" applyFill="1" applyBorder="1" applyAlignment="1" applyProtection="1">
      <alignment vertical="center" shrinkToFit="1"/>
    </xf>
  </cellXfs>
  <cellStyles count="64">
    <cellStyle name="Column_Title" xfId="25"/>
    <cellStyle name="Comma [0]_laroux" xfId="26"/>
    <cellStyle name="Comma_laroux" xfId="27"/>
    <cellStyle name="Currency [0]_353HHC" xfId="28"/>
    <cellStyle name="Currency 2" xfId="10"/>
    <cellStyle name="Currency_353HHC" xfId="29"/>
    <cellStyle name="Grey" xfId="30"/>
    <cellStyle name="Input [yellow]" xfId="31"/>
    <cellStyle name="no dec" xfId="32"/>
    <cellStyle name="Norm੎੎" xfId="1"/>
    <cellStyle name="Norm੎੎ 2" xfId="15"/>
    <cellStyle name="Normal - Style1" xfId="33"/>
    <cellStyle name="Normal 2" xfId="9"/>
    <cellStyle name="Normal_0105第二套审计报表定稿" xfId="34"/>
    <cellStyle name="Percent [2]" xfId="35"/>
    <cellStyle name="Percent 2" xfId="11"/>
    <cellStyle name="style" xfId="36"/>
    <cellStyle name="style1" xfId="37"/>
    <cellStyle name="style2" xfId="38"/>
    <cellStyle name="百分比" xfId="2" builtinId="5"/>
    <cellStyle name="百分比 2" xfId="16"/>
    <cellStyle name="百分比 3" xfId="23"/>
    <cellStyle name="百分比 4" xfId="62"/>
    <cellStyle name="常规" xfId="0" builtinId="0"/>
    <cellStyle name="常规 10" xfId="3"/>
    <cellStyle name="常规 10 2" xfId="17"/>
    <cellStyle name="常规 16 2" xfId="61"/>
    <cellStyle name="常规 2" xfId="4"/>
    <cellStyle name="常规 2 2" xfId="24"/>
    <cellStyle name="常规 22" xfId="39"/>
    <cellStyle name="常规 22 2" xfId="40"/>
    <cellStyle name="常规 3" xfId="12"/>
    <cellStyle name="常规 3 2" xfId="22"/>
    <cellStyle name="常规 4" xfId="14"/>
    <cellStyle name="常规 5" xfId="13"/>
    <cellStyle name="常规 6" xfId="60"/>
    <cellStyle name="常规 7" xfId="5"/>
    <cellStyle name="常规 7 2" xfId="18"/>
    <cellStyle name="常规_01流动资产" xfId="59"/>
    <cellStyle name="常规_01流动资产_1" xfId="58"/>
    <cellStyle name="常规_331国投曲靖" xfId="63"/>
    <cellStyle name="分级显示行_1_4附件二凯旋评估表" xfId="41"/>
    <cellStyle name="分级显示列_1_Book1" xfId="42"/>
    <cellStyle name="霓付 [0]_97MBO" xfId="43"/>
    <cellStyle name="霓付_97MBO" xfId="44"/>
    <cellStyle name="烹拳 [0]_97MBO" xfId="45"/>
    <cellStyle name="烹拳_97MBO" xfId="46"/>
    <cellStyle name="普通_ 白土" xfId="47"/>
    <cellStyle name="千分位[0]_ 白土" xfId="48"/>
    <cellStyle name="千分位_ 白土" xfId="49"/>
    <cellStyle name="千位[0]_laroux" xfId="50"/>
    <cellStyle name="千位_laroux" xfId="51"/>
    <cellStyle name="千位分隔" xfId="6" builtinId="3"/>
    <cellStyle name="千位分隔 10 10" xfId="7"/>
    <cellStyle name="千位分隔 10 10 2" xfId="20"/>
    <cellStyle name="千位分隔 2" xfId="19"/>
    <cellStyle name="千位分隔[0] 8" xfId="8"/>
    <cellStyle name="千位分隔[0] 8 2" xfId="21"/>
    <cellStyle name="钎霖_laroux" xfId="52"/>
    <cellStyle name="콤마 [0]_BOILER-CO1" xfId="53"/>
    <cellStyle name="콤마_BOILER-CO1" xfId="54"/>
    <cellStyle name="통화 [0]_BOILER-CO1" xfId="55"/>
    <cellStyle name="통화_BOILER-CO1" xfId="56"/>
    <cellStyle name="표준_0N-HANDLING " xfId="57"/>
  </cellStyles>
  <dxfs count="0"/>
  <tableStyles count="0" defaultTableStyle="TableStyleMedium2" defaultPivotStyle="PivotStyleLight16"/>
  <colors>
    <mruColors>
      <color rgb="FF0000FF"/>
      <color rgb="FF0000CC"/>
      <color rgb="FFFFFFCC"/>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0840;&#37096;&#30446;&#24405;&#21450;&#24213;&#31295;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My%20job/&#20013;&#21270;&#33647;&#21697;/WINDOWS/Desktop/&#33487;&#24030;&#33647;&#19994;&#35780;&#20272;/&#21830;&#26631;&#35780;&#20272;&#36164;&#26009;-&#22635;&#349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33539;&#26641;&#22862;\&#20849;&#20139;\&#30707;&#21270;&#21152;&#27833;&#31449;&#35780;&#20272;&#26126;&#32454;&#34920;&#65288;&#27969;&#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NK"/>
      <sheetName val="ITEM"/>
      <sheetName val="总目录"/>
      <sheetName val="项目管理类目录"/>
      <sheetName val="报告类目录"/>
      <sheetName val="项目风险初步评价表"/>
      <sheetName val="调整分录汇总"/>
      <sheetName val="工作日志"/>
      <sheetName val="审核记录 "/>
      <sheetName val="发文单 "/>
      <sheetName val="基本情况表"/>
      <sheetName val="会计调查"/>
      <sheetName val="持续经营"/>
      <sheetName val="重大事项"/>
      <sheetName val="货币目录 "/>
      <sheetName val="现金盘点"/>
      <sheetName val="短投目录 "/>
      <sheetName val="有价证券盘点表"/>
      <sheetName val="股票底稿"/>
      <sheetName val="债券底稿"/>
      <sheetName val="债权目录"/>
      <sheetName val="应收票据盘点表"/>
      <sheetName val="账龄分析底稿"/>
      <sheetName val="往来账款函询未回替代"/>
      <sheetName val="存货目录"/>
      <sheetName val="抽查盘点表"/>
      <sheetName val="抽查汇总"/>
      <sheetName val="主要存货询价表"/>
      <sheetName val="待摊目录"/>
      <sheetName val="待摊费用评估底稿 "/>
      <sheetName val="流处目录"/>
      <sheetName val="长投目录"/>
      <sheetName val="长期有价证券盘点表"/>
      <sheetName val="股票投资底稿"/>
      <sheetName val="债券投资底稿"/>
      <sheetName val="其他投资底稿"/>
      <sheetName val="物资目录"/>
      <sheetName val="抽查核实记录表"/>
      <sheetName val="主要物资询价表"/>
      <sheetName val="清理目录"/>
      <sheetName val="固处目录"/>
      <sheetName val="递延目录"/>
      <sheetName val="开办费 "/>
      <sheetName val="长摊评估底稿 "/>
      <sheetName val="债务目录"/>
      <sheetName val="应付债券 "/>
      <sheetName val="收入"/>
      <sheetName val="说明"/>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说明"/>
      <sheetName val="收入"/>
      <sheetName val="成本"/>
      <sheetName val="营业费用"/>
      <sheetName val="管理费用"/>
      <sheetName val="财务费用"/>
      <sheetName val="资本性支出"/>
      <sheetName val="XL4Poppy"/>
      <sheetName val="WC"/>
      <sheetName val="Capex"/>
      <sheetName val="DCF2"/>
      <sheetName val="Sale"/>
      <sheetName val="商标评估资料-填表"/>
      <sheetName val="#REF"/>
      <sheetName val="G&amp;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汇总表"/>
      <sheetName val="分类汇总1"/>
      <sheetName val="（附表）存货盘点汇总"/>
      <sheetName val="无形（土地）"/>
      <sheetName val="00000000"/>
      <sheetName val="XL4Poppy"/>
      <sheetName val="master"/>
      <sheetName val=""/>
      <sheetName val="3272"/>
      <sheetName val="3304"/>
      <sheetName val="3306"/>
      <sheetName val="3316"/>
      <sheetName val="6月"/>
      <sheetName val="財務諸表（ＳＰＭＡＣ＋新ＡＤＡＭＳ）"/>
      <sheetName val="Open"/>
      <sheetName val="Deferral Bonus"/>
      <sheetName val="销售成本预测表"/>
      <sheetName val="燃料动力费预测表"/>
      <sheetName val="业务收入预测表"/>
      <sheetName val="短期投资股票投资.dbf"/>
      <sheetName val="短期投资国债投资.dbf"/>
      <sheetName val="股票投资收益.dbf"/>
      <sheetName val="其他货币海通.dbf"/>
      <sheetName val="其他货币零领路.dbf"/>
      <sheetName val="投资收益债券.dbf"/>
      <sheetName val="审计调整"/>
      <sheetName val="收入"/>
      <sheetName val="评估结果汇总表O"/>
      <sheetName val="3080"/>
      <sheetName val="_5366"/>
      <sheetName val="说明"/>
      <sheetName val="#REF"/>
      <sheetName val="E1020"/>
      <sheetName val="de"/>
      <sheetName val="KKKKKKKK"/>
      <sheetName val="基本参数"/>
      <sheetName val="_x005f_x0000__x005f_x0000__x005f_x0000__x005f_x0000__x0"/>
      <sheetName val="Base Data"/>
      <sheetName val="Title"/>
      <sheetName val="Assump2"/>
      <sheetName val="流资汇总"/>
      <sheetName val="资债比较原"/>
      <sheetName val="W"/>
      <sheetName val="Erection"/>
      <sheetName val="销售-3（新药）"/>
      <sheetName val="制造费用合计数"/>
      <sheetName val="PER SALES ORG"/>
      <sheetName val="_2640"/>
      <sheetName val="B"/>
      <sheetName val="삅ོ䚋栠Ѫ_x0000_"/>
      <sheetName val="삅ོ䚋"/>
      <sheetName val="삅ོ䚋栠Ѫ_x0000_ࡪ㋨ﯾ_xffff_"/>
      <sheetName val="삅ོ䚋栠Ѫ_x0000_ࡪ㋨"/>
      <sheetName val="삅ོ䚋栠"/>
    </sheetNames>
    <sheetDataSet>
      <sheetData sheetId="0"/>
      <sheetData sheetId="1"/>
      <sheetData sheetId="2"/>
      <sheetData sheetId="3"/>
      <sheetData sheetId="4"/>
      <sheetData sheetId="5"/>
      <sheetData sheetId="6" refreshError="1">
        <row r="15">
          <cell r="A15" t="b">
            <v>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2:L25"/>
  <sheetViews>
    <sheetView topLeftCell="A10" zoomScaleNormal="100" workbookViewId="0">
      <selection activeCell="D28" sqref="D28"/>
    </sheetView>
  </sheetViews>
  <sheetFormatPr defaultRowHeight="15"/>
  <cols>
    <col min="1" max="1" width="2.33203125" customWidth="1"/>
    <col min="2" max="2" width="2.25" customWidth="1"/>
    <col min="3" max="3" width="9.25" customWidth="1"/>
    <col min="4" max="4" width="13" customWidth="1"/>
    <col min="5" max="5" width="9.5" bestFit="1" customWidth="1"/>
    <col min="6" max="6" width="10.83203125" customWidth="1"/>
    <col min="7" max="7" width="11.83203125" customWidth="1"/>
    <col min="8" max="8" width="11.58203125" customWidth="1"/>
    <col min="9" max="9" width="10.25" bestFit="1" customWidth="1"/>
    <col min="10" max="10" width="9.25" bestFit="1" customWidth="1"/>
    <col min="14" max="14" width="12.25" customWidth="1"/>
  </cols>
  <sheetData>
    <row r="2" spans="3:12" ht="19.149999999999999" customHeight="1">
      <c r="C2" s="150" t="s">
        <v>148</v>
      </c>
      <c r="I2" s="21"/>
    </row>
    <row r="3" spans="3:12" s="68" customFormat="1" ht="21.75" customHeight="1">
      <c r="C3" s="67" t="s">
        <v>587</v>
      </c>
      <c r="D3" s="27"/>
      <c r="E3" s="27"/>
      <c r="F3" s="27"/>
      <c r="G3" s="27"/>
      <c r="H3" s="27"/>
    </row>
    <row r="4" spans="3:12" s="68" customFormat="1" ht="21.75" customHeight="1">
      <c r="C4" s="67" t="s">
        <v>149</v>
      </c>
      <c r="D4" s="27"/>
      <c r="E4" s="27"/>
      <c r="F4" s="27"/>
      <c r="G4" s="27"/>
      <c r="H4" s="27"/>
      <c r="I4" s="27"/>
      <c r="J4" s="27"/>
      <c r="K4" s="27"/>
      <c r="L4" s="27"/>
    </row>
    <row r="5" spans="3:12" s="68" customFormat="1" ht="21.75" customHeight="1">
      <c r="C5" s="67" t="s">
        <v>572</v>
      </c>
      <c r="D5" s="27"/>
      <c r="E5" s="27"/>
      <c r="F5" s="27"/>
      <c r="G5" s="27"/>
      <c r="H5" s="27"/>
      <c r="I5" s="27"/>
      <c r="J5" s="27"/>
      <c r="K5" s="27"/>
      <c r="L5" s="27"/>
    </row>
    <row r="6" spans="3:12" ht="21.75" customHeight="1">
      <c r="C6" s="360" t="s">
        <v>302</v>
      </c>
    </row>
    <row r="7" spans="3:12" ht="21.75" customHeight="1">
      <c r="C7" s="84" t="s">
        <v>174</v>
      </c>
      <c r="D7" s="68" t="s">
        <v>198</v>
      </c>
    </row>
    <row r="8" spans="3:12" ht="21.75" customHeight="1">
      <c r="C8" s="85" t="s">
        <v>174</v>
      </c>
      <c r="D8" s="68" t="s">
        <v>303</v>
      </c>
    </row>
    <row r="9" spans="3:12" s="68" customFormat="1" ht="21.75" customHeight="1">
      <c r="D9" s="67" t="s">
        <v>150</v>
      </c>
      <c r="E9" s="27"/>
      <c r="F9" s="27"/>
      <c r="G9" s="27"/>
      <c r="H9" s="27"/>
      <c r="I9" s="27"/>
      <c r="J9" s="27"/>
      <c r="K9" s="27"/>
      <c r="L9" s="27"/>
    </row>
    <row r="10" spans="3:12" s="68" customFormat="1" ht="21.75" customHeight="1">
      <c r="D10" s="68" t="s">
        <v>301</v>
      </c>
      <c r="E10" s="27"/>
      <c r="F10" s="27"/>
      <c r="G10" s="27"/>
      <c r="H10" s="27"/>
      <c r="I10" s="27"/>
      <c r="J10" s="27"/>
      <c r="K10" s="27"/>
      <c r="L10" s="27"/>
    </row>
    <row r="11" spans="3:12" s="68" customFormat="1" ht="21.75" customHeight="1">
      <c r="C11" s="67"/>
      <c r="D11" s="68" t="s">
        <v>304</v>
      </c>
      <c r="E11" s="27"/>
      <c r="F11" s="27"/>
      <c r="G11" s="27"/>
      <c r="H11" s="27"/>
      <c r="I11" s="27"/>
      <c r="J11" s="27"/>
      <c r="K11" s="27"/>
      <c r="L11" s="27"/>
    </row>
    <row r="12" spans="3:12" ht="18" customHeight="1">
      <c r="C12" s="86"/>
      <c r="D12" s="68" t="s">
        <v>305</v>
      </c>
    </row>
    <row r="13" spans="3:12">
      <c r="D13" s="68"/>
    </row>
    <row r="14" spans="3:12" ht="16">
      <c r="C14" s="86" t="s">
        <v>573</v>
      </c>
      <c r="D14" s="68"/>
    </row>
    <row r="15" spans="3:12" ht="15.5">
      <c r="C15" s="566" t="s">
        <v>762</v>
      </c>
    </row>
    <row r="16" spans="3:12" ht="15.5">
      <c r="C16" s="67" t="s">
        <v>763</v>
      </c>
    </row>
    <row r="17" spans="3:3" ht="15.5">
      <c r="C17" s="67" t="s">
        <v>810</v>
      </c>
    </row>
    <row r="18" spans="3:3" ht="15.5">
      <c r="C18" s="67" t="s">
        <v>811</v>
      </c>
    </row>
    <row r="19" spans="3:3" ht="15.5">
      <c r="C19" s="67" t="s">
        <v>819</v>
      </c>
    </row>
    <row r="20" spans="3:3">
      <c r="C20" s="706" t="s">
        <v>818</v>
      </c>
    </row>
    <row r="21" spans="3:3" ht="15.5">
      <c r="C21" s="67" t="s">
        <v>820</v>
      </c>
    </row>
    <row r="22" spans="3:3" ht="15.5">
      <c r="C22" s="67" t="s">
        <v>854</v>
      </c>
    </row>
    <row r="24" spans="3:3" ht="15.5">
      <c r="C24" s="566" t="s">
        <v>855</v>
      </c>
    </row>
    <row r="25" spans="3:3">
      <c r="C25" s="21" t="s">
        <v>856</v>
      </c>
    </row>
  </sheetData>
  <phoneticPr fontId="6"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F44"/>
  <sheetViews>
    <sheetView topLeftCell="A22" zoomScaleNormal="100" workbookViewId="0">
      <selection activeCell="B33" sqref="B33:C33"/>
    </sheetView>
  </sheetViews>
  <sheetFormatPr defaultColWidth="9" defaultRowHeight="15.5"/>
  <cols>
    <col min="1" max="1" width="1.83203125" style="103" customWidth="1"/>
    <col min="2" max="2" width="11.25" style="104" customWidth="1"/>
    <col min="3" max="3" width="61" style="102" customWidth="1"/>
    <col min="4" max="4" width="9.5" style="102" customWidth="1"/>
    <col min="5" max="16384" width="9" style="102"/>
  </cols>
  <sheetData>
    <row r="1" spans="1:6" s="96" customFormat="1">
      <c r="A1" s="94"/>
      <c r="B1" s="95"/>
      <c r="E1" s="97" t="s">
        <v>178</v>
      </c>
    </row>
    <row r="2" spans="1:6" s="98" customFormat="1" ht="21">
      <c r="A2" s="94"/>
      <c r="B2" s="732" t="s">
        <v>328</v>
      </c>
      <c r="C2" s="733"/>
      <c r="D2" s="733"/>
      <c r="E2" s="733"/>
    </row>
    <row r="3" spans="1:6" s="105" customFormat="1" ht="22.15" customHeight="1">
      <c r="A3" s="94"/>
      <c r="B3" s="734" t="str">
        <f>'1报表'!B12</f>
        <v>被评估单位：YLSJ公司</v>
      </c>
      <c r="C3" s="735"/>
      <c r="D3" s="114" t="s">
        <v>248</v>
      </c>
      <c r="E3" s="245">
        <f>'1报表'!E5</f>
        <v>43281</v>
      </c>
    </row>
    <row r="4" spans="1:6" s="105" customFormat="1" ht="22.15" customHeight="1">
      <c r="A4" s="94"/>
      <c r="B4" s="108" t="s">
        <v>182</v>
      </c>
      <c r="C4" s="106"/>
      <c r="D4" s="114" t="s">
        <v>183</v>
      </c>
      <c r="E4" s="107"/>
    </row>
    <row r="5" spans="1:6" s="105" customFormat="1" ht="22.15" customHeight="1">
      <c r="A5" s="94"/>
      <c r="B5" s="109" t="s">
        <v>185</v>
      </c>
      <c r="C5" s="106"/>
      <c r="D5" s="114" t="s">
        <v>184</v>
      </c>
      <c r="E5" s="107"/>
    </row>
    <row r="6" spans="1:6" s="110" customFormat="1" ht="18" customHeight="1">
      <c r="A6" s="94"/>
      <c r="B6" s="736" t="s">
        <v>186</v>
      </c>
      <c r="C6" s="736"/>
      <c r="D6" s="111" t="s">
        <v>188</v>
      </c>
      <c r="E6" s="111" t="s">
        <v>187</v>
      </c>
    </row>
    <row r="7" spans="1:6" s="96" customFormat="1" ht="19.899999999999999" customHeight="1">
      <c r="A7" s="94"/>
      <c r="B7" s="737" t="s">
        <v>497</v>
      </c>
      <c r="C7" s="737"/>
      <c r="D7" s="112"/>
      <c r="E7" s="112"/>
    </row>
    <row r="8" spans="1:6" ht="25.5" customHeight="1">
      <c r="A8" s="94"/>
      <c r="B8" s="738" t="s">
        <v>498</v>
      </c>
      <c r="C8" s="738"/>
      <c r="D8" s="113"/>
      <c r="E8" s="113"/>
    </row>
    <row r="9" spans="1:6" ht="48" customHeight="1">
      <c r="A9" s="94"/>
      <c r="B9" s="739" t="s">
        <v>499</v>
      </c>
      <c r="C9" s="739"/>
      <c r="D9" s="113"/>
      <c r="E9" s="113"/>
      <c r="F9" s="372"/>
    </row>
    <row r="10" spans="1:6" s="96" customFormat="1" ht="19.899999999999999" customHeight="1">
      <c r="A10" s="94"/>
      <c r="B10" s="737" t="s">
        <v>500</v>
      </c>
      <c r="C10" s="737"/>
      <c r="D10" s="112"/>
      <c r="E10" s="112"/>
    </row>
    <row r="11" spans="1:6" ht="38.25" customHeight="1">
      <c r="A11" s="94"/>
      <c r="B11" s="738" t="s">
        <v>501</v>
      </c>
      <c r="C11" s="738"/>
      <c r="D11" s="113"/>
      <c r="E11" s="113"/>
      <c r="F11" s="372"/>
    </row>
    <row r="12" spans="1:6" ht="58.9" customHeight="1">
      <c r="A12" s="94"/>
      <c r="B12" s="738" t="s">
        <v>502</v>
      </c>
      <c r="C12" s="738"/>
      <c r="D12" s="113"/>
      <c r="E12" s="113"/>
    </row>
    <row r="13" spans="1:6" ht="19.899999999999999" customHeight="1">
      <c r="A13" s="94"/>
      <c r="B13" s="738" t="s">
        <v>503</v>
      </c>
      <c r="C13" s="738"/>
      <c r="D13" s="113"/>
      <c r="E13" s="113"/>
    </row>
    <row r="14" spans="1:6" ht="19.899999999999999" customHeight="1">
      <c r="A14" s="94"/>
      <c r="B14" s="738" t="s">
        <v>504</v>
      </c>
      <c r="C14" s="738"/>
      <c r="D14" s="113"/>
      <c r="E14" s="113"/>
    </row>
    <row r="15" spans="1:6" ht="19.899999999999999" customHeight="1">
      <c r="A15" s="94"/>
      <c r="B15" s="738" t="s">
        <v>505</v>
      </c>
      <c r="C15" s="738"/>
      <c r="D15" s="113"/>
      <c r="E15" s="113"/>
    </row>
    <row r="16" spans="1:6" ht="19.899999999999999" customHeight="1">
      <c r="A16" s="94"/>
      <c r="B16" s="738" t="s">
        <v>506</v>
      </c>
      <c r="C16" s="738"/>
      <c r="D16" s="113"/>
      <c r="E16" s="113"/>
    </row>
    <row r="17" spans="1:5" ht="19.899999999999999" customHeight="1">
      <c r="A17" s="94"/>
      <c r="B17" s="738" t="s">
        <v>507</v>
      </c>
      <c r="C17" s="738"/>
      <c r="D17" s="113"/>
      <c r="E17" s="113"/>
    </row>
    <row r="18" spans="1:5" s="96" customFormat="1" ht="19.899999999999999" customHeight="1">
      <c r="A18" s="94"/>
      <c r="B18" s="737" t="s">
        <v>508</v>
      </c>
      <c r="C18" s="737"/>
      <c r="D18" s="112"/>
      <c r="E18" s="112"/>
    </row>
    <row r="19" spans="1:5" ht="43.15" customHeight="1">
      <c r="A19" s="94"/>
      <c r="B19" s="738" t="s">
        <v>509</v>
      </c>
      <c r="C19" s="738"/>
      <c r="D19" s="113"/>
      <c r="E19" s="113"/>
    </row>
    <row r="20" spans="1:5" ht="72" customHeight="1">
      <c r="A20" s="94"/>
      <c r="B20" s="738" t="s">
        <v>510</v>
      </c>
      <c r="C20" s="738"/>
      <c r="D20" s="113"/>
      <c r="E20" s="113"/>
    </row>
    <row r="21" spans="1:5" ht="28.9" customHeight="1">
      <c r="A21" s="94"/>
      <c r="B21" s="740" t="s">
        <v>511</v>
      </c>
      <c r="C21" s="740"/>
      <c r="D21" s="113"/>
      <c r="E21" s="113"/>
    </row>
    <row r="22" spans="1:5" ht="19.899999999999999" customHeight="1">
      <c r="A22" s="94"/>
      <c r="B22" s="738" t="s">
        <v>512</v>
      </c>
      <c r="C22" s="738"/>
      <c r="D22" s="113"/>
      <c r="E22" s="113"/>
    </row>
    <row r="23" spans="1:5" ht="19.899999999999999" customHeight="1">
      <c r="A23" s="94"/>
      <c r="B23" s="738" t="s">
        <v>513</v>
      </c>
      <c r="C23" s="738"/>
      <c r="D23" s="113"/>
      <c r="E23" s="113"/>
    </row>
    <row r="24" spans="1:5" s="96" customFormat="1" ht="19.899999999999999" customHeight="1">
      <c r="A24" s="94"/>
      <c r="B24" s="737" t="s">
        <v>514</v>
      </c>
      <c r="C24" s="737"/>
      <c r="D24" s="112"/>
      <c r="E24" s="112"/>
    </row>
    <row r="25" spans="1:5" ht="19.899999999999999" customHeight="1">
      <c r="A25" s="94"/>
      <c r="B25" s="741" t="s">
        <v>515</v>
      </c>
      <c r="C25" s="742"/>
      <c r="D25" s="113"/>
      <c r="E25" s="113"/>
    </row>
    <row r="26" spans="1:5" ht="19.899999999999999" customHeight="1">
      <c r="A26" s="94"/>
      <c r="B26" s="738" t="s">
        <v>516</v>
      </c>
      <c r="C26" s="738"/>
      <c r="D26" s="113"/>
      <c r="E26" s="113"/>
    </row>
    <row r="27" spans="1:5" ht="19.899999999999999" customHeight="1">
      <c r="A27" s="94"/>
      <c r="B27" s="738" t="s">
        <v>517</v>
      </c>
      <c r="C27" s="738"/>
      <c r="D27" s="113"/>
      <c r="E27" s="113"/>
    </row>
    <row r="28" spans="1:5" ht="19.899999999999999" customHeight="1">
      <c r="A28" s="94"/>
      <c r="B28" s="738" t="s">
        <v>518</v>
      </c>
      <c r="C28" s="738"/>
      <c r="D28" s="113"/>
      <c r="E28" s="113"/>
    </row>
    <row r="29" spans="1:5" ht="19.899999999999999" customHeight="1">
      <c r="A29" s="94"/>
      <c r="B29" s="738" t="s">
        <v>519</v>
      </c>
      <c r="C29" s="738"/>
      <c r="D29" s="113"/>
      <c r="E29" s="113"/>
    </row>
    <row r="30" spans="1:5" ht="19.899999999999999" customHeight="1">
      <c r="A30" s="94"/>
      <c r="B30" s="738" t="s">
        <v>520</v>
      </c>
      <c r="C30" s="738"/>
      <c r="D30" s="113"/>
      <c r="E30" s="113"/>
    </row>
    <row r="31" spans="1:5" s="96" customFormat="1" ht="19.899999999999999" customHeight="1">
      <c r="A31" s="94"/>
      <c r="B31" s="737" t="s">
        <v>521</v>
      </c>
      <c r="C31" s="737"/>
      <c r="D31" s="112"/>
      <c r="E31" s="112"/>
    </row>
    <row r="32" spans="1:5" ht="19.899999999999999" customHeight="1">
      <c r="A32" s="94"/>
      <c r="B32" s="741" t="s">
        <v>522</v>
      </c>
      <c r="C32" s="742"/>
      <c r="D32" s="113"/>
      <c r="E32" s="113"/>
    </row>
    <row r="33" spans="1:5" ht="19.899999999999999" customHeight="1">
      <c r="A33" s="94"/>
      <c r="B33" s="738" t="s">
        <v>523</v>
      </c>
      <c r="C33" s="738"/>
      <c r="D33" s="113"/>
      <c r="E33" s="113"/>
    </row>
    <row r="34" spans="1:5" ht="19.899999999999999" customHeight="1">
      <c r="A34" s="94"/>
      <c r="B34" s="739" t="s">
        <v>524</v>
      </c>
      <c r="C34" s="739"/>
      <c r="D34" s="113"/>
      <c r="E34" s="113"/>
    </row>
    <row r="35" spans="1:5" ht="19.899999999999999" customHeight="1">
      <c r="A35" s="94"/>
      <c r="B35" s="117" t="s">
        <v>189</v>
      </c>
      <c r="C35" s="118"/>
      <c r="D35" s="119"/>
      <c r="E35" s="120"/>
    </row>
    <row r="36" spans="1:5" ht="19.899999999999999" customHeight="1">
      <c r="A36" s="94"/>
      <c r="B36" s="121"/>
      <c r="C36" s="115"/>
      <c r="D36" s="116"/>
      <c r="E36" s="122"/>
    </row>
    <row r="37" spans="1:5" ht="19.899999999999999" customHeight="1">
      <c r="A37" s="94"/>
      <c r="B37" s="123"/>
      <c r="C37" s="124"/>
      <c r="D37" s="125"/>
      <c r="E37" s="126"/>
    </row>
    <row r="38" spans="1:5" s="100" customFormat="1">
      <c r="A38" s="94"/>
      <c r="B38" s="101" t="s">
        <v>179</v>
      </c>
    </row>
    <row r="39" spans="1:5" s="100" customFormat="1">
      <c r="A39" s="94"/>
      <c r="B39" s="101" t="s">
        <v>180</v>
      </c>
    </row>
    <row r="40" spans="1:5" s="100" customFormat="1">
      <c r="A40" s="94"/>
      <c r="B40" s="101" t="s">
        <v>181</v>
      </c>
    </row>
    <row r="41" spans="1:5" s="100" customFormat="1">
      <c r="A41" s="94"/>
      <c r="B41" s="99"/>
    </row>
    <row r="42" spans="1:5" s="100" customFormat="1">
      <c r="A42" s="94"/>
      <c r="B42" s="99"/>
    </row>
    <row r="43" spans="1:5" s="100" customFormat="1">
      <c r="A43" s="94"/>
      <c r="B43" s="99"/>
    </row>
    <row r="44" spans="1:5" s="100" customFormat="1">
      <c r="A44" s="94"/>
      <c r="B44" s="99"/>
    </row>
  </sheetData>
  <mergeCells count="31">
    <mergeCell ref="B29:C29"/>
    <mergeCell ref="B30:C30"/>
    <mergeCell ref="B31:C31"/>
    <mergeCell ref="B33:C33"/>
    <mergeCell ref="B34:C34"/>
    <mergeCell ref="B32:C32"/>
    <mergeCell ref="B23:C23"/>
    <mergeCell ref="B24:C24"/>
    <mergeCell ref="B26:C26"/>
    <mergeCell ref="B27:C27"/>
    <mergeCell ref="B28:C28"/>
    <mergeCell ref="B25:C25"/>
    <mergeCell ref="B9:C9"/>
    <mergeCell ref="B10:C10"/>
    <mergeCell ref="B22:C22"/>
    <mergeCell ref="B11:C11"/>
    <mergeCell ref="B12:C12"/>
    <mergeCell ref="B13:C13"/>
    <mergeCell ref="B14:C14"/>
    <mergeCell ref="B15:C15"/>
    <mergeCell ref="B16:C16"/>
    <mergeCell ref="B17:C17"/>
    <mergeCell ref="B18:C18"/>
    <mergeCell ref="B19:C19"/>
    <mergeCell ref="B20:C20"/>
    <mergeCell ref="B21:C21"/>
    <mergeCell ref="B2:E2"/>
    <mergeCell ref="B3:C3"/>
    <mergeCell ref="B6:C6"/>
    <mergeCell ref="B7:C7"/>
    <mergeCell ref="B8:C8"/>
  </mergeCells>
  <phoneticPr fontId="6" type="noConversion"/>
  <printOptions horizontalCentered="1"/>
  <pageMargins left="0.19685039370078741" right="0.19685039370078741" top="0.77" bottom="0.74803149606299213" header="0.31496062992125984" footer="0.31496062992125984"/>
  <pageSetup paperSize="9" scale="77" orientation="portrait" r:id="rId1"/>
  <headerFooter>
    <oddFooter>&amp;R&amp;"PMingLiU,常规"&amp;10第 &amp;P &amp;"宋体,常规"页&amp;"PMingLiU,常规"，共 &amp;N &amp;"宋体,常规"页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00B0F0"/>
  </sheetPr>
  <dimension ref="A1:I157"/>
  <sheetViews>
    <sheetView topLeftCell="A85" zoomScaleNormal="100" workbookViewId="0">
      <selection activeCell="E94" sqref="E94"/>
    </sheetView>
  </sheetViews>
  <sheetFormatPr defaultColWidth="9" defaultRowHeight="18" customHeight="1"/>
  <cols>
    <col min="1" max="1" width="4.58203125" style="13" customWidth="1"/>
    <col min="2" max="2" width="40.25" style="3" customWidth="1"/>
    <col min="3" max="5" width="10" style="3" customWidth="1"/>
    <col min="6" max="6" width="9" style="3"/>
    <col min="7" max="7" width="6.75" style="3" customWidth="1"/>
    <col min="8" max="16384" width="9" style="3"/>
  </cols>
  <sheetData>
    <row r="1" spans="1:7" ht="18" customHeight="1" thickBot="1"/>
    <row r="2" spans="1:7" ht="18" customHeight="1">
      <c r="B2" s="246" t="s">
        <v>217</v>
      </c>
      <c r="C2" s="247"/>
      <c r="D2" s="247"/>
      <c r="E2" s="248"/>
    </row>
    <row r="3" spans="1:7" ht="18" customHeight="1">
      <c r="B3" s="249" t="s">
        <v>219</v>
      </c>
      <c r="C3" s="250"/>
      <c r="D3" s="250"/>
      <c r="E3" s="417" t="s">
        <v>391</v>
      </c>
    </row>
    <row r="4" spans="1:7" ht="18" customHeight="1">
      <c r="B4" s="249" t="s">
        <v>326</v>
      </c>
      <c r="C4" s="250"/>
      <c r="D4" s="250"/>
      <c r="E4" s="384" t="s">
        <v>327</v>
      </c>
    </row>
    <row r="5" spans="1:7" ht="18" customHeight="1">
      <c r="B5" s="249" t="s">
        <v>218</v>
      </c>
      <c r="C5" s="250"/>
      <c r="D5" s="250"/>
      <c r="E5" s="251">
        <v>43281</v>
      </c>
    </row>
    <row r="6" spans="1:7" ht="18" customHeight="1">
      <c r="B6" s="249" t="s">
        <v>761</v>
      </c>
      <c r="C6" s="540"/>
      <c r="D6" s="252"/>
      <c r="E6" s="417">
        <v>6</v>
      </c>
    </row>
    <row r="7" spans="1:7" ht="18" customHeight="1">
      <c r="B7" s="249" t="s">
        <v>220</v>
      </c>
      <c r="C7" s="540">
        <f>E5+1</f>
        <v>43282</v>
      </c>
      <c r="D7" s="252" t="s">
        <v>221</v>
      </c>
      <c r="E7" s="541">
        <f>DATE(YEAR(E5)+E6-1,12,31)</f>
        <v>45291</v>
      </c>
    </row>
    <row r="8" spans="1:7" ht="18" customHeight="1" thickBot="1">
      <c r="B8" s="253"/>
      <c r="C8" s="254"/>
      <c r="D8" s="254"/>
      <c r="E8" s="255"/>
    </row>
    <row r="10" spans="1:7" ht="31.5" customHeight="1">
      <c r="A10" s="165"/>
      <c r="B10" s="743" t="s">
        <v>130</v>
      </c>
      <c r="C10" s="743"/>
      <c r="D10" s="743"/>
      <c r="E10" s="743"/>
    </row>
    <row r="11" spans="1:7" ht="18" customHeight="1">
      <c r="A11" s="188"/>
      <c r="B11" s="359" t="str">
        <f>B5&amp;TEXT(E5,"YYYY/M/D")</f>
        <v>评估基准日：2018/6/30</v>
      </c>
      <c r="D11" s="71"/>
      <c r="G11" s="180"/>
    </row>
    <row r="12" spans="1:7" ht="18" customHeight="1">
      <c r="B12" s="229" t="str">
        <f>B3&amp;E3</f>
        <v>被评估单位：YLSJ公司</v>
      </c>
      <c r="E12" s="15" t="s">
        <v>52</v>
      </c>
    </row>
    <row r="13" spans="1:7" ht="30.65" customHeight="1">
      <c r="A13" s="166"/>
      <c r="B13" s="261" t="s">
        <v>53</v>
      </c>
      <c r="C13" s="260">
        <f>EDATE(D13,-12)</f>
        <v>42735</v>
      </c>
      <c r="D13" s="260">
        <f>DATE(YEAR(E13)-1,12,31)</f>
        <v>43100</v>
      </c>
      <c r="E13" s="260">
        <f>E5</f>
        <v>43281</v>
      </c>
    </row>
    <row r="14" spans="1:7" ht="15" customHeight="1">
      <c r="A14" s="163"/>
      <c r="B14" s="720" t="s">
        <v>0</v>
      </c>
      <c r="C14" s="156"/>
      <c r="D14" s="156"/>
      <c r="E14" s="156"/>
    </row>
    <row r="15" spans="1:7" ht="15" customHeight="1">
      <c r="A15" s="163"/>
      <c r="B15" s="159" t="s">
        <v>1</v>
      </c>
      <c r="C15" s="256">
        <v>606.91601700000001</v>
      </c>
      <c r="D15" s="256">
        <v>422.55445400000002</v>
      </c>
      <c r="E15" s="256">
        <v>125.24516</v>
      </c>
    </row>
    <row r="16" spans="1:7" ht="15" customHeight="1">
      <c r="A16" s="163"/>
      <c r="B16" s="159" t="s">
        <v>210</v>
      </c>
      <c r="C16" s="256">
        <v>744.71177699999998</v>
      </c>
      <c r="D16" s="256">
        <v>42.244674000000003</v>
      </c>
      <c r="E16" s="256">
        <v>143.964</v>
      </c>
    </row>
    <row r="17" spans="1:5" ht="15" customHeight="1">
      <c r="A17" s="163"/>
      <c r="B17" s="159" t="s">
        <v>199</v>
      </c>
      <c r="C17" s="256"/>
      <c r="D17" s="256"/>
      <c r="E17" s="256"/>
    </row>
    <row r="18" spans="1:5" ht="15" customHeight="1">
      <c r="A18" s="163"/>
      <c r="B18" s="159" t="s">
        <v>384</v>
      </c>
      <c r="C18" s="256">
        <v>915.133782</v>
      </c>
      <c r="D18" s="256">
        <v>747.61612200000002</v>
      </c>
      <c r="E18" s="256">
        <v>479.66660899999999</v>
      </c>
    </row>
    <row r="19" spans="1:5" ht="15" customHeight="1">
      <c r="A19" s="163"/>
      <c r="B19" s="159" t="s">
        <v>66</v>
      </c>
      <c r="C19" s="256"/>
      <c r="D19" s="256"/>
      <c r="E19" s="256"/>
    </row>
    <row r="20" spans="1:5" ht="15" customHeight="1">
      <c r="A20" s="177" t="s">
        <v>332</v>
      </c>
      <c r="B20" s="158" t="s">
        <v>2</v>
      </c>
      <c r="C20" s="256"/>
      <c r="D20" s="256"/>
      <c r="E20" s="256"/>
    </row>
    <row r="21" spans="1:5" ht="15" customHeight="1">
      <c r="A21" s="177" t="s">
        <v>332</v>
      </c>
      <c r="B21" s="158" t="s">
        <v>3</v>
      </c>
      <c r="C21" s="256"/>
      <c r="D21" s="256"/>
      <c r="E21" s="256"/>
    </row>
    <row r="22" spans="1:5" ht="15" customHeight="1">
      <c r="A22" s="163"/>
      <c r="B22" s="159" t="s">
        <v>67</v>
      </c>
      <c r="C22" s="256">
        <v>186.2834</v>
      </c>
      <c r="D22" s="256">
        <v>217.92409699999999</v>
      </c>
      <c r="E22" s="256">
        <v>950.31862999999998</v>
      </c>
    </row>
    <row r="23" spans="1:5" ht="15" customHeight="1">
      <c r="A23" s="163"/>
      <c r="B23" s="159" t="s">
        <v>4</v>
      </c>
      <c r="C23" s="256"/>
      <c r="D23" s="256"/>
      <c r="E23" s="256"/>
    </row>
    <row r="24" spans="1:5" ht="15" customHeight="1">
      <c r="A24" s="177" t="s">
        <v>334</v>
      </c>
      <c r="B24" s="158" t="s">
        <v>333</v>
      </c>
      <c r="C24" s="256"/>
      <c r="D24" s="256"/>
      <c r="E24" s="256"/>
    </row>
    <row r="25" spans="1:5" ht="15" customHeight="1">
      <c r="A25" s="163"/>
      <c r="B25" s="159" t="s">
        <v>200</v>
      </c>
      <c r="C25" s="256"/>
      <c r="D25" s="256"/>
      <c r="E25" s="256"/>
    </row>
    <row r="26" spans="1:5" ht="15" customHeight="1">
      <c r="A26" s="163"/>
      <c r="B26" s="159" t="s">
        <v>5</v>
      </c>
      <c r="C26" s="256"/>
      <c r="D26" s="256"/>
      <c r="E26" s="256"/>
    </row>
    <row r="27" spans="1:5" ht="15" customHeight="1">
      <c r="A27" s="163"/>
      <c r="B27" s="159" t="s">
        <v>76</v>
      </c>
      <c r="C27" s="256">
        <v>0.57499999999999996</v>
      </c>
      <c r="D27" s="256">
        <v>0.57499999999999996</v>
      </c>
      <c r="E27" s="256">
        <v>0.57499999999999996</v>
      </c>
    </row>
    <row r="28" spans="1:5" ht="15" customHeight="1">
      <c r="A28" s="167"/>
      <c r="B28" s="161" t="s">
        <v>6</v>
      </c>
      <c r="C28" s="160">
        <f t="shared" ref="C28:E28" si="0">SUM(C15:C27)</f>
        <v>2453.6199759999995</v>
      </c>
      <c r="D28" s="160">
        <f t="shared" si="0"/>
        <v>1430.9143470000001</v>
      </c>
      <c r="E28" s="160">
        <f t="shared" si="0"/>
        <v>1699.769399</v>
      </c>
    </row>
    <row r="29" spans="1:5" ht="15" customHeight="1">
      <c r="A29" s="163"/>
      <c r="B29" s="720" t="s">
        <v>7</v>
      </c>
      <c r="C29" s="179"/>
      <c r="D29" s="179"/>
      <c r="E29" s="179"/>
    </row>
    <row r="30" spans="1:5" ht="15" customHeight="1">
      <c r="A30" s="163"/>
      <c r="B30" s="159" t="s">
        <v>8</v>
      </c>
      <c r="C30" s="257">
        <v>1.332422</v>
      </c>
      <c r="D30" s="257">
        <v>1.332422</v>
      </c>
      <c r="E30" s="257">
        <v>1.332422</v>
      </c>
    </row>
    <row r="31" spans="1:5" ht="15" customHeight="1">
      <c r="A31" s="163"/>
      <c r="B31" s="159" t="s">
        <v>9</v>
      </c>
      <c r="C31" s="257"/>
      <c r="D31" s="257"/>
      <c r="E31" s="257"/>
    </row>
    <row r="32" spans="1:5" ht="15" customHeight="1">
      <c r="A32" s="177" t="s">
        <v>334</v>
      </c>
      <c r="B32" s="158" t="s">
        <v>336</v>
      </c>
      <c r="C32" s="257"/>
      <c r="D32" s="257"/>
      <c r="E32" s="257"/>
    </row>
    <row r="33" spans="1:5" ht="15" customHeight="1">
      <c r="A33" s="177" t="s">
        <v>334</v>
      </c>
      <c r="B33" s="158" t="s">
        <v>338</v>
      </c>
      <c r="C33" s="257"/>
      <c r="D33" s="257"/>
      <c r="E33" s="257"/>
    </row>
    <row r="34" spans="1:5" ht="15" customHeight="1">
      <c r="A34" s="163"/>
      <c r="B34" s="159" t="s">
        <v>10</v>
      </c>
      <c r="C34" s="257"/>
      <c r="D34" s="257"/>
      <c r="E34" s="257"/>
    </row>
    <row r="35" spans="1:5" ht="15" customHeight="1">
      <c r="A35" s="163"/>
      <c r="B35" s="159" t="s">
        <v>11</v>
      </c>
      <c r="C35" s="257">
        <v>3.4651719999999999</v>
      </c>
      <c r="D35" s="257">
        <v>3.4651719999999999</v>
      </c>
      <c r="E35" s="257">
        <v>3.4651719999999999</v>
      </c>
    </row>
    <row r="36" spans="1:5" ht="15" customHeight="1">
      <c r="A36" s="177" t="s">
        <v>334</v>
      </c>
      <c r="B36" s="158" t="s">
        <v>340</v>
      </c>
      <c r="C36" s="257"/>
      <c r="D36" s="257"/>
      <c r="E36" s="257"/>
    </row>
    <row r="37" spans="1:5" ht="15" customHeight="1">
      <c r="A37" s="177" t="s">
        <v>334</v>
      </c>
      <c r="B37" s="158" t="s">
        <v>342</v>
      </c>
      <c r="C37" s="257"/>
      <c r="D37" s="257"/>
      <c r="E37" s="257"/>
    </row>
    <row r="38" spans="1:5" ht="15" customHeight="1">
      <c r="A38" s="163"/>
      <c r="B38" s="159" t="s">
        <v>12</v>
      </c>
      <c r="C38" s="257"/>
      <c r="D38" s="257"/>
      <c r="E38" s="257"/>
    </row>
    <row r="39" spans="1:5" ht="15" customHeight="1">
      <c r="A39" s="163"/>
      <c r="B39" s="159" t="s">
        <v>13</v>
      </c>
      <c r="C39" s="257">
        <v>108.537848</v>
      </c>
      <c r="D39" s="257">
        <v>111.62055599999999</v>
      </c>
      <c r="E39" s="257">
        <v>94.661334999999994</v>
      </c>
    </row>
    <row r="40" spans="1:5" ht="15" customHeight="1">
      <c r="A40" s="163"/>
      <c r="B40" s="159" t="s">
        <v>14</v>
      </c>
      <c r="C40" s="257"/>
      <c r="D40" s="257"/>
      <c r="E40" s="257"/>
    </row>
    <row r="41" spans="1:5" ht="15" customHeight="1">
      <c r="A41" s="163"/>
      <c r="B41" s="159" t="s">
        <v>15</v>
      </c>
      <c r="C41" s="257"/>
      <c r="D41" s="257"/>
      <c r="E41" s="257"/>
    </row>
    <row r="42" spans="1:5" ht="15" customHeight="1">
      <c r="A42" s="163"/>
      <c r="B42" s="159" t="s">
        <v>16</v>
      </c>
      <c r="C42" s="257"/>
      <c r="D42" s="257"/>
      <c r="E42" s="257"/>
    </row>
    <row r="43" spans="1:5" ht="15" customHeight="1">
      <c r="A43" s="163"/>
      <c r="B43" s="159" t="s">
        <v>17</v>
      </c>
      <c r="C43" s="257">
        <v>0.47781800000000002</v>
      </c>
      <c r="D43" s="257">
        <v>9.4802409999999995</v>
      </c>
      <c r="E43" s="257">
        <v>5.9160190000000004</v>
      </c>
    </row>
    <row r="44" spans="1:5" ht="15" customHeight="1">
      <c r="A44" s="163"/>
      <c r="B44" s="159" t="s">
        <v>18</v>
      </c>
      <c r="C44" s="257"/>
      <c r="D44" s="257"/>
      <c r="E44" s="257"/>
    </row>
    <row r="45" spans="1:5" ht="15" customHeight="1">
      <c r="A45" s="163"/>
      <c r="B45" s="159" t="s">
        <v>19</v>
      </c>
      <c r="C45" s="257"/>
      <c r="D45" s="257"/>
      <c r="E45" s="257"/>
    </row>
    <row r="46" spans="1:5" ht="15" customHeight="1">
      <c r="A46" s="163"/>
      <c r="B46" s="159" t="s">
        <v>20</v>
      </c>
      <c r="C46" s="257"/>
      <c r="D46" s="257"/>
      <c r="E46" s="257"/>
    </row>
    <row r="47" spans="1:5" ht="15" customHeight="1">
      <c r="A47" s="163"/>
      <c r="B47" s="159" t="s">
        <v>21</v>
      </c>
      <c r="C47" s="257"/>
      <c r="D47" s="257"/>
      <c r="E47" s="257"/>
    </row>
    <row r="48" spans="1:5" ht="15" customHeight="1">
      <c r="A48" s="163"/>
      <c r="B48" s="159" t="s">
        <v>22</v>
      </c>
      <c r="C48" s="257"/>
      <c r="D48" s="257"/>
      <c r="E48" s="257"/>
    </row>
    <row r="49" spans="1:5" ht="15" customHeight="1">
      <c r="A49" s="167"/>
      <c r="B49" s="161" t="s">
        <v>23</v>
      </c>
      <c r="C49" s="296">
        <f t="shared" ref="C49:E49" si="1">SUM(C30:C48)</f>
        <v>113.81326</v>
      </c>
      <c r="D49" s="296">
        <f t="shared" si="1"/>
        <v>125.898391</v>
      </c>
      <c r="E49" s="296">
        <f t="shared" si="1"/>
        <v>105.374948</v>
      </c>
    </row>
    <row r="50" spans="1:5" ht="15" customHeight="1">
      <c r="A50" s="167"/>
      <c r="B50" s="161" t="s">
        <v>24</v>
      </c>
      <c r="C50" s="296">
        <f t="shared" ref="C50:E50" si="2">C28+C49</f>
        <v>2567.4332359999994</v>
      </c>
      <c r="D50" s="296">
        <f t="shared" si="2"/>
        <v>1556.8127380000001</v>
      </c>
      <c r="E50" s="296">
        <f t="shared" si="2"/>
        <v>1805.1443469999999</v>
      </c>
    </row>
    <row r="51" spans="1:5" ht="15" customHeight="1">
      <c r="A51" s="163"/>
      <c r="B51" s="720" t="s">
        <v>25</v>
      </c>
      <c r="C51" s="179"/>
      <c r="D51" s="179"/>
      <c r="E51" s="179"/>
    </row>
    <row r="52" spans="1:5" ht="15" customHeight="1">
      <c r="A52" s="163"/>
      <c r="B52" s="159" t="s">
        <v>26</v>
      </c>
      <c r="C52" s="257"/>
      <c r="D52" s="257"/>
      <c r="E52" s="257"/>
    </row>
    <row r="53" spans="1:5" ht="15" customHeight="1">
      <c r="A53" s="163"/>
      <c r="B53" s="159" t="s">
        <v>211</v>
      </c>
      <c r="C53" s="257"/>
      <c r="D53" s="257"/>
      <c r="E53" s="257"/>
    </row>
    <row r="54" spans="1:5" ht="15" customHeight="1">
      <c r="A54" s="163"/>
      <c r="B54" s="159" t="s">
        <v>201</v>
      </c>
      <c r="C54" s="257"/>
      <c r="D54" s="257"/>
      <c r="E54" s="257"/>
    </row>
    <row r="55" spans="1:5" ht="15" customHeight="1">
      <c r="A55" s="163"/>
      <c r="B55" s="159" t="s">
        <v>386</v>
      </c>
      <c r="C55" s="257"/>
      <c r="D55" s="257"/>
      <c r="E55" s="257">
        <v>297.39515899999998</v>
      </c>
    </row>
    <row r="56" spans="1:5" ht="15" customHeight="1">
      <c r="A56" s="163"/>
      <c r="B56" s="159" t="s">
        <v>28</v>
      </c>
      <c r="C56" s="257">
        <v>124.37</v>
      </c>
      <c r="D56" s="257">
        <v>78</v>
      </c>
      <c r="E56" s="257">
        <v>99.153700000000001</v>
      </c>
    </row>
    <row r="57" spans="1:5" ht="15" customHeight="1">
      <c r="A57" s="177" t="s">
        <v>334</v>
      </c>
      <c r="B57" s="158" t="s">
        <v>343</v>
      </c>
      <c r="C57" s="257"/>
      <c r="D57" s="257"/>
      <c r="E57" s="257"/>
    </row>
    <row r="58" spans="1:5" ht="15" customHeight="1">
      <c r="A58" s="163"/>
      <c r="B58" s="159" t="s">
        <v>29</v>
      </c>
      <c r="C58" s="257"/>
      <c r="D58" s="257">
        <v>-0.188809</v>
      </c>
      <c r="E58" s="257"/>
    </row>
    <row r="59" spans="1:5" ht="15" customHeight="1">
      <c r="A59" s="163"/>
      <c r="B59" s="159" t="s">
        <v>30</v>
      </c>
      <c r="C59" s="257">
        <v>100.54686</v>
      </c>
      <c r="D59" s="257">
        <v>28.323039999999999</v>
      </c>
      <c r="E59" s="257">
        <v>2.2263799999999998</v>
      </c>
    </row>
    <row r="60" spans="1:5" ht="15" customHeight="1">
      <c r="A60" s="177" t="s">
        <v>332</v>
      </c>
      <c r="B60" s="158" t="s">
        <v>31</v>
      </c>
      <c r="C60" s="257"/>
      <c r="D60" s="257"/>
      <c r="E60" s="257"/>
    </row>
    <row r="61" spans="1:5" ht="15" customHeight="1">
      <c r="A61" s="177" t="s">
        <v>332</v>
      </c>
      <c r="B61" s="158" t="s">
        <v>32</v>
      </c>
      <c r="C61" s="257"/>
      <c r="D61" s="257"/>
      <c r="E61" s="257">
        <v>656.42425500000002</v>
      </c>
    </row>
    <row r="62" spans="1:5" ht="15" customHeight="1">
      <c r="A62" s="163"/>
      <c r="B62" s="159" t="s">
        <v>33</v>
      </c>
      <c r="C62" s="257">
        <v>512.49285799999996</v>
      </c>
      <c r="D62" s="257">
        <v>612.62295600000004</v>
      </c>
      <c r="E62" s="257">
        <v>211.60836499999999</v>
      </c>
    </row>
    <row r="63" spans="1:5" ht="15" customHeight="1">
      <c r="A63" s="163"/>
      <c r="B63" s="159" t="s">
        <v>202</v>
      </c>
      <c r="C63" s="257"/>
      <c r="D63" s="257"/>
      <c r="E63" s="257"/>
    </row>
    <row r="64" spans="1:5" ht="15" customHeight="1">
      <c r="A64" s="163"/>
      <c r="B64" s="159" t="s">
        <v>34</v>
      </c>
      <c r="C64" s="257"/>
      <c r="D64" s="257"/>
      <c r="E64" s="257"/>
    </row>
    <row r="65" spans="1:9" ht="15" customHeight="1">
      <c r="A65" s="163"/>
      <c r="B65" s="159" t="s">
        <v>35</v>
      </c>
      <c r="C65" s="257"/>
      <c r="D65" s="257"/>
      <c r="E65" s="257"/>
    </row>
    <row r="66" spans="1:9" ht="15" customHeight="1">
      <c r="A66" s="167"/>
      <c r="B66" s="161" t="s">
        <v>36</v>
      </c>
      <c r="C66" s="296">
        <f t="shared" ref="C66:E66" si="3">SUM(C52:C65)</f>
        <v>737.40971799999988</v>
      </c>
      <c r="D66" s="296">
        <f t="shared" si="3"/>
        <v>718.75718700000004</v>
      </c>
      <c r="E66" s="296">
        <f t="shared" si="3"/>
        <v>1266.807859</v>
      </c>
    </row>
    <row r="67" spans="1:9" ht="15" customHeight="1">
      <c r="A67" s="163"/>
      <c r="B67" s="720" t="s">
        <v>37</v>
      </c>
      <c r="C67" s="179"/>
      <c r="D67" s="179"/>
      <c r="E67" s="179"/>
    </row>
    <row r="68" spans="1:9" ht="15" customHeight="1">
      <c r="A68" s="163"/>
      <c r="B68" s="159" t="s">
        <v>38</v>
      </c>
      <c r="C68" s="257"/>
      <c r="D68" s="257"/>
      <c r="E68" s="257"/>
    </row>
    <row r="69" spans="1:9" ht="15" customHeight="1">
      <c r="A69" s="163"/>
      <c r="B69" s="159" t="s">
        <v>39</v>
      </c>
      <c r="C69" s="257"/>
      <c r="D69" s="257"/>
      <c r="E69" s="257"/>
    </row>
    <row r="70" spans="1:9" ht="15" customHeight="1">
      <c r="A70" s="163"/>
      <c r="B70" s="159" t="s">
        <v>40</v>
      </c>
      <c r="C70" s="257">
        <v>31.161042999999999</v>
      </c>
      <c r="D70" s="257">
        <v>31.278407999999999</v>
      </c>
      <c r="E70" s="257">
        <v>31.315556000000001</v>
      </c>
      <c r="H70" s="212"/>
      <c r="I70" s="212"/>
    </row>
    <row r="71" spans="1:9" ht="15" customHeight="1">
      <c r="A71" s="387" t="s">
        <v>209</v>
      </c>
      <c r="B71" s="158" t="s">
        <v>212</v>
      </c>
      <c r="C71" s="257"/>
      <c r="D71" s="257"/>
      <c r="E71" s="257"/>
      <c r="H71" s="212"/>
      <c r="I71" s="212"/>
    </row>
    <row r="72" spans="1:9" ht="15" customHeight="1">
      <c r="A72" s="163"/>
      <c r="B72" s="159" t="s">
        <v>41</v>
      </c>
      <c r="C72" s="257"/>
      <c r="D72" s="257"/>
      <c r="E72" s="257"/>
      <c r="H72" s="11"/>
      <c r="I72" s="212"/>
    </row>
    <row r="73" spans="1:9" ht="15" customHeight="1">
      <c r="A73" s="163"/>
      <c r="B73" s="159" t="s">
        <v>203</v>
      </c>
      <c r="C73" s="257"/>
      <c r="D73" s="257"/>
      <c r="E73" s="257"/>
      <c r="H73" s="11"/>
      <c r="I73" s="212"/>
    </row>
    <row r="74" spans="1:9" ht="15" customHeight="1">
      <c r="A74" s="163"/>
      <c r="B74" s="159" t="s">
        <v>42</v>
      </c>
      <c r="C74" s="257"/>
      <c r="D74" s="257"/>
      <c r="E74" s="257"/>
      <c r="H74" s="11"/>
      <c r="I74" s="212"/>
    </row>
    <row r="75" spans="1:9" ht="15" customHeight="1">
      <c r="A75" s="163"/>
      <c r="B75" s="159" t="s">
        <v>43</v>
      </c>
      <c r="C75" s="257"/>
      <c r="D75" s="257"/>
      <c r="E75" s="257"/>
      <c r="H75" s="212"/>
      <c r="I75" s="212"/>
    </row>
    <row r="76" spans="1:9" ht="15" customHeight="1">
      <c r="A76" s="167"/>
      <c r="B76" s="161" t="s">
        <v>44</v>
      </c>
      <c r="C76" s="296">
        <f t="shared" ref="C76:E76" si="4">SUM(C68:C75)</f>
        <v>31.161042999999999</v>
      </c>
      <c r="D76" s="296">
        <f t="shared" si="4"/>
        <v>31.278407999999999</v>
      </c>
      <c r="E76" s="296">
        <f t="shared" si="4"/>
        <v>31.315556000000001</v>
      </c>
    </row>
    <row r="77" spans="1:9" ht="15" customHeight="1">
      <c r="A77" s="167"/>
      <c r="B77" s="161" t="s">
        <v>45</v>
      </c>
      <c r="C77" s="296">
        <f t="shared" ref="C77:E77" si="5">C66+C76</f>
        <v>768.57076099999983</v>
      </c>
      <c r="D77" s="296">
        <f t="shared" si="5"/>
        <v>750.03559500000006</v>
      </c>
      <c r="E77" s="296">
        <f t="shared" si="5"/>
        <v>1298.123415</v>
      </c>
    </row>
    <row r="78" spans="1:9" ht="15" customHeight="1">
      <c r="A78" s="163"/>
      <c r="B78" s="720" t="s">
        <v>57</v>
      </c>
      <c r="C78" s="152"/>
      <c r="D78" s="152"/>
      <c r="E78" s="152"/>
    </row>
    <row r="79" spans="1:9" ht="15" customHeight="1">
      <c r="A79" s="163"/>
      <c r="B79" s="159" t="s">
        <v>58</v>
      </c>
      <c r="C79" s="257">
        <v>305</v>
      </c>
      <c r="D79" s="257">
        <v>305</v>
      </c>
      <c r="E79" s="257">
        <v>305</v>
      </c>
    </row>
    <row r="80" spans="1:9" ht="15" customHeight="1">
      <c r="A80" s="163"/>
      <c r="B80" s="159" t="s">
        <v>204</v>
      </c>
      <c r="C80" s="257"/>
      <c r="D80" s="257"/>
      <c r="E80" s="257"/>
    </row>
    <row r="81" spans="1:5" ht="15" customHeight="1">
      <c r="A81" s="163"/>
      <c r="B81" s="159" t="s">
        <v>46</v>
      </c>
      <c r="C81" s="257">
        <v>1.2961559999999999</v>
      </c>
      <c r="D81" s="257">
        <v>1.2961560000000001</v>
      </c>
      <c r="E81" s="257">
        <v>1.2961560000000001</v>
      </c>
    </row>
    <row r="82" spans="1:5" ht="15" customHeight="1">
      <c r="A82" s="163"/>
      <c r="B82" s="159" t="s">
        <v>47</v>
      </c>
      <c r="C82" s="257"/>
      <c r="D82" s="257"/>
      <c r="E82" s="257"/>
    </row>
    <row r="83" spans="1:5" ht="15" customHeight="1">
      <c r="A83" s="163"/>
      <c r="B83" s="159" t="s">
        <v>82</v>
      </c>
      <c r="C83" s="257"/>
      <c r="D83" s="257"/>
      <c r="E83" s="257"/>
    </row>
    <row r="84" spans="1:5" ht="15" customHeight="1">
      <c r="A84" s="163"/>
      <c r="B84" s="159" t="s">
        <v>48</v>
      </c>
      <c r="C84" s="257">
        <v>174.93031200000001</v>
      </c>
      <c r="D84" s="257">
        <v>174.93031199999999</v>
      </c>
      <c r="E84" s="257">
        <v>174.93031199999999</v>
      </c>
    </row>
    <row r="85" spans="1:5" ht="15" customHeight="1">
      <c r="A85" s="387" t="s">
        <v>209</v>
      </c>
      <c r="B85" s="158" t="s">
        <v>49</v>
      </c>
      <c r="C85" s="257"/>
      <c r="D85" s="257"/>
      <c r="E85" s="257"/>
    </row>
    <row r="86" spans="1:5" ht="15" customHeight="1">
      <c r="A86" s="163"/>
      <c r="B86" s="159" t="s">
        <v>50</v>
      </c>
      <c r="C86" s="257">
        <v>1317.6360070000001</v>
      </c>
      <c r="D86" s="257">
        <v>325.55067500000001</v>
      </c>
      <c r="E86" s="257">
        <v>25.794464000000001</v>
      </c>
    </row>
    <row r="87" spans="1:5" ht="15" customHeight="1">
      <c r="A87" s="167"/>
      <c r="B87" s="161" t="s">
        <v>54</v>
      </c>
      <c r="C87" s="296">
        <f t="shared" ref="C87:E87" si="6">SUM(C79:C81)-C82+SUM(C83:C86)</f>
        <v>1798.8624749999999</v>
      </c>
      <c r="D87" s="296">
        <f t="shared" si="6"/>
        <v>806.77714300000002</v>
      </c>
      <c r="E87" s="296">
        <f t="shared" si="6"/>
        <v>507.02093200000002</v>
      </c>
    </row>
    <row r="88" spans="1:5" ht="15" customHeight="1">
      <c r="A88" s="163"/>
      <c r="B88" s="159" t="s">
        <v>55</v>
      </c>
      <c r="C88" s="257"/>
      <c r="D88" s="257"/>
      <c r="E88" s="257"/>
    </row>
    <row r="89" spans="1:5" ht="15" customHeight="1">
      <c r="A89" s="167"/>
      <c r="B89" s="161" t="s">
        <v>56</v>
      </c>
      <c r="C89" s="296">
        <f>C87+C88</f>
        <v>1798.8624749999999</v>
      </c>
      <c r="D89" s="296">
        <f t="shared" ref="D89:E89" si="7">D87+D88</f>
        <v>806.77714300000002</v>
      </c>
      <c r="E89" s="296">
        <f t="shared" si="7"/>
        <v>507.02093200000002</v>
      </c>
    </row>
    <row r="90" spans="1:5" ht="15" customHeight="1">
      <c r="A90" s="167"/>
      <c r="B90" s="161" t="s">
        <v>59</v>
      </c>
      <c r="C90" s="296">
        <f t="shared" ref="C90:E90" si="8">C77+C89</f>
        <v>2567.4332359999999</v>
      </c>
      <c r="D90" s="296">
        <f t="shared" si="8"/>
        <v>1556.8127380000001</v>
      </c>
      <c r="E90" s="296">
        <f t="shared" si="8"/>
        <v>1805.1443469999999</v>
      </c>
    </row>
    <row r="91" spans="1:5" ht="15" customHeight="1">
      <c r="A91" s="163"/>
      <c r="B91" s="31" t="s">
        <v>51</v>
      </c>
      <c r="C91" s="28">
        <f t="shared" ref="C91:E91" si="9">C50-C90</f>
        <v>0</v>
      </c>
      <c r="D91" s="28">
        <f t="shared" si="9"/>
        <v>0</v>
      </c>
      <c r="E91" s="28">
        <f t="shared" si="9"/>
        <v>0</v>
      </c>
    </row>
    <row r="92" spans="1:5" ht="18" customHeight="1">
      <c r="A92" s="164"/>
      <c r="B92" s="1" t="s">
        <v>100</v>
      </c>
      <c r="C92" s="44" t="str">
        <f t="shared" ref="C92:E92" si="10">IF(ROUND(C91,0)=0,"OK","需要检查")</f>
        <v>OK</v>
      </c>
      <c r="D92" s="44" t="str">
        <f t="shared" si="10"/>
        <v>OK</v>
      </c>
      <c r="E92" s="44" t="str">
        <f t="shared" si="10"/>
        <v>OK</v>
      </c>
    </row>
    <row r="93" spans="1:5" ht="32.25" customHeight="1">
      <c r="A93" s="175"/>
      <c r="B93" s="743" t="s">
        <v>131</v>
      </c>
      <c r="C93" s="743"/>
      <c r="D93" s="743"/>
      <c r="E93" s="743"/>
    </row>
    <row r="94" spans="1:5" ht="18" customHeight="1">
      <c r="A94" s="176"/>
      <c r="B94" s="229" t="str">
        <f>B11</f>
        <v>评估基准日：2018/6/30</v>
      </c>
      <c r="D94" s="677" t="s">
        <v>853</v>
      </c>
      <c r="E94" s="676">
        <f>MONTH(E13)</f>
        <v>6</v>
      </c>
    </row>
    <row r="95" spans="1:5" ht="18" customHeight="1">
      <c r="B95" s="229" t="str">
        <f>B12</f>
        <v>被评估单位：YLSJ公司</v>
      </c>
      <c r="E95" s="15" t="s">
        <v>52</v>
      </c>
    </row>
    <row r="96" spans="1:5" ht="18" customHeight="1">
      <c r="A96" s="166"/>
      <c r="B96" s="262" t="s">
        <v>53</v>
      </c>
      <c r="C96" s="259" t="str">
        <f>YEAR(C13)&amp;"年"</f>
        <v>2016年</v>
      </c>
      <c r="D96" s="259" t="str">
        <f>YEAR(D13)&amp;"年"</f>
        <v>2017年</v>
      </c>
      <c r="E96" s="259" t="str">
        <f>YEAR(E13)&amp;"年1-"&amp;MONTH(E13)</f>
        <v>2018年1-6</v>
      </c>
    </row>
    <row r="97" spans="1:5" ht="18" customHeight="1">
      <c r="A97" s="163"/>
      <c r="B97" s="151" t="s">
        <v>273</v>
      </c>
      <c r="C97" s="257">
        <v>6309.9995689999996</v>
      </c>
      <c r="D97" s="257">
        <v>6454.082015</v>
      </c>
      <c r="E97" s="257">
        <v>2068.9888219999998</v>
      </c>
    </row>
    <row r="98" spans="1:5" ht="18" customHeight="1">
      <c r="A98" s="163"/>
      <c r="B98" s="153" t="s">
        <v>274</v>
      </c>
      <c r="C98" s="257">
        <v>5325.2090229999994</v>
      </c>
      <c r="D98" s="257">
        <v>5874.6685770000004</v>
      </c>
      <c r="E98" s="257">
        <v>2248.312367</v>
      </c>
    </row>
    <row r="99" spans="1:5" ht="18" customHeight="1">
      <c r="A99" s="163"/>
      <c r="B99" s="153" t="s">
        <v>344</v>
      </c>
      <c r="C99" s="257">
        <v>32.988745999999999</v>
      </c>
      <c r="D99" s="257">
        <v>28.542701999999998</v>
      </c>
      <c r="E99" s="257">
        <v>19.638479</v>
      </c>
    </row>
    <row r="100" spans="1:5" ht="18" customHeight="1">
      <c r="A100" s="163"/>
      <c r="B100" s="153" t="s">
        <v>345</v>
      </c>
      <c r="C100" s="257"/>
      <c r="D100" s="257"/>
      <c r="E100" s="257"/>
    </row>
    <row r="101" spans="1:5" ht="18" customHeight="1">
      <c r="A101" s="163"/>
      <c r="B101" s="153" t="s">
        <v>346</v>
      </c>
      <c r="C101" s="257">
        <v>668.47256399999992</v>
      </c>
      <c r="D101" s="257">
        <v>615.98559899999998</v>
      </c>
      <c r="E101" s="257">
        <v>268.929236</v>
      </c>
    </row>
    <row r="102" spans="1:5" ht="18" customHeight="1">
      <c r="A102" s="163"/>
      <c r="B102" s="153" t="s">
        <v>352</v>
      </c>
      <c r="C102" s="257"/>
      <c r="D102" s="257"/>
      <c r="E102" s="257"/>
    </row>
    <row r="103" spans="1:5" ht="18" customHeight="1">
      <c r="A103" s="163"/>
      <c r="B103" s="153" t="s">
        <v>347</v>
      </c>
      <c r="C103" s="257">
        <v>-33.899540000000002</v>
      </c>
      <c r="D103" s="257">
        <v>-11.184310999999999</v>
      </c>
      <c r="E103" s="257">
        <v>-1.0129090000000001</v>
      </c>
    </row>
    <row r="104" spans="1:5" ht="18" customHeight="1">
      <c r="A104" s="163"/>
      <c r="B104" s="153" t="s">
        <v>349</v>
      </c>
      <c r="C104" s="257">
        <v>0.47370899999999999</v>
      </c>
      <c r="D104" s="257">
        <v>0.95679899999999996</v>
      </c>
      <c r="E104" s="257">
        <v>2.3800000000000002E-2</v>
      </c>
    </row>
    <row r="105" spans="1:5" ht="18" customHeight="1">
      <c r="A105" s="163"/>
      <c r="B105" s="153" t="s">
        <v>457</v>
      </c>
      <c r="C105" s="257">
        <v>34.373249000000001</v>
      </c>
      <c r="D105" s="257">
        <v>12.141109999999999</v>
      </c>
      <c r="E105" s="257">
        <v>1.0367090000000001</v>
      </c>
    </row>
    <row r="106" spans="1:5" ht="18" customHeight="1">
      <c r="A106" s="163"/>
      <c r="B106" s="153" t="s">
        <v>348</v>
      </c>
      <c r="C106" s="257"/>
      <c r="D106" s="257"/>
      <c r="E106" s="257">
        <v>3.6904759999999999</v>
      </c>
    </row>
    <row r="107" spans="1:5" ht="18" customHeight="1">
      <c r="A107" s="177" t="s">
        <v>334</v>
      </c>
      <c r="B107" s="154" t="s">
        <v>350</v>
      </c>
      <c r="C107" s="257"/>
      <c r="D107" s="257"/>
      <c r="E107" s="257"/>
    </row>
    <row r="108" spans="1:5" ht="18" customHeight="1">
      <c r="A108" s="163"/>
      <c r="B108" s="153" t="s">
        <v>206</v>
      </c>
      <c r="C108" s="257"/>
      <c r="D108" s="257"/>
      <c r="E108" s="257"/>
    </row>
    <row r="109" spans="1:5" ht="18" customHeight="1">
      <c r="A109" s="163"/>
      <c r="B109" s="153" t="s">
        <v>205</v>
      </c>
      <c r="C109" s="257">
        <v>48.101199000000001</v>
      </c>
      <c r="D109" s="257">
        <v>353.56387699999999</v>
      </c>
      <c r="E109" s="257">
        <v>121.52389700000001</v>
      </c>
    </row>
    <row r="110" spans="1:5" ht="18" customHeight="1">
      <c r="A110" s="177" t="s">
        <v>334</v>
      </c>
      <c r="B110" s="154" t="s">
        <v>351</v>
      </c>
      <c r="C110" s="257"/>
      <c r="D110" s="257"/>
      <c r="E110" s="257"/>
    </row>
    <row r="111" spans="1:5" ht="18" customHeight="1">
      <c r="A111" s="163"/>
      <c r="B111" s="153" t="s">
        <v>85</v>
      </c>
      <c r="C111" s="257"/>
      <c r="D111" s="257"/>
      <c r="E111" s="257"/>
    </row>
    <row r="112" spans="1:5" ht="18" customHeight="1">
      <c r="A112" s="163"/>
      <c r="B112" s="153" t="s">
        <v>331</v>
      </c>
      <c r="C112" s="257"/>
      <c r="D112" s="257"/>
      <c r="E112" s="257"/>
    </row>
    <row r="113" spans="1:5" ht="18" customHeight="1">
      <c r="A113" s="167"/>
      <c r="B113" s="151" t="s">
        <v>392</v>
      </c>
      <c r="C113" s="298">
        <f t="shared" ref="C113:D113" si="11">C97-SUM(C98:C103)-C106+SUM(C108:C112)</f>
        <v>365.32997500000084</v>
      </c>
      <c r="D113" s="298">
        <f t="shared" si="11"/>
        <v>299.63332500000018</v>
      </c>
      <c r="E113" s="298">
        <f>E97-SUM(E98:E103)-E106+SUM(E108:E112)</f>
        <v>-349.04493000000025</v>
      </c>
    </row>
    <row r="114" spans="1:5" ht="18" customHeight="1">
      <c r="A114" s="163"/>
      <c r="B114" s="153" t="s">
        <v>61</v>
      </c>
      <c r="C114" s="257"/>
      <c r="D114" s="257">
        <v>2.8555929999999998</v>
      </c>
      <c r="E114" s="257">
        <v>11.738049999999999</v>
      </c>
    </row>
    <row r="115" spans="1:5" ht="18" customHeight="1">
      <c r="A115" s="163"/>
      <c r="B115" s="153" t="s">
        <v>62</v>
      </c>
      <c r="C115" s="257"/>
      <c r="D115" s="257"/>
      <c r="E115" s="257"/>
    </row>
    <row r="116" spans="1:5" ht="18" customHeight="1">
      <c r="A116" s="167"/>
      <c r="B116" s="151" t="s">
        <v>393</v>
      </c>
      <c r="C116" s="298">
        <f t="shared" ref="C116:E116" si="12">C113+C114-C115</f>
        <v>365.32997500000084</v>
      </c>
      <c r="D116" s="298">
        <f t="shared" si="12"/>
        <v>302.48891800000018</v>
      </c>
      <c r="E116" s="298">
        <f t="shared" si="12"/>
        <v>-337.30688000000026</v>
      </c>
    </row>
    <row r="117" spans="1:5" ht="18" customHeight="1">
      <c r="A117" s="163"/>
      <c r="B117" s="153" t="s">
        <v>63</v>
      </c>
      <c r="C117" s="257">
        <v>86.467831000000004</v>
      </c>
      <c r="D117" s="257">
        <v>76.585250000000002</v>
      </c>
      <c r="E117" s="257">
        <v>38.242775999999999</v>
      </c>
    </row>
    <row r="118" spans="1:5" ht="18" customHeight="1">
      <c r="A118" s="167"/>
      <c r="B118" s="151" t="s">
        <v>394</v>
      </c>
      <c r="C118" s="298">
        <f t="shared" ref="C118:D118" si="13">C116-C117</f>
        <v>278.86214400000085</v>
      </c>
      <c r="D118" s="298">
        <f t="shared" si="13"/>
        <v>225.90366800000018</v>
      </c>
      <c r="E118" s="298">
        <f>E116-E117</f>
        <v>-375.54965600000025</v>
      </c>
    </row>
    <row r="119" spans="1:5" ht="18" customHeight="1">
      <c r="A119" s="163"/>
      <c r="B119" s="162" t="s">
        <v>207</v>
      </c>
      <c r="C119" s="178">
        <f t="shared" ref="C119:D119" si="14">C118-C120</f>
        <v>278.86214400000085</v>
      </c>
      <c r="D119" s="178">
        <f t="shared" si="14"/>
        <v>225.90366800000018</v>
      </c>
      <c r="E119" s="178">
        <f>E118-E120</f>
        <v>-375.54965600000025</v>
      </c>
    </row>
    <row r="120" spans="1:5" ht="18" customHeight="1">
      <c r="A120" s="163"/>
      <c r="B120" s="162" t="s">
        <v>208</v>
      </c>
      <c r="C120" s="257"/>
      <c r="D120" s="257"/>
      <c r="E120" s="257"/>
    </row>
    <row r="121" spans="1:5" ht="18" customHeight="1">
      <c r="A121" s="167"/>
      <c r="B121" s="155" t="s">
        <v>214</v>
      </c>
      <c r="C121" s="178">
        <f t="shared" ref="C121:E121" si="15">C118-C122</f>
        <v>278.86214400000085</v>
      </c>
      <c r="D121" s="178">
        <f>D118-D122</f>
        <v>225.90366800000018</v>
      </c>
      <c r="E121" s="178">
        <f t="shared" si="15"/>
        <v>-375.54965600000025</v>
      </c>
    </row>
    <row r="122" spans="1:5" ht="18" customHeight="1">
      <c r="A122" s="163"/>
      <c r="B122" s="155" t="s">
        <v>215</v>
      </c>
      <c r="C122" s="257"/>
      <c r="D122" s="257"/>
      <c r="E122" s="257"/>
    </row>
    <row r="123" spans="1:5" ht="18" customHeight="1">
      <c r="A123" s="164"/>
    </row>
    <row r="124" spans="1:5" ht="29.25" customHeight="1">
      <c r="A124" s="164"/>
      <c r="B124" s="743" t="s">
        <v>432</v>
      </c>
      <c r="C124" s="743"/>
      <c r="D124" s="743"/>
      <c r="E124" s="743"/>
    </row>
    <row r="125" spans="1:5" ht="18" customHeight="1">
      <c r="A125" s="164"/>
      <c r="B125" s="12" t="s">
        <v>64</v>
      </c>
      <c r="C125" s="25" t="str">
        <f t="shared" ref="C125:E125" si="16">C96</f>
        <v>2016年</v>
      </c>
      <c r="D125" s="25" t="str">
        <f t="shared" si="16"/>
        <v>2017年</v>
      </c>
      <c r="E125" s="25" t="str">
        <f t="shared" si="16"/>
        <v>2018年1-6</v>
      </c>
    </row>
    <row r="126" spans="1:5" ht="18" customHeight="1">
      <c r="A126" s="164"/>
      <c r="B126" s="243" t="s">
        <v>147</v>
      </c>
      <c r="C126" s="54"/>
      <c r="D126" s="54"/>
      <c r="E126" s="432"/>
    </row>
    <row r="127" spans="1:5" ht="18" customHeight="1">
      <c r="A127" s="164"/>
      <c r="B127" s="244" t="s">
        <v>144</v>
      </c>
      <c r="C127" s="148"/>
      <c r="D127" s="148">
        <f>IF(C97,D97/C97-1,"na")</f>
        <v>2.2833986662670114E-2</v>
      </c>
      <c r="E127" s="65"/>
    </row>
    <row r="128" spans="1:5" ht="18" customHeight="1">
      <c r="A128" s="164"/>
      <c r="B128" s="244" t="s">
        <v>424</v>
      </c>
      <c r="C128" s="148"/>
      <c r="D128" s="148">
        <f>IF(C89,D89/C89-1,"na")</f>
        <v>-0.5515070472521808</v>
      </c>
      <c r="E128" s="65"/>
    </row>
    <row r="129" spans="1:5" ht="18" customHeight="1">
      <c r="A129" s="164"/>
      <c r="B129" s="243" t="s">
        <v>245</v>
      </c>
      <c r="C129" s="9"/>
      <c r="D129" s="9"/>
      <c r="E129" s="432"/>
    </row>
    <row r="130" spans="1:5" ht="18" customHeight="1">
      <c r="A130" s="164"/>
      <c r="B130" s="200" t="s">
        <v>177</v>
      </c>
      <c r="C130" s="149">
        <f>IF(C97,C99/C97,"na")</f>
        <v>5.2280108166834647E-3</v>
      </c>
      <c r="D130" s="149">
        <f>IF(D97,D99/D97,"na")</f>
        <v>4.4224262929512832E-3</v>
      </c>
      <c r="E130" s="149">
        <f>IF(E97,E99/E97,"na")</f>
        <v>9.4918246010707551E-3</v>
      </c>
    </row>
    <row r="131" spans="1:5" ht="18" customHeight="1">
      <c r="A131" s="164"/>
      <c r="B131" s="200" t="s">
        <v>423</v>
      </c>
      <c r="C131" s="148">
        <f>IF(C97,SUM(C100:C102)/C97,"na")</f>
        <v>0.10593860691910294</v>
      </c>
      <c r="D131" s="148">
        <f>IF(D97,SUM(D100:D102)/D97,"na")</f>
        <v>9.5441241305639024E-2</v>
      </c>
      <c r="E131" s="148">
        <f>IF(E97,SUM(E100:E102)/E97,"na")</f>
        <v>0.12998099996501578</v>
      </c>
    </row>
    <row r="132" spans="1:5" ht="18" customHeight="1">
      <c r="A132" s="164"/>
      <c r="B132" s="244" t="s">
        <v>79</v>
      </c>
      <c r="C132" s="148">
        <f>IF(C97,(C97-C98)/C97,"na")</f>
        <v>0.15606824298976435</v>
      </c>
      <c r="D132" s="148">
        <f>IF(D97,(D97-D98)/D97,"na")</f>
        <v>8.9774724996270372E-2</v>
      </c>
      <c r="E132" s="148">
        <f>IF(E97,(E97-E98)/E97,"na")</f>
        <v>-8.6672070478687302E-2</v>
      </c>
    </row>
    <row r="133" spans="1:5" ht="18" customHeight="1">
      <c r="A133" s="164"/>
      <c r="B133" s="244" t="s">
        <v>425</v>
      </c>
      <c r="C133" s="148">
        <f>IF(C97,C113/C97,"na")</f>
        <v>5.7896988899144707E-2</v>
      </c>
      <c r="D133" s="148">
        <f>IF(D97,D113/D97,"na")</f>
        <v>4.6425397803067765E-2</v>
      </c>
      <c r="E133" s="148">
        <f>IF(E97,E113/E97,"na")</f>
        <v>-0.16870314923335061</v>
      </c>
    </row>
    <row r="134" spans="1:5" ht="18" customHeight="1">
      <c r="A134" s="164"/>
      <c r="B134" s="244" t="s">
        <v>426</v>
      </c>
      <c r="C134" s="148">
        <f>IF(C97,C118/C97,"na")</f>
        <v>4.4193686695321685E-2</v>
      </c>
      <c r="D134" s="148">
        <f>IF(D97,D118/D97,"na")</f>
        <v>3.5001672968359418E-2</v>
      </c>
      <c r="E134" s="148">
        <f>IF(E97,E118/E97,"na")</f>
        <v>-0.18151362250327338</v>
      </c>
    </row>
    <row r="135" spans="1:5" ht="18" customHeight="1">
      <c r="A135" s="164"/>
      <c r="B135" s="243" t="s">
        <v>246</v>
      </c>
      <c r="C135" s="9"/>
      <c r="D135" s="9"/>
      <c r="E135" s="432"/>
    </row>
    <row r="136" spans="1:5" ht="18" customHeight="1">
      <c r="A136" s="164"/>
      <c r="B136" s="200" t="s">
        <v>427</v>
      </c>
      <c r="C136" s="242">
        <f>IF(C66,C28/C66,"na")</f>
        <v>3.3273496620775478</v>
      </c>
      <c r="D136" s="242">
        <f>IF(D66,D28/D66,"na")</f>
        <v>1.990817445558287</v>
      </c>
      <c r="E136" s="242">
        <f>IF(E66,E28/E66,"na")</f>
        <v>1.3417736454064737</v>
      </c>
    </row>
    <row r="137" spans="1:5" ht="18" customHeight="1">
      <c r="A137" s="164"/>
      <c r="B137" s="200" t="s">
        <v>428</v>
      </c>
      <c r="C137" s="242">
        <f>IF(C66,(C28-C23)/C66,"na")</f>
        <v>3.3273496620775478</v>
      </c>
      <c r="D137" s="242">
        <f>IF(D66,(D28-D23)/D66,"na")</f>
        <v>1.990817445558287</v>
      </c>
      <c r="E137" s="242">
        <f>IF(E66,(E28-E23)/E66,"na")</f>
        <v>1.3417736454064737</v>
      </c>
    </row>
    <row r="138" spans="1:5" ht="18" customHeight="1">
      <c r="A138" s="164"/>
      <c r="B138" s="200" t="s">
        <v>429</v>
      </c>
      <c r="C138" s="148">
        <f>IF(C50,C77/C50,"na")</f>
        <v>0.29935374763529005</v>
      </c>
      <c r="D138" s="148">
        <f>IF(D50,D77/D50,"na")</f>
        <v>0.48177637341505358</v>
      </c>
      <c r="E138" s="148">
        <f>IF(E50,E77/E50,"na")</f>
        <v>0.71912443852890406</v>
      </c>
    </row>
    <row r="139" spans="1:5" ht="18" customHeight="1">
      <c r="A139" s="164"/>
      <c r="B139" s="243" t="s">
        <v>247</v>
      </c>
      <c r="C139" s="66"/>
      <c r="D139" s="66"/>
      <c r="E139" s="432"/>
    </row>
    <row r="140" spans="1:5" ht="18" customHeight="1">
      <c r="A140" s="164"/>
      <c r="B140" s="244" t="s">
        <v>430</v>
      </c>
      <c r="C140" s="242">
        <f>IF(C18,C97/C18,"na")</f>
        <v>6.8951662512224905</v>
      </c>
      <c r="D140" s="242">
        <f>IF(D18,D97/D18,"na")</f>
        <v>8.6328823377086028</v>
      </c>
      <c r="E140" s="242">
        <f>IF(E18,E97/E94*12/E18,"na")</f>
        <v>8.6267786132263371</v>
      </c>
    </row>
    <row r="141" spans="1:5" ht="18" customHeight="1">
      <c r="A141" s="164"/>
      <c r="B141" s="679" t="s">
        <v>146</v>
      </c>
      <c r="C141" s="242" t="str">
        <f>IF(C23,C98/C23,"na")</f>
        <v>na</v>
      </c>
      <c r="D141" s="242" t="str">
        <f>IF(D23,D98/D23,"na")</f>
        <v>na</v>
      </c>
      <c r="E141" s="242" t="str">
        <f>IF(E23,E98/E94*12/E23,"na")</f>
        <v>na</v>
      </c>
    </row>
    <row r="142" spans="1:5" ht="18" customHeight="1">
      <c r="A142" s="164"/>
      <c r="B142" s="244" t="s">
        <v>431</v>
      </c>
      <c r="C142" s="242">
        <f>IF(C50,C97/C50,"na")</f>
        <v>2.4577073633395936</v>
      </c>
      <c r="D142" s="242">
        <f>IF(D50,D97/D50,"na")</f>
        <v>4.1457022141862767</v>
      </c>
      <c r="E142" s="242">
        <f>IF(E50,E97/E94*12/E50,"na")</f>
        <v>2.2923250713312622</v>
      </c>
    </row>
    <row r="143" spans="1:5" ht="18" customHeight="1">
      <c r="A143" s="164"/>
    </row>
    <row r="144" spans="1:5" ht="18" customHeight="1">
      <c r="A144" s="164"/>
    </row>
    <row r="145" spans="1:1" ht="18" customHeight="1">
      <c r="A145" s="164"/>
    </row>
    <row r="146" spans="1:1" ht="18" customHeight="1">
      <c r="A146" s="164"/>
    </row>
    <row r="147" spans="1:1" ht="18" customHeight="1">
      <c r="A147" s="164"/>
    </row>
    <row r="148" spans="1:1" ht="18" customHeight="1">
      <c r="A148" s="164"/>
    </row>
    <row r="149" spans="1:1" ht="18" customHeight="1">
      <c r="A149" s="164"/>
    </row>
    <row r="150" spans="1:1" ht="18" customHeight="1">
      <c r="A150" s="164"/>
    </row>
    <row r="151" spans="1:1" ht="18" customHeight="1">
      <c r="A151" s="164"/>
    </row>
    <row r="152" spans="1:1" ht="18" customHeight="1">
      <c r="A152" s="164"/>
    </row>
    <row r="153" spans="1:1" ht="18" customHeight="1">
      <c r="A153" s="164"/>
    </row>
    <row r="154" spans="1:1" ht="18" customHeight="1">
      <c r="A154" s="164"/>
    </row>
    <row r="155" spans="1:1" ht="18" customHeight="1">
      <c r="A155" s="164"/>
    </row>
    <row r="156" spans="1:1" ht="18" customHeight="1">
      <c r="A156" s="164"/>
    </row>
    <row r="157" spans="1:1" ht="18" customHeight="1">
      <c r="A157" s="164"/>
    </row>
  </sheetData>
  <sheetProtection formatCells="0" formatColumns="0" formatRows="0"/>
  <mergeCells count="3">
    <mergeCell ref="B10:E10"/>
    <mergeCell ref="B93:E93"/>
    <mergeCell ref="B124:E124"/>
  </mergeCells>
  <phoneticPr fontId="6" type="noConversion"/>
  <pageMargins left="0.75" right="0.75" top="1" bottom="1" header="0.5" footer="0.5"/>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F0"/>
  </sheetPr>
  <dimension ref="A2:O146"/>
  <sheetViews>
    <sheetView zoomScale="90" zoomScaleNormal="90" workbookViewId="0">
      <selection activeCell="B12" sqref="B12"/>
    </sheetView>
  </sheetViews>
  <sheetFormatPr defaultColWidth="9" defaultRowHeight="18" customHeight="1"/>
  <cols>
    <col min="1" max="1" width="2.58203125" style="13" customWidth="1"/>
    <col min="2" max="2" width="22" style="3" customWidth="1"/>
    <col min="3" max="4" width="9" style="3" customWidth="1"/>
    <col min="5" max="5" width="11.08203125" style="3" customWidth="1"/>
    <col min="6" max="6" width="9" style="3" customWidth="1"/>
    <col min="7" max="7" width="10.75" style="3" customWidth="1"/>
    <col min="8" max="8" width="18.25" style="3" customWidth="1"/>
    <col min="9" max="9" width="2.58203125" style="3" customWidth="1"/>
    <col min="10" max="10" width="20.75" style="3" customWidth="1"/>
    <col min="11" max="13" width="9.25" style="3" bestFit="1" customWidth="1"/>
    <col min="14" max="14" width="9.08203125" style="3" bestFit="1" customWidth="1"/>
    <col min="15" max="16384" width="9" style="3"/>
  </cols>
  <sheetData>
    <row r="2" spans="1:15" ht="31.5" customHeight="1">
      <c r="A2" s="165"/>
      <c r="B2" s="743" t="s">
        <v>414</v>
      </c>
      <c r="C2" s="743"/>
      <c r="D2" s="743"/>
      <c r="E2" s="743"/>
      <c r="F2" s="743"/>
      <c r="G2" s="743"/>
      <c r="H2" s="743"/>
      <c r="I2" s="180"/>
      <c r="J2" s="744" t="s">
        <v>354</v>
      </c>
      <c r="K2" s="744"/>
      <c r="L2" s="744"/>
      <c r="M2" s="744"/>
      <c r="N2" s="744"/>
    </row>
    <row r="3" spans="1:15" ht="18" customHeight="1">
      <c r="A3" s="188"/>
      <c r="B3" s="229" t="str">
        <f>'1报表'!B11</f>
        <v>评估基准日：2018/6/30</v>
      </c>
      <c r="C3" s="349"/>
      <c r="D3" s="349"/>
      <c r="E3" s="383"/>
      <c r="F3" s="71"/>
      <c r="G3" s="71"/>
      <c r="H3" s="352"/>
      <c r="I3" s="180"/>
      <c r="K3" s="180" t="s">
        <v>417</v>
      </c>
    </row>
    <row r="4" spans="1:15" ht="18" customHeight="1">
      <c r="B4" s="229" t="str">
        <f>'1报表'!B12</f>
        <v>被评估单位：YLSJ公司</v>
      </c>
      <c r="H4" s="15" t="s">
        <v>52</v>
      </c>
    </row>
    <row r="5" spans="1:15" ht="18" customHeight="1">
      <c r="B5" s="745" t="s">
        <v>53</v>
      </c>
      <c r="C5" s="746">
        <f>'1报表'!E13</f>
        <v>43281</v>
      </c>
      <c r="D5" s="747"/>
      <c r="E5" s="747"/>
      <c r="F5" s="747"/>
      <c r="G5" s="747"/>
      <c r="H5" s="748"/>
      <c r="I5" s="180"/>
      <c r="N5" s="3" t="s">
        <v>495</v>
      </c>
      <c r="O5" s="212"/>
    </row>
    <row r="6" spans="1:15" ht="30.65" customHeight="1">
      <c r="A6" s="166"/>
      <c r="B6" s="745"/>
      <c r="C6" s="350" t="s">
        <v>296</v>
      </c>
      <c r="D6" s="350" t="s">
        <v>353</v>
      </c>
      <c r="E6" s="412" t="s">
        <v>297</v>
      </c>
      <c r="F6" s="351" t="s">
        <v>298</v>
      </c>
      <c r="G6" s="413" t="s">
        <v>311</v>
      </c>
      <c r="H6" s="351" t="s">
        <v>299</v>
      </c>
      <c r="I6" s="180"/>
      <c r="J6" s="407" t="s">
        <v>370</v>
      </c>
      <c r="K6" s="260">
        <f>'1报表'!C13</f>
        <v>42735</v>
      </c>
      <c r="L6" s="260">
        <f>'1报表'!D13</f>
        <v>43100</v>
      </c>
      <c r="M6" s="260">
        <f>'1报表'!E13</f>
        <v>43281</v>
      </c>
      <c r="N6" s="408" t="s">
        <v>243</v>
      </c>
      <c r="O6" s="212"/>
    </row>
    <row r="7" spans="1:15" ht="18" customHeight="1">
      <c r="A7" s="163"/>
      <c r="B7" s="721" t="s">
        <v>842</v>
      </c>
      <c r="C7" s="258"/>
      <c r="D7" s="258"/>
      <c r="E7" s="156"/>
      <c r="F7" s="156"/>
      <c r="G7" s="156"/>
      <c r="H7" s="356"/>
      <c r="J7" s="406" t="s">
        <v>355</v>
      </c>
      <c r="K7" s="260"/>
      <c r="L7" s="260"/>
      <c r="M7" s="388"/>
      <c r="N7" s="238"/>
      <c r="O7" s="212"/>
    </row>
    <row r="8" spans="1:15" ht="18" customHeight="1">
      <c r="A8" s="163"/>
      <c r="B8" s="159" t="s">
        <v>1</v>
      </c>
      <c r="C8" s="354">
        <f>'1报表'!E15</f>
        <v>125.24516</v>
      </c>
      <c r="D8" s="354">
        <f>C8</f>
        <v>125.24516</v>
      </c>
      <c r="E8" s="65"/>
      <c r="F8" s="354">
        <f>'9溢余现金'!E25</f>
        <v>0</v>
      </c>
      <c r="G8" s="354">
        <f>D8-(E8+F8)</f>
        <v>125.24516</v>
      </c>
      <c r="H8" s="355"/>
      <c r="J8" s="157" t="s">
        <v>1</v>
      </c>
      <c r="K8" s="65"/>
      <c r="L8" s="65"/>
      <c r="M8" s="65"/>
      <c r="N8" s="65"/>
      <c r="O8" s="212"/>
    </row>
    <row r="9" spans="1:15" ht="18" customHeight="1">
      <c r="A9" s="163"/>
      <c r="B9" s="159" t="s">
        <v>373</v>
      </c>
      <c r="C9" s="354">
        <f>'1报表'!E16</f>
        <v>143.964</v>
      </c>
      <c r="D9" s="354">
        <f t="shared" ref="D9:D20" si="0">C9</f>
        <v>143.964</v>
      </c>
      <c r="E9" s="361">
        <v>143.964</v>
      </c>
      <c r="F9" s="361"/>
      <c r="G9" s="354">
        <f t="shared" ref="G9:G20" si="1">D9-(E9+F9)</f>
        <v>0</v>
      </c>
      <c r="H9" s="355" t="s">
        <v>396</v>
      </c>
      <c r="J9" s="389" t="s">
        <v>75</v>
      </c>
      <c r="K9" s="405">
        <f>'1报表'!C16</f>
        <v>744.71177699999998</v>
      </c>
      <c r="L9" s="405">
        <f>'1报表'!D16</f>
        <v>42.244674000000003</v>
      </c>
      <c r="M9" s="403">
        <f t="shared" ref="M9:M20" si="2">E9</f>
        <v>143.964</v>
      </c>
      <c r="N9" s="385">
        <f t="shared" ref="N9:N19" si="3">M9</f>
        <v>143.964</v>
      </c>
      <c r="O9" s="212"/>
    </row>
    <row r="10" spans="1:15" ht="18" customHeight="1">
      <c r="A10" s="163"/>
      <c r="B10" s="159" t="s">
        <v>199</v>
      </c>
      <c r="C10" s="354">
        <f>'1报表'!E17</f>
        <v>0</v>
      </c>
      <c r="D10" s="354">
        <f t="shared" si="0"/>
        <v>0</v>
      </c>
      <c r="E10" s="361"/>
      <c r="F10" s="361"/>
      <c r="G10" s="354">
        <f t="shared" si="1"/>
        <v>0</v>
      </c>
      <c r="H10" s="355"/>
      <c r="J10" s="389" t="s">
        <v>238</v>
      </c>
      <c r="K10" s="405">
        <f>'1报表'!C17</f>
        <v>0</v>
      </c>
      <c r="L10" s="405">
        <f>'1报表'!D17</f>
        <v>0</v>
      </c>
      <c r="M10" s="403">
        <f t="shared" si="2"/>
        <v>0</v>
      </c>
      <c r="N10" s="385">
        <f t="shared" si="3"/>
        <v>0</v>
      </c>
      <c r="O10" s="212"/>
    </row>
    <row r="11" spans="1:15" ht="18" customHeight="1">
      <c r="A11" s="163"/>
      <c r="B11" s="159" t="s">
        <v>442</v>
      </c>
      <c r="C11" s="354">
        <f>'1报表'!E18</f>
        <v>479.66660899999999</v>
      </c>
      <c r="D11" s="354">
        <f t="shared" si="0"/>
        <v>479.66660899999999</v>
      </c>
      <c r="E11" s="361"/>
      <c r="F11" s="361"/>
      <c r="G11" s="354">
        <f t="shared" si="1"/>
        <v>479.66660899999999</v>
      </c>
      <c r="H11" s="355"/>
      <c r="J11" s="389" t="s">
        <v>443</v>
      </c>
      <c r="K11" s="390"/>
      <c r="L11" s="390"/>
      <c r="M11" s="404">
        <f t="shared" si="2"/>
        <v>0</v>
      </c>
      <c r="N11" s="409">
        <f t="shared" si="3"/>
        <v>0</v>
      </c>
      <c r="O11" s="212"/>
    </row>
    <row r="12" spans="1:15" ht="18" customHeight="1">
      <c r="A12" s="163"/>
      <c r="B12" s="159" t="s">
        <v>66</v>
      </c>
      <c r="C12" s="354">
        <f>'1报表'!E19</f>
        <v>0</v>
      </c>
      <c r="D12" s="354">
        <f t="shared" si="0"/>
        <v>0</v>
      </c>
      <c r="E12" s="361"/>
      <c r="F12" s="361"/>
      <c r="G12" s="354">
        <f t="shared" si="1"/>
        <v>0</v>
      </c>
      <c r="H12" s="355"/>
      <c r="J12" s="389" t="s">
        <v>356</v>
      </c>
      <c r="K12" s="390"/>
      <c r="L12" s="390"/>
      <c r="M12" s="404">
        <f t="shared" si="2"/>
        <v>0</v>
      </c>
      <c r="N12" s="409">
        <v>0</v>
      </c>
      <c r="O12" s="212"/>
    </row>
    <row r="13" spans="1:15" ht="18" customHeight="1">
      <c r="A13" s="163"/>
      <c r="B13" s="159" t="s">
        <v>2</v>
      </c>
      <c r="C13" s="354">
        <f>'1报表'!E20</f>
        <v>0</v>
      </c>
      <c r="D13" s="354">
        <f t="shared" si="0"/>
        <v>0</v>
      </c>
      <c r="E13" s="361"/>
      <c r="F13" s="361"/>
      <c r="G13" s="354">
        <f t="shared" si="1"/>
        <v>0</v>
      </c>
      <c r="H13" s="355"/>
      <c r="J13" s="394" t="s">
        <v>2</v>
      </c>
      <c r="K13" s="405">
        <f>'1报表'!C20</f>
        <v>0</v>
      </c>
      <c r="L13" s="405">
        <f>'1报表'!D20</f>
        <v>0</v>
      </c>
      <c r="M13" s="404">
        <f t="shared" si="2"/>
        <v>0</v>
      </c>
      <c r="N13" s="385">
        <f t="shared" si="3"/>
        <v>0</v>
      </c>
      <c r="O13" s="212"/>
    </row>
    <row r="14" spans="1:15" ht="18" customHeight="1">
      <c r="A14" s="163"/>
      <c r="B14" s="159" t="s">
        <v>3</v>
      </c>
      <c r="C14" s="354">
        <f>'1报表'!E21</f>
        <v>0</v>
      </c>
      <c r="D14" s="354">
        <f t="shared" si="0"/>
        <v>0</v>
      </c>
      <c r="E14" s="361"/>
      <c r="F14" s="361"/>
      <c r="G14" s="354">
        <f t="shared" si="1"/>
        <v>0</v>
      </c>
      <c r="H14" s="355"/>
      <c r="J14" s="394" t="s">
        <v>3</v>
      </c>
      <c r="K14" s="405">
        <f>'1报表'!C21</f>
        <v>0</v>
      </c>
      <c r="L14" s="405">
        <f>'1报表'!D21</f>
        <v>0</v>
      </c>
      <c r="M14" s="404">
        <f t="shared" si="2"/>
        <v>0</v>
      </c>
      <c r="N14" s="385">
        <f t="shared" si="3"/>
        <v>0</v>
      </c>
      <c r="O14" s="212"/>
    </row>
    <row r="15" spans="1:15" ht="18" customHeight="1">
      <c r="A15" s="163"/>
      <c r="B15" s="159" t="s">
        <v>67</v>
      </c>
      <c r="C15" s="354">
        <f>'1报表'!E22</f>
        <v>950.31862999999998</v>
      </c>
      <c r="D15" s="354">
        <f t="shared" si="0"/>
        <v>950.31862999999998</v>
      </c>
      <c r="E15" s="361">
        <v>759.29843000000005</v>
      </c>
      <c r="F15" s="361"/>
      <c r="G15" s="354">
        <f t="shared" si="1"/>
        <v>191.02019999999993</v>
      </c>
      <c r="H15" s="355" t="s">
        <v>397</v>
      </c>
      <c r="J15" s="395" t="s">
        <v>68</v>
      </c>
      <c r="K15" s="420">
        <v>62.159376000000002</v>
      </c>
      <c r="L15" s="420">
        <v>22.875</v>
      </c>
      <c r="M15" s="404">
        <f t="shared" si="2"/>
        <v>759.29843000000005</v>
      </c>
      <c r="N15" s="409">
        <f>M15</f>
        <v>759.29843000000005</v>
      </c>
      <c r="O15" s="212" t="s">
        <v>397</v>
      </c>
    </row>
    <row r="16" spans="1:15" ht="18" customHeight="1">
      <c r="A16" s="163"/>
      <c r="B16" s="159" t="s">
        <v>4</v>
      </c>
      <c r="C16" s="354">
        <f>'1报表'!E23</f>
        <v>0</v>
      </c>
      <c r="D16" s="354">
        <f t="shared" si="0"/>
        <v>0</v>
      </c>
      <c r="E16" s="361"/>
      <c r="F16" s="361"/>
      <c r="G16" s="354">
        <f t="shared" si="1"/>
        <v>0</v>
      </c>
      <c r="H16" s="355"/>
      <c r="J16" s="395" t="s">
        <v>357</v>
      </c>
      <c r="K16" s="391"/>
      <c r="L16" s="391"/>
      <c r="M16" s="404">
        <f t="shared" si="2"/>
        <v>0</v>
      </c>
      <c r="N16" s="409">
        <f t="shared" si="3"/>
        <v>0</v>
      </c>
      <c r="O16" s="212"/>
    </row>
    <row r="17" spans="1:15" ht="18" customHeight="1">
      <c r="A17" s="163"/>
      <c r="B17" s="158" t="s">
        <v>333</v>
      </c>
      <c r="C17" s="354">
        <f>'1报表'!E24</f>
        <v>0</v>
      </c>
      <c r="D17" s="354">
        <f t="shared" si="0"/>
        <v>0</v>
      </c>
      <c r="E17" s="361"/>
      <c r="F17" s="361"/>
      <c r="G17" s="354">
        <f t="shared" si="1"/>
        <v>0</v>
      </c>
      <c r="H17" s="355"/>
      <c r="J17" s="395" t="s">
        <v>358</v>
      </c>
      <c r="K17" s="391"/>
      <c r="L17" s="391"/>
      <c r="M17" s="404">
        <f t="shared" si="2"/>
        <v>0</v>
      </c>
      <c r="N17" s="409">
        <f t="shared" si="3"/>
        <v>0</v>
      </c>
      <c r="O17" s="212"/>
    </row>
    <row r="18" spans="1:15" ht="18" customHeight="1">
      <c r="A18" s="163"/>
      <c r="B18" s="159" t="s">
        <v>200</v>
      </c>
      <c r="C18" s="354">
        <f>'1报表'!E25</f>
        <v>0</v>
      </c>
      <c r="D18" s="354">
        <f t="shared" si="0"/>
        <v>0</v>
      </c>
      <c r="E18" s="361"/>
      <c r="F18" s="361"/>
      <c r="G18" s="354">
        <f t="shared" si="1"/>
        <v>0</v>
      </c>
      <c r="H18" s="355"/>
      <c r="J18" s="396" t="s">
        <v>237</v>
      </c>
      <c r="K18" s="405">
        <f>'1报表'!C25</f>
        <v>0</v>
      </c>
      <c r="L18" s="405">
        <f>'1报表'!D25</f>
        <v>0</v>
      </c>
      <c r="M18" s="404">
        <f t="shared" si="2"/>
        <v>0</v>
      </c>
      <c r="N18" s="385">
        <f t="shared" si="3"/>
        <v>0</v>
      </c>
      <c r="O18" s="212"/>
    </row>
    <row r="19" spans="1:15" ht="18" customHeight="1">
      <c r="A19" s="163"/>
      <c r="B19" s="159" t="s">
        <v>5</v>
      </c>
      <c r="C19" s="354">
        <f>'1报表'!E26</f>
        <v>0</v>
      </c>
      <c r="D19" s="354">
        <f t="shared" si="0"/>
        <v>0</v>
      </c>
      <c r="E19" s="361"/>
      <c r="F19" s="361"/>
      <c r="G19" s="354">
        <f t="shared" si="1"/>
        <v>0</v>
      </c>
      <c r="H19" s="355"/>
      <c r="J19" s="389" t="s">
        <v>104</v>
      </c>
      <c r="K19" s="391"/>
      <c r="L19" s="391"/>
      <c r="M19" s="404">
        <f t="shared" si="2"/>
        <v>0</v>
      </c>
      <c r="N19" s="409">
        <f t="shared" si="3"/>
        <v>0</v>
      </c>
      <c r="O19" s="212"/>
    </row>
    <row r="20" spans="1:15" ht="18" customHeight="1">
      <c r="A20" s="163"/>
      <c r="B20" s="159" t="s">
        <v>76</v>
      </c>
      <c r="C20" s="354">
        <f>'1报表'!E27</f>
        <v>0.57499999999999996</v>
      </c>
      <c r="D20" s="354">
        <f t="shared" si="0"/>
        <v>0.57499999999999996</v>
      </c>
      <c r="E20" s="361">
        <v>0.57499999999999996</v>
      </c>
      <c r="F20" s="361"/>
      <c r="G20" s="354">
        <f t="shared" si="1"/>
        <v>0</v>
      </c>
      <c r="H20" s="355" t="s">
        <v>398</v>
      </c>
      <c r="J20" s="395" t="s">
        <v>77</v>
      </c>
      <c r="K20" s="391">
        <v>0.57499999999999996</v>
      </c>
      <c r="L20" s="391">
        <v>0.57499999999999996</v>
      </c>
      <c r="M20" s="404">
        <f t="shared" si="2"/>
        <v>0.57499999999999996</v>
      </c>
      <c r="N20" s="409">
        <v>0</v>
      </c>
      <c r="O20" s="212" t="s">
        <v>398</v>
      </c>
    </row>
    <row r="21" spans="1:15" ht="18" customHeight="1">
      <c r="A21" s="167"/>
      <c r="B21" s="161" t="s">
        <v>6</v>
      </c>
      <c r="C21" s="297">
        <f>SUM(C8:C20)</f>
        <v>1699.769399</v>
      </c>
      <c r="D21" s="297">
        <f>SUM(D8:D20)</f>
        <v>1699.769399</v>
      </c>
      <c r="E21" s="297">
        <f>SUM(E8:E20)</f>
        <v>903.83743000000004</v>
      </c>
      <c r="F21" s="297">
        <f>SUM(F8:F20)</f>
        <v>0</v>
      </c>
      <c r="G21" s="297">
        <f>SUM(G8:G20)</f>
        <v>795.93196899999998</v>
      </c>
      <c r="H21" s="357"/>
      <c r="J21" s="397" t="s">
        <v>103</v>
      </c>
      <c r="K21" s="398">
        <f>SUM(K9:K20)</f>
        <v>807.44615299999998</v>
      </c>
      <c r="L21" s="398">
        <f t="shared" ref="L21:M21" si="4">SUM(L9:L20)</f>
        <v>65.694674000000006</v>
      </c>
      <c r="M21" s="398">
        <f t="shared" si="4"/>
        <v>903.83743000000004</v>
      </c>
      <c r="N21" s="398">
        <f>SUM(N9:N20)</f>
        <v>903.26242999999999</v>
      </c>
      <c r="O21" s="212"/>
    </row>
    <row r="22" spans="1:15" ht="18" customHeight="1">
      <c r="A22" s="163"/>
      <c r="B22" s="721" t="s">
        <v>7</v>
      </c>
      <c r="C22" s="297"/>
      <c r="D22" s="297"/>
      <c r="E22" s="353"/>
      <c r="F22" s="353"/>
      <c r="G22" s="353"/>
      <c r="H22" s="358"/>
      <c r="J22" s="394"/>
      <c r="K22" s="393"/>
      <c r="L22" s="393"/>
      <c r="M22" s="392"/>
      <c r="N22" s="385"/>
      <c r="O22" s="212"/>
    </row>
    <row r="23" spans="1:15" ht="18" customHeight="1">
      <c r="A23" s="163"/>
      <c r="B23" s="159" t="s">
        <v>8</v>
      </c>
      <c r="C23" s="353">
        <f>'1报表'!E30</f>
        <v>1.332422</v>
      </c>
      <c r="D23" s="353">
        <f>C23</f>
        <v>1.332422</v>
      </c>
      <c r="E23" s="362">
        <v>1.332422</v>
      </c>
      <c r="F23" s="362"/>
      <c r="G23" s="354">
        <f>D23-(E23+F23)</f>
        <v>0</v>
      </c>
      <c r="H23" s="358" t="s">
        <v>399</v>
      </c>
      <c r="J23" s="394" t="s">
        <v>8</v>
      </c>
      <c r="K23" s="405">
        <f>'1报表'!C30</f>
        <v>1.332422</v>
      </c>
      <c r="L23" s="405">
        <f>'1报表'!D30</f>
        <v>1.332422</v>
      </c>
      <c r="M23" s="403">
        <f t="shared" ref="M23:M37" si="5">E23</f>
        <v>1.332422</v>
      </c>
      <c r="N23" s="391">
        <f>M23</f>
        <v>1.332422</v>
      </c>
      <c r="O23" s="212" t="s">
        <v>410</v>
      </c>
    </row>
    <row r="24" spans="1:15" ht="18" customHeight="1">
      <c r="A24" s="163"/>
      <c r="B24" s="159" t="s">
        <v>9</v>
      </c>
      <c r="C24" s="353">
        <f>'1报表'!E31</f>
        <v>0</v>
      </c>
      <c r="D24" s="353">
        <f t="shared" ref="D24:D41" si="6">C24</f>
        <v>0</v>
      </c>
      <c r="E24" s="362"/>
      <c r="F24" s="362"/>
      <c r="G24" s="354">
        <f t="shared" ref="G24:G41" si="7">D24-(E24+F24)</f>
        <v>0</v>
      </c>
      <c r="H24" s="358"/>
      <c r="J24" s="394" t="s">
        <v>9</v>
      </c>
      <c r="K24" s="405">
        <f>'1报表'!C31</f>
        <v>0</v>
      </c>
      <c r="L24" s="405">
        <f>'1报表'!D31</f>
        <v>0</v>
      </c>
      <c r="M24" s="403">
        <f t="shared" si="5"/>
        <v>0</v>
      </c>
      <c r="N24" s="391"/>
      <c r="O24" s="212"/>
    </row>
    <row r="25" spans="1:15" ht="18" customHeight="1">
      <c r="A25" s="163"/>
      <c r="B25" s="158" t="s">
        <v>336</v>
      </c>
      <c r="C25" s="353">
        <f>'1报表'!E32</f>
        <v>0</v>
      </c>
      <c r="D25" s="353">
        <f t="shared" si="6"/>
        <v>0</v>
      </c>
      <c r="E25" s="362"/>
      <c r="F25" s="362"/>
      <c r="G25" s="354">
        <f t="shared" si="7"/>
        <v>0</v>
      </c>
      <c r="H25" s="358"/>
      <c r="J25" s="394" t="s">
        <v>335</v>
      </c>
      <c r="K25" s="405">
        <f>'1报表'!C32</f>
        <v>0</v>
      </c>
      <c r="L25" s="405">
        <f>'1报表'!D32</f>
        <v>0</v>
      </c>
      <c r="M25" s="403">
        <f t="shared" si="5"/>
        <v>0</v>
      </c>
      <c r="N25" s="391"/>
      <c r="O25" s="212"/>
    </row>
    <row r="26" spans="1:15" ht="18" customHeight="1">
      <c r="A26" s="163"/>
      <c r="B26" s="158" t="s">
        <v>338</v>
      </c>
      <c r="C26" s="353">
        <f>'1报表'!E33</f>
        <v>0</v>
      </c>
      <c r="D26" s="353">
        <f t="shared" si="6"/>
        <v>0</v>
      </c>
      <c r="E26" s="362"/>
      <c r="F26" s="362"/>
      <c r="G26" s="354">
        <f t="shared" si="7"/>
        <v>0</v>
      </c>
      <c r="H26" s="358"/>
      <c r="J26" s="394" t="s">
        <v>337</v>
      </c>
      <c r="K26" s="405">
        <f>'1报表'!C33</f>
        <v>0</v>
      </c>
      <c r="L26" s="405">
        <f>'1报表'!D33</f>
        <v>0</v>
      </c>
      <c r="M26" s="403">
        <f t="shared" si="5"/>
        <v>0</v>
      </c>
      <c r="N26" s="391"/>
      <c r="O26" s="212"/>
    </row>
    <row r="27" spans="1:15" ht="18" customHeight="1">
      <c r="A27" s="163"/>
      <c r="B27" s="159" t="s">
        <v>10</v>
      </c>
      <c r="C27" s="353">
        <f>'1报表'!E34</f>
        <v>0</v>
      </c>
      <c r="D27" s="353">
        <f t="shared" si="6"/>
        <v>0</v>
      </c>
      <c r="E27" s="362"/>
      <c r="F27" s="362"/>
      <c r="G27" s="354">
        <f t="shared" si="7"/>
        <v>0</v>
      </c>
      <c r="H27" s="358"/>
      <c r="J27" s="394" t="s">
        <v>359</v>
      </c>
      <c r="K27" s="390"/>
      <c r="L27" s="390"/>
      <c r="M27" s="403">
        <f t="shared" si="5"/>
        <v>0</v>
      </c>
      <c r="N27" s="391"/>
      <c r="O27" s="212"/>
    </row>
    <row r="28" spans="1:15" ht="18" customHeight="1">
      <c r="A28" s="163"/>
      <c r="B28" s="159" t="s">
        <v>11</v>
      </c>
      <c r="C28" s="353">
        <f>'1报表'!E35</f>
        <v>3.4651719999999999</v>
      </c>
      <c r="D28" s="353">
        <f t="shared" si="6"/>
        <v>3.4651719999999999</v>
      </c>
      <c r="E28" s="362">
        <v>3.4651719999999999</v>
      </c>
      <c r="F28" s="362"/>
      <c r="G28" s="354">
        <f t="shared" si="7"/>
        <v>0</v>
      </c>
      <c r="H28" s="358" t="s">
        <v>400</v>
      </c>
      <c r="J28" s="394" t="s">
        <v>11</v>
      </c>
      <c r="K28" s="405">
        <f>'1报表'!C35</f>
        <v>3.4651719999999999</v>
      </c>
      <c r="L28" s="405">
        <f>'1报表'!D35</f>
        <v>3.4651719999999999</v>
      </c>
      <c r="M28" s="403">
        <f t="shared" si="5"/>
        <v>3.4651719999999999</v>
      </c>
      <c r="N28" s="391">
        <v>0</v>
      </c>
      <c r="O28" s="212" t="s">
        <v>411</v>
      </c>
    </row>
    <row r="29" spans="1:15" ht="18" customHeight="1">
      <c r="A29" s="163"/>
      <c r="B29" s="158" t="s">
        <v>340</v>
      </c>
      <c r="C29" s="353">
        <f>'1报表'!E36</f>
        <v>0</v>
      </c>
      <c r="D29" s="353">
        <f t="shared" si="6"/>
        <v>0</v>
      </c>
      <c r="E29" s="362"/>
      <c r="F29" s="362"/>
      <c r="G29" s="354">
        <f t="shared" si="7"/>
        <v>0</v>
      </c>
      <c r="H29" s="358"/>
      <c r="J29" s="394" t="s">
        <v>339</v>
      </c>
      <c r="K29" s="405">
        <f>'1报表'!C36</f>
        <v>0</v>
      </c>
      <c r="L29" s="405">
        <f>'1报表'!D36</f>
        <v>0</v>
      </c>
      <c r="M29" s="403">
        <f t="shared" si="5"/>
        <v>0</v>
      </c>
      <c r="N29" s="391"/>
      <c r="O29" s="212"/>
    </row>
    <row r="30" spans="1:15" ht="18" customHeight="1">
      <c r="A30" s="163"/>
      <c r="B30" s="158" t="s">
        <v>342</v>
      </c>
      <c r="C30" s="353">
        <f>'1报表'!E37</f>
        <v>0</v>
      </c>
      <c r="D30" s="353">
        <f t="shared" si="6"/>
        <v>0</v>
      </c>
      <c r="E30" s="362"/>
      <c r="F30" s="362"/>
      <c r="G30" s="354">
        <f t="shared" si="7"/>
        <v>0</v>
      </c>
      <c r="H30" s="358"/>
      <c r="J30" s="394" t="s">
        <v>341</v>
      </c>
      <c r="K30" s="405">
        <f>'1报表'!C37</f>
        <v>0</v>
      </c>
      <c r="L30" s="405">
        <f>'1报表'!D37</f>
        <v>0</v>
      </c>
      <c r="M30" s="403">
        <f t="shared" si="5"/>
        <v>0</v>
      </c>
      <c r="N30" s="391"/>
      <c r="O30" s="212"/>
    </row>
    <row r="31" spans="1:15" ht="18" customHeight="1">
      <c r="A31" s="163"/>
      <c r="B31" s="159" t="s">
        <v>12</v>
      </c>
      <c r="C31" s="353">
        <f>'1报表'!E38</f>
        <v>0</v>
      </c>
      <c r="D31" s="353">
        <f t="shared" si="6"/>
        <v>0</v>
      </c>
      <c r="E31" s="362"/>
      <c r="F31" s="362"/>
      <c r="G31" s="354">
        <f t="shared" si="7"/>
        <v>0</v>
      </c>
      <c r="H31" s="358"/>
      <c r="J31" s="157" t="s">
        <v>12</v>
      </c>
      <c r="K31" s="405">
        <f>'1报表'!C38</f>
        <v>0</v>
      </c>
      <c r="L31" s="405">
        <f>'1报表'!D38</f>
        <v>0</v>
      </c>
      <c r="M31" s="403">
        <f t="shared" si="5"/>
        <v>0</v>
      </c>
      <c r="N31" s="391"/>
      <c r="O31" s="212"/>
    </row>
    <row r="32" spans="1:15" ht="18" customHeight="1">
      <c r="A32" s="163"/>
      <c r="B32" s="159" t="s">
        <v>13</v>
      </c>
      <c r="C32" s="353">
        <f>'1报表'!E39</f>
        <v>94.661334999999994</v>
      </c>
      <c r="D32" s="353">
        <f t="shared" si="6"/>
        <v>94.661334999999994</v>
      </c>
      <c r="E32" s="362"/>
      <c r="F32" s="362"/>
      <c r="G32" s="354">
        <f t="shared" si="7"/>
        <v>94.661334999999994</v>
      </c>
      <c r="H32" s="358"/>
      <c r="J32" s="394" t="s">
        <v>105</v>
      </c>
      <c r="K32" s="391"/>
      <c r="L32" s="391"/>
      <c r="M32" s="403">
        <f t="shared" si="5"/>
        <v>0</v>
      </c>
      <c r="N32" s="391"/>
      <c r="O32" s="212"/>
    </row>
    <row r="33" spans="1:15" ht="18" customHeight="1">
      <c r="A33" s="163"/>
      <c r="B33" s="159" t="s">
        <v>14</v>
      </c>
      <c r="C33" s="353">
        <f>'1报表'!E40</f>
        <v>0</v>
      </c>
      <c r="D33" s="353">
        <f t="shared" si="6"/>
        <v>0</v>
      </c>
      <c r="E33" s="362"/>
      <c r="F33" s="362"/>
      <c r="G33" s="354">
        <f t="shared" si="7"/>
        <v>0</v>
      </c>
      <c r="H33" s="358"/>
      <c r="J33" s="394" t="s">
        <v>106</v>
      </c>
      <c r="K33" s="391"/>
      <c r="L33" s="391"/>
      <c r="M33" s="403">
        <f t="shared" si="5"/>
        <v>0</v>
      </c>
      <c r="N33" s="391"/>
      <c r="O33" s="212"/>
    </row>
    <row r="34" spans="1:15" ht="18" customHeight="1">
      <c r="A34" s="163"/>
      <c r="B34" s="159" t="s">
        <v>15</v>
      </c>
      <c r="C34" s="353">
        <f>'1报表'!E41</f>
        <v>0</v>
      </c>
      <c r="D34" s="353">
        <f t="shared" si="6"/>
        <v>0</v>
      </c>
      <c r="E34" s="362"/>
      <c r="F34" s="362"/>
      <c r="G34" s="354">
        <f t="shared" si="7"/>
        <v>0</v>
      </c>
      <c r="H34" s="358"/>
      <c r="J34" s="394" t="s">
        <v>107</v>
      </c>
      <c r="K34" s="391"/>
      <c r="L34" s="391"/>
      <c r="M34" s="403">
        <f t="shared" si="5"/>
        <v>0</v>
      </c>
      <c r="N34" s="391"/>
      <c r="O34" s="212"/>
    </row>
    <row r="35" spans="1:15" ht="18" customHeight="1">
      <c r="A35" s="163"/>
      <c r="B35" s="159" t="s">
        <v>16</v>
      </c>
      <c r="C35" s="353">
        <f>'1报表'!E42</f>
        <v>0</v>
      </c>
      <c r="D35" s="353">
        <f t="shared" si="6"/>
        <v>0</v>
      </c>
      <c r="E35" s="362"/>
      <c r="F35" s="362"/>
      <c r="G35" s="354">
        <f t="shared" si="7"/>
        <v>0</v>
      </c>
      <c r="H35" s="358"/>
      <c r="J35" s="394" t="s">
        <v>108</v>
      </c>
      <c r="K35" s="391"/>
      <c r="L35" s="391"/>
      <c r="M35" s="403">
        <f t="shared" si="5"/>
        <v>0</v>
      </c>
      <c r="N35" s="391"/>
      <c r="O35" s="212"/>
    </row>
    <row r="36" spans="1:15" ht="18" customHeight="1">
      <c r="A36" s="163"/>
      <c r="B36" s="159" t="s">
        <v>17</v>
      </c>
      <c r="C36" s="353">
        <f>'1报表'!E43</f>
        <v>5.9160190000000004</v>
      </c>
      <c r="D36" s="353">
        <f t="shared" si="6"/>
        <v>5.9160190000000004</v>
      </c>
      <c r="E36" s="362"/>
      <c r="F36" s="362"/>
      <c r="G36" s="354">
        <f t="shared" si="7"/>
        <v>5.9160190000000004</v>
      </c>
      <c r="H36" s="358"/>
      <c r="J36" s="394" t="s">
        <v>109</v>
      </c>
      <c r="K36" s="391"/>
      <c r="L36" s="391"/>
      <c r="M36" s="403">
        <f t="shared" si="5"/>
        <v>0</v>
      </c>
      <c r="N36" s="391"/>
      <c r="O36" s="228"/>
    </row>
    <row r="37" spans="1:15" ht="18" customHeight="1">
      <c r="A37" s="163"/>
      <c r="B37" s="159" t="s">
        <v>18</v>
      </c>
      <c r="C37" s="353">
        <f>'1报表'!E44</f>
        <v>0</v>
      </c>
      <c r="D37" s="353">
        <f t="shared" si="6"/>
        <v>0</v>
      </c>
      <c r="E37" s="362"/>
      <c r="F37" s="362"/>
      <c r="G37" s="354">
        <f t="shared" si="7"/>
        <v>0</v>
      </c>
      <c r="H37" s="358"/>
      <c r="J37" s="399" t="s">
        <v>110</v>
      </c>
      <c r="K37" s="391"/>
      <c r="L37" s="391"/>
      <c r="M37" s="403">
        <f t="shared" si="5"/>
        <v>0</v>
      </c>
      <c r="N37" s="391"/>
      <c r="O37" s="212"/>
    </row>
    <row r="38" spans="1:15" ht="18" customHeight="1">
      <c r="A38" s="163"/>
      <c r="B38" s="159" t="s">
        <v>19</v>
      </c>
      <c r="C38" s="353">
        <f>'1报表'!E45</f>
        <v>0</v>
      </c>
      <c r="D38" s="353">
        <f t="shared" si="6"/>
        <v>0</v>
      </c>
      <c r="E38" s="65"/>
      <c r="F38" s="65"/>
      <c r="G38" s="354">
        <f t="shared" si="7"/>
        <v>0</v>
      </c>
      <c r="H38" s="358"/>
      <c r="J38" s="157" t="s">
        <v>19</v>
      </c>
      <c r="K38" s="65"/>
      <c r="L38" s="65"/>
      <c r="M38" s="65"/>
      <c r="N38" s="65"/>
      <c r="O38" s="184"/>
    </row>
    <row r="39" spans="1:15" ht="18" customHeight="1">
      <c r="A39" s="163"/>
      <c r="B39" s="159" t="s">
        <v>20</v>
      </c>
      <c r="C39" s="353">
        <f>'1报表'!E46</f>
        <v>0</v>
      </c>
      <c r="D39" s="353">
        <f t="shared" si="6"/>
        <v>0</v>
      </c>
      <c r="E39" s="362"/>
      <c r="F39" s="362"/>
      <c r="G39" s="354">
        <f t="shared" si="7"/>
        <v>0</v>
      </c>
      <c r="H39" s="358"/>
      <c r="J39" s="399" t="s">
        <v>111</v>
      </c>
      <c r="K39" s="391"/>
      <c r="L39" s="391"/>
      <c r="M39" s="403">
        <f>E39</f>
        <v>0</v>
      </c>
      <c r="N39" s="391"/>
      <c r="O39" s="184"/>
    </row>
    <row r="40" spans="1:15" ht="18" customHeight="1">
      <c r="A40" s="163"/>
      <c r="B40" s="159" t="s">
        <v>21</v>
      </c>
      <c r="C40" s="353">
        <f>'1报表'!E47</f>
        <v>0</v>
      </c>
      <c r="D40" s="353">
        <f t="shared" si="6"/>
        <v>0</v>
      </c>
      <c r="E40" s="362"/>
      <c r="F40" s="65"/>
      <c r="G40" s="354">
        <f>D40-(E40+F40)</f>
        <v>0</v>
      </c>
      <c r="H40" s="358"/>
      <c r="J40" s="157" t="s">
        <v>21</v>
      </c>
      <c r="K40" s="391"/>
      <c r="L40" s="391"/>
      <c r="M40" s="403">
        <f>E40</f>
        <v>0</v>
      </c>
      <c r="N40" s="391"/>
      <c r="O40" s="184"/>
    </row>
    <row r="41" spans="1:15" ht="18" customHeight="1">
      <c r="A41" s="163"/>
      <c r="B41" s="159" t="s">
        <v>22</v>
      </c>
      <c r="C41" s="353">
        <f>'1报表'!E48</f>
        <v>0</v>
      </c>
      <c r="D41" s="353">
        <f t="shared" si="6"/>
        <v>0</v>
      </c>
      <c r="E41" s="362"/>
      <c r="F41" s="362"/>
      <c r="G41" s="354">
        <f t="shared" si="7"/>
        <v>0</v>
      </c>
      <c r="H41" s="358"/>
      <c r="J41" s="399" t="s">
        <v>80</v>
      </c>
      <c r="K41" s="391"/>
      <c r="L41" s="391"/>
      <c r="M41" s="403">
        <f>E41</f>
        <v>0</v>
      </c>
      <c r="N41" s="391"/>
      <c r="O41" s="131"/>
    </row>
    <row r="42" spans="1:15" ht="18" customHeight="1">
      <c r="A42" s="163"/>
      <c r="B42" s="161" t="s">
        <v>23</v>
      </c>
      <c r="C42" s="297">
        <f>SUM(C23:C41)</f>
        <v>105.374948</v>
      </c>
      <c r="D42" s="297">
        <f>SUM(D23:D41)</f>
        <v>105.374948</v>
      </c>
      <c r="E42" s="297">
        <f>SUM(E23:E41)</f>
        <v>4.7975940000000001</v>
      </c>
      <c r="F42" s="297">
        <f>SUM(F23:F41)</f>
        <v>0</v>
      </c>
      <c r="G42" s="297">
        <f>SUM(G23:G41)</f>
        <v>100.577354</v>
      </c>
      <c r="H42" s="357"/>
      <c r="J42" s="411" t="s">
        <v>385</v>
      </c>
      <c r="K42" s="400">
        <f t="shared" ref="K42:M42" si="8">SUM(K23:K41)</f>
        <v>4.7975940000000001</v>
      </c>
      <c r="L42" s="400">
        <f t="shared" si="8"/>
        <v>4.7975940000000001</v>
      </c>
      <c r="M42" s="400">
        <f t="shared" si="8"/>
        <v>4.7975940000000001</v>
      </c>
      <c r="N42" s="400">
        <f>SUM(N23:N41)</f>
        <v>1.332422</v>
      </c>
      <c r="O42" s="41"/>
    </row>
    <row r="43" spans="1:15" ht="18" customHeight="1">
      <c r="A43" s="163"/>
      <c r="B43" s="161" t="s">
        <v>24</v>
      </c>
      <c r="C43" s="297">
        <f>C21+C42</f>
        <v>1805.1443469999999</v>
      </c>
      <c r="D43" s="297">
        <f>D21+D42</f>
        <v>1805.1443469999999</v>
      </c>
      <c r="E43" s="297">
        <f>E21+E42</f>
        <v>908.63502400000004</v>
      </c>
      <c r="F43" s="297">
        <f>F21+F42</f>
        <v>0</v>
      </c>
      <c r="G43" s="297">
        <f>G21+G42</f>
        <v>896.50932299999999</v>
      </c>
      <c r="H43" s="357"/>
      <c r="J43" s="397" t="s">
        <v>97</v>
      </c>
      <c r="K43" s="401">
        <f t="shared" ref="K43:M43" si="9">K21+K42</f>
        <v>812.24374699999998</v>
      </c>
      <c r="L43" s="401">
        <f t="shared" si="9"/>
        <v>70.49226800000001</v>
      </c>
      <c r="M43" s="401">
        <f t="shared" si="9"/>
        <v>908.63502400000004</v>
      </c>
      <c r="N43" s="401">
        <f>N21+N42</f>
        <v>904.59485199999995</v>
      </c>
      <c r="O43" s="212"/>
    </row>
    <row r="44" spans="1:15" ht="18" customHeight="1">
      <c r="A44" s="163"/>
      <c r="B44" s="721" t="s">
        <v>25</v>
      </c>
      <c r="C44" s="297"/>
      <c r="D44" s="297"/>
      <c r="E44" s="353"/>
      <c r="F44" s="353"/>
      <c r="G44" s="353"/>
      <c r="H44" s="358"/>
      <c r="J44" s="406" t="s">
        <v>360</v>
      </c>
      <c r="K44" s="422">
        <f t="shared" ref="K44:N44" si="10">K6</f>
        <v>42735</v>
      </c>
      <c r="L44" s="422">
        <f t="shared" si="10"/>
        <v>43100</v>
      </c>
      <c r="M44" s="422">
        <f t="shared" si="10"/>
        <v>43281</v>
      </c>
      <c r="N44" s="423" t="str">
        <f t="shared" si="10"/>
        <v>评估值</v>
      </c>
      <c r="O44" s="212"/>
    </row>
    <row r="45" spans="1:15" ht="18" customHeight="1">
      <c r="A45" s="163"/>
      <c r="B45" s="159" t="s">
        <v>26</v>
      </c>
      <c r="C45" s="353">
        <f>'1报表'!E52</f>
        <v>0</v>
      </c>
      <c r="D45" s="353">
        <f>C45</f>
        <v>0</v>
      </c>
      <c r="E45" s="362"/>
      <c r="F45" s="362"/>
      <c r="G45" s="354">
        <f>D45-(E45+F45)</f>
        <v>0</v>
      </c>
      <c r="H45" s="358"/>
      <c r="J45" s="157" t="s">
        <v>26</v>
      </c>
      <c r="K45" s="65"/>
      <c r="L45" s="65"/>
      <c r="M45" s="65"/>
      <c r="N45" s="65"/>
      <c r="O45" s="212"/>
    </row>
    <row r="46" spans="1:15" ht="18" customHeight="1">
      <c r="A46" s="163"/>
      <c r="B46" s="159" t="s">
        <v>27</v>
      </c>
      <c r="C46" s="353">
        <f>'1报表'!E53</f>
        <v>0</v>
      </c>
      <c r="D46" s="353">
        <f t="shared" ref="D46:D58" si="11">C46</f>
        <v>0</v>
      </c>
      <c r="E46" s="362"/>
      <c r="F46" s="362"/>
      <c r="G46" s="354">
        <f t="shared" ref="G46:G58" si="12">D46-(E46+F46)</f>
        <v>0</v>
      </c>
      <c r="H46" s="358"/>
      <c r="J46" s="394" t="s">
        <v>27</v>
      </c>
      <c r="K46" s="403">
        <f>'1报表'!C53</f>
        <v>0</v>
      </c>
      <c r="L46" s="403">
        <f>'1报表'!D53</f>
        <v>0</v>
      </c>
      <c r="M46" s="403">
        <f t="shared" ref="M46:M51" si="13">E46</f>
        <v>0</v>
      </c>
      <c r="N46" s="385">
        <f t="shared" ref="N46:N51" si="14">M46</f>
        <v>0</v>
      </c>
      <c r="O46" s="212"/>
    </row>
    <row r="47" spans="1:15" ht="18" customHeight="1">
      <c r="A47" s="163"/>
      <c r="B47" s="159" t="s">
        <v>201</v>
      </c>
      <c r="C47" s="353">
        <f>'1报表'!E54</f>
        <v>0</v>
      </c>
      <c r="D47" s="353">
        <f t="shared" si="11"/>
        <v>0</v>
      </c>
      <c r="E47" s="362"/>
      <c r="F47" s="362"/>
      <c r="G47" s="354">
        <f t="shared" si="12"/>
        <v>0</v>
      </c>
      <c r="H47" s="358"/>
      <c r="J47" s="394" t="s">
        <v>361</v>
      </c>
      <c r="K47" s="403">
        <f>'1报表'!C54</f>
        <v>0</v>
      </c>
      <c r="L47" s="403">
        <f>'1报表'!D54</f>
        <v>0</v>
      </c>
      <c r="M47" s="403">
        <f t="shared" si="13"/>
        <v>0</v>
      </c>
      <c r="N47" s="385">
        <f t="shared" si="14"/>
        <v>0</v>
      </c>
      <c r="O47" s="212"/>
    </row>
    <row r="48" spans="1:15" ht="18" customHeight="1">
      <c r="A48" s="163"/>
      <c r="B48" s="159" t="s">
        <v>440</v>
      </c>
      <c r="C48" s="353">
        <f>'1报表'!E55</f>
        <v>297.39515899999998</v>
      </c>
      <c r="D48" s="353">
        <f>C48</f>
        <v>297.39515899999998</v>
      </c>
      <c r="E48" s="362"/>
      <c r="F48" s="362"/>
      <c r="G48" s="354">
        <f t="shared" si="12"/>
        <v>297.39515899999998</v>
      </c>
      <c r="H48" s="358"/>
      <c r="J48" s="389" t="s">
        <v>441</v>
      </c>
      <c r="K48" s="391"/>
      <c r="L48" s="391"/>
      <c r="M48" s="403">
        <f t="shared" si="13"/>
        <v>0</v>
      </c>
      <c r="N48" s="409">
        <f t="shared" si="14"/>
        <v>0</v>
      </c>
      <c r="O48" s="212"/>
    </row>
    <row r="49" spans="1:15" ht="18" customHeight="1">
      <c r="A49" s="163"/>
      <c r="B49" s="159" t="s">
        <v>28</v>
      </c>
      <c r="C49" s="353">
        <f>'1报表'!E56</f>
        <v>99.153700000000001</v>
      </c>
      <c r="D49" s="353">
        <f t="shared" si="11"/>
        <v>99.153700000000001</v>
      </c>
      <c r="E49" s="362"/>
      <c r="F49" s="362"/>
      <c r="G49" s="354">
        <f t="shared" si="12"/>
        <v>99.153700000000001</v>
      </c>
      <c r="H49" s="358"/>
      <c r="J49" s="394" t="s">
        <v>362</v>
      </c>
      <c r="K49" s="391"/>
      <c r="L49" s="391"/>
      <c r="M49" s="403">
        <f t="shared" si="13"/>
        <v>0</v>
      </c>
      <c r="N49" s="409">
        <f t="shared" si="14"/>
        <v>0</v>
      </c>
      <c r="O49" s="212"/>
    </row>
    <row r="50" spans="1:15" ht="18" customHeight="1">
      <c r="A50" s="163"/>
      <c r="B50" s="158" t="s">
        <v>343</v>
      </c>
      <c r="C50" s="353">
        <f>'1报表'!E57</f>
        <v>0</v>
      </c>
      <c r="D50" s="353">
        <f t="shared" si="11"/>
        <v>0</v>
      </c>
      <c r="E50" s="362"/>
      <c r="F50" s="362"/>
      <c r="G50" s="354">
        <f t="shared" si="12"/>
        <v>0</v>
      </c>
      <c r="H50" s="358"/>
      <c r="J50" s="389" t="s">
        <v>363</v>
      </c>
      <c r="K50" s="391"/>
      <c r="L50" s="391"/>
      <c r="M50" s="403">
        <f t="shared" si="13"/>
        <v>0</v>
      </c>
      <c r="N50" s="409">
        <f t="shared" si="14"/>
        <v>0</v>
      </c>
      <c r="O50" s="212"/>
    </row>
    <row r="51" spans="1:15" ht="18" customHeight="1">
      <c r="A51" s="163"/>
      <c r="B51" s="159" t="s">
        <v>29</v>
      </c>
      <c r="C51" s="353">
        <f>'1报表'!E58</f>
        <v>0</v>
      </c>
      <c r="D51" s="353">
        <f t="shared" si="11"/>
        <v>0</v>
      </c>
      <c r="E51" s="362"/>
      <c r="F51" s="362"/>
      <c r="G51" s="354">
        <f t="shared" si="12"/>
        <v>0</v>
      </c>
      <c r="H51" s="38"/>
      <c r="J51" s="389" t="s">
        <v>364</v>
      </c>
      <c r="K51" s="391"/>
      <c r="L51" s="391"/>
      <c r="M51" s="403">
        <f t="shared" si="13"/>
        <v>0</v>
      </c>
      <c r="N51" s="409">
        <f t="shared" si="14"/>
        <v>0</v>
      </c>
      <c r="O51" s="212"/>
    </row>
    <row r="52" spans="1:15" ht="18" customHeight="1">
      <c r="A52" s="163"/>
      <c r="B52" s="159" t="s">
        <v>30</v>
      </c>
      <c r="C52" s="353">
        <f>'1报表'!E59</f>
        <v>2.2263799999999998</v>
      </c>
      <c r="D52" s="353">
        <f t="shared" si="11"/>
        <v>2.2263799999999998</v>
      </c>
      <c r="E52" s="362"/>
      <c r="F52" s="362"/>
      <c r="G52" s="354">
        <f t="shared" si="12"/>
        <v>2.2263799999999998</v>
      </c>
      <c r="H52" s="358"/>
      <c r="J52" s="394" t="s">
        <v>30</v>
      </c>
      <c r="K52" s="65"/>
      <c r="L52" s="65"/>
      <c r="M52" s="65"/>
      <c r="N52" s="65"/>
      <c r="O52" s="212"/>
    </row>
    <row r="53" spans="1:15" ht="18" customHeight="1">
      <c r="A53" s="163"/>
      <c r="B53" s="159" t="s">
        <v>31</v>
      </c>
      <c r="C53" s="353">
        <f>'1报表'!E60</f>
        <v>0</v>
      </c>
      <c r="D53" s="353">
        <f t="shared" si="11"/>
        <v>0</v>
      </c>
      <c r="E53" s="362"/>
      <c r="F53" s="362"/>
      <c r="G53" s="354">
        <f t="shared" si="12"/>
        <v>0</v>
      </c>
      <c r="H53" s="358"/>
      <c r="J53" s="394" t="s">
        <v>31</v>
      </c>
      <c r="K53" s="403">
        <f>'1报表'!C60</f>
        <v>0</v>
      </c>
      <c r="L53" s="403">
        <f>'1报表'!D60</f>
        <v>0</v>
      </c>
      <c r="M53" s="403">
        <f>E53</f>
        <v>0</v>
      </c>
      <c r="N53" s="385">
        <f>M53</f>
        <v>0</v>
      </c>
      <c r="O53" s="212"/>
    </row>
    <row r="54" spans="1:15" ht="18" customHeight="1">
      <c r="A54" s="163"/>
      <c r="B54" s="159" t="s">
        <v>32</v>
      </c>
      <c r="C54" s="353">
        <f>'1报表'!E61</f>
        <v>656.42425500000002</v>
      </c>
      <c r="D54" s="353">
        <f t="shared" si="11"/>
        <v>656.42425500000002</v>
      </c>
      <c r="E54" s="362">
        <v>656.42425500000002</v>
      </c>
      <c r="F54" s="362"/>
      <c r="G54" s="354">
        <f t="shared" si="12"/>
        <v>0</v>
      </c>
      <c r="H54" s="358" t="s">
        <v>401</v>
      </c>
      <c r="J54" s="394" t="s">
        <v>81</v>
      </c>
      <c r="K54" s="403">
        <f>'1报表'!C61</f>
        <v>0</v>
      </c>
      <c r="L54" s="403">
        <f>'1报表'!D61</f>
        <v>0</v>
      </c>
      <c r="M54" s="403">
        <f>E54</f>
        <v>656.42425500000002</v>
      </c>
      <c r="N54" s="385">
        <f>M54</f>
        <v>656.42425500000002</v>
      </c>
      <c r="O54" s="212"/>
    </row>
    <row r="55" spans="1:15" ht="18" customHeight="1">
      <c r="A55" s="163"/>
      <c r="B55" s="159" t="s">
        <v>325</v>
      </c>
      <c r="C55" s="353">
        <f>'1报表'!E62</f>
        <v>211.60836499999999</v>
      </c>
      <c r="D55" s="353">
        <f>C55</f>
        <v>211.60836499999999</v>
      </c>
      <c r="E55" s="362">
        <v>0.37795600000000001</v>
      </c>
      <c r="F55" s="362"/>
      <c r="G55" s="354">
        <f>D55-(E55+F55)</f>
        <v>211.23040899999998</v>
      </c>
      <c r="H55" s="358" t="s">
        <v>402</v>
      </c>
      <c r="J55" s="394" t="s">
        <v>365</v>
      </c>
      <c r="K55" s="421">
        <v>13.110856</v>
      </c>
      <c r="L55" s="421">
        <v>45.288055999999997</v>
      </c>
      <c r="M55" s="403">
        <f>E55</f>
        <v>0.37795600000000001</v>
      </c>
      <c r="N55" s="409">
        <f>M55</f>
        <v>0.37795600000000001</v>
      </c>
      <c r="O55" s="212" t="s">
        <v>402</v>
      </c>
    </row>
    <row r="56" spans="1:15" ht="18" customHeight="1">
      <c r="A56" s="163"/>
      <c r="B56" s="159" t="s">
        <v>202</v>
      </c>
      <c r="C56" s="353">
        <f>'1报表'!E63</f>
        <v>0</v>
      </c>
      <c r="D56" s="353">
        <f t="shared" si="11"/>
        <v>0</v>
      </c>
      <c r="E56" s="362"/>
      <c r="F56" s="362"/>
      <c r="G56" s="354">
        <f t="shared" si="12"/>
        <v>0</v>
      </c>
      <c r="H56" s="358"/>
      <c r="J56" s="159" t="s">
        <v>202</v>
      </c>
      <c r="K56" s="403">
        <f>'1报表'!C63</f>
        <v>0</v>
      </c>
      <c r="L56" s="403">
        <f>'1报表'!D63</f>
        <v>0</v>
      </c>
      <c r="M56" s="403">
        <f>E56</f>
        <v>0</v>
      </c>
      <c r="N56" s="385">
        <f>M56</f>
        <v>0</v>
      </c>
      <c r="O56" s="212"/>
    </row>
    <row r="57" spans="1:15" ht="18" customHeight="1">
      <c r="A57" s="163"/>
      <c r="B57" s="159" t="s">
        <v>34</v>
      </c>
      <c r="C57" s="353">
        <f>'1报表'!E64</f>
        <v>0</v>
      </c>
      <c r="D57" s="353">
        <f t="shared" si="11"/>
        <v>0</v>
      </c>
      <c r="E57" s="362"/>
      <c r="F57" s="362"/>
      <c r="G57" s="354">
        <f t="shared" si="12"/>
        <v>0</v>
      </c>
      <c r="H57" s="358"/>
      <c r="J57" s="157" t="s">
        <v>34</v>
      </c>
      <c r="K57" s="65"/>
      <c r="L57" s="65"/>
      <c r="M57" s="65"/>
      <c r="N57" s="65"/>
      <c r="O57" s="212"/>
    </row>
    <row r="58" spans="1:15" ht="18" customHeight="1">
      <c r="A58" s="163"/>
      <c r="B58" s="159" t="s">
        <v>35</v>
      </c>
      <c r="C58" s="353">
        <f>'1报表'!E65</f>
        <v>0</v>
      </c>
      <c r="D58" s="353">
        <f t="shared" si="11"/>
        <v>0</v>
      </c>
      <c r="E58" s="362"/>
      <c r="F58" s="362"/>
      <c r="G58" s="354">
        <f t="shared" si="12"/>
        <v>0</v>
      </c>
      <c r="H58" s="358"/>
      <c r="J58" s="389" t="s">
        <v>112</v>
      </c>
      <c r="K58" s="391"/>
      <c r="L58" s="391"/>
      <c r="M58" s="403">
        <f>E58</f>
        <v>0</v>
      </c>
      <c r="N58" s="409">
        <f>M58</f>
        <v>0</v>
      </c>
      <c r="O58" s="212"/>
    </row>
    <row r="59" spans="1:15" ht="18" customHeight="1">
      <c r="A59" s="163"/>
      <c r="B59" s="161" t="s">
        <v>36</v>
      </c>
      <c r="C59" s="297">
        <f>SUM(C45:C58)</f>
        <v>1266.807859</v>
      </c>
      <c r="D59" s="297">
        <f>SUM(D45:D58)</f>
        <v>1266.807859</v>
      </c>
      <c r="E59" s="297">
        <f>SUM(E45:E58)</f>
        <v>656.80221100000006</v>
      </c>
      <c r="F59" s="297">
        <f>SUM(F45:F58)</f>
        <v>0</v>
      </c>
      <c r="G59" s="297">
        <f>SUM(G45:G58)</f>
        <v>610.00564799999995</v>
      </c>
      <c r="H59" s="358"/>
      <c r="J59" s="402" t="s">
        <v>371</v>
      </c>
      <c r="K59" s="400">
        <f t="shared" ref="K59:M59" si="15">SUM(K46:K58)</f>
        <v>13.110856</v>
      </c>
      <c r="L59" s="400">
        <f t="shared" si="15"/>
        <v>45.288055999999997</v>
      </c>
      <c r="M59" s="400">
        <f t="shared" si="15"/>
        <v>656.80221100000006</v>
      </c>
      <c r="N59" s="400">
        <f>SUM(N46:N58)</f>
        <v>656.80221100000006</v>
      </c>
      <c r="O59" s="212"/>
    </row>
    <row r="60" spans="1:15" ht="18" customHeight="1">
      <c r="A60" s="163"/>
      <c r="B60" s="721" t="s">
        <v>37</v>
      </c>
      <c r="C60" s="297"/>
      <c r="D60" s="297"/>
      <c r="E60" s="353"/>
      <c r="F60" s="353"/>
      <c r="G60" s="353"/>
      <c r="H60" s="358"/>
      <c r="J60" s="399"/>
      <c r="K60" s="393"/>
      <c r="L60" s="393"/>
      <c r="M60" s="403"/>
      <c r="N60" s="405"/>
      <c r="O60" s="212"/>
    </row>
    <row r="61" spans="1:15" ht="18" customHeight="1">
      <c r="A61" s="163"/>
      <c r="B61" s="159" t="s">
        <v>38</v>
      </c>
      <c r="C61" s="353">
        <f>'1报表'!E68</f>
        <v>0</v>
      </c>
      <c r="D61" s="353">
        <f>C61</f>
        <v>0</v>
      </c>
      <c r="E61" s="362"/>
      <c r="F61" s="362"/>
      <c r="G61" s="354">
        <f>D61-(E61+F61)</f>
        <v>0</v>
      </c>
      <c r="H61" s="358"/>
      <c r="J61" s="157" t="s">
        <v>38</v>
      </c>
      <c r="K61" s="65"/>
      <c r="L61" s="65"/>
      <c r="M61" s="65"/>
      <c r="N61" s="65"/>
      <c r="O61" s="212"/>
    </row>
    <row r="62" spans="1:15" ht="18" customHeight="1">
      <c r="A62" s="163"/>
      <c r="B62" s="159" t="s">
        <v>39</v>
      </c>
      <c r="C62" s="353">
        <f>'1报表'!E69</f>
        <v>0</v>
      </c>
      <c r="D62" s="353">
        <f t="shared" ref="D62:D68" si="16">C62</f>
        <v>0</v>
      </c>
      <c r="E62" s="362"/>
      <c r="F62" s="362"/>
      <c r="G62" s="354">
        <f t="shared" ref="G62:G68" si="17">D62-(E62+F62)</f>
        <v>0</v>
      </c>
      <c r="H62" s="358"/>
      <c r="J62" s="157" t="s">
        <v>39</v>
      </c>
      <c r="K62" s="65"/>
      <c r="L62" s="65"/>
      <c r="M62" s="65"/>
      <c r="N62" s="65"/>
      <c r="O62" s="212"/>
    </row>
    <row r="63" spans="1:15" ht="18" customHeight="1">
      <c r="A63" s="163"/>
      <c r="B63" s="159" t="s">
        <v>40</v>
      </c>
      <c r="C63" s="353">
        <f>'1报表'!E70</f>
        <v>31.315556000000001</v>
      </c>
      <c r="D63" s="353">
        <f t="shared" si="16"/>
        <v>31.315556000000001</v>
      </c>
      <c r="E63" s="362">
        <v>31.315556000000001</v>
      </c>
      <c r="F63" s="362"/>
      <c r="G63" s="354">
        <f t="shared" si="17"/>
        <v>0</v>
      </c>
      <c r="H63" s="358" t="s">
        <v>395</v>
      </c>
      <c r="J63" s="389" t="s">
        <v>113</v>
      </c>
      <c r="K63" s="391">
        <v>31.161042999999999</v>
      </c>
      <c r="L63" s="391">
        <v>31.278407999999999</v>
      </c>
      <c r="M63" s="403">
        <f t="shared" ref="M63:M68" si="18">E63</f>
        <v>31.315556000000001</v>
      </c>
      <c r="N63" s="391">
        <f>M63</f>
        <v>31.315556000000001</v>
      </c>
      <c r="O63" s="212" t="s">
        <v>395</v>
      </c>
    </row>
    <row r="64" spans="1:15" ht="18" customHeight="1">
      <c r="A64" s="163"/>
      <c r="B64" s="159" t="s">
        <v>212</v>
      </c>
      <c r="C64" s="353">
        <f>'1报表'!E71</f>
        <v>0</v>
      </c>
      <c r="D64" s="353">
        <f t="shared" si="16"/>
        <v>0</v>
      </c>
      <c r="E64" s="362"/>
      <c r="F64" s="362"/>
      <c r="G64" s="354">
        <f t="shared" si="17"/>
        <v>0</v>
      </c>
      <c r="H64" s="358"/>
      <c r="J64" s="159" t="s">
        <v>366</v>
      </c>
      <c r="K64" s="391"/>
      <c r="L64" s="391"/>
      <c r="M64" s="403">
        <f t="shared" si="18"/>
        <v>0</v>
      </c>
      <c r="N64" s="391"/>
      <c r="O64" s="212"/>
    </row>
    <row r="65" spans="1:15" ht="18" customHeight="1">
      <c r="A65" s="163"/>
      <c r="B65" s="159" t="s">
        <v>41</v>
      </c>
      <c r="C65" s="353">
        <f>'1报表'!E72</f>
        <v>0</v>
      </c>
      <c r="D65" s="353">
        <f t="shared" si="16"/>
        <v>0</v>
      </c>
      <c r="E65" s="362"/>
      <c r="F65" s="362"/>
      <c r="G65" s="354">
        <f t="shared" si="17"/>
        <v>0</v>
      </c>
      <c r="H65" s="358"/>
      <c r="J65" s="389" t="s">
        <v>367</v>
      </c>
      <c r="K65" s="391"/>
      <c r="L65" s="391"/>
      <c r="M65" s="403">
        <f t="shared" si="18"/>
        <v>0</v>
      </c>
      <c r="N65" s="391"/>
      <c r="O65" s="228"/>
    </row>
    <row r="66" spans="1:15" ht="18" customHeight="1">
      <c r="A66" s="163"/>
      <c r="B66" s="159" t="s">
        <v>368</v>
      </c>
      <c r="C66" s="353">
        <f>'1报表'!E73</f>
        <v>0</v>
      </c>
      <c r="D66" s="353">
        <f t="shared" si="16"/>
        <v>0</v>
      </c>
      <c r="E66" s="362"/>
      <c r="F66" s="362"/>
      <c r="G66" s="354">
        <f t="shared" si="17"/>
        <v>0</v>
      </c>
      <c r="H66" s="358"/>
      <c r="J66" s="389" t="s">
        <v>369</v>
      </c>
      <c r="K66" s="391"/>
      <c r="L66" s="391"/>
      <c r="M66" s="403">
        <f t="shared" si="18"/>
        <v>0</v>
      </c>
      <c r="N66" s="391"/>
      <c r="O66" s="212"/>
    </row>
    <row r="67" spans="1:15" ht="18" customHeight="1">
      <c r="A67" s="163"/>
      <c r="B67" s="159" t="s">
        <v>42</v>
      </c>
      <c r="C67" s="353">
        <f>'1报表'!E74</f>
        <v>0</v>
      </c>
      <c r="D67" s="353">
        <f t="shared" si="16"/>
        <v>0</v>
      </c>
      <c r="E67" s="362"/>
      <c r="F67" s="65"/>
      <c r="G67" s="354">
        <f>D67-(E67+F67)</f>
        <v>0</v>
      </c>
      <c r="H67" s="358"/>
      <c r="J67" s="157" t="s">
        <v>42</v>
      </c>
      <c r="K67" s="391"/>
      <c r="L67" s="391"/>
      <c r="M67" s="403">
        <f t="shared" si="18"/>
        <v>0</v>
      </c>
      <c r="N67" s="391"/>
      <c r="O67" s="41"/>
    </row>
    <row r="68" spans="1:15" ht="18" customHeight="1">
      <c r="A68" s="163"/>
      <c r="B68" s="159" t="s">
        <v>43</v>
      </c>
      <c r="C68" s="353">
        <f>'1报表'!E75</f>
        <v>0</v>
      </c>
      <c r="D68" s="353">
        <f t="shared" si="16"/>
        <v>0</v>
      </c>
      <c r="E68" s="362"/>
      <c r="F68" s="362"/>
      <c r="G68" s="354">
        <f t="shared" si="17"/>
        <v>0</v>
      </c>
      <c r="H68" s="358"/>
      <c r="J68" s="389" t="s">
        <v>114</v>
      </c>
      <c r="K68" s="391"/>
      <c r="L68" s="391"/>
      <c r="M68" s="403">
        <f t="shared" si="18"/>
        <v>0</v>
      </c>
      <c r="N68" s="391"/>
    </row>
    <row r="69" spans="1:15" ht="18" customHeight="1">
      <c r="A69" s="163"/>
      <c r="B69" s="161" t="s">
        <v>44</v>
      </c>
      <c r="C69" s="297">
        <f>SUM(C61:C68)</f>
        <v>31.315556000000001</v>
      </c>
      <c r="D69" s="297">
        <f>SUM(D61:D68)</f>
        <v>31.315556000000001</v>
      </c>
      <c r="E69" s="297">
        <f>SUM(E61:E68)</f>
        <v>31.315556000000001</v>
      </c>
      <c r="F69" s="297">
        <f>SUM(F61:F68)</f>
        <v>0</v>
      </c>
      <c r="G69" s="297">
        <f>SUM(G61:G68)</f>
        <v>0</v>
      </c>
      <c r="H69" s="358"/>
      <c r="J69" s="402" t="s">
        <v>372</v>
      </c>
      <c r="K69" s="401">
        <f t="shared" ref="K69:M69" si="19">SUM(K63:K68)</f>
        <v>31.161042999999999</v>
      </c>
      <c r="L69" s="401">
        <f t="shared" si="19"/>
        <v>31.278407999999999</v>
      </c>
      <c r="M69" s="401">
        <f t="shared" si="19"/>
        <v>31.315556000000001</v>
      </c>
      <c r="N69" s="401">
        <f>SUM(N63:N68)</f>
        <v>31.315556000000001</v>
      </c>
    </row>
    <row r="70" spans="1:15" ht="18" customHeight="1">
      <c r="A70" s="163"/>
      <c r="B70" s="161" t="s">
        <v>45</v>
      </c>
      <c r="C70" s="297">
        <f>C59+C69</f>
        <v>1298.123415</v>
      </c>
      <c r="D70" s="297">
        <f>D59+D69</f>
        <v>1298.123415</v>
      </c>
      <c r="E70" s="297">
        <f>E59+E69</f>
        <v>688.11776700000007</v>
      </c>
      <c r="F70" s="297">
        <f>F59+F69</f>
        <v>0</v>
      </c>
      <c r="G70" s="297">
        <f>G59+G69</f>
        <v>610.00564799999995</v>
      </c>
      <c r="H70" s="358"/>
      <c r="J70" s="402" t="s">
        <v>98</v>
      </c>
      <c r="K70" s="401">
        <f t="shared" ref="K70:L70" si="20">K59+K69</f>
        <v>44.271898999999998</v>
      </c>
      <c r="L70" s="401">
        <f t="shared" si="20"/>
        <v>76.566463999999996</v>
      </c>
      <c r="M70" s="401">
        <f>M59+M69</f>
        <v>688.11776700000007</v>
      </c>
      <c r="N70" s="401">
        <f>N59+N69</f>
        <v>688.11776700000007</v>
      </c>
    </row>
    <row r="71" spans="1:15" ht="18" customHeight="1">
      <c r="A71" s="163"/>
      <c r="B71" s="721" t="s">
        <v>57</v>
      </c>
      <c r="C71" s="297"/>
      <c r="D71" s="297"/>
      <c r="E71" s="353"/>
      <c r="F71" s="353"/>
      <c r="G71" s="353"/>
      <c r="H71" s="358"/>
    </row>
    <row r="72" spans="1:15" ht="18" customHeight="1">
      <c r="A72" s="163"/>
      <c r="B72" s="159" t="s">
        <v>58</v>
      </c>
      <c r="C72" s="353">
        <f>'1报表'!E79</f>
        <v>305</v>
      </c>
      <c r="D72" s="353">
        <f>C72</f>
        <v>305</v>
      </c>
      <c r="E72" s="65"/>
      <c r="F72" s="65"/>
      <c r="G72" s="65"/>
      <c r="H72" s="358"/>
    </row>
    <row r="73" spans="1:15" ht="18" customHeight="1">
      <c r="A73" s="163"/>
      <c r="B73" s="158" t="s">
        <v>204</v>
      </c>
      <c r="C73" s="353">
        <f>'1报表'!E80</f>
        <v>0</v>
      </c>
      <c r="D73" s="353">
        <f t="shared" ref="D73:D79" si="21">C73</f>
        <v>0</v>
      </c>
      <c r="E73" s="65"/>
      <c r="F73" s="65"/>
      <c r="G73" s="65"/>
      <c r="H73" s="357"/>
    </row>
    <row r="74" spans="1:15" ht="18" customHeight="1">
      <c r="A74" s="163"/>
      <c r="B74" s="159" t="s">
        <v>46</v>
      </c>
      <c r="C74" s="353">
        <f>'1报表'!E81</f>
        <v>1.2961560000000001</v>
      </c>
      <c r="D74" s="353">
        <f t="shared" si="21"/>
        <v>1.2961560000000001</v>
      </c>
      <c r="E74" s="65"/>
      <c r="F74" s="65"/>
      <c r="G74" s="65"/>
      <c r="H74" s="357"/>
    </row>
    <row r="75" spans="1:15" ht="18" customHeight="1">
      <c r="A75" s="163"/>
      <c r="B75" s="159" t="s">
        <v>47</v>
      </c>
      <c r="C75" s="353">
        <f>'1报表'!E82</f>
        <v>0</v>
      </c>
      <c r="D75" s="353">
        <f t="shared" si="21"/>
        <v>0</v>
      </c>
      <c r="E75" s="65"/>
      <c r="F75" s="65"/>
      <c r="G75" s="65"/>
      <c r="H75" s="358"/>
      <c r="J75" s="212"/>
    </row>
    <row r="76" spans="1:15" ht="18" customHeight="1">
      <c r="A76" s="163"/>
      <c r="B76" s="159" t="s">
        <v>82</v>
      </c>
      <c r="C76" s="353">
        <f>'1报表'!E83</f>
        <v>0</v>
      </c>
      <c r="D76" s="353">
        <f t="shared" si="21"/>
        <v>0</v>
      </c>
      <c r="E76" s="65"/>
      <c r="F76" s="65"/>
      <c r="G76" s="65"/>
      <c r="H76" s="358"/>
      <c r="J76" s="212"/>
    </row>
    <row r="77" spans="1:15" ht="18" customHeight="1">
      <c r="A77" s="163"/>
      <c r="B77" s="159" t="s">
        <v>48</v>
      </c>
      <c r="C77" s="353">
        <f>'1报表'!E84</f>
        <v>174.93031199999999</v>
      </c>
      <c r="D77" s="353">
        <f t="shared" si="21"/>
        <v>174.93031199999999</v>
      </c>
      <c r="E77" s="65"/>
      <c r="F77" s="65"/>
      <c r="G77" s="65"/>
      <c r="H77" s="358"/>
      <c r="J77" s="11"/>
    </row>
    <row r="78" spans="1:15" ht="18" customHeight="1">
      <c r="A78" s="163"/>
      <c r="B78" s="159" t="s">
        <v>49</v>
      </c>
      <c r="C78" s="353">
        <f>'1报表'!E85</f>
        <v>0</v>
      </c>
      <c r="D78" s="353">
        <f t="shared" si="21"/>
        <v>0</v>
      </c>
      <c r="E78" s="65"/>
      <c r="F78" s="65"/>
      <c r="G78" s="65"/>
      <c r="H78" s="358"/>
      <c r="J78" s="11"/>
    </row>
    <row r="79" spans="1:15" ht="18" customHeight="1">
      <c r="A79" s="163"/>
      <c r="B79" s="159" t="s">
        <v>50</v>
      </c>
      <c r="C79" s="353">
        <f>'1报表'!E86</f>
        <v>25.794464000000001</v>
      </c>
      <c r="D79" s="353">
        <f t="shared" si="21"/>
        <v>25.794464000000001</v>
      </c>
      <c r="E79" s="65"/>
      <c r="F79" s="65"/>
      <c r="G79" s="65"/>
      <c r="H79" s="358"/>
      <c r="J79" s="11"/>
    </row>
    <row r="80" spans="1:15" ht="18" customHeight="1">
      <c r="A80" s="163"/>
      <c r="B80" s="161" t="s">
        <v>54</v>
      </c>
      <c r="C80" s="297">
        <f>SUM(C72:C74)-C75+SUM(C76:C79)</f>
        <v>507.02093200000002</v>
      </c>
      <c r="D80" s="297">
        <f>SUM(D72:D74)-D75+SUM(D76:D79)</f>
        <v>507.02093200000002</v>
      </c>
      <c r="E80" s="297">
        <f>E82-E81</f>
        <v>220.51725699999997</v>
      </c>
      <c r="F80" s="297">
        <f>F43-F70</f>
        <v>0</v>
      </c>
      <c r="G80" s="386">
        <f>D80-(E80+F80)</f>
        <v>286.50367500000004</v>
      </c>
      <c r="H80" s="358"/>
      <c r="J80" s="11"/>
    </row>
    <row r="81" spans="1:10" ht="18" customHeight="1">
      <c r="A81" s="163"/>
      <c r="B81" s="159" t="s">
        <v>415</v>
      </c>
      <c r="C81" s="353">
        <f>'1报表'!E88</f>
        <v>0</v>
      </c>
      <c r="D81" s="353">
        <f>C81</f>
        <v>0</v>
      </c>
      <c r="E81" s="362"/>
      <c r="F81" s="362"/>
      <c r="G81" s="354">
        <f>D81-(E81+F81)</f>
        <v>0</v>
      </c>
      <c r="H81" s="358"/>
      <c r="J81" s="212"/>
    </row>
    <row r="82" spans="1:10" ht="18" customHeight="1">
      <c r="A82" s="163"/>
      <c r="B82" s="161" t="s">
        <v>56</v>
      </c>
      <c r="C82" s="297">
        <f>C80+C81</f>
        <v>507.02093200000002</v>
      </c>
      <c r="D82" s="297">
        <f>D80+D81</f>
        <v>507.02093200000002</v>
      </c>
      <c r="E82" s="297">
        <f>E43-E70</f>
        <v>220.51725699999997</v>
      </c>
      <c r="F82" s="297">
        <f>F43-F70</f>
        <v>0</v>
      </c>
      <c r="G82" s="680">
        <f>D82-(E82+F82)</f>
        <v>286.50367500000004</v>
      </c>
      <c r="H82" s="358"/>
    </row>
    <row r="83" spans="1:10" ht="18" customHeight="1">
      <c r="A83" s="163"/>
      <c r="B83" s="161" t="s">
        <v>59</v>
      </c>
      <c r="C83" s="297">
        <f>C70+C82</f>
        <v>1805.1443469999999</v>
      </c>
      <c r="D83" s="297">
        <f>D70+D82</f>
        <v>1805.1443469999999</v>
      </c>
      <c r="E83" s="65"/>
      <c r="F83" s="65"/>
      <c r="G83" s="297">
        <f>G70+G82</f>
        <v>896.50932299999999</v>
      </c>
      <c r="H83" s="358"/>
    </row>
    <row r="84" spans="1:10" ht="15" customHeight="1">
      <c r="A84" s="163"/>
      <c r="B84" s="31" t="s">
        <v>51</v>
      </c>
      <c r="C84" s="28">
        <f>C43-C83</f>
        <v>0</v>
      </c>
      <c r="D84" s="28">
        <f>D43-D83</f>
        <v>0</v>
      </c>
      <c r="E84" s="28"/>
      <c r="F84" s="28"/>
      <c r="G84" s="28">
        <f>G43-G83</f>
        <v>0</v>
      </c>
    </row>
    <row r="85" spans="1:10" ht="15" customHeight="1">
      <c r="A85" s="163"/>
      <c r="B85" s="1" t="s">
        <v>300</v>
      </c>
      <c r="C85" s="44" t="str">
        <f t="shared" ref="C85:G85" si="22">IF(ROUND(C84,0)=0,"OK","需要检查")</f>
        <v>OK</v>
      </c>
      <c r="D85" s="44" t="str">
        <f t="shared" ref="D85" si="23">IF(ROUND(D84,0)=0,"OK","需要检查")</f>
        <v>OK</v>
      </c>
      <c r="E85" s="44"/>
      <c r="F85" s="44"/>
      <c r="G85" s="44" t="str">
        <f t="shared" si="22"/>
        <v>OK</v>
      </c>
    </row>
    <row r="86" spans="1:10" ht="15" customHeight="1">
      <c r="A86" s="163"/>
    </row>
    <row r="87" spans="1:10" ht="15" customHeight="1">
      <c r="A87" s="167"/>
    </row>
    <row r="88" spans="1:10" ht="15" customHeight="1">
      <c r="A88" s="163"/>
    </row>
    <row r="89" spans="1:10" ht="15" customHeight="1">
      <c r="A89" s="167"/>
      <c r="D89" s="44"/>
    </row>
    <row r="90" spans="1:10" ht="15" customHeight="1">
      <c r="A90" s="167"/>
    </row>
    <row r="91" spans="1:10" ht="15" customHeight="1">
      <c r="A91" s="164"/>
    </row>
    <row r="92" spans="1:10" ht="15" customHeight="1">
      <c r="A92" s="164"/>
    </row>
    <row r="93" spans="1:10" ht="15" customHeight="1">
      <c r="A93" s="164"/>
    </row>
    <row r="94" spans="1:10" ht="15" customHeight="1">
      <c r="A94" s="164"/>
    </row>
    <row r="95" spans="1:10" ht="15" customHeight="1">
      <c r="A95" s="164"/>
    </row>
    <row r="96" spans="1:10" ht="18" customHeight="1">
      <c r="A96" s="164"/>
    </row>
    <row r="97" spans="1:1" ht="18" customHeight="1">
      <c r="A97" s="164"/>
    </row>
    <row r="98" spans="1:1" ht="18" customHeight="1">
      <c r="A98" s="164"/>
    </row>
    <row r="99" spans="1:1" ht="18" customHeight="1">
      <c r="A99" s="164"/>
    </row>
    <row r="100" spans="1:1" ht="18" customHeight="1">
      <c r="A100" s="164"/>
    </row>
    <row r="101" spans="1:1" ht="18" customHeight="1">
      <c r="A101" s="164"/>
    </row>
    <row r="102" spans="1:1" ht="18" customHeight="1">
      <c r="A102" s="164"/>
    </row>
    <row r="103" spans="1:1" ht="18" customHeight="1">
      <c r="A103" s="164"/>
    </row>
    <row r="104" spans="1:1" ht="18" customHeight="1">
      <c r="A104" s="164"/>
    </row>
    <row r="105" spans="1:1" ht="18" customHeight="1">
      <c r="A105" s="164"/>
    </row>
    <row r="106" spans="1:1" ht="18" customHeight="1">
      <c r="A106" s="164"/>
    </row>
    <row r="107" spans="1:1" ht="18" customHeight="1">
      <c r="A107" s="164"/>
    </row>
    <row r="108" spans="1:1" ht="18" customHeight="1">
      <c r="A108" s="164"/>
    </row>
    <row r="109" spans="1:1" ht="18" customHeight="1">
      <c r="A109" s="164"/>
    </row>
    <row r="110" spans="1:1" ht="18" customHeight="1">
      <c r="A110" s="164"/>
    </row>
    <row r="111" spans="1:1" ht="18" customHeight="1">
      <c r="A111" s="164"/>
    </row>
    <row r="112" spans="1:1" ht="18" customHeight="1">
      <c r="A112" s="164"/>
    </row>
    <row r="113" spans="1:1" ht="18" customHeight="1">
      <c r="A113" s="164"/>
    </row>
    <row r="114" spans="1:1" ht="18" customHeight="1">
      <c r="A114" s="164"/>
    </row>
    <row r="115" spans="1:1" ht="18" customHeight="1">
      <c r="A115" s="164"/>
    </row>
    <row r="116" spans="1:1" ht="18" customHeight="1">
      <c r="A116" s="164"/>
    </row>
    <row r="117" spans="1:1" ht="18" customHeight="1">
      <c r="A117" s="164"/>
    </row>
    <row r="118" spans="1:1" ht="18" customHeight="1">
      <c r="A118" s="164"/>
    </row>
    <row r="119" spans="1:1" ht="18" customHeight="1">
      <c r="A119" s="164"/>
    </row>
    <row r="120" spans="1:1" ht="18" customHeight="1">
      <c r="A120" s="164"/>
    </row>
    <row r="121" spans="1:1" ht="18" customHeight="1">
      <c r="A121" s="164"/>
    </row>
    <row r="122" spans="1:1" ht="18" customHeight="1">
      <c r="A122" s="164"/>
    </row>
    <row r="123" spans="1:1" ht="18" customHeight="1">
      <c r="A123" s="164"/>
    </row>
    <row r="124" spans="1:1" ht="18" customHeight="1">
      <c r="A124" s="164"/>
    </row>
    <row r="125" spans="1:1" ht="18" customHeight="1">
      <c r="A125" s="164"/>
    </row>
    <row r="126" spans="1:1" ht="18" customHeight="1">
      <c r="A126" s="164"/>
    </row>
    <row r="127" spans="1:1" ht="18" customHeight="1">
      <c r="A127" s="164"/>
    </row>
    <row r="128" spans="1:1" ht="18" customHeight="1">
      <c r="A128" s="164"/>
    </row>
    <row r="129" spans="1:1" ht="18" customHeight="1">
      <c r="A129" s="164"/>
    </row>
    <row r="130" spans="1:1" ht="18" customHeight="1">
      <c r="A130" s="164"/>
    </row>
    <row r="131" spans="1:1" ht="18" customHeight="1">
      <c r="A131" s="164"/>
    </row>
    <row r="132" spans="1:1" ht="18" customHeight="1">
      <c r="A132" s="164"/>
    </row>
    <row r="133" spans="1:1" ht="18" customHeight="1">
      <c r="A133" s="164"/>
    </row>
    <row r="134" spans="1:1" ht="18" customHeight="1">
      <c r="A134" s="164"/>
    </row>
    <row r="135" spans="1:1" ht="18" customHeight="1">
      <c r="A135" s="164"/>
    </row>
    <row r="136" spans="1:1" ht="18" customHeight="1">
      <c r="A136" s="164"/>
    </row>
    <row r="137" spans="1:1" ht="18" customHeight="1">
      <c r="A137" s="164"/>
    </row>
    <row r="138" spans="1:1" ht="18" customHeight="1">
      <c r="A138" s="164"/>
    </row>
    <row r="139" spans="1:1" ht="18" customHeight="1">
      <c r="A139" s="164"/>
    </row>
    <row r="140" spans="1:1" ht="18" customHeight="1">
      <c r="A140" s="164"/>
    </row>
    <row r="141" spans="1:1" ht="18" customHeight="1">
      <c r="A141" s="164"/>
    </row>
    <row r="142" spans="1:1" ht="18" customHeight="1">
      <c r="A142" s="164"/>
    </row>
    <row r="143" spans="1:1" ht="18" customHeight="1">
      <c r="A143" s="164"/>
    </row>
    <row r="144" spans="1:1" ht="18" customHeight="1">
      <c r="A144" s="164"/>
    </row>
    <row r="145" spans="1:1" ht="18" customHeight="1">
      <c r="A145" s="164"/>
    </row>
    <row r="146" spans="1:1" ht="18" customHeight="1">
      <c r="A146" s="164"/>
    </row>
  </sheetData>
  <sheetProtection formatCells="0" formatColumns="0" formatRows="0"/>
  <mergeCells count="4">
    <mergeCell ref="J2:N2"/>
    <mergeCell ref="B5:B6"/>
    <mergeCell ref="C5:H5"/>
    <mergeCell ref="B2:H2"/>
  </mergeCells>
  <phoneticPr fontId="6" type="noConversion"/>
  <pageMargins left="0.75" right="0.75" top="1" bottom="1" header="0.5" footer="0.5"/>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FF00"/>
  </sheetPr>
  <dimension ref="A1:X9"/>
  <sheetViews>
    <sheetView zoomScaleNormal="100" workbookViewId="0">
      <selection activeCell="F8" sqref="F8"/>
    </sheetView>
  </sheetViews>
  <sheetFormatPr defaultColWidth="9" defaultRowHeight="18" customHeight="1"/>
  <cols>
    <col min="1" max="1" width="2.33203125" style="11" customWidth="1"/>
    <col min="2" max="2" width="11.58203125" style="11" customWidth="1"/>
    <col min="3" max="5" width="8.5" style="11" customWidth="1"/>
    <col min="6" max="10" width="10.08203125" style="11" customWidth="1"/>
    <col min="11" max="11" width="9.08203125" style="11" customWidth="1"/>
    <col min="12" max="13" width="9" style="11"/>
    <col min="14" max="14" width="7.25" style="11" customWidth="1"/>
    <col min="15" max="15" width="9.08203125" style="11" customWidth="1"/>
    <col min="16" max="16" width="7.25" style="11" customWidth="1"/>
    <col min="17" max="17" width="9.08203125" style="11" customWidth="1"/>
    <col min="18" max="24" width="7.25" style="11" customWidth="1"/>
    <col min="25" max="16384" width="9" style="11"/>
  </cols>
  <sheetData>
    <row r="1" spans="1:24" s="3" customFormat="1" ht="33.75" customHeight="1">
      <c r="B1" s="749" t="s">
        <v>312</v>
      </c>
      <c r="C1" s="749"/>
      <c r="D1" s="749"/>
      <c r="E1" s="749"/>
      <c r="F1" s="749"/>
      <c r="G1" s="749"/>
      <c r="H1" s="749"/>
      <c r="I1" s="749"/>
      <c r="J1" s="749"/>
      <c r="K1" s="749"/>
    </row>
    <row r="2" spans="1:24" s="3" customFormat="1" ht="18" customHeight="1">
      <c r="B2" s="229" t="str">
        <f>'1报表'!B11</f>
        <v>评估基准日：2018/6/30</v>
      </c>
      <c r="D2" s="70"/>
      <c r="E2" s="381"/>
      <c r="G2" s="70"/>
      <c r="H2" s="70"/>
      <c r="I2" s="70"/>
      <c r="J2" s="70"/>
      <c r="K2" s="70"/>
      <c r="N2" s="29"/>
      <c r="O2" s="29"/>
      <c r="P2" s="29"/>
      <c r="Q2" s="29"/>
      <c r="R2" s="29"/>
      <c r="S2" s="29"/>
      <c r="T2" s="29"/>
      <c r="U2" s="29"/>
      <c r="V2" s="29"/>
      <c r="W2" s="29"/>
      <c r="X2" s="29"/>
    </row>
    <row r="3" spans="1:24" s="3" customFormat="1" ht="18" customHeight="1">
      <c r="B3" s="229" t="str">
        <f>'1报表'!B12</f>
        <v>被评估单位：YLSJ公司</v>
      </c>
      <c r="F3" s="16"/>
      <c r="K3" s="15" t="s">
        <v>52</v>
      </c>
      <c r="M3" s="180"/>
      <c r="N3" s="30"/>
      <c r="O3" s="30"/>
      <c r="P3" s="30"/>
      <c r="Q3" s="30"/>
      <c r="R3" s="30"/>
      <c r="S3" s="30"/>
      <c r="T3" s="30"/>
      <c r="U3" s="30"/>
      <c r="V3" s="30"/>
      <c r="W3" s="30"/>
      <c r="X3" s="30"/>
    </row>
    <row r="4" spans="1:24" ht="20.5" customHeight="1">
      <c r="A4" s="3"/>
      <c r="B4" s="24" t="s">
        <v>87</v>
      </c>
      <c r="C4" s="61" t="str">
        <f>'1报表'!C96</f>
        <v>2016年</v>
      </c>
      <c r="D4" s="61" t="str">
        <f>'1报表'!D96</f>
        <v>2017年</v>
      </c>
      <c r="E4" s="61" t="str">
        <f>'1报表'!E96</f>
        <v>2018年1-6</v>
      </c>
      <c r="F4" s="681" t="str">
        <f>YEAR('1报表'!E5)&amp;"年"</f>
        <v>2018年</v>
      </c>
      <c r="G4" s="681" t="str">
        <f>LEFT(F4,4)+1&amp;"年"</f>
        <v>2019年</v>
      </c>
      <c r="H4" s="681" t="str">
        <f t="shared" ref="H4:K4" si="0">LEFT(G4,4)+1&amp;"年"</f>
        <v>2020年</v>
      </c>
      <c r="I4" s="681" t="str">
        <f t="shared" si="0"/>
        <v>2021年</v>
      </c>
      <c r="J4" s="681" t="str">
        <f t="shared" si="0"/>
        <v>2022年</v>
      </c>
      <c r="K4" s="681" t="str">
        <f t="shared" si="0"/>
        <v>2023年</v>
      </c>
      <c r="L4" s="3"/>
      <c r="M4" s="3"/>
      <c r="N4" s="3"/>
      <c r="O4" s="3"/>
      <c r="P4" s="3"/>
      <c r="Q4" s="3"/>
      <c r="R4" s="3"/>
      <c r="S4" s="3"/>
      <c r="T4" s="3"/>
      <c r="U4" s="3"/>
      <c r="V4" s="3"/>
      <c r="W4" s="3"/>
    </row>
    <row r="5" spans="1:24" ht="22.15" customHeight="1">
      <c r="A5" s="3"/>
      <c r="B5" s="682" t="s">
        <v>224</v>
      </c>
      <c r="C5" s="75">
        <f>'1报表'!C97</f>
        <v>6309.9995689999996</v>
      </c>
      <c r="D5" s="75">
        <f>'1报表'!D97</f>
        <v>6454.082015</v>
      </c>
      <c r="E5" s="75">
        <f>'1报表'!E97</f>
        <v>2068.9888219999998</v>
      </c>
      <c r="F5" s="494">
        <v>4500</v>
      </c>
      <c r="G5" s="494">
        <f>F5*1.1</f>
        <v>4950</v>
      </c>
      <c r="H5" s="494">
        <f>G5*1.08</f>
        <v>5346</v>
      </c>
      <c r="I5" s="494">
        <f>H5*1.05</f>
        <v>5613.3</v>
      </c>
      <c r="J5" s="494">
        <f>I5*1.03</f>
        <v>5781.6990000000005</v>
      </c>
      <c r="K5" s="494">
        <f>J5</f>
        <v>5781.6990000000005</v>
      </c>
      <c r="L5" s="3"/>
      <c r="N5" s="147"/>
    </row>
    <row r="6" spans="1:24" ht="18" customHeight="1">
      <c r="B6" s="181" t="s">
        <v>259</v>
      </c>
      <c r="C6" s="266"/>
      <c r="D6" s="266">
        <f t="shared" ref="D6:K6" si="1">IF(C5,D5/C5-1,"na")</f>
        <v>2.2833986662670114E-2</v>
      </c>
      <c r="E6" s="429" t="s">
        <v>403</v>
      </c>
      <c r="F6" s="266">
        <f>IF(D5,F5/D5-1,"na")</f>
        <v>-0.30276683972383633</v>
      </c>
      <c r="G6" s="266">
        <f>IF(F5,G5/F5-1,"na")</f>
        <v>0.10000000000000009</v>
      </c>
      <c r="H6" s="266">
        <f t="shared" si="1"/>
        <v>8.0000000000000071E-2</v>
      </c>
      <c r="I6" s="266">
        <f t="shared" si="1"/>
        <v>5.0000000000000044E-2</v>
      </c>
      <c r="J6" s="266">
        <f>IF(I5,J5/I5-1,"na")</f>
        <v>3.0000000000000027E-2</v>
      </c>
      <c r="K6" s="266">
        <f t="shared" si="1"/>
        <v>0</v>
      </c>
    </row>
    <row r="7" spans="1:24" ht="18" customHeight="1">
      <c r="B7" s="76"/>
    </row>
    <row r="9" spans="1:24" ht="18" customHeight="1">
      <c r="B9" s="73" t="s">
        <v>570</v>
      </c>
      <c r="C9" s="535"/>
    </row>
  </sheetData>
  <sheetProtection formatCells="0" formatColumns="0" formatRows="0" insertRows="0"/>
  <mergeCells count="1">
    <mergeCell ref="B1:K1"/>
  </mergeCells>
  <phoneticPr fontId="6" type="noConversion"/>
  <pageMargins left="0.75" right="0.75" top="1" bottom="1" header="0.5" footer="0.5"/>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tabColor rgb="FFFFFF00"/>
  </sheetPr>
  <dimension ref="A1:X86"/>
  <sheetViews>
    <sheetView zoomScaleNormal="100" workbookViewId="0">
      <selection activeCell="C38" sqref="C38"/>
    </sheetView>
  </sheetViews>
  <sheetFormatPr defaultColWidth="8.75" defaultRowHeight="18" customHeight="1" outlineLevelRow="1"/>
  <cols>
    <col min="1" max="1" width="3.25" style="11" customWidth="1"/>
    <col min="2" max="2" width="18.33203125" style="11" customWidth="1"/>
    <col min="3" max="11" width="10.83203125" style="11" customWidth="1"/>
    <col min="12" max="12" width="8.33203125" style="11" customWidth="1"/>
    <col min="13" max="13" width="8" style="11" customWidth="1"/>
    <col min="14" max="14" width="7.75" style="11" customWidth="1"/>
    <col min="15" max="16" width="9" style="11" customWidth="1"/>
    <col min="17" max="16384" width="8.75" style="11"/>
  </cols>
  <sheetData>
    <row r="1" spans="1:24" ht="26.25" customHeight="1">
      <c r="B1" s="749" t="s">
        <v>313</v>
      </c>
      <c r="C1" s="749"/>
      <c r="D1" s="749"/>
      <c r="E1" s="749"/>
      <c r="F1" s="749"/>
      <c r="G1" s="749"/>
      <c r="H1" s="749"/>
      <c r="I1" s="749"/>
      <c r="J1" s="749"/>
      <c r="K1" s="749"/>
      <c r="L1" s="189"/>
      <c r="M1" s="3"/>
    </row>
    <row r="2" spans="1:24" ht="18" customHeight="1">
      <c r="B2" s="229" t="str">
        <f>'1报表'!B11</f>
        <v>评估基准日：2018/6/30</v>
      </c>
      <c r="E2" s="381"/>
      <c r="G2" s="70"/>
      <c r="H2" s="70"/>
      <c r="I2" s="70"/>
      <c r="J2" s="70"/>
      <c r="K2" s="70"/>
      <c r="L2" s="3"/>
      <c r="N2" s="29"/>
      <c r="O2" s="29"/>
      <c r="P2" s="29"/>
      <c r="Q2" s="29"/>
      <c r="R2" s="29"/>
    </row>
    <row r="3" spans="1:24" ht="18" customHeight="1">
      <c r="B3" s="229" t="str">
        <f>'1报表'!B12</f>
        <v>被评估单位：YLSJ公司</v>
      </c>
      <c r="D3" s="3"/>
      <c r="E3" s="3"/>
      <c r="F3" s="16"/>
      <c r="G3" s="3"/>
      <c r="J3" s="15"/>
      <c r="K3" s="15" t="s">
        <v>52</v>
      </c>
      <c r="L3" s="3"/>
      <c r="M3" s="3"/>
      <c r="N3" s="33"/>
      <c r="O3" s="33"/>
      <c r="P3" s="33"/>
      <c r="Q3" s="33"/>
      <c r="R3" s="33"/>
      <c r="S3" s="33"/>
      <c r="T3" s="33"/>
      <c r="U3" s="33"/>
      <c r="V3" s="33"/>
      <c r="W3" s="33"/>
      <c r="X3" s="33"/>
    </row>
    <row r="4" spans="1:24" ht="21.65" customHeight="1">
      <c r="B4" s="24" t="s">
        <v>86</v>
      </c>
      <c r="C4" s="61" t="str">
        <f>'3收入'!C4</f>
        <v>2016年</v>
      </c>
      <c r="D4" s="61" t="str">
        <f>'3收入'!D4</f>
        <v>2017年</v>
      </c>
      <c r="E4" s="61" t="str">
        <f>'3收入'!E4</f>
        <v>2018年1-6</v>
      </c>
      <c r="F4" s="23" t="str">
        <f>'3收入'!F4</f>
        <v>2018年</v>
      </c>
      <c r="G4" s="23" t="str">
        <f>'3收入'!G4</f>
        <v>2019年</v>
      </c>
      <c r="H4" s="23" t="str">
        <f>'3收入'!H4</f>
        <v>2020年</v>
      </c>
      <c r="I4" s="23" t="str">
        <f>'3收入'!I4</f>
        <v>2021年</v>
      </c>
      <c r="J4" s="23" t="str">
        <f>'3收入'!J4</f>
        <v>2022年</v>
      </c>
      <c r="K4" s="23" t="str">
        <f>'3收入'!K4</f>
        <v>2023年</v>
      </c>
      <c r="L4" s="3"/>
      <c r="M4" s="3"/>
    </row>
    <row r="5" spans="1:24" ht="19.899999999999999" customHeight="1">
      <c r="B5" s="682" t="s">
        <v>225</v>
      </c>
      <c r="C5" s="494">
        <f>'1报表'!C98</f>
        <v>5325.2090229999994</v>
      </c>
      <c r="D5" s="494">
        <f>'1报表'!D98</f>
        <v>5874.6685770000004</v>
      </c>
      <c r="E5" s="494">
        <f>'1报表'!E98</f>
        <v>2248.312367</v>
      </c>
      <c r="F5" s="494">
        <f>F84</f>
        <v>3958.79</v>
      </c>
      <c r="G5" s="494">
        <f t="shared" ref="G5:J5" si="0">G84</f>
        <v>4362.54</v>
      </c>
      <c r="H5" s="494">
        <f t="shared" si="0"/>
        <v>4708.1747320000004</v>
      </c>
      <c r="I5" s="494">
        <f t="shared" si="0"/>
        <v>4917.8710000000001</v>
      </c>
      <c r="J5" s="494">
        <f t="shared" si="0"/>
        <v>5074.1781300000002</v>
      </c>
      <c r="K5" s="494">
        <f>K84</f>
        <v>5081.3281299999999</v>
      </c>
      <c r="L5" s="3"/>
      <c r="M5" s="3"/>
    </row>
    <row r="6" spans="1:24" ht="18" customHeight="1">
      <c r="A6" s="13"/>
      <c r="B6" s="190" t="s">
        <v>101</v>
      </c>
      <c r="C6" s="39">
        <f>'3收入'!C5</f>
        <v>6309.9995689999996</v>
      </c>
      <c r="D6" s="39">
        <f>'3收入'!D5</f>
        <v>6454.082015</v>
      </c>
      <c r="E6" s="39">
        <f>'3收入'!E5</f>
        <v>2068.9888219999998</v>
      </c>
      <c r="F6" s="39">
        <f>'3收入'!F5</f>
        <v>4500</v>
      </c>
      <c r="G6" s="39">
        <f>'3收入'!G5</f>
        <v>4950</v>
      </c>
      <c r="H6" s="39">
        <f>'3收入'!H5</f>
        <v>5346</v>
      </c>
      <c r="I6" s="39">
        <f>'3收入'!I5</f>
        <v>5613.3</v>
      </c>
      <c r="J6" s="39">
        <f>'3收入'!J5</f>
        <v>5781.6990000000005</v>
      </c>
      <c r="K6" s="39">
        <f>'3收入'!K5</f>
        <v>5781.6990000000005</v>
      </c>
      <c r="L6" s="3"/>
      <c r="M6" s="3"/>
    </row>
    <row r="7" spans="1:24" ht="18" customHeight="1">
      <c r="A7" s="13"/>
      <c r="B7" s="190" t="s">
        <v>258</v>
      </c>
      <c r="C7" s="264">
        <f>IF(C6,(C6-C5)/C6,"na")</f>
        <v>0.15606824298976435</v>
      </c>
      <c r="D7" s="264">
        <f t="shared" ref="D7:K7" si="1">IF(D6,(D6-D5)/D6,"na")</f>
        <v>8.9774724996270372E-2</v>
      </c>
      <c r="E7" s="430">
        <f>IF(E6,(E6-E5)/E6,"na")</f>
        <v>-8.6672070478687302E-2</v>
      </c>
      <c r="F7" s="264">
        <f>IF(F6,(F6-F5)/F6,"na")</f>
        <v>0.1202688888888889</v>
      </c>
      <c r="G7" s="264">
        <f t="shared" ref="G7:H7" si="2">IF(G6,(G6-G5)/G6,"na")</f>
        <v>0.11867878787878788</v>
      </c>
      <c r="H7" s="264">
        <f t="shared" si="2"/>
        <v>0.11930887916199019</v>
      </c>
      <c r="I7" s="264">
        <f t="shared" si="1"/>
        <v>0.12388951240803094</v>
      </c>
      <c r="J7" s="264">
        <f t="shared" si="1"/>
        <v>0.12237248428186943</v>
      </c>
      <c r="K7" s="264">
        <f t="shared" si="1"/>
        <v>0.12113582357019979</v>
      </c>
      <c r="L7" s="3"/>
      <c r="M7" s="3"/>
    </row>
    <row r="8" spans="1:24" ht="18" customHeight="1" thickBot="1">
      <c r="B8" s="300" t="s">
        <v>772</v>
      </c>
      <c r="C8" s="192"/>
      <c r="D8" s="192"/>
      <c r="E8" s="192"/>
      <c r="F8" s="192"/>
      <c r="G8" s="192"/>
      <c r="H8" s="192"/>
      <c r="I8" s="192"/>
      <c r="J8" s="192"/>
      <c r="K8" s="192"/>
    </row>
    <row r="9" spans="1:24" ht="18" customHeight="1" outlineLevel="1">
      <c r="B9" s="683" t="s">
        <v>766</v>
      </c>
      <c r="C9" s="276" t="str">
        <f t="shared" ref="C9:K9" si="3">C4</f>
        <v>2016年</v>
      </c>
      <c r="D9" s="276" t="str">
        <f t="shared" si="3"/>
        <v>2017年</v>
      </c>
      <c r="E9" s="276" t="str">
        <f t="shared" si="3"/>
        <v>2018年1-6</v>
      </c>
      <c r="F9" s="277" t="str">
        <f t="shared" si="3"/>
        <v>2018年</v>
      </c>
      <c r="G9" s="278" t="str">
        <f t="shared" si="3"/>
        <v>2019年</v>
      </c>
      <c r="H9" s="278" t="str">
        <f t="shared" si="3"/>
        <v>2020年</v>
      </c>
      <c r="I9" s="278" t="str">
        <f t="shared" si="3"/>
        <v>2021年</v>
      </c>
      <c r="J9" s="278" t="str">
        <f t="shared" si="3"/>
        <v>2022年</v>
      </c>
      <c r="K9" s="278" t="str">
        <f t="shared" si="3"/>
        <v>2023年</v>
      </c>
      <c r="M9" s="503" t="s">
        <v>170</v>
      </c>
      <c r="N9" s="168"/>
      <c r="O9" s="168"/>
      <c r="P9" s="168"/>
      <c r="Q9" s="168"/>
      <c r="R9" s="168"/>
      <c r="S9" s="168"/>
      <c r="T9" s="168"/>
    </row>
    <row r="10" spans="1:24" ht="18" customHeight="1" outlineLevel="1">
      <c r="B10" s="78" t="s">
        <v>574</v>
      </c>
      <c r="C10" s="307"/>
      <c r="D10" s="307"/>
      <c r="E10" s="307"/>
      <c r="F10" s="307"/>
      <c r="G10" s="307"/>
      <c r="H10" s="307"/>
      <c r="I10" s="307"/>
      <c r="J10" s="307"/>
      <c r="K10" s="307"/>
      <c r="M10" s="436" t="s">
        <v>135</v>
      </c>
      <c r="N10" s="168"/>
      <c r="O10" s="168"/>
      <c r="P10" s="168"/>
      <c r="Q10" s="168"/>
      <c r="R10" s="168"/>
      <c r="S10" s="168"/>
      <c r="T10" s="168"/>
    </row>
    <row r="11" spans="1:24" ht="18" customHeight="1" outlineLevel="1">
      <c r="B11" s="191" t="s">
        <v>260</v>
      </c>
      <c r="C11" s="271">
        <f>IF(C6,C10/C6,"na")</f>
        <v>0</v>
      </c>
      <c r="D11" s="271">
        <f>IF(D6,D10/D6,"na")</f>
        <v>0</v>
      </c>
      <c r="E11" s="273">
        <f>IF(E6,E10/E6,"na")</f>
        <v>0</v>
      </c>
      <c r="F11" s="195"/>
      <c r="G11" s="195"/>
      <c r="H11" s="195"/>
      <c r="I11" s="195"/>
      <c r="J11" s="195"/>
      <c r="K11" s="195"/>
      <c r="M11" s="436" t="s">
        <v>136</v>
      </c>
      <c r="N11" s="168"/>
      <c r="O11" s="168"/>
      <c r="P11" s="168"/>
      <c r="Q11" s="168"/>
      <c r="R11" s="168"/>
      <c r="S11" s="168"/>
      <c r="T11" s="168"/>
    </row>
    <row r="12" spans="1:24" ht="18" customHeight="1" outlineLevel="1">
      <c r="B12" s="17" t="str">
        <f>B10</f>
        <v>原材料</v>
      </c>
      <c r="C12" s="80">
        <f>C10</f>
        <v>0</v>
      </c>
      <c r="D12" s="80">
        <f t="shared" ref="D12:E12" si="4">D10</f>
        <v>0</v>
      </c>
      <c r="E12" s="80">
        <f t="shared" si="4"/>
        <v>0</v>
      </c>
      <c r="F12" s="41">
        <f t="shared" ref="F12:K12" si="5">IF(F10,F10,F11*F6)</f>
        <v>0</v>
      </c>
      <c r="G12" s="41">
        <f t="shared" si="5"/>
        <v>0</v>
      </c>
      <c r="H12" s="41">
        <f t="shared" si="5"/>
        <v>0</v>
      </c>
      <c r="I12" s="41">
        <f t="shared" si="5"/>
        <v>0</v>
      </c>
      <c r="J12" s="41">
        <f t="shared" si="5"/>
        <v>0</v>
      </c>
      <c r="K12" s="41">
        <f t="shared" si="5"/>
        <v>0</v>
      </c>
      <c r="M12" s="147" t="s">
        <v>526</v>
      </c>
    </row>
    <row r="13" spans="1:24" ht="18" customHeight="1" outlineLevel="1" thickBot="1">
      <c r="B13" s="192" t="s">
        <v>96</v>
      </c>
      <c r="C13" s="42"/>
      <c r="D13" s="42"/>
      <c r="E13" s="274"/>
      <c r="F13" s="301">
        <f t="shared" ref="F13:K13" si="6">IF(F6,F12/F6,"na")</f>
        <v>0</v>
      </c>
      <c r="G13" s="301">
        <f t="shared" si="6"/>
        <v>0</v>
      </c>
      <c r="H13" s="301">
        <f t="shared" si="6"/>
        <v>0</v>
      </c>
      <c r="I13" s="301">
        <f t="shared" si="6"/>
        <v>0</v>
      </c>
      <c r="J13" s="301">
        <f t="shared" si="6"/>
        <v>0</v>
      </c>
      <c r="K13" s="301">
        <f t="shared" si="6"/>
        <v>0</v>
      </c>
    </row>
    <row r="14" spans="1:24" ht="18" customHeight="1" outlineLevel="1" thickBot="1">
      <c r="B14" s="299"/>
      <c r="C14" s="299"/>
      <c r="D14" s="299"/>
      <c r="E14" s="299"/>
      <c r="F14" s="299"/>
      <c r="G14" s="299"/>
      <c r="H14" s="299"/>
      <c r="I14" s="299"/>
      <c r="J14" s="299"/>
      <c r="K14" s="299"/>
    </row>
    <row r="15" spans="1:24" ht="18" customHeight="1" outlineLevel="1">
      <c r="B15" s="683" t="s">
        <v>767</v>
      </c>
      <c r="C15" s="276" t="str">
        <f t="shared" ref="C15:K15" si="7">C4</f>
        <v>2016年</v>
      </c>
      <c r="D15" s="276" t="str">
        <f t="shared" si="7"/>
        <v>2017年</v>
      </c>
      <c r="E15" s="276" t="str">
        <f t="shared" si="7"/>
        <v>2018年1-6</v>
      </c>
      <c r="F15" s="277" t="str">
        <f t="shared" si="7"/>
        <v>2018年</v>
      </c>
      <c r="G15" s="278" t="str">
        <f t="shared" si="7"/>
        <v>2019年</v>
      </c>
      <c r="H15" s="278" t="str">
        <f t="shared" si="7"/>
        <v>2020年</v>
      </c>
      <c r="I15" s="278" t="str">
        <f t="shared" si="7"/>
        <v>2021年</v>
      </c>
      <c r="J15" s="278" t="str">
        <f t="shared" si="7"/>
        <v>2022年</v>
      </c>
      <c r="K15" s="278" t="str">
        <f t="shared" si="7"/>
        <v>2023年</v>
      </c>
    </row>
    <row r="16" spans="1:24" ht="18" customHeight="1" outlineLevel="1">
      <c r="B16" s="78" t="s">
        <v>575</v>
      </c>
      <c r="C16" s="307"/>
      <c r="D16" s="307"/>
      <c r="E16" s="307"/>
      <c r="F16" s="307"/>
      <c r="G16" s="307"/>
      <c r="H16" s="307"/>
      <c r="I16" s="307"/>
      <c r="J16" s="307"/>
      <c r="K16" s="307"/>
    </row>
    <row r="17" spans="2:11" ht="18" customHeight="1" outlineLevel="1">
      <c r="B17" s="191" t="s">
        <v>260</v>
      </c>
      <c r="C17" s="271">
        <f>IF(C6,C16/C6,"na")</f>
        <v>0</v>
      </c>
      <c r="D17" s="271">
        <f>IF(D6,D16/D6,"na")</f>
        <v>0</v>
      </c>
      <c r="E17" s="271">
        <f>IF(E6,E16/E6,"na")</f>
        <v>0</v>
      </c>
      <c r="F17" s="195"/>
      <c r="G17" s="195"/>
      <c r="H17" s="195"/>
      <c r="I17" s="195"/>
      <c r="J17" s="195"/>
      <c r="K17" s="195"/>
    </row>
    <row r="18" spans="2:11" ht="18" customHeight="1" outlineLevel="1">
      <c r="B18" s="17" t="str">
        <f>B16</f>
        <v>燃料及动力</v>
      </c>
      <c r="C18" s="80">
        <f>C16</f>
        <v>0</v>
      </c>
      <c r="D18" s="80">
        <f t="shared" ref="D18:E18" si="8">D16</f>
        <v>0</v>
      </c>
      <c r="E18" s="80">
        <f t="shared" si="8"/>
        <v>0</v>
      </c>
      <c r="F18" s="41">
        <f t="shared" ref="F18:K18" si="9">IF(F16,F16,F17*F6)</f>
        <v>0</v>
      </c>
      <c r="G18" s="41">
        <f t="shared" si="9"/>
        <v>0</v>
      </c>
      <c r="H18" s="41">
        <f t="shared" si="9"/>
        <v>0</v>
      </c>
      <c r="I18" s="41">
        <f t="shared" si="9"/>
        <v>0</v>
      </c>
      <c r="J18" s="41">
        <f t="shared" si="9"/>
        <v>0</v>
      </c>
      <c r="K18" s="41">
        <f t="shared" si="9"/>
        <v>0</v>
      </c>
    </row>
    <row r="19" spans="2:11" ht="18" customHeight="1" outlineLevel="1" thickBot="1">
      <c r="B19" s="192" t="s">
        <v>96</v>
      </c>
      <c r="C19" s="42"/>
      <c r="D19" s="42"/>
      <c r="E19" s="274"/>
      <c r="F19" s="301">
        <f t="shared" ref="F19:K19" si="10">IF(F6,F18/F6,"na")</f>
        <v>0</v>
      </c>
      <c r="G19" s="301">
        <f t="shared" si="10"/>
        <v>0</v>
      </c>
      <c r="H19" s="301">
        <f t="shared" si="10"/>
        <v>0</v>
      </c>
      <c r="I19" s="301">
        <f t="shared" si="10"/>
        <v>0</v>
      </c>
      <c r="J19" s="301">
        <f t="shared" si="10"/>
        <v>0</v>
      </c>
      <c r="K19" s="301">
        <f t="shared" si="10"/>
        <v>0</v>
      </c>
    </row>
    <row r="20" spans="2:11" ht="18" customHeight="1" outlineLevel="1" thickBot="1">
      <c r="B20" s="299"/>
      <c r="C20" s="299"/>
      <c r="D20" s="299"/>
      <c r="E20" s="299"/>
      <c r="F20" s="299"/>
      <c r="G20" s="299"/>
      <c r="H20" s="299"/>
      <c r="I20" s="299"/>
      <c r="J20" s="299"/>
      <c r="K20" s="299"/>
    </row>
    <row r="21" spans="2:11" ht="18" customHeight="1" outlineLevel="1">
      <c r="B21" s="683" t="s">
        <v>768</v>
      </c>
      <c r="C21" s="276" t="str">
        <f t="shared" ref="C21:K21" si="11">C4</f>
        <v>2016年</v>
      </c>
      <c r="D21" s="276" t="str">
        <f t="shared" si="11"/>
        <v>2017年</v>
      </c>
      <c r="E21" s="276" t="str">
        <f t="shared" si="11"/>
        <v>2018年1-6</v>
      </c>
      <c r="F21" s="277" t="str">
        <f t="shared" si="11"/>
        <v>2018年</v>
      </c>
      <c r="G21" s="278" t="str">
        <f t="shared" si="11"/>
        <v>2019年</v>
      </c>
      <c r="H21" s="278" t="str">
        <f t="shared" si="11"/>
        <v>2020年</v>
      </c>
      <c r="I21" s="278" t="str">
        <f t="shared" si="11"/>
        <v>2021年</v>
      </c>
      <c r="J21" s="278" t="str">
        <f t="shared" si="11"/>
        <v>2022年</v>
      </c>
      <c r="K21" s="278" t="str">
        <f t="shared" si="11"/>
        <v>2023年</v>
      </c>
    </row>
    <row r="22" spans="2:11" ht="18" customHeight="1" outlineLevel="1">
      <c r="B22" s="78" t="s">
        <v>576</v>
      </c>
      <c r="C22" s="307"/>
      <c r="D22" s="307"/>
      <c r="E22" s="307"/>
      <c r="F22" s="307"/>
      <c r="G22" s="307"/>
      <c r="H22" s="307"/>
      <c r="I22" s="307"/>
      <c r="J22" s="307"/>
      <c r="K22" s="307"/>
    </row>
    <row r="23" spans="2:11" ht="18" customHeight="1" outlineLevel="1">
      <c r="B23" s="191" t="s">
        <v>260</v>
      </c>
      <c r="C23" s="271">
        <f>IF(C6,C22/C6,"na")</f>
        <v>0</v>
      </c>
      <c r="D23" s="271">
        <f>IF(D6,D22/D6,"na")</f>
        <v>0</v>
      </c>
      <c r="E23" s="271">
        <f>IF(E6,E22/E6,"na")</f>
        <v>0</v>
      </c>
      <c r="F23" s="195"/>
      <c r="G23" s="195">
        <f>F23</f>
        <v>0</v>
      </c>
      <c r="H23" s="195">
        <f t="shared" ref="H23:K23" si="12">G23</f>
        <v>0</v>
      </c>
      <c r="I23" s="195">
        <f t="shared" si="12"/>
        <v>0</v>
      </c>
      <c r="J23" s="195">
        <f t="shared" si="12"/>
        <v>0</v>
      </c>
      <c r="K23" s="195">
        <f t="shared" si="12"/>
        <v>0</v>
      </c>
    </row>
    <row r="24" spans="2:11" ht="18" customHeight="1" outlineLevel="1">
      <c r="B24" s="17" t="str">
        <f>B22</f>
        <v>生产人员工资及附加</v>
      </c>
      <c r="C24" s="80">
        <f>C22</f>
        <v>0</v>
      </c>
      <c r="D24" s="80">
        <f t="shared" ref="D24:E24" si="13">D22</f>
        <v>0</v>
      </c>
      <c r="E24" s="80">
        <f t="shared" si="13"/>
        <v>0</v>
      </c>
      <c r="F24" s="41">
        <f t="shared" ref="F24:K24" si="14">IF(F22,F22,F23*F6)</f>
        <v>0</v>
      </c>
      <c r="G24" s="41">
        <f t="shared" si="14"/>
        <v>0</v>
      </c>
      <c r="H24" s="41">
        <f t="shared" si="14"/>
        <v>0</v>
      </c>
      <c r="I24" s="41">
        <f t="shared" si="14"/>
        <v>0</v>
      </c>
      <c r="J24" s="41">
        <f t="shared" si="14"/>
        <v>0</v>
      </c>
      <c r="K24" s="41">
        <f t="shared" si="14"/>
        <v>0</v>
      </c>
    </row>
    <row r="25" spans="2:11" ht="18" customHeight="1" outlineLevel="1" thickBot="1">
      <c r="B25" s="192" t="s">
        <v>96</v>
      </c>
      <c r="C25" s="42"/>
      <c r="D25" s="42"/>
      <c r="E25" s="274"/>
      <c r="F25" s="301">
        <f t="shared" ref="F25:K25" si="15">IF(F6,F24/F6,"na")</f>
        <v>0</v>
      </c>
      <c r="G25" s="301">
        <f t="shared" si="15"/>
        <v>0</v>
      </c>
      <c r="H25" s="301">
        <f t="shared" si="15"/>
        <v>0</v>
      </c>
      <c r="I25" s="301">
        <f t="shared" si="15"/>
        <v>0</v>
      </c>
      <c r="J25" s="301">
        <f t="shared" si="15"/>
        <v>0</v>
      </c>
      <c r="K25" s="301">
        <f t="shared" si="15"/>
        <v>0</v>
      </c>
    </row>
    <row r="26" spans="2:11" ht="18" customHeight="1" outlineLevel="1" thickBot="1">
      <c r="B26" s="299"/>
      <c r="C26" s="299"/>
      <c r="D26" s="299"/>
      <c r="E26" s="299"/>
      <c r="F26" s="299"/>
      <c r="G26" s="299"/>
      <c r="H26" s="299"/>
      <c r="I26" s="299"/>
      <c r="J26" s="299"/>
      <c r="K26" s="299"/>
    </row>
    <row r="27" spans="2:11" ht="18" customHeight="1" outlineLevel="1">
      <c r="B27" s="683" t="s">
        <v>769</v>
      </c>
      <c r="C27" s="276" t="str">
        <f t="shared" ref="C27:K27" si="16">C4</f>
        <v>2016年</v>
      </c>
      <c r="D27" s="276" t="str">
        <f t="shared" si="16"/>
        <v>2017年</v>
      </c>
      <c r="E27" s="276" t="str">
        <f t="shared" si="16"/>
        <v>2018年1-6</v>
      </c>
      <c r="F27" s="277" t="str">
        <f t="shared" si="16"/>
        <v>2018年</v>
      </c>
      <c r="G27" s="278" t="str">
        <f t="shared" si="16"/>
        <v>2019年</v>
      </c>
      <c r="H27" s="278" t="str">
        <f t="shared" si="16"/>
        <v>2020年</v>
      </c>
      <c r="I27" s="278" t="str">
        <f t="shared" si="16"/>
        <v>2021年</v>
      </c>
      <c r="J27" s="278" t="str">
        <f t="shared" si="16"/>
        <v>2022年</v>
      </c>
      <c r="K27" s="278" t="str">
        <f t="shared" si="16"/>
        <v>2023年</v>
      </c>
    </row>
    <row r="28" spans="2:11" ht="18" customHeight="1" outlineLevel="1">
      <c r="B28" s="78" t="s">
        <v>580</v>
      </c>
      <c r="C28" s="307"/>
      <c r="D28" s="307"/>
      <c r="E28" s="307"/>
      <c r="F28" s="138">
        <f>'7折旧'!F5</f>
        <v>43.790000000000006</v>
      </c>
      <c r="G28" s="138">
        <f>'7折旧'!G5</f>
        <v>56.040000000000006</v>
      </c>
      <c r="H28" s="138">
        <f>'7折旧'!H5</f>
        <v>57.154731999999981</v>
      </c>
      <c r="I28" s="138">
        <f>'7折旧'!I5</f>
        <v>34.299999999999997</v>
      </c>
      <c r="J28" s="138">
        <f>'7折旧'!J5</f>
        <v>44.1</v>
      </c>
      <c r="K28" s="138">
        <f>'7折旧'!K5</f>
        <v>51.25</v>
      </c>
    </row>
    <row r="29" spans="2:11" ht="18" customHeight="1" outlineLevel="1" thickBot="1">
      <c r="B29" s="191" t="s">
        <v>260</v>
      </c>
      <c r="C29" s="271">
        <f>IF(C6,C28/C6,"na")</f>
        <v>0</v>
      </c>
      <c r="D29" s="271">
        <f>IF(D6,D28/D6,"na")</f>
        <v>0</v>
      </c>
      <c r="E29" s="271">
        <f>IF(E6,E28/E6,"na")</f>
        <v>0</v>
      </c>
      <c r="F29" s="271">
        <f>IF(F6,F28/F6,"na")</f>
        <v>9.7311111111111123E-3</v>
      </c>
      <c r="G29" s="271">
        <f t="shared" ref="G29:K29" si="17">IF(G6,G28/G6,"na")</f>
        <v>1.1321212121212123E-2</v>
      </c>
      <c r="H29" s="271">
        <f t="shared" si="17"/>
        <v>1.0691120838009724E-2</v>
      </c>
      <c r="I29" s="271">
        <f t="shared" si="17"/>
        <v>6.1104875919690731E-3</v>
      </c>
      <c r="J29" s="271">
        <f t="shared" si="17"/>
        <v>7.6275157181306041E-3</v>
      </c>
      <c r="K29" s="271">
        <f t="shared" si="17"/>
        <v>8.8641764298003061E-3</v>
      </c>
    </row>
    <row r="30" spans="2:11" ht="18" customHeight="1" outlineLevel="1" thickBot="1">
      <c r="B30" s="299"/>
      <c r="C30" s="299"/>
      <c r="D30" s="299"/>
      <c r="E30" s="299"/>
      <c r="F30" s="299"/>
      <c r="G30" s="299"/>
      <c r="H30" s="299"/>
      <c r="I30" s="299"/>
      <c r="J30" s="299"/>
      <c r="K30" s="299"/>
    </row>
    <row r="31" spans="2:11" ht="18" customHeight="1" outlineLevel="1">
      <c r="B31" s="683" t="s">
        <v>770</v>
      </c>
      <c r="C31" s="276" t="str">
        <f t="shared" ref="C31:K31" si="18">C4</f>
        <v>2016年</v>
      </c>
      <c r="D31" s="276" t="str">
        <f t="shared" si="18"/>
        <v>2017年</v>
      </c>
      <c r="E31" s="276" t="str">
        <f t="shared" si="18"/>
        <v>2018年1-6</v>
      </c>
      <c r="F31" s="277" t="str">
        <f t="shared" si="18"/>
        <v>2018年</v>
      </c>
      <c r="G31" s="278" t="str">
        <f t="shared" si="18"/>
        <v>2019年</v>
      </c>
      <c r="H31" s="278" t="str">
        <f t="shared" si="18"/>
        <v>2020年</v>
      </c>
      <c r="I31" s="278" t="str">
        <f t="shared" si="18"/>
        <v>2021年</v>
      </c>
      <c r="J31" s="278" t="str">
        <f t="shared" si="18"/>
        <v>2022年</v>
      </c>
      <c r="K31" s="278" t="str">
        <f t="shared" si="18"/>
        <v>2023年</v>
      </c>
    </row>
    <row r="32" spans="2:11" ht="18" customHeight="1" outlineLevel="1">
      <c r="B32" s="78" t="s">
        <v>577</v>
      </c>
      <c r="C32" s="307"/>
      <c r="D32" s="307"/>
      <c r="E32" s="307"/>
      <c r="F32" s="307"/>
      <c r="G32" s="307"/>
      <c r="H32" s="307"/>
      <c r="I32" s="307"/>
      <c r="J32" s="307"/>
      <c r="K32" s="307"/>
    </row>
    <row r="33" spans="2:13" ht="18" customHeight="1" outlineLevel="1">
      <c r="B33" s="191" t="s">
        <v>260</v>
      </c>
      <c r="C33" s="271">
        <f>IF(C6,C32/C6,"na")</f>
        <v>0</v>
      </c>
      <c r="D33" s="271">
        <f>IF(D6,D32/D6,"na")</f>
        <v>0</v>
      </c>
      <c r="E33" s="271">
        <f>IF(E6,E32/E6,"na")</f>
        <v>0</v>
      </c>
      <c r="F33" s="195"/>
      <c r="G33" s="195"/>
      <c r="H33" s="195"/>
      <c r="I33" s="195"/>
      <c r="J33" s="195"/>
      <c r="K33" s="195"/>
    </row>
    <row r="34" spans="2:13" ht="18" customHeight="1" outlineLevel="1">
      <c r="B34" s="17" t="str">
        <f>B32</f>
        <v>其他</v>
      </c>
      <c r="C34" s="80">
        <f>C32</f>
        <v>0</v>
      </c>
      <c r="D34" s="80">
        <f t="shared" ref="D34:E34" si="19">D32</f>
        <v>0</v>
      </c>
      <c r="E34" s="80">
        <f t="shared" si="19"/>
        <v>0</v>
      </c>
      <c r="F34" s="41">
        <f t="shared" ref="F34:K34" si="20">IF(F32,F32,F33*F6)</f>
        <v>0</v>
      </c>
      <c r="G34" s="41">
        <f t="shared" si="20"/>
        <v>0</v>
      </c>
      <c r="H34" s="41">
        <f t="shared" si="20"/>
        <v>0</v>
      </c>
      <c r="I34" s="41">
        <f t="shared" si="20"/>
        <v>0</v>
      </c>
      <c r="J34" s="41">
        <f t="shared" si="20"/>
        <v>0</v>
      </c>
      <c r="K34" s="41">
        <f t="shared" si="20"/>
        <v>0</v>
      </c>
    </row>
    <row r="35" spans="2:13" ht="18" customHeight="1" outlineLevel="1" thickBot="1">
      <c r="B35" s="196" t="s">
        <v>843</v>
      </c>
      <c r="C35" s="42"/>
      <c r="D35" s="42"/>
      <c r="E35" s="274"/>
      <c r="F35" s="301">
        <f t="shared" ref="F35:K35" si="21">IF(F6,F34/F6,"na")</f>
        <v>0</v>
      </c>
      <c r="G35" s="301">
        <f t="shared" si="21"/>
        <v>0</v>
      </c>
      <c r="H35" s="301">
        <f t="shared" si="21"/>
        <v>0</v>
      </c>
      <c r="I35" s="301">
        <f t="shared" si="21"/>
        <v>0</v>
      </c>
      <c r="J35" s="301">
        <f t="shared" si="21"/>
        <v>0</v>
      </c>
      <c r="K35" s="301">
        <f t="shared" si="21"/>
        <v>0</v>
      </c>
    </row>
    <row r="36" spans="2:13" ht="18" customHeight="1" outlineLevel="1" thickBot="1">
      <c r="B36" s="299"/>
      <c r="C36" s="299"/>
      <c r="D36" s="299"/>
      <c r="E36" s="309"/>
      <c r="F36" s="299"/>
      <c r="G36" s="299"/>
      <c r="H36" s="299"/>
      <c r="I36" s="299"/>
      <c r="J36" s="299"/>
      <c r="K36" s="299"/>
    </row>
    <row r="37" spans="2:13" ht="18" customHeight="1" outlineLevel="1">
      <c r="B37" s="275" t="s">
        <v>771</v>
      </c>
      <c r="C37" s="276" t="str">
        <f t="shared" ref="C37:K37" si="22">C4</f>
        <v>2016年</v>
      </c>
      <c r="D37" s="276" t="str">
        <f t="shared" si="22"/>
        <v>2017年</v>
      </c>
      <c r="E37" s="310" t="str">
        <f t="shared" si="22"/>
        <v>2018年1-6</v>
      </c>
      <c r="F37" s="308" t="str">
        <f t="shared" si="22"/>
        <v>2018年</v>
      </c>
      <c r="G37" s="278" t="str">
        <f t="shared" si="22"/>
        <v>2019年</v>
      </c>
      <c r="H37" s="278" t="str">
        <f t="shared" si="22"/>
        <v>2020年</v>
      </c>
      <c r="I37" s="278" t="str">
        <f t="shared" si="22"/>
        <v>2021年</v>
      </c>
      <c r="J37" s="278" t="str">
        <f t="shared" si="22"/>
        <v>2022年</v>
      </c>
      <c r="K37" s="278" t="str">
        <f t="shared" si="22"/>
        <v>2023年</v>
      </c>
    </row>
    <row r="38" spans="2:13" ht="18" customHeight="1" outlineLevel="1">
      <c r="B38" s="78" t="s">
        <v>261</v>
      </c>
      <c r="C38" s="80">
        <f>C12+C18+C24+C28+C34</f>
        <v>0</v>
      </c>
      <c r="D38" s="80">
        <f t="shared" ref="D38:K38" si="23">D12+D18+D24+D28+D34</f>
        <v>0</v>
      </c>
      <c r="E38" s="80">
        <f t="shared" si="23"/>
        <v>0</v>
      </c>
      <c r="F38" s="80">
        <f>F12+F18+F24+F28+F34</f>
        <v>43.790000000000006</v>
      </c>
      <c r="G38" s="80">
        <f t="shared" si="23"/>
        <v>56.040000000000006</v>
      </c>
      <c r="H38" s="80">
        <f t="shared" si="23"/>
        <v>57.154731999999981</v>
      </c>
      <c r="I38" s="80">
        <f t="shared" si="23"/>
        <v>34.299999999999997</v>
      </c>
      <c r="J38" s="80">
        <f t="shared" si="23"/>
        <v>44.1</v>
      </c>
      <c r="K38" s="80">
        <f t="shared" si="23"/>
        <v>51.25</v>
      </c>
    </row>
    <row r="39" spans="2:13" ht="18" customHeight="1" outlineLevel="1">
      <c r="B39" s="191" t="s">
        <v>260</v>
      </c>
      <c r="C39" s="271">
        <f t="shared" ref="C39:K39" si="24">IF(C6,C38/C6,"na")</f>
        <v>0</v>
      </c>
      <c r="D39" s="271">
        <f t="shared" si="24"/>
        <v>0</v>
      </c>
      <c r="E39" s="273">
        <f t="shared" si="24"/>
        <v>0</v>
      </c>
      <c r="F39" s="363">
        <f>IF(F6,F38/F6,"na")</f>
        <v>9.7311111111111123E-3</v>
      </c>
      <c r="G39" s="363">
        <f t="shared" si="24"/>
        <v>1.1321212121212123E-2</v>
      </c>
      <c r="H39" s="363">
        <f t="shared" si="24"/>
        <v>1.0691120838009724E-2</v>
      </c>
      <c r="I39" s="363">
        <f t="shared" si="24"/>
        <v>6.1104875919690731E-3</v>
      </c>
      <c r="J39" s="363">
        <f t="shared" si="24"/>
        <v>7.6275157181306041E-3</v>
      </c>
      <c r="K39" s="363">
        <f t="shared" si="24"/>
        <v>8.8641764298003061E-3</v>
      </c>
    </row>
    <row r="40" spans="2:13" ht="18" customHeight="1" outlineLevel="1" thickBot="1">
      <c r="B40" s="196" t="s">
        <v>262</v>
      </c>
      <c r="C40" s="301">
        <f t="shared" ref="C40:K40" si="25">IF(C6,1-C39,"na")</f>
        <v>1</v>
      </c>
      <c r="D40" s="301">
        <f t="shared" si="25"/>
        <v>1</v>
      </c>
      <c r="E40" s="302">
        <f t="shared" si="25"/>
        <v>1</v>
      </c>
      <c r="F40" s="301">
        <f t="shared" si="25"/>
        <v>0.99026888888888887</v>
      </c>
      <c r="G40" s="301">
        <f t="shared" si="25"/>
        <v>0.98867878787878782</v>
      </c>
      <c r="H40" s="301">
        <f t="shared" si="25"/>
        <v>0.98930887916199028</v>
      </c>
      <c r="I40" s="301">
        <f t="shared" si="25"/>
        <v>0.99388951240803092</v>
      </c>
      <c r="J40" s="301">
        <f t="shared" si="25"/>
        <v>0.99237248428186942</v>
      </c>
      <c r="K40" s="301">
        <f t="shared" si="25"/>
        <v>0.99113582357019969</v>
      </c>
    </row>
    <row r="41" spans="2:13" ht="18" customHeight="1">
      <c r="C41" s="19"/>
      <c r="D41" s="19"/>
      <c r="F41" s="321"/>
      <c r="G41" s="17"/>
    </row>
    <row r="42" spans="2:13" ht="18" customHeight="1">
      <c r="B42" s="431" t="s">
        <v>773</v>
      </c>
      <c r="E42" s="147" t="s">
        <v>525</v>
      </c>
    </row>
    <row r="43" spans="2:13" ht="18" customHeight="1" outlineLevel="1">
      <c r="B43" s="183" t="s">
        <v>79</v>
      </c>
      <c r="C43" s="54" t="str">
        <f t="shared" ref="C43:K43" si="26">C4</f>
        <v>2016年</v>
      </c>
      <c r="D43" s="312" t="str">
        <f t="shared" si="26"/>
        <v>2017年</v>
      </c>
      <c r="E43" s="54" t="str">
        <f t="shared" si="26"/>
        <v>2018年1-6</v>
      </c>
      <c r="F43" s="25" t="str">
        <f t="shared" si="26"/>
        <v>2018年</v>
      </c>
      <c r="G43" s="25" t="str">
        <f t="shared" si="26"/>
        <v>2019年</v>
      </c>
      <c r="H43" s="25" t="str">
        <f t="shared" si="26"/>
        <v>2020年</v>
      </c>
      <c r="I43" s="25" t="str">
        <f t="shared" si="26"/>
        <v>2021年</v>
      </c>
      <c r="J43" s="25" t="str">
        <f t="shared" si="26"/>
        <v>2022年</v>
      </c>
      <c r="K43" s="25" t="str">
        <f t="shared" si="26"/>
        <v>2023年</v>
      </c>
      <c r="M43" s="17"/>
    </row>
    <row r="44" spans="2:13" ht="18" customHeight="1" outlineLevel="1">
      <c r="B44" s="2" t="s">
        <v>263</v>
      </c>
      <c r="C44" s="148"/>
      <c r="D44" s="314"/>
      <c r="E44" s="148"/>
      <c r="F44" s="313"/>
      <c r="G44" s="148"/>
      <c r="H44" s="148"/>
      <c r="I44" s="148"/>
      <c r="J44" s="148"/>
      <c r="K44" s="148"/>
    </row>
    <row r="45" spans="2:13" ht="18" customHeight="1" outlineLevel="1">
      <c r="B45" s="2" t="s">
        <v>264</v>
      </c>
      <c r="C45" s="148"/>
      <c r="D45" s="314"/>
      <c r="E45" s="148"/>
      <c r="F45" s="313"/>
      <c r="G45" s="148"/>
      <c r="H45" s="148"/>
      <c r="I45" s="148"/>
      <c r="J45" s="148"/>
      <c r="K45" s="148"/>
    </row>
    <row r="46" spans="2:13" ht="18" customHeight="1" outlineLevel="1">
      <c r="B46" s="2" t="s">
        <v>265</v>
      </c>
      <c r="C46" s="148"/>
      <c r="D46" s="314"/>
      <c r="E46" s="148"/>
      <c r="F46" s="313"/>
      <c r="G46" s="148"/>
      <c r="H46" s="148"/>
      <c r="I46" s="148"/>
      <c r="J46" s="148"/>
      <c r="K46" s="148"/>
    </row>
    <row r="47" spans="2:13" ht="18" customHeight="1" outlineLevel="1">
      <c r="B47" s="311" t="s">
        <v>171</v>
      </c>
      <c r="C47" s="148">
        <f t="shared" ref="C47:K47" si="27">IF(C6,(C6-C5)/C6,"na")</f>
        <v>0.15606824298976435</v>
      </c>
      <c r="D47" s="148">
        <f t="shared" si="27"/>
        <v>8.9774724996270372E-2</v>
      </c>
      <c r="E47" s="148">
        <f t="shared" si="27"/>
        <v>-8.6672070478687302E-2</v>
      </c>
      <c r="F47" s="148">
        <f t="shared" si="27"/>
        <v>0.1202688888888889</v>
      </c>
      <c r="G47" s="148">
        <f t="shared" si="27"/>
        <v>0.11867878787878788</v>
      </c>
      <c r="H47" s="148">
        <f t="shared" si="27"/>
        <v>0.11930887916199019</v>
      </c>
      <c r="I47" s="148">
        <f t="shared" si="27"/>
        <v>0.12388951240803094</v>
      </c>
      <c r="J47" s="148">
        <f t="shared" si="27"/>
        <v>0.12237248428186943</v>
      </c>
      <c r="K47" s="148">
        <f t="shared" si="27"/>
        <v>0.12113582357019979</v>
      </c>
    </row>
    <row r="49" spans="2:11" ht="18" customHeight="1" thickBot="1">
      <c r="B49" s="269" t="s">
        <v>420</v>
      </c>
      <c r="C49" s="192"/>
      <c r="D49" s="192"/>
      <c r="E49" s="192"/>
      <c r="F49" s="192"/>
    </row>
    <row r="50" spans="2:11" ht="18" customHeight="1">
      <c r="B50" s="315" t="s">
        <v>262</v>
      </c>
      <c r="C50" s="303" t="str">
        <f>C4</f>
        <v>2016年</v>
      </c>
      <c r="D50" s="303" t="str">
        <f>D4</f>
        <v>2017年</v>
      </c>
      <c r="E50" s="303" t="str">
        <f>E4</f>
        <v>2018年1-6</v>
      </c>
      <c r="F50" s="283" t="s">
        <v>142</v>
      </c>
    </row>
    <row r="51" spans="2:11" ht="18" customHeight="1">
      <c r="B51" s="78" t="s">
        <v>251</v>
      </c>
      <c r="C51" s="79"/>
      <c r="D51" s="79"/>
      <c r="E51" s="79"/>
      <c r="F51" s="285">
        <f t="shared" ref="F51:F56" si="28">IF(ISERROR(AVERAGE(C51:E51)),0,AVERAGE(C51:E51))</f>
        <v>0</v>
      </c>
    </row>
    <row r="52" spans="2:11" ht="18" customHeight="1">
      <c r="C52" s="19"/>
      <c r="D52" s="19"/>
      <c r="E52" s="19"/>
      <c r="F52" s="286">
        <f t="shared" si="28"/>
        <v>0</v>
      </c>
    </row>
    <row r="53" spans="2:11" ht="18" customHeight="1">
      <c r="C53" s="19"/>
      <c r="D53" s="19"/>
      <c r="E53" s="19"/>
      <c r="F53" s="286">
        <f t="shared" si="28"/>
        <v>0</v>
      </c>
    </row>
    <row r="54" spans="2:11" ht="18" customHeight="1">
      <c r="C54" s="19"/>
      <c r="D54" s="19"/>
      <c r="E54" s="19"/>
      <c r="F54" s="286">
        <f t="shared" si="28"/>
        <v>0</v>
      </c>
    </row>
    <row r="55" spans="2:11" ht="18" customHeight="1">
      <c r="C55" s="19"/>
      <c r="D55" s="19"/>
      <c r="E55" s="19"/>
      <c r="F55" s="286">
        <f t="shared" si="28"/>
        <v>0</v>
      </c>
    </row>
    <row r="56" spans="2:11" ht="18" customHeight="1">
      <c r="C56" s="19"/>
      <c r="D56" s="19"/>
      <c r="E56" s="19"/>
      <c r="F56" s="286">
        <f t="shared" si="28"/>
        <v>0</v>
      </c>
    </row>
    <row r="57" spans="2:11" ht="18" customHeight="1">
      <c r="B57" s="316" t="s">
        <v>142</v>
      </c>
      <c r="C57" s="285">
        <f>IF(ISERROR(AVERAGE(C51:C56)),0,AVERAGE(C51:C56))</f>
        <v>0</v>
      </c>
      <c r="D57" s="285">
        <f t="shared" ref="D57" si="29">IF(ISERROR(AVERAGE(D51:D56)),0,AVERAGE(D51:D56))</f>
        <v>0</v>
      </c>
      <c r="E57" s="285">
        <f>IF(ISERROR(AVERAGE(E51:E56)),0,AVERAGE(E51:E56))</f>
        <v>0</v>
      </c>
      <c r="F57" s="317"/>
    </row>
    <row r="58" spans="2:11" ht="18" customHeight="1" thickBot="1">
      <c r="B58" s="318" t="s">
        <v>266</v>
      </c>
      <c r="C58" s="320">
        <f>IF(ISERROR(MEDIAN(C51:C56)),0,MEDIAN(C51:C56))</f>
        <v>0</v>
      </c>
      <c r="D58" s="320">
        <f t="shared" ref="D58:E58" si="30">IF(ISERROR(MEDIAN(D51:D56)),0,MEDIAN(D51:D56))</f>
        <v>0</v>
      </c>
      <c r="E58" s="320">
        <f t="shared" si="30"/>
        <v>0</v>
      </c>
      <c r="F58" s="319"/>
    </row>
    <row r="59" spans="2:11" ht="18" customHeight="1">
      <c r="B59" s="536" t="s">
        <v>578</v>
      </c>
      <c r="C59" s="286"/>
      <c r="D59" s="286"/>
      <c r="E59" s="286"/>
      <c r="F59" s="168"/>
    </row>
    <row r="60" spans="2:11" ht="18" customHeight="1" thickBot="1">
      <c r="B60" s="537" t="s">
        <v>579</v>
      </c>
      <c r="C60" s="192"/>
      <c r="D60" s="192"/>
      <c r="E60" s="192"/>
      <c r="F60" s="192"/>
      <c r="G60" s="192"/>
      <c r="H60" s="192"/>
      <c r="I60" s="192"/>
      <c r="J60" s="192"/>
      <c r="K60" s="192"/>
    </row>
    <row r="61" spans="2:11" ht="18" customHeight="1">
      <c r="B61" s="275" t="s">
        <v>774</v>
      </c>
      <c r="C61" s="276" t="str">
        <f t="shared" ref="C61:K61" si="31">C4</f>
        <v>2016年</v>
      </c>
      <c r="D61" s="276" t="str">
        <f t="shared" si="31"/>
        <v>2017年</v>
      </c>
      <c r="E61" s="310" t="str">
        <f t="shared" si="31"/>
        <v>2018年1-6</v>
      </c>
      <c r="F61" s="308" t="str">
        <f t="shared" si="31"/>
        <v>2018年</v>
      </c>
      <c r="G61" s="278" t="str">
        <f t="shared" si="31"/>
        <v>2019年</v>
      </c>
      <c r="H61" s="278" t="str">
        <f t="shared" si="31"/>
        <v>2020年</v>
      </c>
      <c r="I61" s="278" t="str">
        <f t="shared" si="31"/>
        <v>2021年</v>
      </c>
      <c r="J61" s="278" t="str">
        <f t="shared" si="31"/>
        <v>2022年</v>
      </c>
      <c r="K61" s="278" t="str">
        <f t="shared" si="31"/>
        <v>2023年</v>
      </c>
    </row>
    <row r="62" spans="2:11" ht="18" customHeight="1">
      <c r="B62" s="78" t="s">
        <v>404</v>
      </c>
      <c r="C62" s="307">
        <v>2496.387025999999</v>
      </c>
      <c r="D62" s="307">
        <v>2524.4998400000018</v>
      </c>
      <c r="E62" s="307">
        <v>582.51966300000004</v>
      </c>
      <c r="F62" s="307"/>
      <c r="G62" s="307"/>
      <c r="H62" s="307"/>
      <c r="I62" s="307"/>
      <c r="J62" s="307"/>
      <c r="K62" s="307"/>
    </row>
    <row r="63" spans="2:11" ht="18" customHeight="1">
      <c r="B63" s="191" t="s">
        <v>260</v>
      </c>
      <c r="C63" s="271">
        <f>IF(C6,C62/C6,"na")</f>
        <v>0.39562396141266665</v>
      </c>
      <c r="D63" s="271">
        <f>IF(D6,D62/D6,"na")</f>
        <v>0.3911477781244157</v>
      </c>
      <c r="E63" s="273">
        <f>IF(E6,E62/E6,"na")</f>
        <v>0.2815479991027231</v>
      </c>
      <c r="F63" s="195">
        <v>0.39</v>
      </c>
      <c r="G63" s="195">
        <f>F63</f>
        <v>0.39</v>
      </c>
      <c r="H63" s="195">
        <f t="shared" ref="H63:K63" si="32">G63</f>
        <v>0.39</v>
      </c>
      <c r="I63" s="195">
        <f t="shared" si="32"/>
        <v>0.39</v>
      </c>
      <c r="J63" s="195">
        <f t="shared" si="32"/>
        <v>0.39</v>
      </c>
      <c r="K63" s="195">
        <f t="shared" si="32"/>
        <v>0.39</v>
      </c>
    </row>
    <row r="64" spans="2:11" ht="18" customHeight="1">
      <c r="B64" s="17" t="s">
        <v>404</v>
      </c>
      <c r="C64" s="80">
        <f>C62</f>
        <v>2496.387025999999</v>
      </c>
      <c r="D64" s="80">
        <f t="shared" ref="D64:E64" si="33">D62</f>
        <v>2524.4998400000018</v>
      </c>
      <c r="E64" s="80">
        <f t="shared" si="33"/>
        <v>582.51966300000004</v>
      </c>
      <c r="F64" s="41">
        <f t="shared" ref="F64:K64" si="34">IF(F62,F62,F63*F6)</f>
        <v>1755</v>
      </c>
      <c r="G64" s="41">
        <f t="shared" si="34"/>
        <v>1930.5</v>
      </c>
      <c r="H64" s="41">
        <f t="shared" si="34"/>
        <v>2084.94</v>
      </c>
      <c r="I64" s="41">
        <f t="shared" si="34"/>
        <v>2189.1870000000004</v>
      </c>
      <c r="J64" s="41">
        <f t="shared" si="34"/>
        <v>2254.8626100000001</v>
      </c>
      <c r="K64" s="41">
        <f t="shared" si="34"/>
        <v>2254.8626100000001</v>
      </c>
    </row>
    <row r="65" spans="2:11" ht="18" customHeight="1" thickBot="1">
      <c r="B65" s="192" t="s">
        <v>96</v>
      </c>
      <c r="C65" s="42"/>
      <c r="D65" s="42"/>
      <c r="E65" s="274"/>
      <c r="F65" s="301">
        <f t="shared" ref="F65:K65" si="35">IF(F6,F64/F6,"na")</f>
        <v>0.39</v>
      </c>
      <c r="G65" s="301">
        <f t="shared" si="35"/>
        <v>0.39</v>
      </c>
      <c r="H65" s="301">
        <f t="shared" si="35"/>
        <v>0.39</v>
      </c>
      <c r="I65" s="301">
        <f t="shared" si="35"/>
        <v>0.39000000000000007</v>
      </c>
      <c r="J65" s="301">
        <f t="shared" si="35"/>
        <v>0.39</v>
      </c>
      <c r="K65" s="301">
        <f t="shared" si="35"/>
        <v>0.39</v>
      </c>
    </row>
    <row r="66" spans="2:11" ht="18" customHeight="1" thickBot="1">
      <c r="B66" s="299"/>
      <c r="C66" s="299"/>
      <c r="D66" s="299"/>
      <c r="E66" s="309"/>
      <c r="F66" s="299"/>
      <c r="G66" s="299"/>
      <c r="H66" s="299"/>
      <c r="I66" s="299"/>
      <c r="J66" s="299"/>
      <c r="K66" s="299"/>
    </row>
    <row r="67" spans="2:11" ht="18" customHeight="1">
      <c r="B67" s="275" t="s">
        <v>764</v>
      </c>
      <c r="C67" s="276" t="str">
        <f t="shared" ref="C67:K67" si="36">C4</f>
        <v>2016年</v>
      </c>
      <c r="D67" s="276" t="str">
        <f t="shared" si="36"/>
        <v>2017年</v>
      </c>
      <c r="E67" s="310" t="str">
        <f t="shared" si="36"/>
        <v>2018年1-6</v>
      </c>
      <c r="F67" s="308" t="str">
        <f t="shared" si="36"/>
        <v>2018年</v>
      </c>
      <c r="G67" s="278" t="str">
        <f t="shared" si="36"/>
        <v>2019年</v>
      </c>
      <c r="H67" s="278" t="str">
        <f t="shared" si="36"/>
        <v>2020年</v>
      </c>
      <c r="I67" s="278" t="str">
        <f t="shared" si="36"/>
        <v>2021年</v>
      </c>
      <c r="J67" s="278" t="str">
        <f t="shared" si="36"/>
        <v>2022年</v>
      </c>
      <c r="K67" s="278" t="str">
        <f t="shared" si="36"/>
        <v>2023年</v>
      </c>
    </row>
    <row r="68" spans="2:11" ht="18" customHeight="1">
      <c r="B68" s="78" t="s">
        <v>405</v>
      </c>
      <c r="C68" s="307">
        <v>627.70474000000013</v>
      </c>
      <c r="D68" s="307">
        <v>647.62261400000011</v>
      </c>
      <c r="E68" s="307">
        <v>195.62469699999997</v>
      </c>
      <c r="F68" s="307"/>
      <c r="G68" s="307"/>
      <c r="H68" s="307"/>
      <c r="I68" s="307"/>
      <c r="J68" s="307"/>
      <c r="K68" s="307"/>
    </row>
    <row r="69" spans="2:11" ht="18" customHeight="1">
      <c r="B69" s="191" t="s">
        <v>260</v>
      </c>
      <c r="C69" s="271">
        <f>IF(C6,C68/C6,"na")</f>
        <v>9.9477778585566209E-2</v>
      </c>
      <c r="D69" s="271">
        <f>IF(D6,D68/D6,"na")</f>
        <v>0.10034310262789559</v>
      </c>
      <c r="E69" s="273">
        <f>IF(E6,E68/E6,"na")</f>
        <v>9.4550871865464334E-2</v>
      </c>
      <c r="F69" s="195">
        <v>0.1</v>
      </c>
      <c r="G69" s="195">
        <f>F69</f>
        <v>0.1</v>
      </c>
      <c r="H69" s="195">
        <f t="shared" ref="H69:K69" si="37">G69</f>
        <v>0.1</v>
      </c>
      <c r="I69" s="195">
        <f t="shared" si="37"/>
        <v>0.1</v>
      </c>
      <c r="J69" s="195">
        <f t="shared" si="37"/>
        <v>0.1</v>
      </c>
      <c r="K69" s="195">
        <f t="shared" si="37"/>
        <v>0.1</v>
      </c>
    </row>
    <row r="70" spans="2:11" ht="18" customHeight="1">
      <c r="B70" s="17" t="s">
        <v>405</v>
      </c>
      <c r="C70" s="80">
        <f>C68</f>
        <v>627.70474000000013</v>
      </c>
      <c r="D70" s="80">
        <f t="shared" ref="D70:E70" si="38">D68</f>
        <v>647.62261400000011</v>
      </c>
      <c r="E70" s="80">
        <f t="shared" si="38"/>
        <v>195.62469699999997</v>
      </c>
      <c r="F70" s="41">
        <f t="shared" ref="F70:K70" si="39">IF(F68,F68,F69*F6)</f>
        <v>450</v>
      </c>
      <c r="G70" s="41">
        <f t="shared" si="39"/>
        <v>495</v>
      </c>
      <c r="H70" s="41">
        <f t="shared" si="39"/>
        <v>534.6</v>
      </c>
      <c r="I70" s="41">
        <f t="shared" si="39"/>
        <v>561.33000000000004</v>
      </c>
      <c r="J70" s="41">
        <f t="shared" si="39"/>
        <v>578.1699000000001</v>
      </c>
      <c r="K70" s="41">
        <f t="shared" si="39"/>
        <v>578.1699000000001</v>
      </c>
    </row>
    <row r="71" spans="2:11" ht="18" customHeight="1" thickBot="1">
      <c r="B71" s="192" t="s">
        <v>96</v>
      </c>
      <c r="C71" s="42"/>
      <c r="D71" s="42"/>
      <c r="E71" s="274"/>
      <c r="F71" s="301">
        <f t="shared" ref="F71:K71" si="40">IF(F6,F70/F6,"na")</f>
        <v>0.1</v>
      </c>
      <c r="G71" s="301">
        <f t="shared" si="40"/>
        <v>0.1</v>
      </c>
      <c r="H71" s="301">
        <f t="shared" si="40"/>
        <v>0.1</v>
      </c>
      <c r="I71" s="301">
        <f t="shared" si="40"/>
        <v>0.1</v>
      </c>
      <c r="J71" s="301">
        <f t="shared" si="40"/>
        <v>0.1</v>
      </c>
      <c r="K71" s="301">
        <f t="shared" si="40"/>
        <v>0.1</v>
      </c>
    </row>
    <row r="72" spans="2:11" ht="18" customHeight="1" thickBot="1">
      <c r="B72" s="299"/>
      <c r="C72" s="299"/>
      <c r="D72" s="299"/>
      <c r="E72" s="299"/>
      <c r="F72" s="299"/>
      <c r="G72" s="299"/>
      <c r="H72" s="299"/>
      <c r="I72" s="299"/>
      <c r="J72" s="299"/>
      <c r="K72" s="299"/>
    </row>
    <row r="73" spans="2:11" ht="18" customHeight="1">
      <c r="B73" s="275" t="s">
        <v>775</v>
      </c>
      <c r="C73" s="276" t="str">
        <f>C67</f>
        <v>2016年</v>
      </c>
      <c r="D73" s="276" t="str">
        <f t="shared" ref="D73:E73" si="41">D67</f>
        <v>2017年</v>
      </c>
      <c r="E73" s="310" t="str">
        <f t="shared" si="41"/>
        <v>2018年1-6</v>
      </c>
      <c r="F73" s="308" t="str">
        <f>F67</f>
        <v>2018年</v>
      </c>
      <c r="G73" s="278" t="str">
        <f t="shared" ref="G73:K73" si="42">G67</f>
        <v>2019年</v>
      </c>
      <c r="H73" s="278" t="str">
        <f t="shared" si="42"/>
        <v>2020年</v>
      </c>
      <c r="I73" s="278" t="str">
        <f t="shared" si="42"/>
        <v>2021年</v>
      </c>
      <c r="J73" s="278" t="str">
        <f t="shared" si="42"/>
        <v>2022年</v>
      </c>
      <c r="K73" s="278" t="str">
        <f t="shared" si="42"/>
        <v>2023年</v>
      </c>
    </row>
    <row r="74" spans="2:11" ht="18" customHeight="1">
      <c r="B74" s="78" t="s">
        <v>576</v>
      </c>
      <c r="C74" s="307">
        <v>2154.657048</v>
      </c>
      <c r="D74" s="307">
        <v>2653.2072719999996</v>
      </c>
      <c r="E74" s="307">
        <v>1450.9405979999999</v>
      </c>
      <c r="F74" s="307"/>
      <c r="G74" s="307"/>
      <c r="H74" s="307"/>
      <c r="I74" s="307"/>
      <c r="J74" s="307"/>
      <c r="K74" s="307"/>
    </row>
    <row r="75" spans="2:11" ht="18" customHeight="1">
      <c r="B75" s="191" t="s">
        <v>260</v>
      </c>
      <c r="C75" s="271">
        <f>IF(C6,C74/C6,"na")</f>
        <v>0.34146706738071414</v>
      </c>
      <c r="D75" s="271">
        <f>IF(D6,D74/D6,"na")</f>
        <v>0.41108979802761303</v>
      </c>
      <c r="E75" s="271">
        <f>IF(E6,E74/E6,"na")</f>
        <v>0.7012800565048195</v>
      </c>
      <c r="F75" s="195">
        <v>0.38</v>
      </c>
      <c r="G75" s="195">
        <f>F75</f>
        <v>0.38</v>
      </c>
      <c r="H75" s="195">
        <f t="shared" ref="H75" si="43">G75</f>
        <v>0.38</v>
      </c>
      <c r="I75" s="195">
        <f t="shared" ref="I75" si="44">H75</f>
        <v>0.38</v>
      </c>
      <c r="J75" s="195">
        <f t="shared" ref="J75" si="45">I75</f>
        <v>0.38</v>
      </c>
      <c r="K75" s="195">
        <f t="shared" ref="K75" si="46">J75</f>
        <v>0.38</v>
      </c>
    </row>
    <row r="76" spans="2:11" ht="18" customHeight="1">
      <c r="B76" s="17" t="s">
        <v>576</v>
      </c>
      <c r="C76" s="80">
        <f>C74</f>
        <v>2154.657048</v>
      </c>
      <c r="D76" s="80">
        <f t="shared" ref="D76:E76" si="47">D74</f>
        <v>2653.2072719999996</v>
      </c>
      <c r="E76" s="80">
        <f t="shared" si="47"/>
        <v>1450.9405979999999</v>
      </c>
      <c r="F76" s="41">
        <f t="shared" ref="F76:K76" si="48">IF(F74,F74,F75*F6)</f>
        <v>1710</v>
      </c>
      <c r="G76" s="41">
        <f t="shared" si="48"/>
        <v>1881</v>
      </c>
      <c r="H76" s="41">
        <f t="shared" si="48"/>
        <v>2031.48</v>
      </c>
      <c r="I76" s="41">
        <f t="shared" si="48"/>
        <v>2133.0540000000001</v>
      </c>
      <c r="J76" s="41">
        <f t="shared" si="48"/>
        <v>2197.0456200000003</v>
      </c>
      <c r="K76" s="41">
        <f t="shared" si="48"/>
        <v>2197.0456200000003</v>
      </c>
    </row>
    <row r="77" spans="2:11" ht="18" customHeight="1" thickBot="1">
      <c r="B77" s="192" t="s">
        <v>96</v>
      </c>
      <c r="C77" s="42"/>
      <c r="D77" s="42"/>
      <c r="E77" s="274"/>
      <c r="F77" s="301">
        <f>IF(F6,F76/F6,"na")</f>
        <v>0.38</v>
      </c>
      <c r="G77" s="301">
        <f>IF(G6,G76/G6,"na")</f>
        <v>0.38</v>
      </c>
      <c r="H77" s="301">
        <f t="shared" ref="H77:K77" si="49">IF(H6,H76/H6,"na")</f>
        <v>0.38</v>
      </c>
      <c r="I77" s="301">
        <f t="shared" si="49"/>
        <v>0.38</v>
      </c>
      <c r="J77" s="301">
        <f t="shared" si="49"/>
        <v>0.38</v>
      </c>
      <c r="K77" s="301">
        <f t="shared" si="49"/>
        <v>0.38</v>
      </c>
    </row>
    <row r="78" spans="2:11" ht="18" customHeight="1" thickBot="1">
      <c r="B78" s="299"/>
      <c r="C78" s="299"/>
      <c r="D78" s="299"/>
      <c r="E78" s="299"/>
      <c r="F78" s="299"/>
      <c r="G78" s="299"/>
      <c r="H78" s="299"/>
      <c r="I78" s="299"/>
      <c r="J78" s="299"/>
      <c r="K78" s="299"/>
    </row>
    <row r="79" spans="2:11" ht="18" customHeight="1">
      <c r="B79" s="275" t="s">
        <v>765</v>
      </c>
      <c r="C79" s="276" t="str">
        <f>C73</f>
        <v>2016年</v>
      </c>
      <c r="D79" s="276" t="str">
        <f t="shared" ref="D79:E79" si="50">D73</f>
        <v>2017年</v>
      </c>
      <c r="E79" s="310" t="str">
        <f t="shared" si="50"/>
        <v>2018年1-6</v>
      </c>
      <c r="F79" s="308" t="str">
        <f>F73</f>
        <v>2018年</v>
      </c>
      <c r="G79" s="278" t="str">
        <f t="shared" ref="G79:K79" si="51">G73</f>
        <v>2019年</v>
      </c>
      <c r="H79" s="278" t="str">
        <f t="shared" si="51"/>
        <v>2020年</v>
      </c>
      <c r="I79" s="278" t="str">
        <f t="shared" si="51"/>
        <v>2021年</v>
      </c>
      <c r="J79" s="278" t="str">
        <f t="shared" si="51"/>
        <v>2022年</v>
      </c>
      <c r="K79" s="278" t="str">
        <f t="shared" si="51"/>
        <v>2023年</v>
      </c>
    </row>
    <row r="80" spans="2:11" ht="18" customHeight="1">
      <c r="B80" s="78" t="s">
        <v>580</v>
      </c>
      <c r="C80" s="307">
        <v>46.460209000000006</v>
      </c>
      <c r="D80" s="307">
        <v>49.338850999999998</v>
      </c>
      <c r="E80" s="307">
        <v>19.225382999999997</v>
      </c>
      <c r="F80" s="138">
        <f>'7折旧'!F5</f>
        <v>43.790000000000006</v>
      </c>
      <c r="G80" s="138">
        <f>'7折旧'!G5</f>
        <v>56.040000000000006</v>
      </c>
      <c r="H80" s="138">
        <f>'7折旧'!H5</f>
        <v>57.154731999999981</v>
      </c>
      <c r="I80" s="138">
        <f>'7折旧'!I5</f>
        <v>34.299999999999997</v>
      </c>
      <c r="J80" s="138">
        <f>'7折旧'!J5</f>
        <v>44.1</v>
      </c>
      <c r="K80" s="138">
        <f>'7折旧'!K5</f>
        <v>51.25</v>
      </c>
    </row>
    <row r="81" spans="2:11" ht="18" customHeight="1" thickBot="1">
      <c r="B81" s="191" t="s">
        <v>260</v>
      </c>
      <c r="C81" s="271">
        <f t="shared" ref="C81:K81" si="52">IF(C6,C80/C6,"na")</f>
        <v>7.3629496312886374E-3</v>
      </c>
      <c r="D81" s="271">
        <f t="shared" si="52"/>
        <v>7.6445962238055011E-3</v>
      </c>
      <c r="E81" s="271">
        <f t="shared" si="52"/>
        <v>9.2921637833768816E-3</v>
      </c>
      <c r="F81" s="271">
        <f t="shared" si="52"/>
        <v>9.7311111111111123E-3</v>
      </c>
      <c r="G81" s="271">
        <f t="shared" si="52"/>
        <v>1.1321212121212123E-2</v>
      </c>
      <c r="H81" s="271">
        <f t="shared" si="52"/>
        <v>1.0691120838009724E-2</v>
      </c>
      <c r="I81" s="271">
        <f t="shared" si="52"/>
        <v>6.1104875919690731E-3</v>
      </c>
      <c r="J81" s="271">
        <f t="shared" si="52"/>
        <v>7.6275157181306041E-3</v>
      </c>
      <c r="K81" s="271">
        <f t="shared" si="52"/>
        <v>8.8641764298003061E-3</v>
      </c>
    </row>
    <row r="82" spans="2:11" ht="18" customHeight="1" thickBot="1">
      <c r="B82" s="299"/>
      <c r="C82" s="299"/>
      <c r="D82" s="299"/>
      <c r="E82" s="299"/>
      <c r="F82" s="299"/>
      <c r="G82" s="299"/>
      <c r="H82" s="299"/>
      <c r="I82" s="299"/>
      <c r="J82" s="299"/>
      <c r="K82" s="299"/>
    </row>
    <row r="83" spans="2:11" ht="18" customHeight="1">
      <c r="B83" s="275" t="s">
        <v>771</v>
      </c>
      <c r="C83" s="276" t="str">
        <f>C79</f>
        <v>2016年</v>
      </c>
      <c r="D83" s="276" t="str">
        <f t="shared" ref="D83:E83" si="53">D79</f>
        <v>2017年</v>
      </c>
      <c r="E83" s="310" t="str">
        <f t="shared" si="53"/>
        <v>2018年1-6</v>
      </c>
      <c r="F83" s="308" t="str">
        <f>F79</f>
        <v>2018年</v>
      </c>
      <c r="G83" s="278" t="str">
        <f t="shared" ref="G83:K83" si="54">G79</f>
        <v>2019年</v>
      </c>
      <c r="H83" s="278" t="str">
        <f t="shared" si="54"/>
        <v>2020年</v>
      </c>
      <c r="I83" s="278" t="str">
        <f t="shared" si="54"/>
        <v>2021年</v>
      </c>
      <c r="J83" s="278" t="str">
        <f t="shared" si="54"/>
        <v>2022年</v>
      </c>
      <c r="K83" s="278" t="str">
        <f t="shared" si="54"/>
        <v>2023年</v>
      </c>
    </row>
    <row r="84" spans="2:11" ht="18" customHeight="1">
      <c r="B84" s="78" t="s">
        <v>261</v>
      </c>
      <c r="C84" s="80">
        <f>C64+C70+C76+C80</f>
        <v>5325.2090229999985</v>
      </c>
      <c r="D84" s="80">
        <f t="shared" ref="D84:J84" si="55">D64+D70+D76+D80</f>
        <v>5874.6685770000022</v>
      </c>
      <c r="E84" s="80">
        <f t="shared" si="55"/>
        <v>2248.3103409999999</v>
      </c>
      <c r="F84" s="80">
        <f>F64+F70+F76+F80</f>
        <v>3958.79</v>
      </c>
      <c r="G84" s="80">
        <f t="shared" si="55"/>
        <v>4362.54</v>
      </c>
      <c r="H84" s="80">
        <f t="shared" si="55"/>
        <v>4708.1747320000004</v>
      </c>
      <c r="I84" s="80">
        <f t="shared" si="55"/>
        <v>4917.8710000000001</v>
      </c>
      <c r="J84" s="80">
        <f t="shared" si="55"/>
        <v>5074.1781300000002</v>
      </c>
      <c r="K84" s="80">
        <f>K64+K70+K76+K80</f>
        <v>5081.3281299999999</v>
      </c>
    </row>
    <row r="85" spans="2:11" ht="18" customHeight="1">
      <c r="B85" s="191" t="s">
        <v>260</v>
      </c>
      <c r="C85" s="271">
        <f t="shared" ref="C85:K85" si="56">IF(C6,C84/C6,"na")</f>
        <v>0.84393175701023548</v>
      </c>
      <c r="D85" s="271">
        <f t="shared" si="56"/>
        <v>0.91022527500372985</v>
      </c>
      <c r="E85" s="271">
        <f t="shared" si="56"/>
        <v>1.0866710912563839</v>
      </c>
      <c r="F85" s="271">
        <f t="shared" si="56"/>
        <v>0.87973111111111113</v>
      </c>
      <c r="G85" s="271">
        <f t="shared" si="56"/>
        <v>0.88132121212121206</v>
      </c>
      <c r="H85" s="271">
        <f t="shared" si="56"/>
        <v>0.88069112083800982</v>
      </c>
      <c r="I85" s="271">
        <f t="shared" si="56"/>
        <v>0.87611048759196908</v>
      </c>
      <c r="J85" s="271">
        <f t="shared" si="56"/>
        <v>0.87762751571813058</v>
      </c>
      <c r="K85" s="271">
        <f t="shared" si="56"/>
        <v>0.87886417642980019</v>
      </c>
    </row>
    <row r="86" spans="2:11" ht="18" customHeight="1" thickBot="1">
      <c r="B86" s="196" t="s">
        <v>262</v>
      </c>
      <c r="C86" s="301">
        <f t="shared" ref="C86:K86" si="57">IF(C6,1-C85,"na")</f>
        <v>0.15606824298976452</v>
      </c>
      <c r="D86" s="301">
        <f t="shared" si="57"/>
        <v>8.977472499627015E-2</v>
      </c>
      <c r="E86" s="301">
        <f t="shared" si="57"/>
        <v>-8.6671091256383948E-2</v>
      </c>
      <c r="F86" s="301">
        <f t="shared" si="57"/>
        <v>0.12026888888888887</v>
      </c>
      <c r="G86" s="301">
        <f t="shared" si="57"/>
        <v>0.11867878787878794</v>
      </c>
      <c r="H86" s="301">
        <f t="shared" si="57"/>
        <v>0.11930887916199018</v>
      </c>
      <c r="I86" s="301">
        <f t="shared" si="57"/>
        <v>0.12388951240803092</v>
      </c>
      <c r="J86" s="301">
        <f t="shared" si="57"/>
        <v>0.12237248428186942</v>
      </c>
      <c r="K86" s="301">
        <f t="shared" si="57"/>
        <v>0.12113582357019981</v>
      </c>
    </row>
  </sheetData>
  <sheetProtection formatCells="0" formatColumns="0" formatRows="0" insertColumns="0" insertRows="0" deleteColumns="0" deleteRows="0"/>
  <mergeCells count="1">
    <mergeCell ref="B1:K1"/>
  </mergeCells>
  <phoneticPr fontId="6" type="noConversion"/>
  <pageMargins left="0.74803149606299213" right="0.74803149606299213" top="0.98425196850393704" bottom="0.98425196850393704" header="0.51181102362204722" footer="0.51181102362204722"/>
  <pageSetup paperSize="9"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B1:O48"/>
  <sheetViews>
    <sheetView topLeftCell="A7" zoomScaleNormal="100" workbookViewId="0">
      <selection activeCell="F21" sqref="F21"/>
    </sheetView>
  </sheetViews>
  <sheetFormatPr defaultColWidth="9" defaultRowHeight="18" customHeight="1" outlineLevelRow="1"/>
  <cols>
    <col min="1" max="1" width="3.33203125" style="11" customWidth="1"/>
    <col min="2" max="2" width="14.08203125" style="11" customWidth="1"/>
    <col min="3" max="11" width="9.08203125" style="11" customWidth="1"/>
    <col min="12" max="13" width="9" style="11"/>
    <col min="14" max="14" width="17.58203125" style="11" customWidth="1"/>
    <col min="15" max="16384" width="9" style="11"/>
  </cols>
  <sheetData>
    <row r="1" spans="2:13" ht="26.25" customHeight="1">
      <c r="B1" s="749" t="s">
        <v>314</v>
      </c>
      <c r="C1" s="749"/>
      <c r="D1" s="749"/>
      <c r="E1" s="749"/>
      <c r="F1" s="749"/>
      <c r="G1" s="749"/>
      <c r="H1" s="749"/>
      <c r="I1" s="749"/>
      <c r="J1" s="749"/>
      <c r="K1" s="749"/>
    </row>
    <row r="2" spans="2:13" ht="18" customHeight="1">
      <c r="B2" s="229" t="str">
        <f>'1报表'!B11</f>
        <v>评估基准日：2018/6/30</v>
      </c>
      <c r="E2" s="382"/>
      <c r="G2" s="70"/>
      <c r="H2" s="70"/>
      <c r="I2" s="70"/>
      <c r="J2" s="70"/>
      <c r="K2" s="70"/>
    </row>
    <row r="3" spans="2:13" ht="18" customHeight="1">
      <c r="B3" s="229" t="str">
        <f>'1报表'!B12</f>
        <v>被评估单位：YLSJ公司</v>
      </c>
      <c r="C3" s="3"/>
      <c r="D3" s="3"/>
      <c r="E3" s="3"/>
      <c r="F3" s="3"/>
      <c r="G3" s="3"/>
      <c r="H3" s="3"/>
      <c r="I3" s="3"/>
      <c r="J3" s="3"/>
      <c r="K3" s="15" t="s">
        <v>52</v>
      </c>
    </row>
    <row r="4" spans="2:13" ht="24" customHeight="1">
      <c r="B4" s="24" t="s">
        <v>87</v>
      </c>
      <c r="C4" s="61" t="str">
        <f>'3收入'!C4</f>
        <v>2016年</v>
      </c>
      <c r="D4" s="61" t="str">
        <f>'3收入'!D4</f>
        <v>2017年</v>
      </c>
      <c r="E4" s="61" t="str">
        <f>'3收入'!E4</f>
        <v>2018年1-6</v>
      </c>
      <c r="F4" s="23" t="str">
        <f>'3收入'!F4</f>
        <v>2018年</v>
      </c>
      <c r="G4" s="23" t="str">
        <f>'3收入'!G4</f>
        <v>2019年</v>
      </c>
      <c r="H4" s="23" t="str">
        <f>'3收入'!H4</f>
        <v>2020年</v>
      </c>
      <c r="I4" s="23" t="str">
        <f>'3收入'!I4</f>
        <v>2021年</v>
      </c>
      <c r="J4" s="23" t="str">
        <f>'3收入'!J4</f>
        <v>2022年</v>
      </c>
      <c r="K4" s="23" t="str">
        <f>'3收入'!K4</f>
        <v>2023年</v>
      </c>
    </row>
    <row r="5" spans="2:13" ht="18" customHeight="1">
      <c r="B5" s="6" t="s">
        <v>223</v>
      </c>
      <c r="C5" s="494">
        <f>'1报表'!C99</f>
        <v>32.988745999999999</v>
      </c>
      <c r="D5" s="494">
        <f>'1报表'!D99</f>
        <v>28.542701999999998</v>
      </c>
      <c r="E5" s="494">
        <f>'1报表'!E99</f>
        <v>19.638479</v>
      </c>
      <c r="F5" s="494">
        <f>F13</f>
        <v>22.5</v>
      </c>
      <c r="G5" s="494">
        <f t="shared" ref="G5:J5" si="0">G13</f>
        <v>24.75</v>
      </c>
      <c r="H5" s="494">
        <f t="shared" si="0"/>
        <v>26.73</v>
      </c>
      <c r="I5" s="494">
        <f t="shared" si="0"/>
        <v>28.066500000000001</v>
      </c>
      <c r="J5" s="494">
        <f t="shared" si="0"/>
        <v>28.908495000000002</v>
      </c>
      <c r="K5" s="494">
        <f>K13</f>
        <v>28.908495000000002</v>
      </c>
    </row>
    <row r="6" spans="2:13" ht="18" customHeight="1">
      <c r="B6" s="190" t="s">
        <v>65</v>
      </c>
      <c r="C6" s="13">
        <f>'3收入'!C5</f>
        <v>6309.9995689999996</v>
      </c>
      <c r="D6" s="13">
        <f>'3收入'!D5</f>
        <v>6454.082015</v>
      </c>
      <c r="E6" s="13">
        <f>'3收入'!E5</f>
        <v>2068.9888219999998</v>
      </c>
      <c r="F6" s="13">
        <f>'3收入'!F5</f>
        <v>4500</v>
      </c>
      <c r="G6" s="13">
        <f>'3收入'!G5</f>
        <v>4950</v>
      </c>
      <c r="H6" s="13">
        <f>'3收入'!H5</f>
        <v>5346</v>
      </c>
      <c r="I6" s="13">
        <f>'3收入'!I5</f>
        <v>5613.3</v>
      </c>
      <c r="J6" s="13">
        <f>'3收入'!J5</f>
        <v>5781.6990000000005</v>
      </c>
      <c r="K6" s="13">
        <f>'3收入'!K5</f>
        <v>5781.6990000000005</v>
      </c>
      <c r="L6" s="3"/>
      <c r="M6" s="3"/>
    </row>
    <row r="7" spans="2:13" ht="18" customHeight="1">
      <c r="B7" s="263" t="s">
        <v>96</v>
      </c>
      <c r="C7" s="264">
        <f t="shared" ref="C7:K7" si="1">IF(C6,C5/C6,"na")</f>
        <v>5.2280108166834647E-3</v>
      </c>
      <c r="D7" s="264">
        <f t="shared" si="1"/>
        <v>4.4224262929512832E-3</v>
      </c>
      <c r="E7" s="264">
        <f t="shared" si="1"/>
        <v>9.4918246010707551E-3</v>
      </c>
      <c r="F7" s="264">
        <f t="shared" si="1"/>
        <v>5.0000000000000001E-3</v>
      </c>
      <c r="G7" s="264">
        <f t="shared" si="1"/>
        <v>5.0000000000000001E-3</v>
      </c>
      <c r="H7" s="264">
        <f t="shared" si="1"/>
        <v>5.0000000000000001E-3</v>
      </c>
      <c r="I7" s="264">
        <f t="shared" si="1"/>
        <v>5.0000000000000001E-3</v>
      </c>
      <c r="J7" s="264">
        <f t="shared" si="1"/>
        <v>5.0000000000000001E-3</v>
      </c>
      <c r="K7" s="264">
        <f t="shared" si="1"/>
        <v>5.0000000000000001E-3</v>
      </c>
      <c r="L7" s="3"/>
      <c r="M7" s="3"/>
    </row>
    <row r="8" spans="2:13" ht="18" customHeight="1" thickBot="1">
      <c r="B8" s="269" t="s">
        <v>776</v>
      </c>
      <c r="C8" s="288"/>
      <c r="D8" s="684" t="s">
        <v>782</v>
      </c>
      <c r="E8" s="288"/>
      <c r="F8" s="288"/>
      <c r="G8" s="288"/>
      <c r="H8" s="288"/>
      <c r="I8" s="288"/>
      <c r="J8" s="288"/>
      <c r="K8" s="288"/>
    </row>
    <row r="9" spans="2:13" ht="18" customHeight="1" outlineLevel="1">
      <c r="C9" s="291" t="str">
        <f t="shared" ref="C9:K9" si="2">C4</f>
        <v>2016年</v>
      </c>
      <c r="D9" s="291" t="str">
        <f t="shared" si="2"/>
        <v>2017年</v>
      </c>
      <c r="E9" s="291" t="str">
        <f t="shared" si="2"/>
        <v>2018年1-6</v>
      </c>
      <c r="F9" s="282" t="str">
        <f t="shared" si="2"/>
        <v>2018年</v>
      </c>
      <c r="G9" s="282" t="str">
        <f t="shared" si="2"/>
        <v>2019年</v>
      </c>
      <c r="H9" s="282" t="str">
        <f t="shared" si="2"/>
        <v>2020年</v>
      </c>
      <c r="I9" s="282" t="str">
        <f t="shared" si="2"/>
        <v>2021年</v>
      </c>
      <c r="J9" s="282" t="str">
        <f t="shared" si="2"/>
        <v>2022年</v>
      </c>
      <c r="K9" s="282" t="str">
        <f t="shared" si="2"/>
        <v>2023年</v>
      </c>
    </row>
    <row r="10" spans="2:13" ht="18" customHeight="1" outlineLevel="1">
      <c r="B10" s="289" t="s">
        <v>92</v>
      </c>
      <c r="C10" s="80">
        <f t="shared" ref="C10:K10" si="3">C6</f>
        <v>6309.9995689999996</v>
      </c>
      <c r="D10" s="80">
        <f t="shared" si="3"/>
        <v>6454.082015</v>
      </c>
      <c r="E10" s="80">
        <f t="shared" si="3"/>
        <v>2068.9888219999998</v>
      </c>
      <c r="F10" s="80">
        <f>F6</f>
        <v>4500</v>
      </c>
      <c r="G10" s="80">
        <f t="shared" si="3"/>
        <v>4950</v>
      </c>
      <c r="H10" s="80">
        <f t="shared" si="3"/>
        <v>5346</v>
      </c>
      <c r="I10" s="80">
        <f t="shared" si="3"/>
        <v>5613.3</v>
      </c>
      <c r="J10" s="80">
        <f t="shared" si="3"/>
        <v>5781.6990000000005</v>
      </c>
      <c r="K10" s="80">
        <f t="shared" si="3"/>
        <v>5781.6990000000005</v>
      </c>
    </row>
    <row r="11" spans="2:13" ht="18" customHeight="1" outlineLevel="1">
      <c r="B11" s="17" t="s">
        <v>169</v>
      </c>
      <c r="C11" s="73">
        <f>C5</f>
        <v>32.988745999999999</v>
      </c>
      <c r="D11" s="73">
        <f>D5</f>
        <v>28.542701999999998</v>
      </c>
      <c r="E11" s="73"/>
      <c r="F11" s="194"/>
      <c r="G11" s="194"/>
      <c r="H11" s="194"/>
      <c r="I11" s="194"/>
      <c r="J11" s="194"/>
      <c r="K11" s="194"/>
    </row>
    <row r="12" spans="2:13" ht="18" customHeight="1" outlineLevel="1">
      <c r="B12" s="17" t="s">
        <v>88</v>
      </c>
      <c r="C12" s="433">
        <f t="shared" ref="C12:D12" si="4">IF(C10,C11/C10,"na")</f>
        <v>5.2280108166834647E-3</v>
      </c>
      <c r="D12" s="433">
        <f t="shared" si="4"/>
        <v>4.4224262929512832E-3</v>
      </c>
      <c r="E12" s="433">
        <f>IF(E10,E11/E10,"na")</f>
        <v>0</v>
      </c>
      <c r="F12" s="198">
        <v>5.0000000000000001E-3</v>
      </c>
      <c r="G12" s="198">
        <f>F12</f>
        <v>5.0000000000000001E-3</v>
      </c>
      <c r="H12" s="198">
        <f t="shared" ref="H12:K12" si="5">G12</f>
        <v>5.0000000000000001E-3</v>
      </c>
      <c r="I12" s="198">
        <f t="shared" si="5"/>
        <v>5.0000000000000001E-3</v>
      </c>
      <c r="J12" s="198">
        <f t="shared" si="5"/>
        <v>5.0000000000000001E-3</v>
      </c>
      <c r="K12" s="198">
        <f t="shared" si="5"/>
        <v>5.0000000000000001E-3</v>
      </c>
    </row>
    <row r="13" spans="2:13" ht="18" customHeight="1" outlineLevel="1">
      <c r="B13" s="78" t="s">
        <v>169</v>
      </c>
      <c r="C13" s="41"/>
      <c r="D13" s="41"/>
      <c r="E13" s="41"/>
      <c r="F13" s="39">
        <f>IF(F11,F11,F12*F10)</f>
        <v>22.5</v>
      </c>
      <c r="G13" s="39">
        <f t="shared" ref="G13:J13" si="6">IF(G11,G11,G12*G10)</f>
        <v>24.75</v>
      </c>
      <c r="H13" s="39">
        <f t="shared" si="6"/>
        <v>26.73</v>
      </c>
      <c r="I13" s="39">
        <f t="shared" si="6"/>
        <v>28.066500000000001</v>
      </c>
      <c r="J13" s="39">
        <f t="shared" si="6"/>
        <v>28.908495000000002</v>
      </c>
      <c r="K13" s="39">
        <f t="shared" ref="K13" si="7">IF(K11,K11,K12*K10)</f>
        <v>28.908495000000002</v>
      </c>
    </row>
    <row r="14" spans="2:13" ht="18" customHeight="1" outlineLevel="1" thickBot="1">
      <c r="B14" s="196" t="s">
        <v>88</v>
      </c>
      <c r="C14" s="42"/>
      <c r="D14" s="42"/>
      <c r="E14" s="42"/>
      <c r="F14" s="301">
        <f>IF(F10,F13/F10,"na")</f>
        <v>5.0000000000000001E-3</v>
      </c>
      <c r="G14" s="301">
        <f t="shared" ref="G14:J14" si="8">IF(G10,G13/G10,"na")</f>
        <v>5.0000000000000001E-3</v>
      </c>
      <c r="H14" s="301">
        <f t="shared" si="8"/>
        <v>5.0000000000000001E-3</v>
      </c>
      <c r="I14" s="301">
        <f t="shared" si="8"/>
        <v>5.0000000000000001E-3</v>
      </c>
      <c r="J14" s="301">
        <f t="shared" si="8"/>
        <v>5.0000000000000001E-3</v>
      </c>
      <c r="K14" s="301">
        <f>IF(K10,K13/K10,"na")</f>
        <v>5.0000000000000001E-3</v>
      </c>
    </row>
    <row r="16" spans="2:13" ht="18" customHeight="1">
      <c r="B16" s="32" t="s">
        <v>777</v>
      </c>
      <c r="D16" s="147" t="s">
        <v>781</v>
      </c>
    </row>
    <row r="17" spans="2:15" ht="19.5" customHeight="1" outlineLevel="1">
      <c r="B17" s="24" t="s">
        <v>64</v>
      </c>
      <c r="C17" s="61" t="str">
        <f t="shared" ref="C17:K17" si="9">C4</f>
        <v>2016年</v>
      </c>
      <c r="D17" s="61" t="str">
        <f t="shared" si="9"/>
        <v>2017年</v>
      </c>
      <c r="E17" s="61" t="str">
        <f t="shared" si="9"/>
        <v>2018年1-6</v>
      </c>
      <c r="F17" s="23" t="str">
        <f t="shared" si="9"/>
        <v>2018年</v>
      </c>
      <c r="G17" s="23" t="str">
        <f t="shared" si="9"/>
        <v>2019年</v>
      </c>
      <c r="H17" s="23" t="str">
        <f t="shared" si="9"/>
        <v>2020年</v>
      </c>
      <c r="I17" s="23" t="str">
        <f t="shared" si="9"/>
        <v>2021年</v>
      </c>
      <c r="J17" s="23" t="str">
        <f t="shared" si="9"/>
        <v>2022年</v>
      </c>
      <c r="K17" s="23" t="str">
        <f t="shared" si="9"/>
        <v>2023年</v>
      </c>
      <c r="L17" s="145" t="s">
        <v>151</v>
      </c>
      <c r="M17" s="146" t="s">
        <v>159</v>
      </c>
      <c r="N17" s="146" t="s">
        <v>160</v>
      </c>
    </row>
    <row r="18" spans="2:15" ht="18" customHeight="1" outlineLevel="1">
      <c r="B18" s="6" t="s">
        <v>778</v>
      </c>
      <c r="C18" s="65"/>
      <c r="D18" s="65"/>
      <c r="E18" s="65"/>
      <c r="F18" s="38"/>
      <c r="G18" s="38"/>
      <c r="H18" s="38"/>
      <c r="I18" s="38"/>
      <c r="J18" s="38"/>
      <c r="K18" s="38"/>
      <c r="L18" s="199">
        <v>0.16</v>
      </c>
      <c r="M18" s="200"/>
      <c r="N18" s="2"/>
    </row>
    <row r="19" spans="2:15" ht="18" customHeight="1" outlineLevel="1">
      <c r="B19" s="6" t="s">
        <v>779</v>
      </c>
      <c r="C19" s="65"/>
      <c r="D19" s="65"/>
      <c r="E19" s="65"/>
      <c r="F19" s="38"/>
      <c r="G19" s="38"/>
      <c r="H19" s="38"/>
      <c r="I19" s="38"/>
      <c r="J19" s="38"/>
      <c r="K19" s="38"/>
      <c r="L19" s="199">
        <v>0.16</v>
      </c>
      <c r="M19" s="200"/>
      <c r="N19" s="201" t="s">
        <v>172</v>
      </c>
    </row>
    <row r="20" spans="2:15" ht="18" customHeight="1" outlineLevel="1">
      <c r="B20" s="6" t="s">
        <v>154</v>
      </c>
      <c r="C20" s="38">
        <f t="shared" ref="C20:K20" si="10">C18-C19</f>
        <v>0</v>
      </c>
      <c r="D20" s="38">
        <f t="shared" si="10"/>
        <v>0</v>
      </c>
      <c r="E20" s="38">
        <f t="shared" si="10"/>
        <v>0</v>
      </c>
      <c r="F20" s="38">
        <f t="shared" si="10"/>
        <v>0</v>
      </c>
      <c r="G20" s="38">
        <f>G18-G19</f>
        <v>0</v>
      </c>
      <c r="H20" s="38">
        <f t="shared" si="10"/>
        <v>0</v>
      </c>
      <c r="I20" s="38">
        <f t="shared" si="10"/>
        <v>0</v>
      </c>
      <c r="J20" s="38">
        <f t="shared" si="10"/>
        <v>0</v>
      </c>
      <c r="K20" s="38">
        <f t="shared" si="10"/>
        <v>0</v>
      </c>
      <c r="L20" s="64"/>
      <c r="M20" s="200" t="s">
        <v>153</v>
      </c>
      <c r="N20" s="2"/>
    </row>
    <row r="21" spans="2:15" ht="18" customHeight="1" outlineLevel="1">
      <c r="B21" s="6" t="s">
        <v>155</v>
      </c>
      <c r="C21" s="292"/>
      <c r="D21" s="292"/>
      <c r="E21" s="292"/>
      <c r="F21" s="65"/>
      <c r="G21" s="65"/>
      <c r="H21" s="65"/>
      <c r="I21" s="65"/>
      <c r="J21" s="65"/>
      <c r="K21" s="65"/>
      <c r="L21" s="199"/>
      <c r="M21" s="200"/>
      <c r="N21" s="6" t="s">
        <v>783</v>
      </c>
    </row>
    <row r="22" spans="2:15" ht="18" customHeight="1" outlineLevel="1">
      <c r="B22" s="6" t="s">
        <v>156</v>
      </c>
      <c r="C22" s="38">
        <f t="shared" ref="C22:E22" si="11">C20+C21</f>
        <v>0</v>
      </c>
      <c r="D22" s="38">
        <f t="shared" si="11"/>
        <v>0</v>
      </c>
      <c r="E22" s="38">
        <f t="shared" si="11"/>
        <v>0</v>
      </c>
      <c r="F22" s="38">
        <f>IF(F20+F21&lt;0,0,F20+F21)</f>
        <v>0</v>
      </c>
      <c r="G22" s="38">
        <f t="shared" ref="G22:K22" si="12">IF(G20+G21&lt;0,0,G20+G21)</f>
        <v>0</v>
      </c>
      <c r="H22" s="38">
        <f t="shared" si="12"/>
        <v>0</v>
      </c>
      <c r="I22" s="38">
        <f t="shared" si="12"/>
        <v>0</v>
      </c>
      <c r="J22" s="38">
        <f t="shared" si="12"/>
        <v>0</v>
      </c>
      <c r="K22" s="38">
        <f t="shared" si="12"/>
        <v>0</v>
      </c>
      <c r="L22" s="202"/>
      <c r="M22" s="200" t="s">
        <v>157</v>
      </c>
      <c r="N22" s="2"/>
    </row>
    <row r="23" spans="2:15" ht="18" customHeight="1" outlineLevel="1">
      <c r="B23" s="6" t="s">
        <v>162</v>
      </c>
      <c r="C23" s="293"/>
      <c r="D23" s="293"/>
      <c r="E23" s="293"/>
      <c r="F23" s="38"/>
      <c r="G23" s="38"/>
      <c r="H23" s="38"/>
      <c r="I23" s="38"/>
      <c r="J23" s="38"/>
      <c r="K23" s="38"/>
      <c r="L23" s="199"/>
      <c r="M23" s="2"/>
      <c r="N23" s="2"/>
    </row>
    <row r="24" spans="2:15" ht="18" customHeight="1" outlineLevel="1">
      <c r="B24" s="6" t="s">
        <v>161</v>
      </c>
      <c r="C24" s="293"/>
      <c r="D24" s="293"/>
      <c r="E24" s="293"/>
      <c r="F24" s="38">
        <f>F48*$L$24</f>
        <v>0</v>
      </c>
      <c r="G24" s="38">
        <f t="shared" ref="G24:K24" si="13">G48*$L$24</f>
        <v>0</v>
      </c>
      <c r="H24" s="38">
        <f t="shared" si="13"/>
        <v>0</v>
      </c>
      <c r="I24" s="38">
        <f t="shared" si="13"/>
        <v>0</v>
      </c>
      <c r="J24" s="38">
        <f t="shared" si="13"/>
        <v>0</v>
      </c>
      <c r="K24" s="38">
        <f t="shared" si="13"/>
        <v>0</v>
      </c>
      <c r="L24" s="199">
        <v>7.0000000000000007E-2</v>
      </c>
      <c r="M24" s="200" t="s">
        <v>152</v>
      </c>
      <c r="N24" s="2"/>
    </row>
    <row r="25" spans="2:15" ht="18" customHeight="1" outlineLevel="1">
      <c r="B25" s="6" t="s">
        <v>163</v>
      </c>
      <c r="C25" s="293"/>
      <c r="D25" s="293"/>
      <c r="E25" s="293"/>
      <c r="F25" s="294"/>
      <c r="G25" s="294"/>
      <c r="H25" s="294"/>
      <c r="I25" s="294"/>
      <c r="J25" s="294"/>
      <c r="K25" s="294"/>
      <c r="L25" s="199"/>
      <c r="M25" s="200"/>
      <c r="N25" s="2"/>
    </row>
    <row r="26" spans="2:15" ht="18" customHeight="1" outlineLevel="1">
      <c r="B26" s="6" t="s">
        <v>780</v>
      </c>
      <c r="C26" s="293"/>
      <c r="D26" s="293"/>
      <c r="E26" s="293"/>
      <c r="F26" s="38">
        <f>F48*$L$26</f>
        <v>0</v>
      </c>
      <c r="G26" s="38">
        <f t="shared" ref="G26:K26" si="14">G48*$L$26</f>
        <v>0</v>
      </c>
      <c r="H26" s="38">
        <f t="shared" si="14"/>
        <v>0</v>
      </c>
      <c r="I26" s="38">
        <f t="shared" si="14"/>
        <v>0</v>
      </c>
      <c r="J26" s="38">
        <f t="shared" si="14"/>
        <v>0</v>
      </c>
      <c r="K26" s="38">
        <f t="shared" si="14"/>
        <v>0</v>
      </c>
      <c r="L26" s="199">
        <v>0.05</v>
      </c>
      <c r="M26" s="200" t="s">
        <v>152</v>
      </c>
      <c r="N26" s="2"/>
    </row>
    <row r="27" spans="2:15" ht="18" customHeight="1" outlineLevel="1">
      <c r="B27" s="6" t="s">
        <v>164</v>
      </c>
      <c r="C27" s="293"/>
      <c r="D27" s="293"/>
      <c r="E27" s="293"/>
      <c r="F27" s="294"/>
      <c r="G27" s="294"/>
      <c r="H27" s="294"/>
      <c r="I27" s="294"/>
      <c r="J27" s="294"/>
      <c r="K27" s="294"/>
      <c r="L27" s="199"/>
      <c r="M27" s="200"/>
      <c r="N27" s="2"/>
    </row>
    <row r="28" spans="2:15" ht="18" customHeight="1" outlineLevel="1">
      <c r="B28" s="6" t="s">
        <v>165</v>
      </c>
      <c r="C28" s="293"/>
      <c r="D28" s="293"/>
      <c r="E28" s="293"/>
      <c r="F28" s="294"/>
      <c r="G28" s="294"/>
      <c r="H28" s="294"/>
      <c r="I28" s="294"/>
      <c r="J28" s="294"/>
      <c r="K28" s="294"/>
      <c r="L28" s="199"/>
      <c r="M28" s="200"/>
      <c r="N28" s="2"/>
      <c r="O28" s="231"/>
    </row>
    <row r="29" spans="2:15" ht="18" customHeight="1" outlineLevel="1">
      <c r="B29" s="6" t="s">
        <v>166</v>
      </c>
      <c r="C29" s="293"/>
      <c r="D29" s="293"/>
      <c r="E29" s="293"/>
      <c r="F29" s="294"/>
      <c r="G29" s="294"/>
      <c r="H29" s="294"/>
      <c r="I29" s="294"/>
      <c r="J29" s="294"/>
      <c r="K29" s="294"/>
      <c r="L29" s="199"/>
      <c r="M29" s="200"/>
      <c r="N29" s="2"/>
    </row>
    <row r="30" spans="2:15" ht="18" customHeight="1" outlineLevel="1">
      <c r="B30" s="6" t="s">
        <v>167</v>
      </c>
      <c r="C30" s="293"/>
      <c r="D30" s="293"/>
      <c r="E30" s="293"/>
      <c r="F30" s="294"/>
      <c r="G30" s="294"/>
      <c r="H30" s="294"/>
      <c r="I30" s="294"/>
      <c r="J30" s="294"/>
      <c r="K30" s="294"/>
      <c r="L30" s="203">
        <v>2.9999999999999997E-4</v>
      </c>
      <c r="M30" s="200"/>
      <c r="N30" s="201" t="s">
        <v>173</v>
      </c>
      <c r="O30" s="230"/>
    </row>
    <row r="31" spans="2:15" ht="18" customHeight="1" outlineLevel="1">
      <c r="B31" s="6" t="s">
        <v>226</v>
      </c>
      <c r="C31" s="293"/>
      <c r="D31" s="293"/>
      <c r="E31" s="293"/>
      <c r="F31" s="294"/>
      <c r="G31" s="294"/>
      <c r="H31" s="294"/>
      <c r="I31" s="294"/>
      <c r="J31" s="294"/>
      <c r="K31" s="294"/>
      <c r="L31" s="199"/>
      <c r="M31" s="200"/>
      <c r="N31" s="2"/>
    </row>
    <row r="32" spans="2:15" ht="18" customHeight="1" outlineLevel="1">
      <c r="B32" s="7" t="s">
        <v>158</v>
      </c>
      <c r="C32" s="37">
        <f t="shared" ref="C32:D32" si="15">C21+SUM(C23:C31)</f>
        <v>0</v>
      </c>
      <c r="D32" s="37">
        <f t="shared" si="15"/>
        <v>0</v>
      </c>
      <c r="E32" s="37">
        <f>E21+SUM(E23:E31)</f>
        <v>0</v>
      </c>
      <c r="F32" s="37">
        <f>F21+SUM(F23:F31)</f>
        <v>0</v>
      </c>
      <c r="G32" s="37">
        <f t="shared" ref="G32:K32" si="16">G21+SUM(G23:G31)</f>
        <v>0</v>
      </c>
      <c r="H32" s="37">
        <f t="shared" si="16"/>
        <v>0</v>
      </c>
      <c r="I32" s="37">
        <f t="shared" si="16"/>
        <v>0</v>
      </c>
      <c r="J32" s="37">
        <f t="shared" si="16"/>
        <v>0</v>
      </c>
      <c r="K32" s="37">
        <f t="shared" si="16"/>
        <v>0</v>
      </c>
      <c r="L32" s="2"/>
      <c r="M32" s="200"/>
      <c r="N32" s="2"/>
    </row>
    <row r="33" spans="2:11" ht="18" customHeight="1" outlineLevel="1">
      <c r="B33" s="147" t="s">
        <v>96</v>
      </c>
      <c r="F33" s="266">
        <f>IF(F6,F32/F6,"na")</f>
        <v>0</v>
      </c>
      <c r="G33" s="266">
        <f t="shared" ref="G33:K33" si="17">IF(G6,G32/G6,"na")</f>
        <v>0</v>
      </c>
      <c r="H33" s="266">
        <f t="shared" si="17"/>
        <v>0</v>
      </c>
      <c r="I33" s="266">
        <f t="shared" si="17"/>
        <v>0</v>
      </c>
      <c r="J33" s="266">
        <f t="shared" si="17"/>
        <v>0</v>
      </c>
      <c r="K33" s="266">
        <f t="shared" si="17"/>
        <v>0</v>
      </c>
    </row>
    <row r="34" spans="2:11" ht="18" customHeight="1" outlineLevel="1"/>
    <row r="35" spans="2:11" ht="18" customHeight="1" outlineLevel="1" thickBot="1">
      <c r="B35" s="685" t="s">
        <v>421</v>
      </c>
      <c r="C35" s="192"/>
      <c r="D35" s="192"/>
      <c r="E35" s="192"/>
      <c r="F35" s="192"/>
      <c r="G35" s="192"/>
      <c r="H35" s="192"/>
      <c r="I35" s="192"/>
      <c r="J35" s="192"/>
      <c r="K35" s="192"/>
    </row>
    <row r="36" spans="2:11" ht="18" customHeight="1" outlineLevel="1">
      <c r="B36" s="265" t="s">
        <v>307</v>
      </c>
      <c r="C36" s="34"/>
      <c r="D36" s="34"/>
      <c r="E36" s="34"/>
      <c r="F36" s="290" t="str">
        <f t="shared" ref="F36:K36" si="18">F4</f>
        <v>2018年</v>
      </c>
      <c r="G36" s="290" t="str">
        <f t="shared" si="18"/>
        <v>2019年</v>
      </c>
      <c r="H36" s="290" t="str">
        <f t="shared" si="18"/>
        <v>2020年</v>
      </c>
      <c r="I36" s="290" t="str">
        <f t="shared" si="18"/>
        <v>2021年</v>
      </c>
      <c r="J36" s="290" t="str">
        <f t="shared" si="18"/>
        <v>2022年</v>
      </c>
      <c r="K36" s="290" t="str">
        <f t="shared" si="18"/>
        <v>2023年</v>
      </c>
    </row>
    <row r="37" spans="2:11" ht="18" customHeight="1" outlineLevel="1">
      <c r="B37" s="688" t="s">
        <v>784</v>
      </c>
      <c r="C37" s="232"/>
      <c r="D37" s="232"/>
      <c r="E37" s="232"/>
      <c r="F37" s="689"/>
      <c r="G37" s="689"/>
      <c r="H37" s="689"/>
      <c r="I37" s="689"/>
      <c r="J37" s="689"/>
      <c r="K37" s="689"/>
    </row>
    <row r="38" spans="2:11" ht="18" customHeight="1" outlineLevel="1"/>
    <row r="39" spans="2:11" ht="18" customHeight="1" outlineLevel="1">
      <c r="B39" s="17" t="s">
        <v>785</v>
      </c>
      <c r="F39" s="194"/>
      <c r="G39" s="194"/>
      <c r="H39" s="194"/>
      <c r="I39" s="194"/>
      <c r="J39" s="194"/>
      <c r="K39" s="194"/>
    </row>
    <row r="40" spans="2:11" ht="18" customHeight="1" outlineLevel="1">
      <c r="B40" s="17" t="s">
        <v>786</v>
      </c>
      <c r="F40" s="194"/>
      <c r="G40" s="194"/>
      <c r="H40" s="194"/>
      <c r="I40" s="194"/>
      <c r="J40" s="194"/>
      <c r="K40" s="194"/>
    </row>
    <row r="41" spans="2:11" ht="18" customHeight="1" outlineLevel="1">
      <c r="B41" s="17" t="s">
        <v>787</v>
      </c>
      <c r="F41" s="194"/>
      <c r="G41" s="194"/>
      <c r="H41" s="194"/>
      <c r="I41" s="194"/>
      <c r="J41" s="194"/>
      <c r="K41" s="194"/>
    </row>
    <row r="42" spans="2:11" ht="18" customHeight="1" outlineLevel="1">
      <c r="B42" s="17" t="s">
        <v>324</v>
      </c>
      <c r="F42" s="194"/>
      <c r="G42" s="194"/>
      <c r="H42" s="194"/>
      <c r="I42" s="194"/>
      <c r="J42" s="194"/>
      <c r="K42" s="194"/>
    </row>
    <row r="43" spans="2:11" ht="18" customHeight="1" outlineLevel="1">
      <c r="B43" s="17" t="s">
        <v>250</v>
      </c>
      <c r="F43" s="194"/>
      <c r="G43" s="194"/>
      <c r="H43" s="194"/>
      <c r="I43" s="194"/>
      <c r="J43" s="194"/>
      <c r="K43" s="194"/>
    </row>
    <row r="44" spans="2:11" ht="18" customHeight="1" outlineLevel="1">
      <c r="B44" s="17" t="s">
        <v>422</v>
      </c>
      <c r="F44" s="194"/>
      <c r="G44" s="194"/>
      <c r="H44" s="194"/>
      <c r="I44" s="194"/>
      <c r="J44" s="194"/>
      <c r="K44" s="194"/>
    </row>
    <row r="45" spans="2:11" ht="18" customHeight="1" outlineLevel="1">
      <c r="B45" s="17" t="s">
        <v>249</v>
      </c>
      <c r="F45" s="194"/>
      <c r="G45" s="194"/>
      <c r="H45" s="194"/>
      <c r="I45" s="194"/>
      <c r="J45" s="194"/>
      <c r="K45" s="194"/>
    </row>
    <row r="46" spans="2:11" ht="18" customHeight="1" outlineLevel="1">
      <c r="B46" s="191" t="s">
        <v>788</v>
      </c>
      <c r="C46" s="34"/>
      <c r="D46" s="34"/>
      <c r="E46" s="34"/>
      <c r="F46" s="690"/>
      <c r="G46" s="690"/>
      <c r="H46" s="690"/>
      <c r="I46" s="690"/>
      <c r="J46" s="690"/>
      <c r="K46" s="690"/>
    </row>
    <row r="47" spans="2:11" ht="18" customHeight="1" outlineLevel="1">
      <c r="B47" s="197" t="s">
        <v>789</v>
      </c>
      <c r="F47" s="11">
        <f>SUM(F39:F46)</f>
        <v>0</v>
      </c>
      <c r="G47" s="11">
        <f t="shared" ref="G47:J47" si="19">SUM(G39:G46)</f>
        <v>0</v>
      </c>
      <c r="H47" s="11">
        <f t="shared" si="19"/>
        <v>0</v>
      </c>
      <c r="I47" s="11">
        <f t="shared" si="19"/>
        <v>0</v>
      </c>
      <c r="J47" s="11">
        <f t="shared" si="19"/>
        <v>0</v>
      </c>
      <c r="K47" s="11">
        <f>SUM(K39:K46)</f>
        <v>0</v>
      </c>
    </row>
    <row r="48" spans="2:11" ht="18" customHeight="1" outlineLevel="1" thickBot="1">
      <c r="B48" s="686" t="s">
        <v>790</v>
      </c>
      <c r="C48" s="687"/>
      <c r="D48" s="687"/>
      <c r="E48" s="687"/>
      <c r="F48" s="687">
        <f>F37-F47</f>
        <v>0</v>
      </c>
      <c r="G48" s="687">
        <f t="shared" ref="G48:K48" si="20">G37-G47</f>
        <v>0</v>
      </c>
      <c r="H48" s="687">
        <f t="shared" si="20"/>
        <v>0</v>
      </c>
      <c r="I48" s="687">
        <f t="shared" si="20"/>
        <v>0</v>
      </c>
      <c r="J48" s="687">
        <f t="shared" si="20"/>
        <v>0</v>
      </c>
      <c r="K48" s="687">
        <f t="shared" si="20"/>
        <v>0</v>
      </c>
    </row>
  </sheetData>
  <sheetProtection formatCells="0" formatColumns="0" formatRows="0" insertColumns="0" insertRows="0" deleteColumns="0" deleteRows="0"/>
  <mergeCells count="1">
    <mergeCell ref="B1:K1"/>
  </mergeCells>
  <phoneticPr fontId="6" type="noConversion"/>
  <pageMargins left="0.75" right="0.75" top="1" bottom="1" header="0.5" footer="0.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tabColor rgb="FFFFFF00"/>
  </sheetPr>
  <dimension ref="B1:O124"/>
  <sheetViews>
    <sheetView zoomScaleNormal="100" workbookViewId="0">
      <selection activeCell="F58" sqref="F58"/>
    </sheetView>
  </sheetViews>
  <sheetFormatPr defaultColWidth="9" defaultRowHeight="18" customHeight="1" outlineLevelRow="1"/>
  <cols>
    <col min="1" max="1" width="4.5" style="11" customWidth="1"/>
    <col min="2" max="2" width="23.08203125" style="11" customWidth="1"/>
    <col min="3" max="3" width="9.08203125" style="11" customWidth="1"/>
    <col min="4" max="4" width="9.75" style="11" customWidth="1"/>
    <col min="5" max="5" width="11.08203125" style="11" customWidth="1"/>
    <col min="6" max="11" width="9.08203125" style="11" customWidth="1"/>
    <col min="12" max="12" width="11" style="11" customWidth="1"/>
    <col min="13" max="16384" width="9" style="11"/>
  </cols>
  <sheetData>
    <row r="1" spans="2:11" ht="26.25" customHeight="1">
      <c r="B1" s="749" t="s">
        <v>416</v>
      </c>
      <c r="C1" s="749"/>
      <c r="D1" s="749"/>
      <c r="E1" s="749"/>
      <c r="F1" s="749"/>
      <c r="G1" s="749"/>
      <c r="H1" s="749"/>
      <c r="I1" s="749"/>
      <c r="J1" s="749"/>
      <c r="K1" s="749"/>
    </row>
    <row r="2" spans="2:11" ht="18" customHeight="1">
      <c r="B2" s="229" t="str">
        <f>'1报表'!B11</f>
        <v>评估基准日：2018/6/30</v>
      </c>
      <c r="D2" s="70"/>
      <c r="E2" s="342"/>
      <c r="G2" s="70"/>
      <c r="H2" s="70"/>
      <c r="I2" s="70"/>
      <c r="J2" s="70"/>
      <c r="K2" s="70"/>
    </row>
    <row r="3" spans="2:11" ht="18" customHeight="1">
      <c r="B3" s="229" t="str">
        <f>'1报表'!B12</f>
        <v>被评估单位：YLSJ公司</v>
      </c>
      <c r="C3" s="3"/>
      <c r="D3" s="3"/>
      <c r="E3" s="3"/>
      <c r="F3" s="3"/>
      <c r="G3" s="3"/>
      <c r="H3" s="3"/>
      <c r="K3" s="15" t="s">
        <v>52</v>
      </c>
    </row>
    <row r="4" spans="2:11" ht="25.5" customHeight="1">
      <c r="B4" s="24" t="s">
        <v>228</v>
      </c>
      <c r="C4" s="61" t="str">
        <f>'3收入'!C4</f>
        <v>2016年</v>
      </c>
      <c r="D4" s="61" t="str">
        <f>'3收入'!D4</f>
        <v>2017年</v>
      </c>
      <c r="E4" s="61" t="str">
        <f>'3收入'!E4</f>
        <v>2018年1-6</v>
      </c>
      <c r="F4" s="23" t="str">
        <f>'3收入'!F4</f>
        <v>2018年</v>
      </c>
      <c r="G4" s="23" t="str">
        <f>'3收入'!G4</f>
        <v>2019年</v>
      </c>
      <c r="H4" s="23" t="str">
        <f>'3收入'!H4</f>
        <v>2020年</v>
      </c>
      <c r="I4" s="23" t="str">
        <f>'3收入'!I4</f>
        <v>2021年</v>
      </c>
      <c r="J4" s="23" t="str">
        <f>'3收入'!J4</f>
        <v>2022年</v>
      </c>
      <c r="K4" s="23" t="str">
        <f>'3收入'!K4</f>
        <v>2023年</v>
      </c>
    </row>
    <row r="5" spans="2:11" ht="18" customHeight="1">
      <c r="B5" s="691" t="s">
        <v>216</v>
      </c>
      <c r="C5" s="38">
        <f>'1报表'!C100</f>
        <v>0</v>
      </c>
      <c r="D5" s="38">
        <f>'1报表'!D100</f>
        <v>0</v>
      </c>
      <c r="E5" s="38">
        <f>'1报表'!E100</f>
        <v>0</v>
      </c>
      <c r="F5" s="38">
        <f>F41</f>
        <v>0</v>
      </c>
      <c r="G5" s="38">
        <f t="shared" ref="G5:K5" si="0">G41</f>
        <v>0</v>
      </c>
      <c r="H5" s="38">
        <f t="shared" si="0"/>
        <v>0</v>
      </c>
      <c r="I5" s="38">
        <f t="shared" si="0"/>
        <v>0</v>
      </c>
      <c r="J5" s="38">
        <f t="shared" si="0"/>
        <v>0</v>
      </c>
      <c r="K5" s="38">
        <f t="shared" si="0"/>
        <v>0</v>
      </c>
    </row>
    <row r="6" spans="2:11" ht="18" customHeight="1">
      <c r="B6" s="691" t="s">
        <v>71</v>
      </c>
      <c r="C6" s="38">
        <f>'1报表'!C101</f>
        <v>668.47256399999992</v>
      </c>
      <c r="D6" s="38">
        <f>'1报表'!D101</f>
        <v>615.98559899999998</v>
      </c>
      <c r="E6" s="38">
        <f>'1报表'!E101</f>
        <v>268.929236</v>
      </c>
      <c r="F6" s="38">
        <f>F75</f>
        <v>475.4375060000001</v>
      </c>
      <c r="G6" s="38">
        <f t="shared" ref="G6:K6" si="1">G75</f>
        <v>512.95000000000005</v>
      </c>
      <c r="H6" s="38">
        <f t="shared" si="1"/>
        <v>554.94600000000003</v>
      </c>
      <c r="I6" s="38">
        <f t="shared" si="1"/>
        <v>583.44330000000002</v>
      </c>
      <c r="J6" s="38">
        <f t="shared" si="1"/>
        <v>599.9515990000001</v>
      </c>
      <c r="K6" s="38">
        <f t="shared" si="1"/>
        <v>599.9515990000001</v>
      </c>
    </row>
    <row r="7" spans="2:11" ht="18" customHeight="1">
      <c r="B7" s="691" t="s">
        <v>376</v>
      </c>
      <c r="C7" s="38">
        <f>'1报表'!C102</f>
        <v>0</v>
      </c>
      <c r="D7" s="38">
        <f>'1报表'!D102</f>
        <v>0</v>
      </c>
      <c r="E7" s="38">
        <f>'1报表'!E102</f>
        <v>0</v>
      </c>
      <c r="F7" s="38">
        <f>F82</f>
        <v>0</v>
      </c>
      <c r="G7" s="38">
        <f t="shared" ref="G7:K7" si="2">G82</f>
        <v>0</v>
      </c>
      <c r="H7" s="38">
        <f t="shared" si="2"/>
        <v>0</v>
      </c>
      <c r="I7" s="38">
        <f t="shared" si="2"/>
        <v>0</v>
      </c>
      <c r="J7" s="38">
        <f t="shared" si="2"/>
        <v>0</v>
      </c>
      <c r="K7" s="38">
        <f t="shared" si="2"/>
        <v>0</v>
      </c>
    </row>
    <row r="8" spans="2:11" ht="18" customHeight="1">
      <c r="B8" s="7" t="s">
        <v>383</v>
      </c>
      <c r="C8" s="37">
        <f>SUM(C5:C7)</f>
        <v>668.47256399999992</v>
      </c>
      <c r="D8" s="37">
        <f t="shared" ref="D8:K8" si="3">SUM(D5:D7)</f>
        <v>615.98559899999998</v>
      </c>
      <c r="E8" s="37">
        <f t="shared" si="3"/>
        <v>268.929236</v>
      </c>
      <c r="F8" s="37">
        <f t="shared" si="3"/>
        <v>475.4375060000001</v>
      </c>
      <c r="G8" s="37">
        <f t="shared" si="3"/>
        <v>512.95000000000005</v>
      </c>
      <c r="H8" s="37">
        <f t="shared" si="3"/>
        <v>554.94600000000003</v>
      </c>
      <c r="I8" s="37">
        <f t="shared" si="3"/>
        <v>583.44330000000002</v>
      </c>
      <c r="J8" s="37">
        <f t="shared" si="3"/>
        <v>599.9515990000001</v>
      </c>
      <c r="K8" s="37">
        <f t="shared" si="3"/>
        <v>599.9515990000001</v>
      </c>
    </row>
    <row r="9" spans="2:11" ht="18" customHeight="1">
      <c r="B9" s="204" t="s">
        <v>92</v>
      </c>
      <c r="C9" s="39">
        <f>'3收入'!C5</f>
        <v>6309.9995689999996</v>
      </c>
      <c r="D9" s="39">
        <f>'3收入'!D5</f>
        <v>6454.082015</v>
      </c>
      <c r="E9" s="39">
        <f>'3收入'!E5</f>
        <v>2068.9888219999998</v>
      </c>
      <c r="F9" s="39">
        <f>'3收入'!F5</f>
        <v>4500</v>
      </c>
      <c r="G9" s="39">
        <f>'3收入'!G5</f>
        <v>4950</v>
      </c>
      <c r="H9" s="39">
        <f>'3收入'!H5</f>
        <v>5346</v>
      </c>
      <c r="I9" s="39">
        <f>'3收入'!I5</f>
        <v>5613.3</v>
      </c>
      <c r="J9" s="39">
        <f>'3收入'!J5</f>
        <v>5781.6990000000005</v>
      </c>
      <c r="K9" s="39">
        <f>'3收入'!K5</f>
        <v>5781.6990000000005</v>
      </c>
    </row>
    <row r="10" spans="2:11" ht="18" customHeight="1">
      <c r="B10" s="11" t="s">
        <v>229</v>
      </c>
      <c r="C10" s="266">
        <f t="shared" ref="C10:K10" si="4">IF(C9,C8/C9,"na")</f>
        <v>0.10593860691910294</v>
      </c>
      <c r="D10" s="266">
        <f t="shared" si="4"/>
        <v>9.5441241305639024E-2</v>
      </c>
      <c r="E10" s="266">
        <f t="shared" si="4"/>
        <v>0.12998099996501578</v>
      </c>
      <c r="F10" s="266">
        <f t="shared" si="4"/>
        <v>0.10565277911111114</v>
      </c>
      <c r="G10" s="266">
        <f t="shared" si="4"/>
        <v>0.10362626262626264</v>
      </c>
      <c r="H10" s="266">
        <f t="shared" si="4"/>
        <v>0.10380583613916948</v>
      </c>
      <c r="I10" s="266">
        <f t="shared" si="4"/>
        <v>0.10393944738389183</v>
      </c>
      <c r="J10" s="266">
        <f t="shared" si="4"/>
        <v>0.10376735264149864</v>
      </c>
      <c r="K10" s="266">
        <f t="shared" si="4"/>
        <v>0.10376735264149864</v>
      </c>
    </row>
    <row r="11" spans="2:11" ht="18" customHeight="1">
      <c r="B11" s="364" t="s">
        <v>379</v>
      </c>
      <c r="D11" s="286"/>
      <c r="E11" s="508" t="s">
        <v>308</v>
      </c>
      <c r="I11" s="207" t="s">
        <v>433</v>
      </c>
    </row>
    <row r="12" spans="2:11" ht="18" hidden="1" customHeight="1" outlineLevel="1">
      <c r="B12" s="172" t="s">
        <v>216</v>
      </c>
      <c r="C12" s="268" t="str">
        <f t="shared" ref="C12:K12" si="5">C4</f>
        <v>2016年</v>
      </c>
      <c r="D12" s="268" t="str">
        <f t="shared" si="5"/>
        <v>2017年</v>
      </c>
      <c r="E12" s="268" t="str">
        <f t="shared" si="5"/>
        <v>2018年1-6</v>
      </c>
      <c r="F12" s="173" t="str">
        <f t="shared" si="5"/>
        <v>2018年</v>
      </c>
      <c r="G12" s="173" t="str">
        <f t="shared" si="5"/>
        <v>2019年</v>
      </c>
      <c r="H12" s="173" t="str">
        <f t="shared" si="5"/>
        <v>2020年</v>
      </c>
      <c r="I12" s="173" t="str">
        <f t="shared" si="5"/>
        <v>2021年</v>
      </c>
      <c r="J12" s="173" t="str">
        <f t="shared" si="5"/>
        <v>2022年</v>
      </c>
      <c r="K12" s="173" t="str">
        <f t="shared" si="5"/>
        <v>2023年</v>
      </c>
    </row>
    <row r="13" spans="2:11" ht="18" hidden="1" customHeight="1" outlineLevel="1">
      <c r="B13" s="311" t="s">
        <v>83</v>
      </c>
      <c r="C13" s="434"/>
      <c r="D13" s="434"/>
      <c r="E13" s="434"/>
      <c r="F13" s="2"/>
      <c r="G13" s="2"/>
      <c r="H13" s="2"/>
      <c r="I13" s="2"/>
      <c r="J13" s="2"/>
      <c r="K13" s="2"/>
    </row>
    <row r="14" spans="2:11" ht="18" hidden="1" customHeight="1" outlineLevel="1">
      <c r="B14" s="6" t="s">
        <v>791</v>
      </c>
      <c r="C14" s="144"/>
      <c r="D14" s="144"/>
      <c r="E14" s="144"/>
      <c r="F14" s="2"/>
      <c r="G14" s="2"/>
      <c r="H14" s="2"/>
      <c r="I14" s="2"/>
      <c r="J14" s="2"/>
      <c r="K14" s="2"/>
    </row>
    <row r="15" spans="2:11" ht="18" hidden="1" customHeight="1" outlineLevel="1">
      <c r="B15" s="6" t="s">
        <v>786</v>
      </c>
      <c r="C15" s="144"/>
      <c r="D15" s="144"/>
      <c r="E15" s="144"/>
      <c r="F15" s="2"/>
      <c r="G15" s="2"/>
      <c r="H15" s="2"/>
      <c r="I15" s="2"/>
      <c r="J15" s="2"/>
      <c r="K15" s="2"/>
    </row>
    <row r="16" spans="2:11" ht="18" hidden="1" customHeight="1" outlineLevel="1">
      <c r="B16" s="2" t="s">
        <v>792</v>
      </c>
      <c r="C16" s="144"/>
      <c r="D16" s="144"/>
      <c r="E16" s="144"/>
      <c r="F16" s="2"/>
      <c r="G16" s="2"/>
      <c r="H16" s="2"/>
      <c r="I16" s="2"/>
      <c r="J16" s="2"/>
      <c r="K16" s="2"/>
    </row>
    <row r="17" spans="2:11" ht="18" hidden="1" customHeight="1" outlineLevel="1">
      <c r="B17" s="2" t="s">
        <v>793</v>
      </c>
      <c r="C17" s="144"/>
      <c r="D17" s="144"/>
      <c r="E17" s="144"/>
      <c r="F17" s="2"/>
      <c r="G17" s="2"/>
      <c r="H17" s="2"/>
      <c r="I17" s="2"/>
      <c r="J17" s="2"/>
      <c r="K17" s="2"/>
    </row>
    <row r="18" spans="2:11" ht="18" hidden="1" customHeight="1" outlineLevel="1">
      <c r="B18" s="2" t="s">
        <v>794</v>
      </c>
      <c r="C18" s="144"/>
      <c r="D18" s="144"/>
      <c r="E18" s="144"/>
      <c r="F18" s="2"/>
      <c r="G18" s="2"/>
      <c r="H18" s="2"/>
      <c r="I18" s="2"/>
      <c r="J18" s="2"/>
      <c r="K18" s="2"/>
    </row>
    <row r="19" spans="2:11" ht="18" hidden="1" customHeight="1" outlineLevel="1">
      <c r="B19" s="6" t="s">
        <v>795</v>
      </c>
      <c r="C19" s="144"/>
      <c r="D19" s="144"/>
      <c r="E19" s="144"/>
      <c r="F19" s="2"/>
      <c r="G19" s="2"/>
      <c r="H19" s="2"/>
      <c r="I19" s="2"/>
      <c r="J19" s="2"/>
      <c r="K19" s="2"/>
    </row>
    <row r="20" spans="2:11" ht="18" hidden="1" customHeight="1" outlineLevel="1">
      <c r="B20" s="6" t="s">
        <v>796</v>
      </c>
      <c r="C20" s="144"/>
      <c r="D20" s="144"/>
      <c r="E20" s="144"/>
      <c r="F20" s="2"/>
      <c r="G20" s="2"/>
      <c r="H20" s="2"/>
      <c r="I20" s="2"/>
      <c r="J20" s="2"/>
      <c r="K20" s="2"/>
    </row>
    <row r="21" spans="2:11" ht="18" hidden="1" customHeight="1" outlineLevel="1">
      <c r="B21" s="6" t="s">
        <v>797</v>
      </c>
      <c r="C21" s="144"/>
      <c r="D21" s="144"/>
      <c r="E21" s="144"/>
      <c r="F21" s="2"/>
      <c r="G21" s="2"/>
      <c r="H21" s="2"/>
      <c r="I21" s="2"/>
      <c r="J21" s="2"/>
      <c r="K21" s="2"/>
    </row>
    <row r="22" spans="2:11" ht="18" hidden="1" customHeight="1" outlineLevel="1">
      <c r="B22" s="2"/>
      <c r="C22" s="144"/>
      <c r="D22" s="144"/>
      <c r="E22" s="144"/>
      <c r="F22" s="2"/>
      <c r="G22" s="2"/>
      <c r="H22" s="2"/>
      <c r="I22" s="2"/>
      <c r="J22" s="2"/>
      <c r="K22" s="2"/>
    </row>
    <row r="23" spans="2:11" ht="18" hidden="1" customHeight="1" outlineLevel="1">
      <c r="B23" s="7" t="s">
        <v>798</v>
      </c>
      <c r="C23" s="37">
        <f>SUM(C13:C22)</f>
        <v>0</v>
      </c>
      <c r="D23" s="37">
        <f t="shared" ref="D23:K23" si="6">SUM(D13:D22)</f>
        <v>0</v>
      </c>
      <c r="E23" s="37">
        <f t="shared" si="6"/>
        <v>0</v>
      </c>
      <c r="F23" s="37">
        <f t="shared" si="6"/>
        <v>0</v>
      </c>
      <c r="G23" s="37">
        <f t="shared" si="6"/>
        <v>0</v>
      </c>
      <c r="H23" s="37">
        <f t="shared" si="6"/>
        <v>0</v>
      </c>
      <c r="I23" s="37">
        <f t="shared" si="6"/>
        <v>0</v>
      </c>
      <c r="J23" s="37">
        <f t="shared" si="6"/>
        <v>0</v>
      </c>
      <c r="K23" s="37">
        <f t="shared" si="6"/>
        <v>0</v>
      </c>
    </row>
    <row r="24" spans="2:11" ht="18" hidden="1" customHeight="1" outlineLevel="1">
      <c r="B24" s="207" t="s">
        <v>252</v>
      </c>
      <c r="C24" s="267">
        <f>C23-C5</f>
        <v>0</v>
      </c>
      <c r="D24" s="267">
        <f>D23-D5</f>
        <v>0</v>
      </c>
      <c r="E24" s="267">
        <f>E23-E5</f>
        <v>0</v>
      </c>
    </row>
    <row r="25" spans="2:11" ht="18" hidden="1" customHeight="1" outlineLevel="1">
      <c r="B25" s="207" t="s">
        <v>253</v>
      </c>
      <c r="C25" s="44" t="str">
        <f t="shared" ref="C25:E25" si="7">IF(ROUND(C24,0)=0,"OK","需要检查")</f>
        <v>OK</v>
      </c>
      <c r="D25" s="44" t="str">
        <f t="shared" si="7"/>
        <v>OK</v>
      </c>
      <c r="E25" s="44" t="str">
        <f t="shared" si="7"/>
        <v>OK</v>
      </c>
    </row>
    <row r="26" spans="2:11" ht="18" hidden="1" customHeight="1" outlineLevel="1">
      <c r="B26" s="197" t="s">
        <v>233</v>
      </c>
      <c r="C26" s="20"/>
      <c r="D26" s="20"/>
      <c r="E26" s="692" t="str">
        <f>C12&amp;"-"&amp;E12</f>
        <v>2016年-2018年1-6</v>
      </c>
      <c r="F26" s="206" t="s">
        <v>799</v>
      </c>
      <c r="G26" s="206" t="s">
        <v>142</v>
      </c>
      <c r="H26" s="206" t="s">
        <v>232</v>
      </c>
    </row>
    <row r="27" spans="2:11" ht="18" hidden="1" customHeight="1" outlineLevel="1">
      <c r="B27" s="6" t="str">
        <f>B13</f>
        <v>差旅费</v>
      </c>
      <c r="C27" s="10" t="str">
        <f>IF(C13,C13/C$9,"")</f>
        <v/>
      </c>
      <c r="D27" s="10" t="str">
        <f t="shared" ref="C27:E35" si="8">IF(D13,D13/D$9,"")</f>
        <v/>
      </c>
      <c r="E27" s="10" t="str">
        <f t="shared" si="8"/>
        <v/>
      </c>
      <c r="F27" s="208" t="str">
        <f t="shared" ref="F27:F35" si="9">IF(COUNT(C27:E27)&gt;2,CORREL(C$9:E$9,C13:E13),"")</f>
        <v/>
      </c>
      <c r="G27" s="10" t="e">
        <f>AVERAGE(C27:E27)</f>
        <v>#DIV/0!</v>
      </c>
      <c r="H27" s="305"/>
    </row>
    <row r="28" spans="2:11" ht="18" hidden="1" customHeight="1" outlineLevel="1">
      <c r="B28" s="6" t="str">
        <f t="shared" ref="B28:B35" si="10">B14</f>
        <v>招待费</v>
      </c>
      <c r="C28" s="10" t="str">
        <f t="shared" si="8"/>
        <v/>
      </c>
      <c r="D28" s="10" t="str">
        <f t="shared" si="8"/>
        <v/>
      </c>
      <c r="E28" s="10" t="str">
        <f t="shared" si="8"/>
        <v/>
      </c>
      <c r="F28" s="208" t="str">
        <f>IF(COUNT(C28:E28)&gt;2,CORREL(C$9:E$9,C14:E14),"")</f>
        <v/>
      </c>
      <c r="G28" s="10" t="e">
        <f t="shared" ref="G28:G34" si="11">AVERAGE(C28:E28)</f>
        <v>#DIV/0!</v>
      </c>
      <c r="H28" s="305"/>
    </row>
    <row r="29" spans="2:11" ht="18" hidden="1" customHeight="1" outlineLevel="1">
      <c r="B29" s="6" t="str">
        <f t="shared" si="10"/>
        <v>运输费</v>
      </c>
      <c r="C29" s="10" t="str">
        <f t="shared" si="8"/>
        <v/>
      </c>
      <c r="D29" s="10" t="str">
        <f t="shared" si="8"/>
        <v/>
      </c>
      <c r="E29" s="10" t="str">
        <f t="shared" si="8"/>
        <v/>
      </c>
      <c r="F29" s="208" t="str">
        <f t="shared" si="9"/>
        <v/>
      </c>
      <c r="G29" s="10" t="e">
        <f t="shared" si="11"/>
        <v>#DIV/0!</v>
      </c>
      <c r="H29" s="305"/>
    </row>
    <row r="30" spans="2:11" ht="18" hidden="1" customHeight="1" outlineLevel="1">
      <c r="B30" s="6" t="str">
        <f t="shared" si="10"/>
        <v>广告/宣传费</v>
      </c>
      <c r="C30" s="10" t="str">
        <f t="shared" si="8"/>
        <v/>
      </c>
      <c r="D30" s="10" t="str">
        <f t="shared" si="8"/>
        <v/>
      </c>
      <c r="E30" s="10" t="str">
        <f t="shared" si="8"/>
        <v/>
      </c>
      <c r="F30" s="208" t="str">
        <f t="shared" si="9"/>
        <v/>
      </c>
      <c r="G30" s="10" t="e">
        <f t="shared" si="11"/>
        <v>#DIV/0!</v>
      </c>
      <c r="H30" s="305"/>
    </row>
    <row r="31" spans="2:11" ht="18" hidden="1" customHeight="1" outlineLevel="1">
      <c r="B31" s="6" t="str">
        <f t="shared" si="10"/>
        <v>商检/报关费</v>
      </c>
      <c r="C31" s="10" t="str">
        <f t="shared" si="8"/>
        <v/>
      </c>
      <c r="D31" s="10" t="str">
        <f t="shared" si="8"/>
        <v/>
      </c>
      <c r="E31" s="10" t="str">
        <f t="shared" si="8"/>
        <v/>
      </c>
      <c r="F31" s="208" t="str">
        <f t="shared" si="9"/>
        <v/>
      </c>
      <c r="G31" s="10" t="e">
        <f t="shared" si="11"/>
        <v>#DIV/0!</v>
      </c>
      <c r="H31" s="305"/>
    </row>
    <row r="32" spans="2:11" ht="18" hidden="1" customHeight="1" outlineLevel="1">
      <c r="B32" s="6" t="str">
        <f t="shared" si="10"/>
        <v>检定费/检测费</v>
      </c>
      <c r="C32" s="10" t="str">
        <f t="shared" si="8"/>
        <v/>
      </c>
      <c r="D32" s="10" t="str">
        <f t="shared" si="8"/>
        <v/>
      </c>
      <c r="E32" s="10" t="str">
        <f t="shared" si="8"/>
        <v/>
      </c>
      <c r="F32" s="208" t="str">
        <f t="shared" si="9"/>
        <v/>
      </c>
      <c r="G32" s="10" t="e">
        <f t="shared" si="11"/>
        <v>#DIV/0!</v>
      </c>
      <c r="H32" s="305"/>
    </row>
    <row r="33" spans="2:12" ht="18" hidden="1" customHeight="1" outlineLevel="1">
      <c r="B33" s="6" t="str">
        <f t="shared" si="10"/>
        <v>工资</v>
      </c>
      <c r="C33" s="10" t="str">
        <f t="shared" si="8"/>
        <v/>
      </c>
      <c r="D33" s="10" t="str">
        <f t="shared" si="8"/>
        <v/>
      </c>
      <c r="E33" s="10" t="str">
        <f t="shared" si="8"/>
        <v/>
      </c>
      <c r="F33" s="208" t="str">
        <f t="shared" si="9"/>
        <v/>
      </c>
      <c r="G33" s="10" t="e">
        <f t="shared" si="11"/>
        <v>#DIV/0!</v>
      </c>
      <c r="H33" s="305"/>
      <c r="I33" s="17"/>
      <c r="J33" s="147"/>
    </row>
    <row r="34" spans="2:12" ht="18" hidden="1" customHeight="1" outlineLevel="1">
      <c r="B34" s="6" t="str">
        <f t="shared" si="10"/>
        <v>社保费</v>
      </c>
      <c r="C34" s="10" t="str">
        <f t="shared" si="8"/>
        <v/>
      </c>
      <c r="D34" s="10" t="str">
        <f t="shared" si="8"/>
        <v/>
      </c>
      <c r="E34" s="10" t="str">
        <f>IF(E20,E20/E$9,"")</f>
        <v/>
      </c>
      <c r="F34" s="208" t="str">
        <f t="shared" si="9"/>
        <v/>
      </c>
      <c r="G34" s="10" t="e">
        <f t="shared" si="11"/>
        <v>#DIV/0!</v>
      </c>
      <c r="H34" s="305"/>
      <c r="I34" s="17"/>
    </row>
    <row r="35" spans="2:12" ht="18" hidden="1" customHeight="1" outlineLevel="1">
      <c r="B35" s="6" t="str">
        <f t="shared" si="10"/>
        <v>其他</v>
      </c>
      <c r="C35" s="10" t="str">
        <f t="shared" si="8"/>
        <v/>
      </c>
      <c r="D35" s="10" t="str">
        <f t="shared" si="8"/>
        <v/>
      </c>
      <c r="E35" s="10" t="str">
        <f t="shared" si="8"/>
        <v/>
      </c>
      <c r="F35" s="208" t="str">
        <f t="shared" si="9"/>
        <v/>
      </c>
      <c r="G35" s="10" t="e">
        <f>AVERAGE(C35:E35)</f>
        <v>#DIV/0!</v>
      </c>
      <c r="H35" s="305"/>
    </row>
    <row r="36" spans="2:12" ht="18" hidden="1" customHeight="1" outlineLevel="1"/>
    <row r="37" spans="2:12" ht="18" hidden="1" customHeight="1" outlineLevel="1" thickBot="1">
      <c r="B37" s="269" t="s">
        <v>234</v>
      </c>
      <c r="C37" s="192"/>
      <c r="D37" s="192"/>
      <c r="E37" s="192"/>
      <c r="F37" s="192"/>
      <c r="G37" s="192"/>
      <c r="H37" s="192"/>
      <c r="I37" s="192"/>
      <c r="J37" s="192"/>
      <c r="K37" s="192"/>
    </row>
    <row r="38" spans="2:12" ht="18" hidden="1" customHeight="1" outlineLevel="1">
      <c r="B38" s="275" t="s">
        <v>139</v>
      </c>
      <c r="C38" s="276" t="str">
        <f t="shared" ref="C38:K38" si="12">C4</f>
        <v>2016年</v>
      </c>
      <c r="D38" s="276" t="str">
        <f t="shared" si="12"/>
        <v>2017年</v>
      </c>
      <c r="E38" s="276" t="str">
        <f t="shared" si="12"/>
        <v>2018年1-6</v>
      </c>
      <c r="F38" s="277" t="str">
        <f t="shared" si="12"/>
        <v>2018年</v>
      </c>
      <c r="G38" s="278" t="str">
        <f t="shared" si="12"/>
        <v>2019年</v>
      </c>
      <c r="H38" s="278" t="str">
        <f t="shared" si="12"/>
        <v>2020年</v>
      </c>
      <c r="I38" s="278" t="str">
        <f t="shared" si="12"/>
        <v>2021年</v>
      </c>
      <c r="J38" s="278" t="str">
        <f t="shared" si="12"/>
        <v>2022年</v>
      </c>
      <c r="K38" s="278" t="str">
        <f t="shared" si="12"/>
        <v>2023年</v>
      </c>
    </row>
    <row r="39" spans="2:12" ht="18" hidden="1" customHeight="1" outlineLevel="1">
      <c r="B39" s="78" t="s">
        <v>227</v>
      </c>
      <c r="C39" s="80">
        <f t="shared" ref="C39:K39" si="13">C23</f>
        <v>0</v>
      </c>
      <c r="D39" s="80">
        <f t="shared" si="13"/>
        <v>0</v>
      </c>
      <c r="E39" s="272">
        <f t="shared" si="13"/>
        <v>0</v>
      </c>
      <c r="F39" s="138">
        <f>F23</f>
        <v>0</v>
      </c>
      <c r="G39" s="138">
        <f t="shared" si="13"/>
        <v>0</v>
      </c>
      <c r="H39" s="138">
        <f t="shared" si="13"/>
        <v>0</v>
      </c>
      <c r="I39" s="138">
        <f t="shared" si="13"/>
        <v>0</v>
      </c>
      <c r="J39" s="138">
        <f t="shared" si="13"/>
        <v>0</v>
      </c>
      <c r="K39" s="138">
        <f t="shared" si="13"/>
        <v>0</v>
      </c>
      <c r="L39" s="17"/>
    </row>
    <row r="40" spans="2:12" ht="18" hidden="1" customHeight="1" outlineLevel="1">
      <c r="B40" s="191" t="s">
        <v>88</v>
      </c>
      <c r="C40" s="271">
        <f>IF(C9,C39/C9,"na")</f>
        <v>0</v>
      </c>
      <c r="D40" s="271">
        <f>IF(D9,D39/D9,"na")</f>
        <v>0</v>
      </c>
      <c r="E40" s="273">
        <f>IF(E9,E39/E9,"na")</f>
        <v>0</v>
      </c>
      <c r="F40" s="195"/>
      <c r="G40" s="195"/>
      <c r="H40" s="195"/>
      <c r="I40" s="195"/>
      <c r="J40" s="195"/>
      <c r="K40" s="195"/>
    </row>
    <row r="41" spans="2:12" ht="18" hidden="1" customHeight="1" outlineLevel="1">
      <c r="B41" s="17" t="s">
        <v>227</v>
      </c>
      <c r="C41" s="80"/>
      <c r="D41" s="80"/>
      <c r="E41" s="272"/>
      <c r="F41" s="41">
        <f t="shared" ref="F41:K41" si="14">IF(F39,F39,F40*F9)</f>
        <v>0</v>
      </c>
      <c r="G41" s="41">
        <f t="shared" si="14"/>
        <v>0</v>
      </c>
      <c r="H41" s="41">
        <f t="shared" si="14"/>
        <v>0</v>
      </c>
      <c r="I41" s="41">
        <f t="shared" si="14"/>
        <v>0</v>
      </c>
      <c r="J41" s="41">
        <f t="shared" si="14"/>
        <v>0</v>
      </c>
      <c r="K41" s="41">
        <f t="shared" si="14"/>
        <v>0</v>
      </c>
    </row>
    <row r="42" spans="2:12" ht="18" hidden="1" customHeight="1" outlineLevel="1" thickBot="1">
      <c r="B42" s="192" t="s">
        <v>96</v>
      </c>
      <c r="C42" s="42"/>
      <c r="D42" s="42"/>
      <c r="E42" s="302"/>
      <c r="F42" s="301">
        <f>IF(F9,F41/F9,"na")</f>
        <v>0</v>
      </c>
      <c r="G42" s="301">
        <f t="shared" ref="G42:K42" si="15">IF(G9,G41/G9,"na")</f>
        <v>0</v>
      </c>
      <c r="H42" s="301">
        <f t="shared" si="15"/>
        <v>0</v>
      </c>
      <c r="I42" s="301">
        <f t="shared" si="15"/>
        <v>0</v>
      </c>
      <c r="J42" s="301">
        <f t="shared" si="15"/>
        <v>0</v>
      </c>
      <c r="K42" s="301">
        <f t="shared" si="15"/>
        <v>0</v>
      </c>
    </row>
    <row r="43" spans="2:12" ht="18" customHeight="1" collapsed="1">
      <c r="B43" s="17"/>
      <c r="C43" s="18"/>
      <c r="D43" s="18"/>
      <c r="E43" s="18"/>
    </row>
    <row r="44" spans="2:12" ht="18" customHeight="1">
      <c r="B44" s="364" t="s">
        <v>381</v>
      </c>
      <c r="D44" s="18"/>
      <c r="E44" s="508" t="s">
        <v>308</v>
      </c>
      <c r="I44" s="147" t="s">
        <v>492</v>
      </c>
    </row>
    <row r="45" spans="2:12" ht="18" customHeight="1" outlineLevel="1">
      <c r="B45" s="172" t="s">
        <v>71</v>
      </c>
      <c r="C45" s="268" t="str">
        <f t="shared" ref="C45:K45" si="16">C4</f>
        <v>2016年</v>
      </c>
      <c r="D45" s="268" t="str">
        <f t="shared" si="16"/>
        <v>2017年</v>
      </c>
      <c r="E45" s="268" t="str">
        <f t="shared" si="16"/>
        <v>2018年1-6</v>
      </c>
      <c r="F45" s="173" t="str">
        <f t="shared" si="16"/>
        <v>2018年</v>
      </c>
      <c r="G45" s="173" t="str">
        <f t="shared" si="16"/>
        <v>2019年</v>
      </c>
      <c r="H45" s="173" t="str">
        <f t="shared" si="16"/>
        <v>2020年</v>
      </c>
      <c r="I45" s="173" t="str">
        <f t="shared" si="16"/>
        <v>2021年</v>
      </c>
      <c r="J45" s="173" t="str">
        <f t="shared" si="16"/>
        <v>2022年</v>
      </c>
      <c r="K45" s="173" t="str">
        <f t="shared" si="16"/>
        <v>2023年</v>
      </c>
    </row>
    <row r="46" spans="2:12" ht="18" customHeight="1" outlineLevel="1">
      <c r="B46" s="6" t="s">
        <v>800</v>
      </c>
      <c r="C46" s="144">
        <v>460.42472300000003</v>
      </c>
      <c r="D46" s="144">
        <v>415.05822999999992</v>
      </c>
      <c r="E46" s="144">
        <v>207.57171100000002</v>
      </c>
      <c r="F46" s="144">
        <f t="shared" ref="F46:K46" si="17">F9*$H$58</f>
        <v>315.00000000000006</v>
      </c>
      <c r="G46" s="144">
        <f t="shared" si="17"/>
        <v>346.50000000000006</v>
      </c>
      <c r="H46" s="144">
        <f t="shared" si="17"/>
        <v>374.22</v>
      </c>
      <c r="I46" s="144">
        <f t="shared" si="17"/>
        <v>392.93100000000004</v>
      </c>
      <c r="J46" s="144">
        <f t="shared" si="17"/>
        <v>404.71893000000006</v>
      </c>
      <c r="K46" s="144">
        <f t="shared" si="17"/>
        <v>404.71893000000006</v>
      </c>
    </row>
    <row r="47" spans="2:12" ht="18" customHeight="1" outlineLevel="1">
      <c r="B47" s="6" t="s">
        <v>801</v>
      </c>
      <c r="C47" s="144">
        <v>164.76053199999998</v>
      </c>
      <c r="D47" s="144">
        <v>161.02970199999999</v>
      </c>
      <c r="E47" s="144">
        <v>53.753487000000007</v>
      </c>
      <c r="F47" s="144">
        <f t="shared" ref="F47:K47" si="18">F9*$H$59</f>
        <v>121.5</v>
      </c>
      <c r="G47" s="144">
        <f t="shared" si="18"/>
        <v>133.65</v>
      </c>
      <c r="H47" s="144">
        <f t="shared" si="18"/>
        <v>144.34199999999998</v>
      </c>
      <c r="I47" s="144">
        <f t="shared" si="18"/>
        <v>151.5591</v>
      </c>
      <c r="J47" s="144">
        <f t="shared" si="18"/>
        <v>156.105873</v>
      </c>
      <c r="K47" s="144">
        <f t="shared" si="18"/>
        <v>156.105873</v>
      </c>
    </row>
    <row r="48" spans="2:12" ht="18" customHeight="1" outlineLevel="1">
      <c r="B48" s="201" t="s">
        <v>802</v>
      </c>
      <c r="C48" s="144">
        <v>2.8954360000000001</v>
      </c>
      <c r="D48" s="144">
        <v>8.0428850000000001</v>
      </c>
      <c r="E48" s="144">
        <v>4.5214870000000005</v>
      </c>
      <c r="F48" s="416">
        <f>'8摊销'!F6</f>
        <v>10.937506000000013</v>
      </c>
      <c r="G48" s="416">
        <f>'8摊销'!G6</f>
        <v>3</v>
      </c>
      <c r="H48" s="416">
        <f>'8摊销'!H6</f>
        <v>5</v>
      </c>
      <c r="I48" s="416">
        <f>'8摊销'!I6</f>
        <v>6.5</v>
      </c>
      <c r="J48" s="416">
        <f>'8摊销'!J6</f>
        <v>6</v>
      </c>
      <c r="K48" s="416">
        <f>'8摊销'!K6</f>
        <v>6</v>
      </c>
      <c r="L48" s="168"/>
    </row>
    <row r="49" spans="2:15" ht="18" customHeight="1" outlineLevel="1">
      <c r="B49" s="6" t="s">
        <v>803</v>
      </c>
      <c r="C49" s="144">
        <v>12.8232</v>
      </c>
      <c r="D49" s="144">
        <v>15.2804</v>
      </c>
      <c r="E49" s="144">
        <v>0</v>
      </c>
      <c r="F49" s="435">
        <v>10</v>
      </c>
      <c r="G49" s="144">
        <f>F49</f>
        <v>10</v>
      </c>
      <c r="H49" s="144">
        <f t="shared" ref="H49:K49" si="19">G49</f>
        <v>10</v>
      </c>
      <c r="I49" s="144">
        <f t="shared" si="19"/>
        <v>10</v>
      </c>
      <c r="J49" s="144">
        <f t="shared" si="19"/>
        <v>10</v>
      </c>
      <c r="K49" s="144">
        <f t="shared" si="19"/>
        <v>10</v>
      </c>
      <c r="L49" s="436" t="s">
        <v>407</v>
      </c>
      <c r="M49" s="11" t="s">
        <v>406</v>
      </c>
      <c r="O49" s="11">
        <f>AVERAGE(C49:D49)</f>
        <v>14.0518</v>
      </c>
    </row>
    <row r="50" spans="2:15" ht="18" customHeight="1" outlineLevel="1">
      <c r="B50" s="6" t="s">
        <v>797</v>
      </c>
      <c r="C50" s="144">
        <v>27.568672999999997</v>
      </c>
      <c r="D50" s="144">
        <v>16.574382000000028</v>
      </c>
      <c r="E50" s="144">
        <v>3.08255100000006</v>
      </c>
      <c r="F50" s="144">
        <f t="shared" ref="F50:K50" si="20">F9*$H$62</f>
        <v>18</v>
      </c>
      <c r="G50" s="144">
        <f t="shared" si="20"/>
        <v>19.8</v>
      </c>
      <c r="H50" s="144">
        <f t="shared" si="20"/>
        <v>21.384</v>
      </c>
      <c r="I50" s="144">
        <f t="shared" si="20"/>
        <v>22.453200000000002</v>
      </c>
      <c r="J50" s="144">
        <f t="shared" si="20"/>
        <v>23.126796000000002</v>
      </c>
      <c r="K50" s="144">
        <f t="shared" si="20"/>
        <v>23.126796000000002</v>
      </c>
    </row>
    <row r="51" spans="2:15" ht="18" customHeight="1" outlineLevel="1">
      <c r="B51" s="2"/>
      <c r="C51" s="144"/>
      <c r="D51" s="144"/>
      <c r="E51" s="144"/>
      <c r="F51" s="144"/>
      <c r="G51" s="144"/>
      <c r="H51" s="144"/>
      <c r="I51" s="144"/>
      <c r="J51" s="144"/>
      <c r="K51" s="144"/>
      <c r="L51" s="130"/>
    </row>
    <row r="52" spans="2:15" ht="18" customHeight="1" outlineLevel="1">
      <c r="B52" s="2"/>
      <c r="C52" s="144"/>
      <c r="D52" s="144"/>
      <c r="E52" s="144"/>
      <c r="F52" s="144"/>
      <c r="G52" s="144"/>
      <c r="H52" s="144"/>
      <c r="I52" s="144"/>
      <c r="J52" s="144"/>
      <c r="K52" s="144"/>
      <c r="L52" s="130"/>
    </row>
    <row r="53" spans="2:15" ht="18" customHeight="1" outlineLevel="1">
      <c r="B53" s="2"/>
      <c r="C53" s="144"/>
      <c r="D53" s="144"/>
      <c r="E53" s="144"/>
      <c r="F53" s="144"/>
      <c r="G53" s="144"/>
      <c r="H53" s="144"/>
      <c r="I53" s="144"/>
      <c r="J53" s="144"/>
      <c r="K53" s="144"/>
      <c r="L53" s="130"/>
    </row>
    <row r="54" spans="2:15" ht="18" customHeight="1" outlineLevel="1">
      <c r="B54" s="8" t="s">
        <v>78</v>
      </c>
      <c r="C54" s="37">
        <f>SUM(C46:C53)</f>
        <v>668.47256400000003</v>
      </c>
      <c r="D54" s="37">
        <f>SUM(D46:D53)</f>
        <v>615.98559899999987</v>
      </c>
      <c r="E54" s="37">
        <f>SUM(E46:E53)</f>
        <v>268.92923600000006</v>
      </c>
      <c r="F54" s="37">
        <f t="shared" ref="F54:K54" si="21">SUM(F46:F53)</f>
        <v>475.4375060000001</v>
      </c>
      <c r="G54" s="37">
        <f t="shared" si="21"/>
        <v>512.95000000000005</v>
      </c>
      <c r="H54" s="37">
        <f t="shared" si="21"/>
        <v>554.94600000000003</v>
      </c>
      <c r="I54" s="37">
        <f t="shared" si="21"/>
        <v>583.44330000000002</v>
      </c>
      <c r="J54" s="37">
        <f t="shared" si="21"/>
        <v>599.9515990000001</v>
      </c>
      <c r="K54" s="37">
        <f t="shared" si="21"/>
        <v>599.9515990000001</v>
      </c>
      <c r="L54" s="13"/>
    </row>
    <row r="55" spans="2:15" ht="18" customHeight="1" outlineLevel="1">
      <c r="B55" s="207" t="s">
        <v>252</v>
      </c>
      <c r="C55" s="267">
        <f>C54-C6</f>
        <v>0</v>
      </c>
      <c r="D55" s="267">
        <f>D54-D6</f>
        <v>0</v>
      </c>
      <c r="E55" s="267">
        <f>E54-E6</f>
        <v>0</v>
      </c>
      <c r="L55" s="13"/>
    </row>
    <row r="56" spans="2:15" ht="18" customHeight="1" outlineLevel="1">
      <c r="B56" s="207" t="s">
        <v>253</v>
      </c>
      <c r="C56" s="44" t="str">
        <f t="shared" ref="C56:E56" si="22">IF(ROUND(C55,0)=0,"OK","需要检查")</f>
        <v>OK</v>
      </c>
      <c r="D56" s="44" t="str">
        <f t="shared" si="22"/>
        <v>OK</v>
      </c>
      <c r="E56" s="44" t="str">
        <f t="shared" si="22"/>
        <v>OK</v>
      </c>
    </row>
    <row r="57" spans="2:15" ht="18" customHeight="1" outlineLevel="1">
      <c r="B57" s="197" t="s">
        <v>233</v>
      </c>
      <c r="C57" s="20"/>
      <c r="D57" s="20"/>
      <c r="E57" s="692" t="str">
        <f>C45&amp;"-"&amp;E45</f>
        <v>2016年-2018年1-6</v>
      </c>
      <c r="F57" s="206" t="s">
        <v>230</v>
      </c>
      <c r="G57" s="206" t="s">
        <v>231</v>
      </c>
      <c r="H57" s="206" t="s">
        <v>232</v>
      </c>
    </row>
    <row r="58" spans="2:15" ht="18" customHeight="1" outlineLevel="1">
      <c r="B58" s="6" t="str">
        <f>B46</f>
        <v>工资及福利</v>
      </c>
      <c r="C58" s="10">
        <f>IF(C46,C46/C$9,"")</f>
        <v>7.2967472971312342E-2</v>
      </c>
      <c r="D58" s="10">
        <f t="shared" ref="C58:E62" si="23">IF(D46,D46/D$9,"")</f>
        <v>6.430941364478461E-2</v>
      </c>
      <c r="E58" s="10">
        <f>IF(E46,E46/E$9,"")</f>
        <v>0.10032519692365938</v>
      </c>
      <c r="F58" s="208">
        <f t="shared" ref="F58:F62" si="24">IF(COUNT(C58:E58)&gt;2,CORREL(C$9:E$9,C46:E46),"")</f>
        <v>0.98046454733939337</v>
      </c>
      <c r="G58" s="10">
        <f>AVERAGE(C58:E58)</f>
        <v>7.920069451325211E-2</v>
      </c>
      <c r="H58" s="305">
        <v>7.0000000000000007E-2</v>
      </c>
    </row>
    <row r="59" spans="2:15" ht="18" customHeight="1" outlineLevel="1">
      <c r="B59" s="6" t="str">
        <f>B47</f>
        <v>办公差旅费用</v>
      </c>
      <c r="C59" s="10">
        <f t="shared" si="23"/>
        <v>2.6111021117884325E-2</v>
      </c>
      <c r="D59" s="10">
        <f t="shared" si="23"/>
        <v>2.4950055116397522E-2</v>
      </c>
      <c r="E59" s="10">
        <f t="shared" si="23"/>
        <v>2.5980559405844875E-2</v>
      </c>
      <c r="F59" s="208">
        <f t="shared" si="24"/>
        <v>0.99828833741464862</v>
      </c>
      <c r="G59" s="10">
        <f t="shared" ref="G59:G62" si="25">AVERAGE(C59:E59)</f>
        <v>2.5680545213375577E-2</v>
      </c>
      <c r="H59" s="305">
        <v>2.7E-2</v>
      </c>
    </row>
    <row r="60" spans="2:15" ht="18" customHeight="1" outlineLevel="1">
      <c r="B60" s="6" t="str">
        <f>B48</f>
        <v>无形资产摊销</v>
      </c>
      <c r="C60" s="10">
        <f t="shared" si="23"/>
        <v>4.5886469061342025E-4</v>
      </c>
      <c r="D60" s="10">
        <f t="shared" si="23"/>
        <v>1.2461702502861672E-3</v>
      </c>
      <c r="E60" s="10">
        <f t="shared" si="23"/>
        <v>2.1853607675024942E-3</v>
      </c>
      <c r="F60" s="208">
        <f t="shared" si="24"/>
        <v>0.23613927332386039</v>
      </c>
      <c r="G60" s="10">
        <f t="shared" si="25"/>
        <v>1.2967985694673605E-3</v>
      </c>
      <c r="H60" s="305"/>
    </row>
    <row r="61" spans="2:15" ht="18" customHeight="1" outlineLevel="1">
      <c r="B61" s="6" t="str">
        <f>B49</f>
        <v>办公房改造</v>
      </c>
      <c r="C61" s="10">
        <f t="shared" si="23"/>
        <v>2.0322029914230572E-3</v>
      </c>
      <c r="D61" s="10">
        <f t="shared" si="23"/>
        <v>2.3675559071741981E-3</v>
      </c>
      <c r="E61" s="10" t="str">
        <f t="shared" si="23"/>
        <v/>
      </c>
      <c r="F61" s="208" t="str">
        <f>IF(COUNT(C61:E61)&gt;2,CORREL(C$9:E$9,C49:E49),"")</f>
        <v/>
      </c>
      <c r="G61" s="10">
        <f t="shared" si="25"/>
        <v>2.1998794492986279E-3</v>
      </c>
      <c r="H61" s="305"/>
      <c r="I61" s="17" t="s">
        <v>804</v>
      </c>
    </row>
    <row r="62" spans="2:15" ht="18" customHeight="1" outlineLevel="1">
      <c r="B62" s="6" t="str">
        <f>B50</f>
        <v>其他</v>
      </c>
      <c r="C62" s="10">
        <f t="shared" si="23"/>
        <v>4.3690451478698034E-3</v>
      </c>
      <c r="D62" s="10">
        <f t="shared" si="23"/>
        <v>2.5680463869965291E-3</v>
      </c>
      <c r="E62" s="10">
        <f t="shared" si="23"/>
        <v>1.4898828680090666E-3</v>
      </c>
      <c r="F62" s="208">
        <f t="shared" si="24"/>
        <v>0.88058525521150788</v>
      </c>
      <c r="G62" s="10">
        <f t="shared" si="25"/>
        <v>2.8089914676251333E-3</v>
      </c>
      <c r="H62" s="305">
        <v>4.0000000000000001E-3</v>
      </c>
    </row>
    <row r="63" spans="2:15" ht="18" customHeight="1" outlineLevel="1">
      <c r="B63" s="13"/>
      <c r="C63" s="39"/>
      <c r="D63" s="39"/>
      <c r="E63" s="39"/>
    </row>
    <row r="64" spans="2:15" ht="18" customHeight="1" outlineLevel="1">
      <c r="B64" s="197" t="s">
        <v>805</v>
      </c>
      <c r="C64" s="20"/>
      <c r="D64" s="20"/>
      <c r="E64" s="20"/>
      <c r="F64" s="206"/>
      <c r="G64" s="206" t="s">
        <v>806</v>
      </c>
      <c r="H64" s="206" t="s">
        <v>807</v>
      </c>
    </row>
    <row r="65" spans="2:12" ht="18" customHeight="1" outlineLevel="1">
      <c r="B65" s="6" t="str">
        <f>B46</f>
        <v>工资及福利</v>
      </c>
      <c r="C65" s="693"/>
      <c r="D65" s="693">
        <f>IF(C46,D46/C46-1,"")</f>
        <v>-9.8531835354983999E-2</v>
      </c>
      <c r="E65" s="65"/>
      <c r="F65" s="65"/>
      <c r="G65" s="10">
        <f>AVERAGE(C65:D65)</f>
        <v>-9.8531835354983999E-2</v>
      </c>
      <c r="H65" s="305"/>
    </row>
    <row r="66" spans="2:12" ht="18" customHeight="1" outlineLevel="1">
      <c r="B66" s="6" t="str">
        <f t="shared" ref="B66:B68" si="26">B47</f>
        <v>办公差旅费用</v>
      </c>
      <c r="C66" s="693"/>
      <c r="D66" s="693">
        <f t="shared" ref="D66:D68" si="27">IF(C47,D47/C47-1,"")</f>
        <v>-2.2643954560671142E-2</v>
      </c>
      <c r="E66" s="65" t="str">
        <f t="shared" ref="E66:E69" si="28">IF(D17,E17/D17-1,"")</f>
        <v/>
      </c>
      <c r="F66" s="65"/>
      <c r="G66" s="10">
        <f t="shared" ref="G66:G69" si="29">AVERAGE(C66:D66)</f>
        <v>-2.2643954560671142E-2</v>
      </c>
      <c r="H66" s="305"/>
    </row>
    <row r="67" spans="2:12" ht="18" customHeight="1" outlineLevel="1">
      <c r="B67" s="6" t="str">
        <f t="shared" si="26"/>
        <v>无形资产摊销</v>
      </c>
      <c r="C67" s="693"/>
      <c r="D67" s="693">
        <f t="shared" si="27"/>
        <v>1.7777802721248199</v>
      </c>
      <c r="E67" s="65" t="str">
        <f t="shared" si="28"/>
        <v/>
      </c>
      <c r="F67" s="65"/>
      <c r="G67" s="10">
        <f t="shared" si="29"/>
        <v>1.7777802721248199</v>
      </c>
      <c r="H67" s="305"/>
    </row>
    <row r="68" spans="2:12" ht="18" customHeight="1" outlineLevel="1">
      <c r="B68" s="6" t="str">
        <f t="shared" si="26"/>
        <v>办公房改造</v>
      </c>
      <c r="C68" s="693"/>
      <c r="D68" s="693">
        <f t="shared" si="27"/>
        <v>0.19162143614698368</v>
      </c>
      <c r="E68" s="65" t="str">
        <f t="shared" si="28"/>
        <v/>
      </c>
      <c r="F68" s="65"/>
      <c r="G68" s="10">
        <f t="shared" si="29"/>
        <v>0.19162143614698368</v>
      </c>
      <c r="H68" s="305"/>
    </row>
    <row r="69" spans="2:12" ht="18" customHeight="1" outlineLevel="1">
      <c r="B69" s="6" t="str">
        <f>B50</f>
        <v>其他</v>
      </c>
      <c r="C69" s="693"/>
      <c r="D69" s="693">
        <f>IF(C50,D50/C50-1,"")</f>
        <v>-0.39879652531697729</v>
      </c>
      <c r="E69" s="65" t="str">
        <f t="shared" si="28"/>
        <v/>
      </c>
      <c r="F69" s="65"/>
      <c r="G69" s="10">
        <f t="shared" si="29"/>
        <v>-0.39879652531697729</v>
      </c>
      <c r="H69" s="305"/>
    </row>
    <row r="70" spans="2:12" ht="18" customHeight="1" outlineLevel="1">
      <c r="B70" s="13"/>
      <c r="C70" s="694"/>
      <c r="D70" s="694"/>
      <c r="E70" s="694"/>
      <c r="F70" s="694"/>
      <c r="G70" s="694"/>
      <c r="H70" s="694"/>
      <c r="I70" s="694"/>
      <c r="J70" s="694"/>
    </row>
    <row r="71" spans="2:12" ht="18" customHeight="1" outlineLevel="1" thickBot="1">
      <c r="B71" s="269" t="s">
        <v>143</v>
      </c>
      <c r="C71" s="43"/>
      <c r="D71" s="43"/>
      <c r="E71" s="43"/>
      <c r="F71" s="192"/>
      <c r="G71" s="192"/>
      <c r="H71" s="192"/>
      <c r="I71" s="192"/>
      <c r="J71" s="192"/>
      <c r="K71" s="192"/>
    </row>
    <row r="72" spans="2:12" ht="18" customHeight="1" outlineLevel="1">
      <c r="B72" s="275" t="s">
        <v>254</v>
      </c>
      <c r="C72" s="276" t="str">
        <f t="shared" ref="C72:K72" si="30">C4</f>
        <v>2016年</v>
      </c>
      <c r="D72" s="276" t="str">
        <f t="shared" si="30"/>
        <v>2017年</v>
      </c>
      <c r="E72" s="276" t="str">
        <f t="shared" si="30"/>
        <v>2018年1-6</v>
      </c>
      <c r="F72" s="277" t="str">
        <f t="shared" si="30"/>
        <v>2018年</v>
      </c>
      <c r="G72" s="278" t="str">
        <f t="shared" si="30"/>
        <v>2019年</v>
      </c>
      <c r="H72" s="278" t="str">
        <f t="shared" si="30"/>
        <v>2020年</v>
      </c>
      <c r="I72" s="278" t="str">
        <f t="shared" si="30"/>
        <v>2021年</v>
      </c>
      <c r="J72" s="278" t="str">
        <f t="shared" si="30"/>
        <v>2022年</v>
      </c>
      <c r="K72" s="278" t="str">
        <f t="shared" si="30"/>
        <v>2023年</v>
      </c>
    </row>
    <row r="73" spans="2:12" ht="18" customHeight="1" outlineLevel="1">
      <c r="B73" s="78" t="s">
        <v>255</v>
      </c>
      <c r="C73" s="80">
        <f t="shared" ref="C73:K73" si="31">C54</f>
        <v>668.47256400000003</v>
      </c>
      <c r="D73" s="80">
        <f t="shared" si="31"/>
        <v>615.98559899999987</v>
      </c>
      <c r="E73" s="272">
        <f t="shared" si="31"/>
        <v>268.92923600000006</v>
      </c>
      <c r="F73" s="317">
        <f t="shared" si="31"/>
        <v>475.4375060000001</v>
      </c>
      <c r="G73" s="317">
        <f t="shared" si="31"/>
        <v>512.95000000000005</v>
      </c>
      <c r="H73" s="317">
        <f t="shared" si="31"/>
        <v>554.94600000000003</v>
      </c>
      <c r="I73" s="317">
        <f t="shared" si="31"/>
        <v>583.44330000000002</v>
      </c>
      <c r="J73" s="317">
        <f t="shared" si="31"/>
        <v>599.9515990000001</v>
      </c>
      <c r="K73" s="317">
        <f t="shared" si="31"/>
        <v>599.9515990000001</v>
      </c>
      <c r="L73" s="17"/>
    </row>
    <row r="74" spans="2:12" ht="18" customHeight="1" outlineLevel="1">
      <c r="B74" s="191" t="s">
        <v>256</v>
      </c>
      <c r="C74" s="271">
        <f>IF(C9,C73/C9,"na")</f>
        <v>0.10593860691910295</v>
      </c>
      <c r="D74" s="271">
        <f>IF(D9,D73/D9,"na")</f>
        <v>9.544124130563901E-2</v>
      </c>
      <c r="E74" s="273">
        <f>IF(E9,E73/E9,"na")</f>
        <v>0.1299809999650158</v>
      </c>
      <c r="F74" s="195"/>
      <c r="G74" s="195"/>
      <c r="H74" s="195"/>
      <c r="I74" s="195"/>
      <c r="J74" s="195"/>
      <c r="K74" s="195"/>
    </row>
    <row r="75" spans="2:12" ht="18" customHeight="1" outlineLevel="1">
      <c r="B75" s="17" t="s">
        <v>257</v>
      </c>
      <c r="C75" s="80"/>
      <c r="D75" s="80"/>
      <c r="E75" s="272"/>
      <c r="F75" s="41">
        <f t="shared" ref="F75:K75" si="32">IF(F73,F73,F74*F9)</f>
        <v>475.4375060000001</v>
      </c>
      <c r="G75" s="41">
        <f t="shared" si="32"/>
        <v>512.95000000000005</v>
      </c>
      <c r="H75" s="41">
        <f t="shared" si="32"/>
        <v>554.94600000000003</v>
      </c>
      <c r="I75" s="41">
        <f t="shared" si="32"/>
        <v>583.44330000000002</v>
      </c>
      <c r="J75" s="41">
        <f t="shared" si="32"/>
        <v>599.9515990000001</v>
      </c>
      <c r="K75" s="41">
        <f t="shared" si="32"/>
        <v>599.9515990000001</v>
      </c>
    </row>
    <row r="76" spans="2:12" ht="18" customHeight="1" outlineLevel="1" thickBot="1">
      <c r="B76" s="196" t="s">
        <v>808</v>
      </c>
      <c r="C76" s="42"/>
      <c r="D76" s="42"/>
      <c r="E76" s="274"/>
      <c r="F76" s="301">
        <f t="shared" ref="F76:K76" si="33">IF(F9,F75/F9,"na")</f>
        <v>0.10565277911111114</v>
      </c>
      <c r="G76" s="301">
        <f t="shared" si="33"/>
        <v>0.10362626262626264</v>
      </c>
      <c r="H76" s="301">
        <f t="shared" si="33"/>
        <v>0.10380583613916948</v>
      </c>
      <c r="I76" s="301">
        <f t="shared" si="33"/>
        <v>0.10393944738389183</v>
      </c>
      <c r="J76" s="301">
        <f t="shared" si="33"/>
        <v>0.10376735264149864</v>
      </c>
      <c r="K76" s="301">
        <f t="shared" si="33"/>
        <v>0.10376735264149864</v>
      </c>
    </row>
    <row r="78" spans="2:12" ht="18" customHeight="1" thickBot="1">
      <c r="B78" s="269" t="s">
        <v>382</v>
      </c>
      <c r="C78" s="43"/>
      <c r="D78" s="43"/>
      <c r="E78" s="43"/>
      <c r="F78" s="192"/>
      <c r="G78" s="192"/>
      <c r="H78" s="192"/>
      <c r="I78" s="192"/>
      <c r="J78" s="192"/>
      <c r="K78" s="192"/>
    </row>
    <row r="79" spans="2:12" ht="18" hidden="1" customHeight="1" outlineLevel="1">
      <c r="B79" s="275" t="s">
        <v>138</v>
      </c>
      <c r="C79" s="276">
        <f t="shared" ref="C79:K79" si="34">C88</f>
        <v>0</v>
      </c>
      <c r="D79" s="276">
        <f t="shared" si="34"/>
        <v>0</v>
      </c>
      <c r="E79" s="276">
        <f t="shared" si="34"/>
        <v>0</v>
      </c>
      <c r="F79" s="277">
        <f t="shared" si="34"/>
        <v>0</v>
      </c>
      <c r="G79" s="278">
        <f t="shared" si="34"/>
        <v>0</v>
      </c>
      <c r="H79" s="278">
        <f t="shared" si="34"/>
        <v>0</v>
      </c>
      <c r="I79" s="278">
        <f t="shared" si="34"/>
        <v>0</v>
      </c>
      <c r="J79" s="278">
        <f t="shared" si="34"/>
        <v>0</v>
      </c>
      <c r="K79" s="278">
        <f t="shared" si="34"/>
        <v>0</v>
      </c>
    </row>
    <row r="80" spans="2:12" ht="18" hidden="1" customHeight="1" outlineLevel="1">
      <c r="B80" s="78" t="s">
        <v>380</v>
      </c>
      <c r="C80" s="307"/>
      <c r="D80" s="307"/>
      <c r="E80" s="410"/>
      <c r="F80" s="270"/>
      <c r="G80" s="270"/>
      <c r="H80" s="270"/>
      <c r="I80" s="270"/>
      <c r="J80" s="270"/>
      <c r="K80" s="270"/>
      <c r="L80" s="17"/>
    </row>
    <row r="81" spans="2:11" ht="18" hidden="1" customHeight="1" outlineLevel="1">
      <c r="B81" s="191" t="s">
        <v>88</v>
      </c>
      <c r="C81" s="271" t="str">
        <f>IF(C80,C80/C9,"na")</f>
        <v>na</v>
      </c>
      <c r="D81" s="271" t="str">
        <f>IF(D80,D80/D9,"na")</f>
        <v>na</v>
      </c>
      <c r="E81" s="273" t="str">
        <f>IF(E80,E80/E9,"na")</f>
        <v>na</v>
      </c>
      <c r="F81" s="195"/>
      <c r="G81" s="195">
        <f>F81</f>
        <v>0</v>
      </c>
      <c r="H81" s="195">
        <f t="shared" ref="H81:K81" si="35">G81</f>
        <v>0</v>
      </c>
      <c r="I81" s="195">
        <f t="shared" si="35"/>
        <v>0</v>
      </c>
      <c r="J81" s="195">
        <f t="shared" si="35"/>
        <v>0</v>
      </c>
      <c r="K81" s="195">
        <f t="shared" si="35"/>
        <v>0</v>
      </c>
    </row>
    <row r="82" spans="2:11" ht="18" hidden="1" customHeight="1" outlineLevel="1">
      <c r="B82" s="17" t="s">
        <v>380</v>
      </c>
      <c r="C82" s="80"/>
      <c r="D82" s="80"/>
      <c r="E82" s="272"/>
      <c r="F82" s="41">
        <f t="shared" ref="F82:K82" si="36">IF(F80,F80,F81*F9)</f>
        <v>0</v>
      </c>
      <c r="G82" s="41">
        <f t="shared" si="36"/>
        <v>0</v>
      </c>
      <c r="H82" s="41">
        <f t="shared" si="36"/>
        <v>0</v>
      </c>
      <c r="I82" s="41">
        <f t="shared" si="36"/>
        <v>0</v>
      </c>
      <c r="J82" s="41">
        <f t="shared" si="36"/>
        <v>0</v>
      </c>
      <c r="K82" s="41">
        <f t="shared" si="36"/>
        <v>0</v>
      </c>
    </row>
    <row r="83" spans="2:11" ht="18" hidden="1" customHeight="1" outlineLevel="1" thickBot="1">
      <c r="B83" s="192" t="s">
        <v>96</v>
      </c>
      <c r="C83" s="42"/>
      <c r="D83" s="42"/>
      <c r="E83" s="274"/>
      <c r="F83" s="301">
        <f t="shared" ref="F83:K83" si="37">IF(F9,F82/F9,"na")</f>
        <v>0</v>
      </c>
      <c r="G83" s="301">
        <f t="shared" si="37"/>
        <v>0</v>
      </c>
      <c r="H83" s="301">
        <f t="shared" si="37"/>
        <v>0</v>
      </c>
      <c r="I83" s="301">
        <f t="shared" si="37"/>
        <v>0</v>
      </c>
      <c r="J83" s="301">
        <f t="shared" si="37"/>
        <v>0</v>
      </c>
      <c r="K83" s="301">
        <f t="shared" si="37"/>
        <v>0</v>
      </c>
    </row>
    <row r="84" spans="2:11" ht="18" hidden="1" customHeight="1" outlineLevel="1">
      <c r="B84" s="13"/>
      <c r="C84" s="77"/>
      <c r="D84" s="77"/>
      <c r="E84" s="77"/>
      <c r="F84" s="264"/>
      <c r="G84" s="264"/>
      <c r="H84" s="264"/>
      <c r="I84" s="264"/>
      <c r="J84" s="264"/>
      <c r="K84" s="264"/>
    </row>
    <row r="85" spans="2:11" ht="18" hidden="1" customHeight="1" outlineLevel="1">
      <c r="B85" s="207" t="s">
        <v>809</v>
      </c>
      <c r="C85" s="77"/>
      <c r="D85" s="77"/>
      <c r="E85" s="77"/>
      <c r="F85" s="264"/>
      <c r="G85" s="264"/>
      <c r="H85" s="264"/>
      <c r="I85" s="264"/>
      <c r="J85" s="264"/>
      <c r="K85" s="264"/>
    </row>
    <row r="86" spans="2:11" ht="18" hidden="1" customHeight="1" outlineLevel="1">
      <c r="B86" s="13"/>
      <c r="C86" s="77"/>
      <c r="D86" s="77"/>
      <c r="E86" s="77"/>
      <c r="F86" s="264"/>
      <c r="G86" s="264"/>
      <c r="H86" s="264"/>
      <c r="I86" s="264"/>
      <c r="J86" s="264"/>
      <c r="K86" s="264"/>
    </row>
    <row r="87" spans="2:11" ht="18" customHeight="1" collapsed="1"/>
    <row r="88" spans="2:11" ht="18" customHeight="1">
      <c r="B88" s="428" t="s">
        <v>420</v>
      </c>
      <c r="C88" s="266"/>
      <c r="D88" s="266"/>
      <c r="E88" s="266"/>
      <c r="F88" s="266"/>
      <c r="H88" s="266"/>
      <c r="I88" s="266"/>
      <c r="J88" s="266"/>
      <c r="K88" s="266"/>
    </row>
    <row r="89" spans="2:11" ht="18" hidden="1" customHeight="1" outlineLevel="1">
      <c r="B89" s="281"/>
      <c r="C89" s="304" t="str">
        <f>C4</f>
        <v>2016年</v>
      </c>
      <c r="D89" s="304" t="str">
        <f>D4</f>
        <v>2017年</v>
      </c>
      <c r="E89" s="304" t="str">
        <f>E4</f>
        <v>2018年1-6</v>
      </c>
      <c r="F89" s="284" t="str">
        <f t="shared" ref="F89" si="38">F105</f>
        <v>平均值</v>
      </c>
      <c r="I89" s="266"/>
      <c r="J89" s="266"/>
      <c r="K89" s="266"/>
    </row>
    <row r="90" spans="2:11" ht="18" hidden="1" customHeight="1" outlineLevel="1">
      <c r="B90" s="190" t="s">
        <v>310</v>
      </c>
      <c r="C90" s="77">
        <f>C102</f>
        <v>0</v>
      </c>
      <c r="D90" s="77">
        <f>D102</f>
        <v>0</v>
      </c>
      <c r="E90" s="77">
        <f>E102</f>
        <v>0</v>
      </c>
      <c r="F90" s="285">
        <f>IF(ISERROR(AVERAGE(C90:E90)),0,AVERAGE(C90:E90))</f>
        <v>0</v>
      </c>
      <c r="I90" s="266"/>
      <c r="J90" s="266"/>
      <c r="K90" s="266"/>
    </row>
    <row r="91" spans="2:11" ht="18" hidden="1" customHeight="1" outlineLevel="1">
      <c r="B91" s="11" t="s">
        <v>192</v>
      </c>
      <c r="C91" s="19">
        <f>C112</f>
        <v>0</v>
      </c>
      <c r="D91" s="19">
        <f>D112</f>
        <v>0</v>
      </c>
      <c r="E91" s="19">
        <f>E112</f>
        <v>0</v>
      </c>
      <c r="F91" s="286">
        <f>IF(ISERROR(AVERAGE(C91:E91)),0,AVERAGE(C91:E91))</f>
        <v>0</v>
      </c>
      <c r="I91" s="266"/>
      <c r="J91" s="266"/>
      <c r="K91" s="266"/>
    </row>
    <row r="92" spans="2:11" ht="18" hidden="1" customHeight="1" outlineLevel="1">
      <c r="B92" s="11" t="s">
        <v>388</v>
      </c>
      <c r="C92" s="19">
        <f t="shared" ref="C92:E92" si="39">C122</f>
        <v>0</v>
      </c>
      <c r="D92" s="19">
        <f t="shared" si="39"/>
        <v>0</v>
      </c>
      <c r="E92" s="19">
        <f t="shared" si="39"/>
        <v>0</v>
      </c>
      <c r="F92" s="286">
        <f>IF(ISERROR(AVERAGE(C92:E92)),0,AVERAGE(C92:E92))</f>
        <v>0</v>
      </c>
      <c r="I92" s="266"/>
      <c r="J92" s="266"/>
      <c r="K92" s="266"/>
    </row>
    <row r="93" spans="2:11" ht="18" hidden="1" customHeight="1" outlineLevel="1" thickBot="1">
      <c r="B93" s="279" t="s">
        <v>389</v>
      </c>
      <c r="C93" s="280">
        <f t="shared" ref="C93:E93" si="40">SUM(C90:C91)</f>
        <v>0</v>
      </c>
      <c r="D93" s="280">
        <f t="shared" si="40"/>
        <v>0</v>
      </c>
      <c r="E93" s="280">
        <f t="shared" si="40"/>
        <v>0</v>
      </c>
      <c r="F93" s="287">
        <f>IF(ISERROR(AVERAGE(C93:E93)),0,AVERAGE(C93:E93))</f>
        <v>0</v>
      </c>
      <c r="I93" s="266"/>
      <c r="J93" s="266"/>
      <c r="K93" s="266"/>
    </row>
    <row r="94" spans="2:11" ht="18" hidden="1" customHeight="1" outlineLevel="1" thickBot="1">
      <c r="B94" s="299"/>
      <c r="C94" s="299"/>
      <c r="D94" s="299"/>
      <c r="E94" s="299"/>
      <c r="F94" s="299"/>
      <c r="I94" s="266"/>
      <c r="J94" s="266"/>
      <c r="K94" s="266"/>
    </row>
    <row r="95" spans="2:11" ht="18" hidden="1" customHeight="1" outlineLevel="1">
      <c r="B95" s="197" t="s">
        <v>310</v>
      </c>
      <c r="C95" s="303" t="str">
        <f>C4</f>
        <v>2016年</v>
      </c>
      <c r="D95" s="303" t="str">
        <f>D4</f>
        <v>2017年</v>
      </c>
      <c r="E95" s="303" t="str">
        <f>E4</f>
        <v>2018年1-6</v>
      </c>
      <c r="F95" s="283" t="s">
        <v>191</v>
      </c>
      <c r="I95" s="266"/>
      <c r="J95" s="266"/>
      <c r="K95" s="266"/>
    </row>
    <row r="96" spans="2:11" ht="18" hidden="1" customHeight="1" outlineLevel="1">
      <c r="B96" s="78" t="s">
        <v>251</v>
      </c>
      <c r="C96" s="79"/>
      <c r="D96" s="79"/>
      <c r="E96" s="79"/>
      <c r="F96" s="285">
        <f t="shared" ref="F96:F101" si="41">IF(ISERROR(AVERAGE(C96:E96)),0,AVERAGE(C96:E96))</f>
        <v>0</v>
      </c>
    </row>
    <row r="97" spans="2:7" ht="18" hidden="1" customHeight="1" outlineLevel="1">
      <c r="C97" s="19"/>
      <c r="D97" s="19"/>
      <c r="E97" s="19"/>
      <c r="F97" s="286">
        <f t="shared" si="41"/>
        <v>0</v>
      </c>
    </row>
    <row r="98" spans="2:7" ht="18" hidden="1" customHeight="1" outlineLevel="1">
      <c r="C98" s="19"/>
      <c r="D98" s="19"/>
      <c r="E98" s="19"/>
      <c r="F98" s="286">
        <f t="shared" si="41"/>
        <v>0</v>
      </c>
    </row>
    <row r="99" spans="2:7" ht="18" hidden="1" customHeight="1" outlineLevel="1">
      <c r="C99" s="19"/>
      <c r="D99" s="19"/>
      <c r="E99" s="19"/>
      <c r="F99" s="286">
        <f t="shared" si="41"/>
        <v>0</v>
      </c>
    </row>
    <row r="100" spans="2:7" ht="18" hidden="1" customHeight="1" outlineLevel="1">
      <c r="C100" s="19"/>
      <c r="D100" s="19"/>
      <c r="E100" s="19"/>
      <c r="F100" s="286">
        <f t="shared" si="41"/>
        <v>0</v>
      </c>
    </row>
    <row r="101" spans="2:7" ht="18" hidden="1" customHeight="1" outlineLevel="1">
      <c r="C101" s="19"/>
      <c r="D101" s="19"/>
      <c r="E101" s="19"/>
      <c r="F101" s="286">
        <f t="shared" si="41"/>
        <v>0</v>
      </c>
    </row>
    <row r="102" spans="2:7" ht="18" hidden="1" customHeight="1" outlineLevel="1">
      <c r="B102" s="316" t="s">
        <v>191</v>
      </c>
      <c r="C102" s="285">
        <f>IF(ISERROR(AVERAGE(C96:C101)),0,AVERAGE(C96:C101))</f>
        <v>0</v>
      </c>
      <c r="D102" s="285">
        <f t="shared" ref="D102:E102" si="42">IF(ISERROR(AVERAGE(D96:D101)),0,AVERAGE(D96:D101))</f>
        <v>0</v>
      </c>
      <c r="E102" s="285">
        <f t="shared" si="42"/>
        <v>0</v>
      </c>
      <c r="F102" s="317"/>
    </row>
    <row r="103" spans="2:7" s="73" customFormat="1" ht="18" hidden="1" customHeight="1" outlineLevel="1" thickBot="1">
      <c r="B103" s="318" t="s">
        <v>266</v>
      </c>
      <c r="C103" s="320">
        <f>IF(ISERROR(MEDIAN(C96:C101)),0,MEDIAN(C96:C101))</f>
        <v>0</v>
      </c>
      <c r="D103" s="320">
        <f t="shared" ref="D103" si="43">IF(ISERROR(MEDIAN(D96:D101)),0,MEDIAN(D96:D101))</f>
        <v>0</v>
      </c>
      <c r="E103" s="320">
        <f>IF(ISERROR(MEDIAN(E96:E101)),0,MEDIAN(E96:E101))</f>
        <v>0</v>
      </c>
      <c r="F103" s="319"/>
      <c r="G103" s="11"/>
    </row>
    <row r="104" spans="2:7" ht="18" hidden="1" customHeight="1" outlineLevel="1" thickBot="1">
      <c r="B104" s="322"/>
      <c r="C104" s="324"/>
      <c r="D104" s="324"/>
      <c r="E104" s="324"/>
      <c r="F104" s="323"/>
    </row>
    <row r="105" spans="2:7" ht="18" hidden="1" customHeight="1" outlineLevel="1">
      <c r="B105" s="197" t="s">
        <v>190</v>
      </c>
      <c r="C105" s="303" t="str">
        <f t="shared" ref="C105:E105" si="44">C95</f>
        <v>2016年</v>
      </c>
      <c r="D105" s="303" t="str">
        <f t="shared" si="44"/>
        <v>2017年</v>
      </c>
      <c r="E105" s="303" t="str">
        <f t="shared" si="44"/>
        <v>2018年1-6</v>
      </c>
      <c r="F105" s="282" t="s">
        <v>378</v>
      </c>
    </row>
    <row r="106" spans="2:7" ht="18" hidden="1" customHeight="1" outlineLevel="1">
      <c r="B106" s="193" t="str">
        <f>B96</f>
        <v>xx公司</v>
      </c>
      <c r="C106" s="79"/>
      <c r="D106" s="79"/>
      <c r="E106" s="79"/>
      <c r="F106" s="285">
        <f t="shared" ref="F106:F111" si="45">IF(ISERROR(AVERAGE(C106:E106)),0,AVERAGE(C106:E106))</f>
        <v>0</v>
      </c>
    </row>
    <row r="107" spans="2:7" ht="18" hidden="1" customHeight="1" outlineLevel="1">
      <c r="B107" s="11">
        <f t="shared" ref="B107" si="46">B97</f>
        <v>0</v>
      </c>
      <c r="C107" s="19"/>
      <c r="D107" s="19"/>
      <c r="E107" s="19"/>
      <c r="F107" s="286">
        <f t="shared" si="45"/>
        <v>0</v>
      </c>
    </row>
    <row r="108" spans="2:7" ht="18" hidden="1" customHeight="1" outlineLevel="1">
      <c r="B108" s="11">
        <f t="shared" ref="B108" si="47">B98</f>
        <v>0</v>
      </c>
      <c r="C108" s="19"/>
      <c r="D108" s="19"/>
      <c r="E108" s="19"/>
      <c r="F108" s="286">
        <f t="shared" si="45"/>
        <v>0</v>
      </c>
    </row>
    <row r="109" spans="2:7" ht="18" hidden="1" customHeight="1" outlineLevel="1">
      <c r="B109" s="11">
        <f t="shared" ref="B109" si="48">B99</f>
        <v>0</v>
      </c>
      <c r="C109" s="19"/>
      <c r="D109" s="19"/>
      <c r="E109" s="19"/>
      <c r="F109" s="286">
        <f t="shared" si="45"/>
        <v>0</v>
      </c>
    </row>
    <row r="110" spans="2:7" ht="18" hidden="1" customHeight="1" outlineLevel="1">
      <c r="B110" s="11">
        <f t="shared" ref="B110" si="49">B100</f>
        <v>0</v>
      </c>
      <c r="C110" s="19"/>
      <c r="D110" s="19"/>
      <c r="E110" s="19"/>
      <c r="F110" s="286">
        <f t="shared" si="45"/>
        <v>0</v>
      </c>
    </row>
    <row r="111" spans="2:7" ht="18" hidden="1" customHeight="1" outlineLevel="1">
      <c r="B111" s="11">
        <f>B101</f>
        <v>0</v>
      </c>
      <c r="C111" s="19"/>
      <c r="D111" s="19"/>
      <c r="E111" s="19"/>
      <c r="F111" s="286">
        <f t="shared" si="45"/>
        <v>0</v>
      </c>
    </row>
    <row r="112" spans="2:7" ht="18" hidden="1" customHeight="1" outlineLevel="1">
      <c r="B112" s="316" t="s">
        <v>267</v>
      </c>
      <c r="C112" s="285">
        <f t="shared" ref="C112" si="50">IF(ISERROR(AVERAGE(C106:C111)),0,AVERAGE(C106:C111))</f>
        <v>0</v>
      </c>
      <c r="D112" s="285">
        <f t="shared" ref="D112" si="51">IF(ISERROR(AVERAGE(D106:D111)),0,AVERAGE(D106:D111))</f>
        <v>0</v>
      </c>
      <c r="E112" s="285">
        <f>IF(ISERROR(AVERAGE(E106:E111)),0,AVERAGE(E106:E111))</f>
        <v>0</v>
      </c>
      <c r="F112" s="317"/>
    </row>
    <row r="113" spans="2:6" ht="18" hidden="1" customHeight="1" outlineLevel="1" thickBot="1">
      <c r="B113" s="318" t="s">
        <v>268</v>
      </c>
      <c r="C113" s="320">
        <f t="shared" ref="C113:D113" si="52">IF(ISERROR(MEDIAN(C106:C111)),0,MEDIAN(C106:C111))</f>
        <v>0</v>
      </c>
      <c r="D113" s="320">
        <f t="shared" si="52"/>
        <v>0</v>
      </c>
      <c r="E113" s="320">
        <f>IF(ISERROR(MEDIAN(E106:E111)),0,MEDIAN(E106:E111))</f>
        <v>0</v>
      </c>
      <c r="F113" s="319"/>
    </row>
    <row r="114" spans="2:6" ht="18" hidden="1" customHeight="1" outlineLevel="1" thickBot="1">
      <c r="B114" s="322"/>
      <c r="C114" s="324"/>
      <c r="D114" s="324"/>
      <c r="E114" s="324"/>
      <c r="F114" s="323"/>
    </row>
    <row r="115" spans="2:6" ht="18" hidden="1" customHeight="1" outlineLevel="1">
      <c r="B115" s="197" t="s">
        <v>377</v>
      </c>
      <c r="C115" s="303" t="str">
        <f t="shared" ref="C115:E115" si="53">C105</f>
        <v>2016年</v>
      </c>
      <c r="D115" s="303" t="str">
        <f t="shared" si="53"/>
        <v>2017年</v>
      </c>
      <c r="E115" s="303" t="str">
        <f t="shared" si="53"/>
        <v>2018年1-6</v>
      </c>
      <c r="F115" s="282" t="s">
        <v>378</v>
      </c>
    </row>
    <row r="116" spans="2:6" ht="18" hidden="1" customHeight="1" outlineLevel="1">
      <c r="B116" s="193" t="str">
        <f>B106</f>
        <v>xx公司</v>
      </c>
      <c r="C116" s="79"/>
      <c r="D116" s="79"/>
      <c r="E116" s="79"/>
      <c r="F116" s="285">
        <f t="shared" ref="F116:F121" si="54">IF(ISERROR(AVERAGE(C116:E116)),0,AVERAGE(C116:E116))</f>
        <v>0</v>
      </c>
    </row>
    <row r="117" spans="2:6" ht="18" hidden="1" customHeight="1" outlineLevel="1">
      <c r="B117" s="13">
        <f t="shared" ref="B117" si="55">B107</f>
        <v>0</v>
      </c>
      <c r="C117" s="19"/>
      <c r="D117" s="19"/>
      <c r="E117" s="19"/>
      <c r="F117" s="286">
        <f t="shared" si="54"/>
        <v>0</v>
      </c>
    </row>
    <row r="118" spans="2:6" ht="18" hidden="1" customHeight="1" outlineLevel="1">
      <c r="B118" s="13">
        <f t="shared" ref="B118" si="56">B108</f>
        <v>0</v>
      </c>
      <c r="C118" s="19"/>
      <c r="D118" s="19"/>
      <c r="E118" s="19"/>
      <c r="F118" s="286">
        <f t="shared" si="54"/>
        <v>0</v>
      </c>
    </row>
    <row r="119" spans="2:6" ht="18" hidden="1" customHeight="1" outlineLevel="1">
      <c r="B119" s="13">
        <f t="shared" ref="B119" si="57">B109</f>
        <v>0</v>
      </c>
      <c r="C119" s="19"/>
      <c r="D119" s="19"/>
      <c r="E119" s="19"/>
      <c r="F119" s="286">
        <f t="shared" si="54"/>
        <v>0</v>
      </c>
    </row>
    <row r="120" spans="2:6" ht="18" hidden="1" customHeight="1" outlineLevel="1">
      <c r="B120" s="13">
        <f t="shared" ref="B120" si="58">B110</f>
        <v>0</v>
      </c>
      <c r="C120" s="19"/>
      <c r="D120" s="19"/>
      <c r="E120" s="19"/>
      <c r="F120" s="286">
        <f t="shared" si="54"/>
        <v>0</v>
      </c>
    </row>
    <row r="121" spans="2:6" ht="18" hidden="1" customHeight="1" outlineLevel="1">
      <c r="B121" s="13">
        <f>B111</f>
        <v>0</v>
      </c>
      <c r="C121" s="19"/>
      <c r="D121" s="19"/>
      <c r="E121" s="19"/>
      <c r="F121" s="286">
        <f t="shared" si="54"/>
        <v>0</v>
      </c>
    </row>
    <row r="122" spans="2:6" ht="18" hidden="1" customHeight="1" outlineLevel="1">
      <c r="B122" s="316" t="s">
        <v>142</v>
      </c>
      <c r="C122" s="285">
        <f t="shared" ref="C122:D122" si="59">IF(ISERROR(AVERAGE(C116:C121)),0,AVERAGE(C116:C121))</f>
        <v>0</v>
      </c>
      <c r="D122" s="285">
        <f t="shared" si="59"/>
        <v>0</v>
      </c>
      <c r="E122" s="285">
        <f>IF(ISERROR(AVERAGE(E116:E121)),0,AVERAGE(E116:E121))</f>
        <v>0</v>
      </c>
      <c r="F122" s="317"/>
    </row>
    <row r="123" spans="2:6" ht="18" hidden="1" customHeight="1" outlineLevel="1" thickBot="1">
      <c r="B123" s="318" t="s">
        <v>266</v>
      </c>
      <c r="C123" s="320">
        <f t="shared" ref="C123:D123" si="60">IF(ISERROR(MEDIAN(C116:C121)),0,MEDIAN(C116:C121))</f>
        <v>0</v>
      </c>
      <c r="D123" s="320">
        <f t="shared" si="60"/>
        <v>0</v>
      </c>
      <c r="E123" s="320">
        <f>IF(ISERROR(MEDIAN(E116:E121)),0,MEDIAN(E116:E121))</f>
        <v>0</v>
      </c>
      <c r="F123" s="319"/>
    </row>
    <row r="124" spans="2:6" ht="18" customHeight="1" collapsed="1"/>
  </sheetData>
  <sheetProtection formatCells="0" formatColumns="0" formatRows="0" insertColumns="0" insertRows="0" deleteColumns="0" deleteRows="0"/>
  <mergeCells count="1">
    <mergeCell ref="B1:K1"/>
  </mergeCells>
  <phoneticPr fontId="6" type="noConversion"/>
  <pageMargins left="0.75" right="0.75" top="1" bottom="1" header="0.5" footer="0.5"/>
  <pageSetup paperSize="9"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M80"/>
  <sheetViews>
    <sheetView tabSelected="1" topLeftCell="A34" zoomScaleNormal="100" workbookViewId="0">
      <selection activeCell="N35" sqref="N35"/>
    </sheetView>
  </sheetViews>
  <sheetFormatPr defaultColWidth="9" defaultRowHeight="18" customHeight="1" outlineLevelRow="1"/>
  <cols>
    <col min="1" max="1" width="1.5" style="521" customWidth="1"/>
    <col min="2" max="2" width="20.75" style="521" customWidth="1"/>
    <col min="3" max="3" width="8.58203125" style="521" customWidth="1"/>
    <col min="4" max="4" width="8.5" style="521" customWidth="1"/>
    <col min="5" max="5" width="9.75" style="521" customWidth="1"/>
    <col min="6" max="11" width="9.58203125" style="521" customWidth="1"/>
    <col min="12" max="12" width="8.83203125" style="521" customWidth="1"/>
    <col min="13" max="16384" width="9" style="521"/>
  </cols>
  <sheetData>
    <row r="1" spans="1:12" s="520" customFormat="1" ht="30" customHeight="1">
      <c r="B1" s="749" t="s">
        <v>658</v>
      </c>
      <c r="C1" s="749"/>
      <c r="D1" s="749"/>
      <c r="E1" s="749"/>
      <c r="F1" s="749"/>
      <c r="G1" s="749"/>
      <c r="H1" s="749"/>
      <c r="I1" s="749"/>
      <c r="J1" s="749"/>
      <c r="K1" s="749"/>
    </row>
    <row r="2" spans="1:12" s="520" customFormat="1" ht="18" customHeight="1">
      <c r="B2" s="229" t="str">
        <f>'1报表'!B11</f>
        <v>评估基准日：2018/6/30</v>
      </c>
      <c r="C2" s="73"/>
      <c r="D2" s="70"/>
      <c r="E2" s="342"/>
      <c r="F2" s="73"/>
      <c r="G2" s="70"/>
      <c r="H2" s="70"/>
      <c r="I2" s="70"/>
      <c r="J2" s="70"/>
      <c r="K2" s="70"/>
      <c r="L2" s="534" t="s">
        <v>569</v>
      </c>
    </row>
    <row r="3" spans="1:12" ht="18" customHeight="1">
      <c r="B3" s="229" t="str">
        <f>'1报表'!B12</f>
        <v>被评估单位：YLSJ公司</v>
      </c>
      <c r="C3" s="184"/>
      <c r="D3" s="184"/>
      <c r="E3" s="729">
        <f>12-MONTH('1报表'!E5)</f>
        <v>6</v>
      </c>
      <c r="F3" s="511" t="str">
        <f>F4&amp;"剩余折摊月数"</f>
        <v>2018年剩余折摊月数</v>
      </c>
      <c r="H3" s="184"/>
      <c r="I3" s="184"/>
      <c r="J3" s="184"/>
      <c r="K3" s="185" t="s">
        <v>52</v>
      </c>
    </row>
    <row r="4" spans="1:12" ht="18" customHeight="1">
      <c r="B4" s="459" t="s">
        <v>665</v>
      </c>
      <c r="C4" s="572" t="str">
        <f>D4&amp;"占比"</f>
        <v>2018年1-6占比</v>
      </c>
      <c r="D4" s="461" t="str">
        <f>'3收入'!E4</f>
        <v>2018年1-6</v>
      </c>
      <c r="E4" s="23" t="str">
        <f>F4&amp;(RIGHT(D4,1)+1)&amp;"-12"</f>
        <v>2018年7-12</v>
      </c>
      <c r="F4" s="462" t="str">
        <f>'3收入'!F4</f>
        <v>2018年</v>
      </c>
      <c r="G4" s="462" t="str">
        <f>'3收入'!G4</f>
        <v>2019年</v>
      </c>
      <c r="H4" s="462" t="str">
        <f>'3收入'!H4</f>
        <v>2020年</v>
      </c>
      <c r="I4" s="462" t="str">
        <f>'3收入'!I4</f>
        <v>2021年</v>
      </c>
      <c r="J4" s="462" t="str">
        <f>'3收入'!J4</f>
        <v>2022年</v>
      </c>
      <c r="K4" s="462" t="str">
        <f>'3收入'!K4</f>
        <v>2023年</v>
      </c>
      <c r="L4" s="530" t="s">
        <v>232</v>
      </c>
    </row>
    <row r="5" spans="1:12" ht="18" customHeight="1">
      <c r="B5" s="169" t="s">
        <v>222</v>
      </c>
      <c r="C5" s="129">
        <f>IF(D5,D5/D$9,"")</f>
        <v>1</v>
      </c>
      <c r="D5" s="528">
        <v>20.67</v>
      </c>
      <c r="E5" s="65"/>
      <c r="F5" s="144">
        <f>F$9*$L5</f>
        <v>43.790000000000006</v>
      </c>
      <c r="G5" s="144">
        <f t="shared" ref="F5:K8" si="0">G$9*$L5</f>
        <v>56.040000000000006</v>
      </c>
      <c r="H5" s="144">
        <f t="shared" si="0"/>
        <v>57.154731999999981</v>
      </c>
      <c r="I5" s="144">
        <f t="shared" si="0"/>
        <v>34.299999999999997</v>
      </c>
      <c r="J5" s="144">
        <f t="shared" si="0"/>
        <v>44.1</v>
      </c>
      <c r="K5" s="144">
        <f t="shared" si="0"/>
        <v>51.25</v>
      </c>
      <c r="L5" s="533">
        <v>1</v>
      </c>
    </row>
    <row r="6" spans="1:12" s="520" customFormat="1" ht="18" customHeight="1">
      <c r="A6" s="521"/>
      <c r="B6" s="169" t="s">
        <v>213</v>
      </c>
      <c r="C6" s="129" t="str">
        <f>IF(D6,D6/D$9,"")</f>
        <v/>
      </c>
      <c r="D6" s="528"/>
      <c r="E6" s="65"/>
      <c r="F6" s="144">
        <f t="shared" si="0"/>
        <v>0</v>
      </c>
      <c r="G6" s="144">
        <f t="shared" si="0"/>
        <v>0</v>
      </c>
      <c r="H6" s="144">
        <f t="shared" si="0"/>
        <v>0</v>
      </c>
      <c r="I6" s="144">
        <f t="shared" si="0"/>
        <v>0</v>
      </c>
      <c r="J6" s="144">
        <f t="shared" si="0"/>
        <v>0</v>
      </c>
      <c r="K6" s="144">
        <f t="shared" si="0"/>
        <v>0</v>
      </c>
      <c r="L6" s="533"/>
    </row>
    <row r="7" spans="1:12" s="520" customFormat="1" ht="18" customHeight="1">
      <c r="A7" s="521"/>
      <c r="B7" s="169" t="s">
        <v>140</v>
      </c>
      <c r="C7" s="129" t="str">
        <f>IF(D7,D7/D$9,"")</f>
        <v/>
      </c>
      <c r="D7" s="528"/>
      <c r="E7" s="65"/>
      <c r="F7" s="144">
        <f t="shared" si="0"/>
        <v>0</v>
      </c>
      <c r="G7" s="144">
        <f t="shared" si="0"/>
        <v>0</v>
      </c>
      <c r="H7" s="144">
        <f t="shared" si="0"/>
        <v>0</v>
      </c>
      <c r="I7" s="144">
        <f t="shared" si="0"/>
        <v>0</v>
      </c>
      <c r="J7" s="144">
        <f t="shared" si="0"/>
        <v>0</v>
      </c>
      <c r="K7" s="144">
        <f t="shared" si="0"/>
        <v>0</v>
      </c>
      <c r="L7" s="533"/>
    </row>
    <row r="8" spans="1:12" s="520" customFormat="1" ht="18" customHeight="1">
      <c r="A8" s="521"/>
      <c r="B8" s="169" t="s">
        <v>390</v>
      </c>
      <c r="C8" s="129" t="str">
        <f>IF(D8,D8/D$9,"")</f>
        <v/>
      </c>
      <c r="D8" s="528"/>
      <c r="E8" s="65"/>
      <c r="F8" s="144">
        <f t="shared" si="0"/>
        <v>0</v>
      </c>
      <c r="G8" s="144">
        <f t="shared" si="0"/>
        <v>0</v>
      </c>
      <c r="H8" s="144">
        <f t="shared" si="0"/>
        <v>0</v>
      </c>
      <c r="I8" s="144">
        <f t="shared" si="0"/>
        <v>0</v>
      </c>
      <c r="J8" s="144">
        <f t="shared" si="0"/>
        <v>0</v>
      </c>
      <c r="K8" s="144">
        <f t="shared" si="0"/>
        <v>0</v>
      </c>
      <c r="L8" s="533"/>
    </row>
    <row r="9" spans="1:12" ht="18" customHeight="1">
      <c r="B9" s="172" t="s">
        <v>141</v>
      </c>
      <c r="C9" s="306">
        <f>SUM(C5:C8)</f>
        <v>1</v>
      </c>
      <c r="D9" s="143">
        <f>SUM(D5:D8)</f>
        <v>20.67</v>
      </c>
      <c r="E9" s="583">
        <f>E28+E43</f>
        <v>23.12</v>
      </c>
      <c r="F9" s="584">
        <f>D9+E9</f>
        <v>43.790000000000006</v>
      </c>
      <c r="G9" s="583">
        <f>G28+G43</f>
        <v>56.040000000000006</v>
      </c>
      <c r="H9" s="583">
        <f>H28+H43</f>
        <v>57.154731999999981</v>
      </c>
      <c r="I9" s="583">
        <f>I28+I43</f>
        <v>34.299999999999997</v>
      </c>
      <c r="J9" s="583">
        <f>J28+J43</f>
        <v>44.1</v>
      </c>
      <c r="K9" s="583">
        <f>K28+K43</f>
        <v>51.25</v>
      </c>
      <c r="L9" s="10">
        <f>SUM(L5:L8)</f>
        <v>1</v>
      </c>
    </row>
    <row r="10" spans="1:12" ht="18" customHeight="1">
      <c r="B10" s="464" t="s">
        <v>648</v>
      </c>
      <c r="C10" s="65"/>
      <c r="D10" s="65"/>
      <c r="E10" s="418">
        <f>E26+SUM(E37:E39)</f>
        <v>49</v>
      </c>
      <c r="F10" s="65"/>
      <c r="G10" s="418">
        <f>G26+SUM(G37:G39)</f>
        <v>49</v>
      </c>
      <c r="H10" s="418">
        <f>H26+SUM(H37:H39)</f>
        <v>49</v>
      </c>
      <c r="I10" s="418">
        <f>I26+SUM(I37:I39)</f>
        <v>49</v>
      </c>
      <c r="J10" s="418">
        <f>J26+SUM(J37:J39)</f>
        <v>49</v>
      </c>
      <c r="K10" s="418">
        <f>K26+SUM(K37:K39)</f>
        <v>47</v>
      </c>
      <c r="L10" s="65"/>
    </row>
    <row r="11" spans="1:12" ht="18" customHeight="1">
      <c r="B11" s="585" t="s">
        <v>664</v>
      </c>
      <c r="C11" s="73"/>
      <c r="D11" s="73"/>
      <c r="E11" s="73"/>
      <c r="F11" s="73"/>
      <c r="G11" s="73"/>
      <c r="H11" s="73"/>
      <c r="I11" s="73"/>
      <c r="J11" s="73"/>
      <c r="K11" s="186"/>
    </row>
    <row r="12" spans="1:12" ht="17" customHeight="1">
      <c r="B12" s="513" t="s">
        <v>53</v>
      </c>
      <c r="C12" s="570"/>
      <c r="D12" s="514" t="str">
        <f t="shared" ref="D12:K12" si="1">D4</f>
        <v>2018年1-6</v>
      </c>
      <c r="E12" s="515" t="str">
        <f t="shared" si="1"/>
        <v>2018年7-12</v>
      </c>
      <c r="F12" s="515" t="str">
        <f t="shared" si="1"/>
        <v>2018年</v>
      </c>
      <c r="G12" s="515" t="str">
        <f t="shared" si="1"/>
        <v>2019年</v>
      </c>
      <c r="H12" s="515" t="str">
        <f t="shared" si="1"/>
        <v>2020年</v>
      </c>
      <c r="I12" s="515" t="str">
        <f t="shared" si="1"/>
        <v>2021年</v>
      </c>
      <c r="J12" s="515" t="str">
        <f t="shared" si="1"/>
        <v>2022年</v>
      </c>
      <c r="K12" s="515" t="str">
        <f t="shared" si="1"/>
        <v>2023年</v>
      </c>
      <c r="L12" s="460" t="s">
        <v>650</v>
      </c>
    </row>
    <row r="13" spans="1:12" ht="18" customHeight="1">
      <c r="B13" s="586" t="s">
        <v>666</v>
      </c>
      <c r="C13" s="65"/>
      <c r="D13" s="523"/>
      <c r="E13" s="65"/>
      <c r="F13" s="65"/>
      <c r="G13" s="65"/>
      <c r="H13" s="65"/>
      <c r="I13" s="65"/>
      <c r="J13" s="65"/>
      <c r="K13" s="65"/>
      <c r="L13" s="523"/>
    </row>
    <row r="14" spans="1:12" ht="18" customHeight="1">
      <c r="B14" s="587" t="s">
        <v>667</v>
      </c>
      <c r="C14" s="65"/>
      <c r="D14" s="65"/>
      <c r="E14" s="573"/>
      <c r="F14" s="65"/>
      <c r="G14" s="575"/>
      <c r="H14" s="576"/>
      <c r="I14" s="576"/>
      <c r="J14" s="576"/>
      <c r="K14" s="576"/>
      <c r="L14" s="65"/>
    </row>
    <row r="15" spans="1:12" ht="18" customHeight="1">
      <c r="B15" s="463" t="s">
        <v>668</v>
      </c>
      <c r="C15" s="65"/>
      <c r="D15" s="523"/>
      <c r="E15" s="65"/>
      <c r="F15" s="65"/>
      <c r="G15" s="65"/>
      <c r="H15" s="65"/>
      <c r="I15" s="65"/>
      <c r="J15" s="65"/>
      <c r="K15" s="65"/>
      <c r="L15" s="65"/>
    </row>
    <row r="16" spans="1:12" ht="18" customHeight="1">
      <c r="B16" s="587" t="s">
        <v>669</v>
      </c>
      <c r="C16" s="65"/>
      <c r="D16" s="65"/>
      <c r="E16" s="579"/>
      <c r="F16" s="65"/>
      <c r="G16" s="574"/>
      <c r="H16" s="574"/>
      <c r="I16" s="574"/>
      <c r="J16" s="574"/>
      <c r="K16" s="574"/>
      <c r="L16" s="65"/>
    </row>
    <row r="17" spans="2:12" ht="18" customHeight="1">
      <c r="B17" s="587" t="s">
        <v>670</v>
      </c>
      <c r="C17" s="65"/>
      <c r="D17" s="65"/>
      <c r="E17" s="579"/>
      <c r="F17" s="65"/>
      <c r="G17" s="574"/>
      <c r="H17" s="574"/>
      <c r="I17" s="574"/>
      <c r="J17" s="574"/>
      <c r="K17" s="574"/>
      <c r="L17" s="65"/>
    </row>
    <row r="18" spans="2:12" ht="18" customHeight="1">
      <c r="B18" s="587" t="s">
        <v>671</v>
      </c>
      <c r="C18" s="65"/>
      <c r="D18" s="65"/>
      <c r="E18" s="579"/>
      <c r="F18" s="65"/>
      <c r="G18" s="574"/>
      <c r="H18" s="574"/>
      <c r="I18" s="574"/>
      <c r="J18" s="574"/>
      <c r="K18" s="574"/>
      <c r="L18" s="65"/>
    </row>
    <row r="20" spans="2:12" ht="18" customHeight="1">
      <c r="B20" s="585" t="s">
        <v>581</v>
      </c>
      <c r="C20" s="184"/>
      <c r="D20" s="184"/>
      <c r="E20" s="131"/>
      <c r="F20" s="131"/>
      <c r="G20" s="131"/>
      <c r="H20" s="184"/>
      <c r="I20" s="184"/>
      <c r="J20" s="184"/>
      <c r="K20" s="185"/>
    </row>
    <row r="21" spans="2:12" ht="18.5" customHeight="1">
      <c r="B21" s="459" t="s">
        <v>224</v>
      </c>
      <c r="C21" s="460" t="s">
        <v>647</v>
      </c>
      <c r="D21" s="461" t="str">
        <f t="shared" ref="D21:K21" si="2">D4</f>
        <v>2018年1-6</v>
      </c>
      <c r="E21" s="462" t="str">
        <f t="shared" si="2"/>
        <v>2018年7-12</v>
      </c>
      <c r="F21" s="462" t="str">
        <f t="shared" si="2"/>
        <v>2018年</v>
      </c>
      <c r="G21" s="462" t="str">
        <f t="shared" si="2"/>
        <v>2019年</v>
      </c>
      <c r="H21" s="462" t="str">
        <f t="shared" si="2"/>
        <v>2020年</v>
      </c>
      <c r="I21" s="462" t="str">
        <f t="shared" si="2"/>
        <v>2021年</v>
      </c>
      <c r="J21" s="462" t="str">
        <f t="shared" si="2"/>
        <v>2022年</v>
      </c>
      <c r="K21" s="462" t="str">
        <f t="shared" si="2"/>
        <v>2023年</v>
      </c>
      <c r="L21" s="460" t="s">
        <v>650</v>
      </c>
    </row>
    <row r="22" spans="2:12" ht="18.5" customHeight="1">
      <c r="B22" s="753" t="s">
        <v>857</v>
      </c>
      <c r="C22" s="460"/>
      <c r="D22" s="461"/>
      <c r="E22" s="462"/>
      <c r="F22" s="462"/>
      <c r="G22" s="462"/>
      <c r="H22" s="462"/>
      <c r="I22" s="462"/>
      <c r="J22" s="462"/>
      <c r="K22" s="462"/>
      <c r="L22" s="460"/>
    </row>
    <row r="23" spans="2:12" ht="18" customHeight="1">
      <c r="B23" s="753" t="s">
        <v>858</v>
      </c>
      <c r="C23" s="65"/>
      <c r="D23" s="523"/>
      <c r="E23" s="65"/>
      <c r="F23" s="65"/>
      <c r="G23" s="65"/>
      <c r="H23" s="65"/>
      <c r="I23" s="65"/>
      <c r="J23" s="65"/>
      <c r="K23" s="65"/>
      <c r="L23" s="65"/>
    </row>
    <row r="24" spans="2:12" ht="18" customHeight="1">
      <c r="B24" s="463" t="s">
        <v>527</v>
      </c>
      <c r="C24" s="65"/>
      <c r="D24" s="523"/>
      <c r="E24" s="65"/>
      <c r="F24" s="65"/>
      <c r="G24" s="65"/>
      <c r="H24" s="65"/>
      <c r="I24" s="65"/>
      <c r="J24" s="65"/>
      <c r="K24" s="65"/>
      <c r="L24" s="65"/>
    </row>
    <row r="25" spans="2:12" ht="18" customHeight="1">
      <c r="B25" s="464" t="s">
        <v>528</v>
      </c>
      <c r="C25" s="524"/>
      <c r="D25" s="65"/>
      <c r="E25" s="416">
        <f>IF(D24&gt;D23*C25/12*E3,D23*C25/12*E3,D24)</f>
        <v>0</v>
      </c>
      <c r="F25" s="65"/>
      <c r="G25" s="144">
        <f>IF((D24-E25)&gt;D23*C25,D23*C25,D24-E25)</f>
        <v>0</v>
      </c>
      <c r="H25" s="144">
        <f>IF(($D24-$E25-SUM($G25:G25))&gt;$G25,$G25,$D24-$E25-SUM($G25:G25))</f>
        <v>0</v>
      </c>
      <c r="I25" s="144">
        <f>IF(($D24-$E25-SUM($G25:H25))&gt;$G25,$G25,$D24-$E25-SUM($G25:H25))</f>
        <v>0</v>
      </c>
      <c r="J25" s="144">
        <f>IF(($D24-$E25-SUM($G25:I25))&gt;$G25,$G25,$D24-$E25-SUM($G25:I25))</f>
        <v>0</v>
      </c>
      <c r="K25" s="144">
        <f>IF(($D24-$E25-SUM($G25:J25))&gt;$G25,$G25,$D24-$E25-SUM($G25:J25))</f>
        <v>0</v>
      </c>
      <c r="L25" s="65"/>
    </row>
    <row r="26" spans="2:12" ht="18" customHeight="1">
      <c r="B26" s="464" t="s">
        <v>673</v>
      </c>
      <c r="C26" s="65"/>
      <c r="D26" s="65"/>
      <c r="E26" s="525"/>
      <c r="F26" s="65"/>
      <c r="G26" s="525"/>
      <c r="H26" s="525"/>
      <c r="I26" s="525"/>
      <c r="J26" s="525"/>
      <c r="K26" s="525"/>
      <c r="L26" s="65"/>
    </row>
    <row r="27" spans="2:12" ht="18" customHeight="1">
      <c r="B27" s="464" t="s">
        <v>649</v>
      </c>
      <c r="C27" s="65"/>
      <c r="D27" s="65"/>
      <c r="E27" s="510">
        <f>IF($L13,E14/$L13/12*E3,0)+IF($L27,E26/$L27/12*E3,0)</f>
        <v>0</v>
      </c>
      <c r="F27" s="134"/>
      <c r="G27" s="375">
        <f>IF($L13,($E14+SUM($G14:G14))/$L13,0)+IF($L27,($E26+SUM($G26:G26))/$L27,0)</f>
        <v>0</v>
      </c>
      <c r="H27" s="375">
        <f>IF($L13,($E14+SUM($G14:H14))/$L13,0)+IF($L27,($E26+SUM($G26:H26))/$L27,0)</f>
        <v>0</v>
      </c>
      <c r="I27" s="375">
        <f>IF($L13,($E14+SUM($G14:I14))/$L13,0)+IF($L27,($E26+SUM($G26:I26))/$L27,0)</f>
        <v>0</v>
      </c>
      <c r="J27" s="375">
        <f>IF($L13,($E14+SUM($G14:J14))/$L13,0)+IF($L27,($E26+SUM($G26:J26))/$L27,0)</f>
        <v>0</v>
      </c>
      <c r="K27" s="375">
        <f>IF($L13,($E14+SUM($G14:K14))/$L13,0)+IF($L27,($E26+SUM($G26:K26))/$L27,0)</f>
        <v>0</v>
      </c>
      <c r="L27" s="523"/>
    </row>
    <row r="28" spans="2:12" ht="18" customHeight="1">
      <c r="B28" s="463" t="s">
        <v>651</v>
      </c>
      <c r="C28" s="65"/>
      <c r="D28" s="65"/>
      <c r="E28" s="375">
        <f>E25+E27</f>
        <v>0</v>
      </c>
      <c r="F28" s="65"/>
      <c r="G28" s="375">
        <f>G25+G27</f>
        <v>0</v>
      </c>
      <c r="H28" s="375">
        <f>H25+H27</f>
        <v>0</v>
      </c>
      <c r="I28" s="375">
        <f>I25+I27</f>
        <v>0</v>
      </c>
      <c r="J28" s="375">
        <f>J25+J27</f>
        <v>0</v>
      </c>
      <c r="K28" s="375">
        <f>K25+K27</f>
        <v>0</v>
      </c>
      <c r="L28" s="65"/>
    </row>
    <row r="29" spans="2:12" ht="18" customHeight="1">
      <c r="B29" s="463" t="s">
        <v>529</v>
      </c>
      <c r="C29" s="65"/>
      <c r="D29" s="65"/>
      <c r="E29" s="375">
        <f>D24+E14+E26-E28</f>
        <v>0</v>
      </c>
      <c r="F29" s="375">
        <f>E29</f>
        <v>0</v>
      </c>
      <c r="G29" s="375">
        <f>F29+G14+G26-G28</f>
        <v>0</v>
      </c>
      <c r="H29" s="375">
        <f>G29+H14+H26-H28</f>
        <v>0</v>
      </c>
      <c r="I29" s="375">
        <f>H29+I14+I26-I28</f>
        <v>0</v>
      </c>
      <c r="J29" s="375">
        <f>I29+J14+J26-J28</f>
        <v>0</v>
      </c>
      <c r="K29" s="375">
        <f>J29+K14+K26-K28</f>
        <v>0</v>
      </c>
      <c r="L29" s="65"/>
    </row>
    <row r="31" spans="2:12" ht="18" customHeight="1">
      <c r="B31" s="585" t="s">
        <v>672</v>
      </c>
      <c r="C31" s="131"/>
      <c r="D31" s="131"/>
      <c r="E31" s="131"/>
      <c r="F31" s="131"/>
      <c r="G31" s="131"/>
      <c r="H31" s="131"/>
      <c r="I31" s="131"/>
      <c r="J31" s="131"/>
      <c r="K31" s="131"/>
    </row>
    <row r="32" spans="2:12" ht="18" customHeight="1">
      <c r="B32" s="459" t="s">
        <v>64</v>
      </c>
      <c r="C32" s="460" t="s">
        <v>646</v>
      </c>
      <c r="D32" s="461" t="str">
        <f t="shared" ref="D32:K32" si="3">D4</f>
        <v>2018年1-6</v>
      </c>
      <c r="E32" s="462" t="str">
        <f t="shared" si="3"/>
        <v>2018年7-12</v>
      </c>
      <c r="F32" s="462" t="str">
        <f t="shared" si="3"/>
        <v>2018年</v>
      </c>
      <c r="G32" s="462" t="str">
        <f t="shared" si="3"/>
        <v>2019年</v>
      </c>
      <c r="H32" s="462" t="str">
        <f t="shared" si="3"/>
        <v>2020年</v>
      </c>
      <c r="I32" s="462" t="str">
        <f t="shared" si="3"/>
        <v>2021年</v>
      </c>
      <c r="J32" s="462" t="str">
        <f t="shared" si="3"/>
        <v>2022年</v>
      </c>
      <c r="K32" s="462" t="str">
        <f t="shared" si="3"/>
        <v>2023年</v>
      </c>
      <c r="L32" s="460" t="s">
        <v>538</v>
      </c>
    </row>
    <row r="33" spans="2:13" ht="18" customHeight="1">
      <c r="B33" s="753" t="s">
        <v>859</v>
      </c>
      <c r="C33" s="460"/>
      <c r="D33" s="461">
        <v>0</v>
      </c>
      <c r="E33" s="462"/>
      <c r="F33" s="462"/>
      <c r="G33" s="462"/>
      <c r="H33" s="462"/>
      <c r="I33" s="462"/>
      <c r="J33" s="462"/>
      <c r="K33" s="462"/>
      <c r="L33" s="460"/>
    </row>
    <row r="34" spans="2:13" ht="18" customHeight="1">
      <c r="B34" s="753" t="s">
        <v>860</v>
      </c>
      <c r="C34" s="65"/>
      <c r="D34" s="523">
        <v>451.86</v>
      </c>
      <c r="E34" s="65"/>
      <c r="F34" s="65"/>
      <c r="G34" s="65"/>
      <c r="H34" s="65"/>
      <c r="I34" s="65"/>
      <c r="J34" s="65"/>
      <c r="K34" s="65"/>
      <c r="L34" s="65"/>
    </row>
    <row r="35" spans="2:13" ht="18" customHeight="1">
      <c r="B35" s="463" t="s">
        <v>537</v>
      </c>
      <c r="C35" s="65"/>
      <c r="D35" s="523">
        <v>94.664731999999987</v>
      </c>
      <c r="E35" s="65"/>
      <c r="F35" s="65"/>
      <c r="G35" s="65"/>
      <c r="H35" s="65"/>
      <c r="I35" s="65"/>
      <c r="J35" s="65"/>
      <c r="K35" s="65"/>
      <c r="L35" s="65"/>
    </row>
    <row r="36" spans="2:13" ht="18" customHeight="1">
      <c r="B36" s="464" t="s">
        <v>530</v>
      </c>
      <c r="C36" s="524">
        <v>9.1488514141548266E-2</v>
      </c>
      <c r="D36" s="65"/>
      <c r="E36" s="416">
        <f>IF(D35&gt;D34*C36/12*E3,D34*C36/12*E3,D35)</f>
        <v>20.67</v>
      </c>
      <c r="F36" s="65"/>
      <c r="G36" s="144">
        <f>IF((D35-E36)&gt;D34*C36,D34*C36,D35-E36)</f>
        <v>41.34</v>
      </c>
      <c r="H36" s="144">
        <f>IF(($D35-$E36-SUM($G36:G36))&gt;$G36,$G36,$D35-$E36-SUM($G36:G36))</f>
        <v>32.654731999999981</v>
      </c>
      <c r="I36" s="144">
        <f>IF(($D35-$E36-SUM($G36:H36))&gt;$G36,$G36,$D35-$E36-SUM($G36:H36))</f>
        <v>0</v>
      </c>
      <c r="J36" s="144">
        <f>IF(($D35-$E36-SUM($G36:I36))&gt;$G36,$G36,$D35-$E36-SUM($G36:I36))</f>
        <v>0</v>
      </c>
      <c r="K36" s="144">
        <f>IF(($D35-$E36-SUM($G36:J36))&gt;$G36,$G36,$D35-$E36-SUM($G36:J36))</f>
        <v>0</v>
      </c>
      <c r="L36" s="65"/>
    </row>
    <row r="37" spans="2:13" ht="18" customHeight="1">
      <c r="B37" s="509" t="s">
        <v>674</v>
      </c>
      <c r="C37" s="65"/>
      <c r="D37" s="65"/>
      <c r="E37" s="526"/>
      <c r="F37" s="65"/>
      <c r="G37" s="523"/>
      <c r="H37" s="523"/>
      <c r="I37" s="523"/>
      <c r="J37" s="523"/>
      <c r="K37" s="523"/>
      <c r="L37" s="528"/>
    </row>
    <row r="38" spans="2:13" ht="18" customHeight="1">
      <c r="B38" s="509" t="s">
        <v>675</v>
      </c>
      <c r="C38" s="65"/>
      <c r="D38" s="65"/>
      <c r="E38" s="526">
        <v>14</v>
      </c>
      <c r="F38" s="65"/>
      <c r="G38" s="523">
        <v>14</v>
      </c>
      <c r="H38" s="523">
        <v>14</v>
      </c>
      <c r="I38" s="523">
        <v>14</v>
      </c>
      <c r="J38" s="523">
        <v>14</v>
      </c>
      <c r="K38" s="523">
        <v>12</v>
      </c>
      <c r="L38" s="528">
        <v>5</v>
      </c>
    </row>
    <row r="39" spans="2:13" ht="18" customHeight="1">
      <c r="B39" s="509" t="s">
        <v>676</v>
      </c>
      <c r="C39" s="65"/>
      <c r="D39" s="65"/>
      <c r="E39" s="526">
        <v>35</v>
      </c>
      <c r="F39" s="65"/>
      <c r="G39" s="523">
        <v>35</v>
      </c>
      <c r="H39" s="523">
        <v>35</v>
      </c>
      <c r="I39" s="523">
        <v>35</v>
      </c>
      <c r="J39" s="523">
        <v>35</v>
      </c>
      <c r="K39" s="523">
        <v>35</v>
      </c>
      <c r="L39" s="528">
        <v>5</v>
      </c>
    </row>
    <row r="40" spans="2:13" ht="18" customHeight="1">
      <c r="B40" s="464" t="s">
        <v>653</v>
      </c>
      <c r="C40" s="65"/>
      <c r="D40" s="65"/>
      <c r="E40" s="510">
        <f>E55</f>
        <v>0</v>
      </c>
      <c r="F40" s="65"/>
      <c r="G40" s="375">
        <f>G55</f>
        <v>0</v>
      </c>
      <c r="H40" s="375">
        <f t="shared" ref="H40:K40" si="4">H55</f>
        <v>0</v>
      </c>
      <c r="I40" s="375">
        <f t="shared" si="4"/>
        <v>0</v>
      </c>
      <c r="J40" s="375">
        <f t="shared" si="4"/>
        <v>0</v>
      </c>
      <c r="K40" s="375">
        <f t="shared" si="4"/>
        <v>0</v>
      </c>
      <c r="L40" s="65"/>
    </row>
    <row r="41" spans="2:13" ht="18" customHeight="1">
      <c r="B41" s="464" t="s">
        <v>654</v>
      </c>
      <c r="C41" s="65"/>
      <c r="D41" s="65"/>
      <c r="E41" s="510">
        <f>E64</f>
        <v>0.7</v>
      </c>
      <c r="F41" s="65"/>
      <c r="G41" s="375">
        <f>G64</f>
        <v>4.1999999999999993</v>
      </c>
      <c r="H41" s="375">
        <f t="shared" ref="H41:K41" si="5">H64</f>
        <v>7</v>
      </c>
      <c r="I41" s="375">
        <f t="shared" si="5"/>
        <v>9.7999999999999989</v>
      </c>
      <c r="J41" s="375">
        <f t="shared" si="5"/>
        <v>12.6</v>
      </c>
      <c r="K41" s="375">
        <f t="shared" si="5"/>
        <v>14.5</v>
      </c>
      <c r="L41" s="65"/>
    </row>
    <row r="42" spans="2:13" ht="18" customHeight="1">
      <c r="B42" s="464" t="s">
        <v>655</v>
      </c>
      <c r="C42" s="65"/>
      <c r="D42" s="65"/>
      <c r="E42" s="510">
        <f>E73</f>
        <v>1.75</v>
      </c>
      <c r="F42" s="65"/>
      <c r="G42" s="375">
        <f>G73</f>
        <v>10.5</v>
      </c>
      <c r="H42" s="375">
        <f t="shared" ref="H42:K42" si="6">H73</f>
        <v>17.5</v>
      </c>
      <c r="I42" s="375">
        <f t="shared" si="6"/>
        <v>24.5</v>
      </c>
      <c r="J42" s="375">
        <f t="shared" si="6"/>
        <v>31.5</v>
      </c>
      <c r="K42" s="375">
        <f t="shared" si="6"/>
        <v>36.75</v>
      </c>
      <c r="L42" s="65"/>
    </row>
    <row r="43" spans="2:13" ht="18" customHeight="1">
      <c r="B43" s="463" t="s">
        <v>659</v>
      </c>
      <c r="C43" s="65"/>
      <c r="D43" s="65"/>
      <c r="E43" s="465">
        <f>E36+SUM(E40:E42)</f>
        <v>23.12</v>
      </c>
      <c r="F43" s="65"/>
      <c r="G43" s="375">
        <f>G36+SUM(G40:G42)</f>
        <v>56.040000000000006</v>
      </c>
      <c r="H43" s="375">
        <f>H36+SUM(H40:H42)</f>
        <v>57.154731999999981</v>
      </c>
      <c r="I43" s="375">
        <f>I36+SUM(I40:I42)</f>
        <v>34.299999999999997</v>
      </c>
      <c r="J43" s="375">
        <f>J36+SUM(J40:J42)</f>
        <v>44.1</v>
      </c>
      <c r="K43" s="375">
        <f>K36+SUM(K40:K42)</f>
        <v>51.25</v>
      </c>
      <c r="L43" s="65"/>
    </row>
    <row r="44" spans="2:13" ht="18" customHeight="1">
      <c r="B44" s="463" t="s">
        <v>531</v>
      </c>
      <c r="C44" s="65"/>
      <c r="D44" s="65"/>
      <c r="E44" s="465">
        <f>D35+SUM(E16:E18)+SUM(E37:E39)-E43</f>
        <v>120.54473199999998</v>
      </c>
      <c r="F44" s="375">
        <f>E44</f>
        <v>120.54473199999998</v>
      </c>
      <c r="G44" s="375">
        <f>F44+SUM(G16:G18)+SUM(G37:G39)-G43</f>
        <v>113.50473199999998</v>
      </c>
      <c r="H44" s="375">
        <f>G44+SUM(H16:H18)+SUM(H37:H39)-H43</f>
        <v>105.35000000000001</v>
      </c>
      <c r="I44" s="375">
        <f t="shared" ref="I44:J44" si="7">H44+SUM(I16:I18)+SUM(I37:I39)-I43</f>
        <v>120.05000000000003</v>
      </c>
      <c r="J44" s="375">
        <f t="shared" si="7"/>
        <v>124.95000000000002</v>
      </c>
      <c r="K44" s="375">
        <f>J44+SUM(K16:K18)+SUM(K37:K39)-K43</f>
        <v>120.70000000000002</v>
      </c>
      <c r="L44" s="65"/>
    </row>
    <row r="45" spans="2:13" ht="18" customHeight="1">
      <c r="B45" s="722" t="s">
        <v>844</v>
      </c>
      <c r="C45" s="577"/>
      <c r="D45" s="577"/>
      <c r="E45" s="577"/>
      <c r="F45" s="578"/>
      <c r="G45" s="578"/>
      <c r="H45" s="578"/>
      <c r="I45" s="578"/>
      <c r="J45" s="578"/>
      <c r="K45" s="578"/>
      <c r="L45" s="578"/>
      <c r="M45" s="578"/>
    </row>
    <row r="46" spans="2:13" ht="18" customHeight="1">
      <c r="B46" s="521" t="s">
        <v>13</v>
      </c>
      <c r="C46" s="577"/>
      <c r="D46" s="723" t="str">
        <f>IF(ROUND(D24+D35-'2报表调整'!G32,-1),"数据不一致","OK")</f>
        <v>OK</v>
      </c>
      <c r="E46" s="577"/>
      <c r="F46" s="578"/>
      <c r="G46" s="578"/>
      <c r="H46" s="578"/>
      <c r="I46" s="578"/>
      <c r="J46" s="578"/>
      <c r="K46" s="578"/>
      <c r="L46" s="578"/>
      <c r="M46" s="578"/>
    </row>
    <row r="47" spans="2:13" ht="18" customHeight="1">
      <c r="B47" s="521" t="s">
        <v>14</v>
      </c>
      <c r="C47" s="578"/>
      <c r="D47" s="723" t="str">
        <f>IF(ROUND(D13+D15+'8摊销'!D13-'2报表调整'!G33,-1),"数据不一致","OK")</f>
        <v>OK</v>
      </c>
      <c r="E47" s="578"/>
      <c r="F47" s="578"/>
      <c r="G47" s="578"/>
      <c r="H47" s="578"/>
      <c r="I47" s="578"/>
      <c r="J47" s="578"/>
      <c r="K47" s="578"/>
    </row>
    <row r="48" spans="2:13" ht="18" hidden="1" customHeight="1" outlineLevel="1">
      <c r="B48" s="459" t="s">
        <v>86</v>
      </c>
      <c r="C48" s="695" t="s">
        <v>652</v>
      </c>
      <c r="D48" s="375"/>
      <c r="E48" s="462" t="str">
        <f t="shared" ref="E48:K48" si="8">E4</f>
        <v>2018年7-12</v>
      </c>
      <c r="F48" s="462" t="str">
        <f t="shared" si="8"/>
        <v>2018年</v>
      </c>
      <c r="G48" s="462" t="str">
        <f t="shared" si="8"/>
        <v>2019年</v>
      </c>
      <c r="H48" s="462" t="str">
        <f t="shared" si="8"/>
        <v>2020年</v>
      </c>
      <c r="I48" s="462" t="str">
        <f t="shared" si="8"/>
        <v>2021年</v>
      </c>
      <c r="J48" s="462" t="str">
        <f t="shared" si="8"/>
        <v>2022年</v>
      </c>
      <c r="K48" s="462" t="str">
        <f t="shared" si="8"/>
        <v>2023年</v>
      </c>
    </row>
    <row r="49" spans="2:11" ht="18" hidden="1" customHeight="1" outlineLevel="1">
      <c r="B49" s="462" t="str">
        <f>E48</f>
        <v>2018年7-12</v>
      </c>
      <c r="C49" s="375"/>
      <c r="D49" s="375"/>
      <c r="E49" s="532">
        <f>IF(L37,(E16+E37)/L37/12*E3/2,0)</f>
        <v>0</v>
      </c>
      <c r="F49" s="65"/>
      <c r="G49" s="416">
        <f>IF(E49,IF((E16+E37-E49)&gt;(E16+E37)/L37,(E16+E37)/L37,E16+E37-E49),0)</f>
        <v>0</v>
      </c>
      <c r="H49" s="144">
        <f>IF(($E16+$E37-$E49-SUM($G49:G49))&gt;$G49,$G49,$E16+$E37-$E49-SUM($G49:G49))</f>
        <v>0</v>
      </c>
      <c r="I49" s="144">
        <f>IF(($E16+$E37-$E49-SUM($G49:H49))&gt;$G49,$G49,$E16+$E37-$E49-SUM($G49:H49))</f>
        <v>0</v>
      </c>
      <c r="J49" s="144">
        <f>IF(($E16+$E37-$E49-SUM($G49:I49))&gt;$G49,$G49,$E16+$E37-$E49-SUM($G49:I49))</f>
        <v>0</v>
      </c>
      <c r="K49" s="144">
        <f>IF(($E16+$E37-$E49-SUM($G49:J49))&gt;$G49,$G49,$E16+$E37-$E49-SUM($G49:J49))</f>
        <v>0</v>
      </c>
    </row>
    <row r="50" spans="2:11" ht="18" hidden="1" customHeight="1" outlineLevel="1">
      <c r="B50" s="462" t="str">
        <f>G48</f>
        <v>2019年</v>
      </c>
      <c r="C50" s="375"/>
      <c r="D50" s="375"/>
      <c r="E50" s="144"/>
      <c r="F50" s="65"/>
      <c r="G50" s="144">
        <f>IF(L37,(G16+G37)/L37/2,0)</f>
        <v>0</v>
      </c>
      <c r="H50" s="144">
        <f>IF(L37,(G16+G37)/L37,0)</f>
        <v>0</v>
      </c>
      <c r="I50" s="144">
        <f>IF(($G16+$G37-SUM($G50:H50))&gt;$H50,$H50,$G16+$G37-SUM($G50:H50))</f>
        <v>0</v>
      </c>
      <c r="J50" s="144">
        <f>IF(($G16+$G37-SUM($G50:I50))&gt;$H50,$H50,$G16+$G37-SUM($G50:I50))</f>
        <v>0</v>
      </c>
      <c r="K50" s="144">
        <f>IF(($G16+$G37-SUM($G50:J50))&gt;$H50,$H50,$G16+$G37-SUM($G50:J50))</f>
        <v>0</v>
      </c>
    </row>
    <row r="51" spans="2:11" ht="18" hidden="1" customHeight="1" outlineLevel="1">
      <c r="B51" s="462" t="str">
        <f>H48</f>
        <v>2020年</v>
      </c>
      <c r="C51" s="375"/>
      <c r="D51" s="375"/>
      <c r="E51" s="144"/>
      <c r="F51" s="65"/>
      <c r="G51" s="144"/>
      <c r="H51" s="144">
        <f>IF(L37,(H16+H37)/L37/2,0)</f>
        <v>0</v>
      </c>
      <c r="I51" s="144">
        <f>IF(L37,(H16+H37)/L37,0)</f>
        <v>0</v>
      </c>
      <c r="J51" s="144">
        <f>IF(($H16+$H37-SUM($H51:I51))&gt;$I51,$I51,$H16+$H37-SUM($H51:I51))</f>
        <v>0</v>
      </c>
      <c r="K51" s="144">
        <f>IF(($H16+$H37-SUM($H51:J51))&gt;$I51,$I51,$H16+$H37-SUM($H51:J51))</f>
        <v>0</v>
      </c>
    </row>
    <row r="52" spans="2:11" ht="18" hidden="1" customHeight="1" outlineLevel="1">
      <c r="B52" s="462" t="str">
        <f>I48</f>
        <v>2021年</v>
      </c>
      <c r="C52" s="375"/>
      <c r="D52" s="375"/>
      <c r="E52" s="144"/>
      <c r="F52" s="65"/>
      <c r="G52" s="144"/>
      <c r="H52" s="144"/>
      <c r="I52" s="144">
        <f>IF(L37,(I16+I37)/L37/2,0)</f>
        <v>0</v>
      </c>
      <c r="J52" s="144">
        <f>IF(L37,(I16+I37)/L37,0)</f>
        <v>0</v>
      </c>
      <c r="K52" s="144">
        <f>IF(($I16+$I37-SUM($I52:J52))&gt;$J52,$J52,$I16+$I37-SUM($I52:J52))</f>
        <v>0</v>
      </c>
    </row>
    <row r="53" spans="2:11" ht="18" hidden="1" customHeight="1" outlineLevel="1">
      <c r="B53" s="462" t="str">
        <f>J48</f>
        <v>2022年</v>
      </c>
      <c r="C53" s="375"/>
      <c r="D53" s="375"/>
      <c r="E53" s="144"/>
      <c r="F53" s="65"/>
      <c r="G53" s="144"/>
      <c r="H53" s="144"/>
      <c r="I53" s="144"/>
      <c r="J53" s="144">
        <f>IF(L37,(J16+J37)/L37/2,0)</f>
        <v>0</v>
      </c>
      <c r="K53" s="144">
        <f>IF(L37,(J16+J37)/L37,0)</f>
        <v>0</v>
      </c>
    </row>
    <row r="54" spans="2:11" ht="18" hidden="1" customHeight="1" outlineLevel="1">
      <c r="B54" s="462" t="str">
        <f>K48</f>
        <v>2023年</v>
      </c>
      <c r="C54" s="375"/>
      <c r="D54" s="375"/>
      <c r="E54" s="144"/>
      <c r="F54" s="65"/>
      <c r="G54" s="144"/>
      <c r="H54" s="144"/>
      <c r="I54" s="144"/>
      <c r="J54" s="144"/>
      <c r="K54" s="144">
        <f>IF(L37,(K16+K37)/L37/2,0)</f>
        <v>0</v>
      </c>
    </row>
    <row r="55" spans="2:11" ht="18" hidden="1" customHeight="1" outlineLevel="1">
      <c r="B55" s="459" t="s">
        <v>158</v>
      </c>
      <c r="C55" s="375"/>
      <c r="D55" s="375"/>
      <c r="E55" s="532">
        <f>SUM(E49:E54)</f>
        <v>0</v>
      </c>
      <c r="F55" s="65"/>
      <c r="G55" s="38">
        <f t="shared" ref="G55:J55" si="9">SUM(G49:G54)</f>
        <v>0</v>
      </c>
      <c r="H55" s="38">
        <f t="shared" si="9"/>
        <v>0</v>
      </c>
      <c r="I55" s="38">
        <f t="shared" si="9"/>
        <v>0</v>
      </c>
      <c r="J55" s="38">
        <f t="shared" si="9"/>
        <v>0</v>
      </c>
      <c r="K55" s="38">
        <f>SUM(K49:K54)</f>
        <v>0</v>
      </c>
    </row>
    <row r="56" spans="2:11" ht="18" hidden="1" customHeight="1" outlineLevel="1">
      <c r="B56" s="580"/>
      <c r="C56" s="578"/>
      <c r="D56" s="578"/>
      <c r="E56" s="267"/>
      <c r="F56" s="267"/>
      <c r="G56" s="267"/>
      <c r="H56" s="39"/>
      <c r="I56" s="39"/>
      <c r="J56" s="39"/>
      <c r="K56" s="39"/>
    </row>
    <row r="57" spans="2:11" ht="18" hidden="1" customHeight="1" outlineLevel="1">
      <c r="B57" s="459" t="s">
        <v>86</v>
      </c>
      <c r="C57" s="695" t="s">
        <v>656</v>
      </c>
      <c r="D57" s="581"/>
      <c r="E57" s="462" t="str">
        <f t="shared" ref="E57:K57" si="10">E48</f>
        <v>2018年7-12</v>
      </c>
      <c r="F57" s="462" t="str">
        <f t="shared" si="10"/>
        <v>2018年</v>
      </c>
      <c r="G57" s="462" t="str">
        <f t="shared" si="10"/>
        <v>2019年</v>
      </c>
      <c r="H57" s="462" t="str">
        <f t="shared" si="10"/>
        <v>2020年</v>
      </c>
      <c r="I57" s="462" t="str">
        <f t="shared" si="10"/>
        <v>2021年</v>
      </c>
      <c r="J57" s="462" t="str">
        <f t="shared" si="10"/>
        <v>2022年</v>
      </c>
      <c r="K57" s="462" t="str">
        <f t="shared" si="10"/>
        <v>2023年</v>
      </c>
    </row>
    <row r="58" spans="2:11" ht="18" hidden="1" customHeight="1" outlineLevel="1">
      <c r="B58" s="462" t="str">
        <f>E57</f>
        <v>2018年7-12</v>
      </c>
      <c r="C58" s="375"/>
      <c r="D58" s="375"/>
      <c r="E58" s="532">
        <f>IF(L38,(E17+E38)/L38/12*E3/2,0)</f>
        <v>0.7</v>
      </c>
      <c r="F58" s="65"/>
      <c r="G58" s="416">
        <f>IF(L38,IF((E17+E38-E58)&gt;(E17+E38)/L38,(E17+E38)/L38,E17+E38-E58),0)</f>
        <v>2.8</v>
      </c>
      <c r="H58" s="144">
        <f>IF(($E17+$E38-$E58-SUM($G58:G58))&gt;$G58,$G58,$E17+$E38-$E58-SUM($G58:G58))</f>
        <v>2.8</v>
      </c>
      <c r="I58" s="144">
        <f>IF(($E17+$E38-$E58-SUM($G58:H58))&gt;$G58,$G58,$E17+$E38-$E58-SUM($G58:H58))</f>
        <v>2.8</v>
      </c>
      <c r="J58" s="144">
        <f>IF(($E17+$E38-$E58-SUM($G58:I58))&gt;$G58,$G58,$E17+$E38-$E58-SUM($G58:I58))</f>
        <v>2.8</v>
      </c>
      <c r="K58" s="144">
        <f>IF(($E17+$E38-$E58-SUM($G58:J58))&gt;$G58,$G58,$E17+$E38-$E58-SUM($G58:J58))</f>
        <v>2.1000000000000014</v>
      </c>
    </row>
    <row r="59" spans="2:11" ht="18" hidden="1" customHeight="1" outlineLevel="1">
      <c r="B59" s="462" t="str">
        <f>G57</f>
        <v>2019年</v>
      </c>
      <c r="C59" s="375"/>
      <c r="D59" s="375"/>
      <c r="E59" s="144"/>
      <c r="F59" s="65"/>
      <c r="G59" s="144">
        <f>IF(L38,(G17+G38)/L38/2,0)</f>
        <v>1.4</v>
      </c>
      <c r="H59" s="144">
        <f>IF(L38,(G17+G38)/L38,0)</f>
        <v>2.8</v>
      </c>
      <c r="I59" s="144">
        <f>IF(($G17+$G38-SUM($G59:H59))&gt;$H59,$H59,$G17+$G38-SUM($G59:H59))</f>
        <v>2.8</v>
      </c>
      <c r="J59" s="144">
        <f>IF(($G17+$G38-SUM($G59:I59))&gt;$H59,$H59,$G17+$G38-SUM($G59:I59))</f>
        <v>2.8</v>
      </c>
      <c r="K59" s="144">
        <f>IF(($G17+$G38-SUM($G59:J59))&gt;$H59,$H59,$G17+$G38-SUM($G59:J59))</f>
        <v>2.8</v>
      </c>
    </row>
    <row r="60" spans="2:11" ht="18" hidden="1" customHeight="1" outlineLevel="1">
      <c r="B60" s="462" t="str">
        <f>H57</f>
        <v>2020年</v>
      </c>
      <c r="C60" s="375"/>
      <c r="D60" s="375"/>
      <c r="E60" s="144"/>
      <c r="F60" s="65"/>
      <c r="G60" s="144"/>
      <c r="H60" s="144">
        <f>IF(L38,(H17+H38)/L38/2,0)</f>
        <v>1.4</v>
      </c>
      <c r="I60" s="144">
        <f>IF(L38,(H17+H38)/L38,0)</f>
        <v>2.8</v>
      </c>
      <c r="J60" s="144">
        <f>IF(($H17+$H38-SUM($H60:I60))&gt;$I60,$I60,$H17+$H38-SUM($H60:I60))</f>
        <v>2.8</v>
      </c>
      <c r="K60" s="144">
        <f>IF(($H17+$H38-SUM($H60:J60))&gt;$I60,$I60,$H17+$H38-SUM($H60:J60))</f>
        <v>2.8</v>
      </c>
    </row>
    <row r="61" spans="2:11" ht="18" hidden="1" customHeight="1" outlineLevel="1">
      <c r="B61" s="462" t="str">
        <f>I57</f>
        <v>2021年</v>
      </c>
      <c r="C61" s="375"/>
      <c r="D61" s="375"/>
      <c r="E61" s="144"/>
      <c r="F61" s="65"/>
      <c r="G61" s="144"/>
      <c r="H61" s="144"/>
      <c r="I61" s="144">
        <f>IF(L38,(I17+I38)/L38/2,0)</f>
        <v>1.4</v>
      </c>
      <c r="J61" s="144">
        <f>IF(L38,(I17+I38)/L38,0)</f>
        <v>2.8</v>
      </c>
      <c r="K61" s="144">
        <f>IF(($I17+$I38-SUM($I61:J61))&gt;$J61,$J61,$I17+$I38-SUM($I61:J61))</f>
        <v>2.8</v>
      </c>
    </row>
    <row r="62" spans="2:11" ht="18" hidden="1" customHeight="1" outlineLevel="1">
      <c r="B62" s="462" t="str">
        <f>J57</f>
        <v>2022年</v>
      </c>
      <c r="C62" s="375"/>
      <c r="D62" s="375"/>
      <c r="E62" s="144"/>
      <c r="F62" s="65"/>
      <c r="G62" s="144"/>
      <c r="H62" s="144"/>
      <c r="I62" s="144"/>
      <c r="J62" s="144">
        <f>IF(L38,(J17+J38)/L38/2,0)</f>
        <v>1.4</v>
      </c>
      <c r="K62" s="144">
        <f>IF(L38,(J17+J38)/L38,0)</f>
        <v>2.8</v>
      </c>
    </row>
    <row r="63" spans="2:11" ht="18" hidden="1" customHeight="1" outlineLevel="1">
      <c r="B63" s="462" t="str">
        <f>K57</f>
        <v>2023年</v>
      </c>
      <c r="C63" s="375"/>
      <c r="D63" s="375"/>
      <c r="E63" s="144"/>
      <c r="F63" s="65"/>
      <c r="G63" s="144"/>
      <c r="H63" s="144"/>
      <c r="I63" s="144"/>
      <c r="J63" s="144"/>
      <c r="K63" s="144">
        <f>IF(L38,(K17+K38)/L38/2,0)</f>
        <v>1.2</v>
      </c>
    </row>
    <row r="64" spans="2:11" ht="18" hidden="1" customHeight="1" outlineLevel="1">
      <c r="B64" s="459" t="s">
        <v>158</v>
      </c>
      <c r="C64" s="375"/>
      <c r="D64" s="375"/>
      <c r="E64" s="532">
        <f>SUM(E58:E63)</f>
        <v>0.7</v>
      </c>
      <c r="F64" s="65"/>
      <c r="G64" s="38">
        <f t="shared" ref="G64:J64" si="11">SUM(G58:G63)</f>
        <v>4.1999999999999993</v>
      </c>
      <c r="H64" s="38">
        <f t="shared" si="11"/>
        <v>7</v>
      </c>
      <c r="I64" s="38">
        <f t="shared" si="11"/>
        <v>9.7999999999999989</v>
      </c>
      <c r="J64" s="38">
        <f t="shared" si="11"/>
        <v>12.6</v>
      </c>
      <c r="K64" s="38">
        <f>SUM(K58:K63)</f>
        <v>14.5</v>
      </c>
    </row>
    <row r="65" spans="2:11" ht="18" hidden="1" customHeight="1" outlineLevel="1">
      <c r="B65" s="580"/>
      <c r="C65" s="578"/>
      <c r="D65" s="578"/>
      <c r="E65" s="267"/>
      <c r="F65" s="267"/>
      <c r="G65" s="267"/>
      <c r="H65" s="39"/>
      <c r="I65" s="39"/>
      <c r="J65" s="39"/>
      <c r="K65" s="39"/>
    </row>
    <row r="66" spans="2:11" ht="18" hidden="1" customHeight="1" outlineLevel="1">
      <c r="B66" s="459" t="s">
        <v>86</v>
      </c>
      <c r="C66" s="695" t="s">
        <v>657</v>
      </c>
      <c r="D66" s="375"/>
      <c r="E66" s="462" t="str">
        <f t="shared" ref="E66:K66" si="12">E48</f>
        <v>2018年7-12</v>
      </c>
      <c r="F66" s="462" t="str">
        <f t="shared" si="12"/>
        <v>2018年</v>
      </c>
      <c r="G66" s="462" t="str">
        <f t="shared" si="12"/>
        <v>2019年</v>
      </c>
      <c r="H66" s="462" t="str">
        <f t="shared" si="12"/>
        <v>2020年</v>
      </c>
      <c r="I66" s="462" t="str">
        <f t="shared" si="12"/>
        <v>2021年</v>
      </c>
      <c r="J66" s="462" t="str">
        <f t="shared" si="12"/>
        <v>2022年</v>
      </c>
      <c r="K66" s="462" t="str">
        <f t="shared" si="12"/>
        <v>2023年</v>
      </c>
    </row>
    <row r="67" spans="2:11" ht="18" hidden="1" customHeight="1" outlineLevel="1">
      <c r="B67" s="462" t="str">
        <f>E66</f>
        <v>2018年7-12</v>
      </c>
      <c r="C67" s="375"/>
      <c r="D67" s="375"/>
      <c r="E67" s="532">
        <f>IF(L39,(E18+E39)/L39/12*E3/2,0)</f>
        <v>1.75</v>
      </c>
      <c r="F67" s="65"/>
      <c r="G67" s="416">
        <f>IF(L39,IF((E18+E39-E67)&gt;(E18+E39)/L39,(E18+E39)/L39,E18+E39-E67),0)</f>
        <v>7</v>
      </c>
      <c r="H67" s="144">
        <f>IF(($E18+$E39-$E67-SUM($G67:G67))&gt;$G67,$G67,$E18+$E39-$E67-SUM($G67:G67))</f>
        <v>7</v>
      </c>
      <c r="I67" s="144">
        <f>IF(($E18+$E39-$E67-SUM($G67:H67))&gt;$G67,$G67,$E18+$E39-$E67-SUM($G67:H67))</f>
        <v>7</v>
      </c>
      <c r="J67" s="144">
        <f>IF(($E18+$E39-$E67-SUM($G67:I67))&gt;$G67,$G67,$E18+$E39-$E67-SUM($G67:I67))</f>
        <v>7</v>
      </c>
      <c r="K67" s="144">
        <f>IF(($E18+$E39-$E67-SUM($G67:J67))&gt;$G67,$G67,$E18+$E39-$E67-SUM($G67:J67))</f>
        <v>5.25</v>
      </c>
    </row>
    <row r="68" spans="2:11" ht="18" hidden="1" customHeight="1" outlineLevel="1">
      <c r="B68" s="462" t="str">
        <f>G66</f>
        <v>2019年</v>
      </c>
      <c r="C68" s="375"/>
      <c r="D68" s="375"/>
      <c r="E68" s="144"/>
      <c r="F68" s="65"/>
      <c r="G68" s="144">
        <f>IF(L39,(G18+G39)/L39/2,0)</f>
        <v>3.5</v>
      </c>
      <c r="H68" s="144">
        <f>IF(L39,(G18+G39)/L39,0)</f>
        <v>7</v>
      </c>
      <c r="I68" s="144">
        <f>IF(($G18+$G39-SUM($G68:H68))&gt;$H68,$H68,$G18+$G39-SUM($G68:H68))</f>
        <v>7</v>
      </c>
      <c r="J68" s="144">
        <f>IF(($G18+$G39-SUM($G68:I68))&gt;$H68,$H68,$G18+$G39-SUM($G68:I68))</f>
        <v>7</v>
      </c>
      <c r="K68" s="144">
        <f>IF(($G18+$G39-SUM($G68:J68))&gt;$H68,$H68,$G18+$G39-SUM($G68:J68))</f>
        <v>7</v>
      </c>
    </row>
    <row r="69" spans="2:11" ht="18" hidden="1" customHeight="1" outlineLevel="1">
      <c r="B69" s="462" t="str">
        <f>H66</f>
        <v>2020年</v>
      </c>
      <c r="C69" s="375"/>
      <c r="D69" s="375"/>
      <c r="E69" s="144"/>
      <c r="F69" s="65"/>
      <c r="G69" s="144"/>
      <c r="H69" s="144">
        <f>IF(L39,(H18+H39)/L39/2,0)</f>
        <v>3.5</v>
      </c>
      <c r="I69" s="144">
        <f>IF(L39,(H18+H39)/L39,0)</f>
        <v>7</v>
      </c>
      <c r="J69" s="144">
        <f>IF(($H18+$H39-SUM($H69:I69))&gt;$I69,$I69,$H18+$H39-SUM($H69:I69))</f>
        <v>7</v>
      </c>
      <c r="K69" s="144">
        <f>IF(($H18+$H39-SUM($H69:J69))&gt;$I69,$I69,$H18+$H39-SUM($H69:J69))</f>
        <v>7</v>
      </c>
    </row>
    <row r="70" spans="2:11" ht="18" hidden="1" customHeight="1" outlineLevel="1">
      <c r="B70" s="462" t="str">
        <f>I66</f>
        <v>2021年</v>
      </c>
      <c r="C70" s="375"/>
      <c r="D70" s="375"/>
      <c r="E70" s="144"/>
      <c r="F70" s="65"/>
      <c r="G70" s="144"/>
      <c r="H70" s="144"/>
      <c r="I70" s="144">
        <f>IF(L39,(I18+I39)/L39/2,0)</f>
        <v>3.5</v>
      </c>
      <c r="J70" s="144">
        <f>IF(L39,(I18+I39)/L39,0)</f>
        <v>7</v>
      </c>
      <c r="K70" s="144">
        <f>IF(($I18+$I39-SUM($I70:J70))&gt;$J70,$J70,$I18+$I39-SUM($I70:J70))</f>
        <v>7</v>
      </c>
    </row>
    <row r="71" spans="2:11" ht="18" hidden="1" customHeight="1" outlineLevel="1">
      <c r="B71" s="462" t="str">
        <f>J66</f>
        <v>2022年</v>
      </c>
      <c r="C71" s="375"/>
      <c r="D71" s="375"/>
      <c r="E71" s="144"/>
      <c r="F71" s="65"/>
      <c r="G71" s="144"/>
      <c r="H71" s="144"/>
      <c r="I71" s="144"/>
      <c r="J71" s="144">
        <f>IF(L39,(J18+J39)/L39/2,0)</f>
        <v>3.5</v>
      </c>
      <c r="K71" s="144">
        <f>IF(L39,(J18+J39)/L39,0)</f>
        <v>7</v>
      </c>
    </row>
    <row r="72" spans="2:11" ht="18" hidden="1" customHeight="1" outlineLevel="1">
      <c r="B72" s="462" t="str">
        <f>K66</f>
        <v>2023年</v>
      </c>
      <c r="C72" s="375"/>
      <c r="D72" s="375"/>
      <c r="E72" s="144"/>
      <c r="F72" s="65"/>
      <c r="G72" s="144"/>
      <c r="H72" s="144"/>
      <c r="I72" s="144"/>
      <c r="J72" s="144"/>
      <c r="K72" s="144">
        <f>IF(L39,(K18+K39)/L39/2,0)</f>
        <v>3.5</v>
      </c>
    </row>
    <row r="73" spans="2:11" ht="18" hidden="1" customHeight="1" outlineLevel="1">
      <c r="B73" s="459" t="s">
        <v>158</v>
      </c>
      <c r="C73" s="375"/>
      <c r="D73" s="375"/>
      <c r="E73" s="532">
        <f>SUM(E67:E72)</f>
        <v>1.75</v>
      </c>
      <c r="F73" s="65"/>
      <c r="G73" s="38">
        <f t="shared" ref="G73:J73" si="13">SUM(G67:G72)</f>
        <v>10.5</v>
      </c>
      <c r="H73" s="38">
        <f t="shared" si="13"/>
        <v>17.5</v>
      </c>
      <c r="I73" s="38">
        <f t="shared" si="13"/>
        <v>24.5</v>
      </c>
      <c r="J73" s="38">
        <f t="shared" si="13"/>
        <v>31.5</v>
      </c>
      <c r="K73" s="38">
        <f>SUM(K67:K72)</f>
        <v>36.75</v>
      </c>
    </row>
    <row r="74" spans="2:11" ht="18" customHeight="1" collapsed="1">
      <c r="B74" s="580"/>
      <c r="C74" s="578"/>
      <c r="D74" s="578"/>
      <c r="E74" s="267"/>
      <c r="F74" s="267"/>
      <c r="G74" s="267"/>
      <c r="H74" s="39"/>
      <c r="I74" s="39"/>
      <c r="J74" s="39"/>
      <c r="K74" s="39"/>
    </row>
    <row r="75" spans="2:11" ht="18" customHeight="1">
      <c r="B75" s="724" t="s">
        <v>845</v>
      </c>
      <c r="E75" s="267"/>
      <c r="F75" s="267"/>
      <c r="G75" s="267"/>
      <c r="H75" s="39"/>
      <c r="I75" s="39"/>
      <c r="J75" s="39"/>
      <c r="K75" s="39"/>
    </row>
    <row r="76" spans="2:11" ht="18" customHeight="1">
      <c r="C76" s="725" t="s">
        <v>846</v>
      </c>
      <c r="D76" s="725" t="s">
        <v>847</v>
      </c>
      <c r="E76" s="267"/>
      <c r="F76" s="267"/>
      <c r="G76" s="267"/>
      <c r="H76" s="39"/>
      <c r="I76" s="39"/>
      <c r="J76" s="39"/>
      <c r="K76" s="39"/>
    </row>
    <row r="77" spans="2:11" ht="18" customHeight="1">
      <c r="B77" s="131" t="str">
        <f>E4&amp;"账面净值"</f>
        <v>2018年7-12账面净值</v>
      </c>
      <c r="C77" s="131">
        <f>D24</f>
        <v>0</v>
      </c>
      <c r="D77" s="131">
        <f>D35</f>
        <v>94.664731999999987</v>
      </c>
      <c r="E77" s="578"/>
      <c r="F77" s="578"/>
      <c r="G77" s="578"/>
      <c r="H77" s="578"/>
      <c r="I77" s="578"/>
      <c r="J77" s="578"/>
      <c r="K77" s="578"/>
    </row>
    <row r="78" spans="2:11" ht="18" customHeight="1">
      <c r="B78" s="727" t="str">
        <f>E4&amp;"资产负债表中已计入"</f>
        <v>2018年7-12资产负债表中已计入</v>
      </c>
      <c r="C78" s="131">
        <f>D13</f>
        <v>0</v>
      </c>
      <c r="D78" s="131">
        <f>D15</f>
        <v>0</v>
      </c>
    </row>
    <row r="79" spans="2:11" ht="18" customHeight="1">
      <c r="B79" s="726" t="str">
        <f>F4&amp;"尚需要再投入"</f>
        <v>2018年尚需要再投入</v>
      </c>
      <c r="C79" s="726">
        <f>E26</f>
        <v>0</v>
      </c>
      <c r="D79" s="726">
        <f>SUM(E37:E39)</f>
        <v>49</v>
      </c>
    </row>
    <row r="80" spans="2:11" ht="18" customHeight="1">
      <c r="B80" s="725" t="s">
        <v>848</v>
      </c>
      <c r="C80" s="170">
        <f>SUM(C77:C79)</f>
        <v>0</v>
      </c>
      <c r="D80" s="170">
        <f>SUM(D77:D79)</f>
        <v>143.66473199999999</v>
      </c>
    </row>
  </sheetData>
  <sheetProtection password="CCEB" sheet="1" objects="1" scenarios="1" formatColumns="0" formatRows="0"/>
  <mergeCells count="1">
    <mergeCell ref="B1:K1"/>
  </mergeCells>
  <phoneticPr fontId="6" type="noConversion"/>
  <pageMargins left="0.75" right="0.75" top="1" bottom="1" header="0.5" footer="0.5"/>
  <pageSetup paperSize="9" orientation="landscape" r:id="rId1"/>
  <headerFooter alignWithMargins="0">
    <oddFooter>&amp;R&amp;P/&amp;N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FFFF00"/>
  </sheetPr>
  <dimension ref="A1:S68"/>
  <sheetViews>
    <sheetView zoomScaleNormal="100" workbookViewId="0">
      <selection activeCell="E3" sqref="E3"/>
    </sheetView>
  </sheetViews>
  <sheetFormatPr defaultColWidth="9" defaultRowHeight="18" customHeight="1" outlineLevelRow="1"/>
  <cols>
    <col min="1" max="1" width="1.5" style="521" customWidth="1"/>
    <col min="2" max="2" width="20.75" style="521" customWidth="1"/>
    <col min="3" max="3" width="8.58203125" style="521" customWidth="1"/>
    <col min="4" max="4" width="8.5" style="521" customWidth="1"/>
    <col min="5" max="5" width="9.75" style="521" customWidth="1"/>
    <col min="6" max="11" width="9.58203125" style="521" customWidth="1"/>
    <col min="12" max="12" width="2" style="521" customWidth="1"/>
    <col min="13" max="13" width="10.5" style="521" customWidth="1"/>
    <col min="14" max="16384" width="9" style="521"/>
  </cols>
  <sheetData>
    <row r="1" spans="2:13" s="520" customFormat="1" ht="30" customHeight="1">
      <c r="B1" s="749" t="s">
        <v>660</v>
      </c>
      <c r="C1" s="749"/>
      <c r="D1" s="749"/>
      <c r="E1" s="749"/>
      <c r="F1" s="749"/>
      <c r="G1" s="749"/>
      <c r="H1" s="749"/>
      <c r="I1" s="749"/>
      <c r="J1" s="749"/>
      <c r="K1" s="749"/>
      <c r="L1" s="519"/>
    </row>
    <row r="2" spans="2:13" s="520" customFormat="1" ht="18" customHeight="1">
      <c r="B2" s="229" t="str">
        <f>'1报表'!B11</f>
        <v>评估基准日：2018/6/30</v>
      </c>
      <c r="C2" s="73"/>
      <c r="D2" s="70"/>
      <c r="E2" s="342"/>
      <c r="F2" s="73"/>
      <c r="G2" s="70"/>
      <c r="H2" s="70"/>
      <c r="I2" s="70"/>
      <c r="J2" s="70"/>
      <c r="K2" s="70"/>
      <c r="L2" s="500"/>
      <c r="M2" s="534" t="s">
        <v>569</v>
      </c>
    </row>
    <row r="3" spans="2:13" ht="18" customHeight="1">
      <c r="B3" s="229" t="str">
        <f>'1报表'!B12</f>
        <v>被评估单位：YLSJ公司</v>
      </c>
      <c r="C3" s="184"/>
      <c r="D3" s="184"/>
      <c r="E3" s="729">
        <f>'7折旧'!E3</f>
        <v>6</v>
      </c>
      <c r="F3" s="511" t="str">
        <f>'7折旧'!F3</f>
        <v>2018年剩余折摊月数</v>
      </c>
      <c r="H3" s="184"/>
      <c r="I3" s="184"/>
      <c r="J3" s="184"/>
      <c r="K3" s="185" t="s">
        <v>89</v>
      </c>
    </row>
    <row r="4" spans="2:13" ht="18" customHeight="1">
      <c r="B4" s="459" t="s">
        <v>225</v>
      </c>
      <c r="C4" s="461"/>
      <c r="D4" s="461" t="str">
        <f>'3收入'!E4</f>
        <v>2018年1-6</v>
      </c>
      <c r="E4" s="23" t="str">
        <f>F4&amp;(RIGHT(D4,1)+1)&amp;"-12"</f>
        <v>2018年7-12</v>
      </c>
      <c r="F4" s="462" t="str">
        <f>'3收入'!F4</f>
        <v>2018年</v>
      </c>
      <c r="G4" s="462" t="str">
        <f>'3收入'!G4</f>
        <v>2019年</v>
      </c>
      <c r="H4" s="462" t="str">
        <f>'3收入'!H4</f>
        <v>2020年</v>
      </c>
      <c r="I4" s="462" t="str">
        <f>'3收入'!I4</f>
        <v>2021年</v>
      </c>
      <c r="J4" s="462" t="str">
        <f>'3收入'!J4</f>
        <v>2022年</v>
      </c>
      <c r="K4" s="462" t="str">
        <f>'3收入'!K4</f>
        <v>2023年</v>
      </c>
      <c r="L4" s="522"/>
    </row>
    <row r="5" spans="2:13" ht="18" customHeight="1">
      <c r="B5" s="588" t="s">
        <v>541</v>
      </c>
      <c r="C5" s="65"/>
      <c r="D5" s="375">
        <f>D52</f>
        <v>0</v>
      </c>
      <c r="E5" s="375">
        <f>E52</f>
        <v>0</v>
      </c>
      <c r="F5" s="375">
        <f>D5+E5</f>
        <v>0</v>
      </c>
      <c r="G5" s="375">
        <f>G52</f>
        <v>0</v>
      </c>
      <c r="H5" s="375">
        <f t="shared" ref="H5:K5" si="0">H52</f>
        <v>0</v>
      </c>
      <c r="I5" s="375">
        <f t="shared" si="0"/>
        <v>0</v>
      </c>
      <c r="J5" s="375">
        <f t="shared" si="0"/>
        <v>0</v>
      </c>
      <c r="K5" s="375">
        <f t="shared" si="0"/>
        <v>0</v>
      </c>
    </row>
    <row r="6" spans="2:13" ht="18" customHeight="1">
      <c r="B6" s="588" t="s">
        <v>84</v>
      </c>
      <c r="C6" s="65"/>
      <c r="D6" s="375">
        <f>D25+D34</f>
        <v>4.5214870000000076</v>
      </c>
      <c r="E6" s="375">
        <f>E25+E34</f>
        <v>6.4160190000000057</v>
      </c>
      <c r="F6" s="375">
        <f>D6+E6</f>
        <v>10.937506000000013</v>
      </c>
      <c r="G6" s="375">
        <f>G25+G34</f>
        <v>3</v>
      </c>
      <c r="H6" s="375">
        <f t="shared" ref="H6:K6" si="1">H25+H34</f>
        <v>5</v>
      </c>
      <c r="I6" s="375">
        <f t="shared" si="1"/>
        <v>6.5</v>
      </c>
      <c r="J6" s="375">
        <f t="shared" si="1"/>
        <v>6</v>
      </c>
      <c r="K6" s="375">
        <f t="shared" si="1"/>
        <v>6</v>
      </c>
    </row>
    <row r="7" spans="2:13" ht="18" customHeight="1">
      <c r="B7" s="509" t="s">
        <v>677</v>
      </c>
      <c r="C7" s="65"/>
      <c r="D7" s="582"/>
      <c r="E7" s="583">
        <f>SUM(E5:E6)</f>
        <v>6.4160190000000057</v>
      </c>
      <c r="F7" s="583">
        <f>SUM(F5:F6)</f>
        <v>10.937506000000013</v>
      </c>
      <c r="G7" s="583">
        <f>SUM(G5:G6)</f>
        <v>3</v>
      </c>
      <c r="H7" s="583">
        <f t="shared" ref="H7:K7" si="2">SUM(H5:H6)</f>
        <v>5</v>
      </c>
      <c r="I7" s="583">
        <f t="shared" si="2"/>
        <v>6.5</v>
      </c>
      <c r="J7" s="583">
        <f t="shared" si="2"/>
        <v>6</v>
      </c>
      <c r="K7" s="583">
        <f t="shared" si="2"/>
        <v>6</v>
      </c>
    </row>
    <row r="8" spans="2:13" ht="18" customHeight="1">
      <c r="B8" s="463" t="s">
        <v>539</v>
      </c>
      <c r="C8" s="65"/>
      <c r="D8" s="512"/>
      <c r="E8" s="375">
        <f>E50</f>
        <v>0</v>
      </c>
      <c r="F8" s="65"/>
      <c r="G8" s="375">
        <f>G50</f>
        <v>0</v>
      </c>
      <c r="H8" s="375">
        <f>H50</f>
        <v>0</v>
      </c>
      <c r="I8" s="375">
        <f>I50</f>
        <v>0</v>
      </c>
      <c r="J8" s="375">
        <f>J50</f>
        <v>0</v>
      </c>
      <c r="K8" s="375">
        <f>K50</f>
        <v>0</v>
      </c>
    </row>
    <row r="9" spans="2:13" ht="18" customHeight="1">
      <c r="B9" s="463" t="s">
        <v>540</v>
      </c>
      <c r="C9" s="65"/>
      <c r="D9" s="512"/>
      <c r="E9" s="375">
        <f>E23+E32</f>
        <v>6</v>
      </c>
      <c r="F9" s="65"/>
      <c r="G9" s="375">
        <f>G23+G32</f>
        <v>6</v>
      </c>
      <c r="H9" s="375">
        <f>H23+H32</f>
        <v>6</v>
      </c>
      <c r="I9" s="375">
        <f>I23+I32</f>
        <v>6</v>
      </c>
      <c r="J9" s="375">
        <f>J23+J32</f>
        <v>6</v>
      </c>
      <c r="K9" s="375">
        <f>K23+K32</f>
        <v>6</v>
      </c>
    </row>
    <row r="10" spans="2:13" ht="18" customHeight="1">
      <c r="B10" s="464" t="s">
        <v>661</v>
      </c>
      <c r="C10" s="65"/>
      <c r="D10" s="143"/>
      <c r="E10" s="418">
        <f>SUM(E8:E9)</f>
        <v>6</v>
      </c>
      <c r="F10" s="65"/>
      <c r="G10" s="418">
        <f>SUM(G8:G9)</f>
        <v>6</v>
      </c>
      <c r="H10" s="418">
        <f>SUM(H8:H9)</f>
        <v>6</v>
      </c>
      <c r="I10" s="418">
        <f>SUM(I8:I9)</f>
        <v>6</v>
      </c>
      <c r="J10" s="418">
        <f>SUM(J8:J9)</f>
        <v>6</v>
      </c>
      <c r="K10" s="418">
        <f>SUM(K8:K9)</f>
        <v>6</v>
      </c>
    </row>
    <row r="11" spans="2:13" ht="18" customHeight="1">
      <c r="B11" s="585" t="s">
        <v>678</v>
      </c>
      <c r="C11" s="590"/>
      <c r="D11" s="590"/>
      <c r="E11" s="591"/>
      <c r="F11" s="591"/>
      <c r="G11" s="591"/>
      <c r="H11" s="591"/>
      <c r="I11" s="591"/>
      <c r="J11" s="591"/>
      <c r="K11" s="591"/>
    </row>
    <row r="12" spans="2:13" ht="18" customHeight="1">
      <c r="B12" s="513" t="s">
        <v>679</v>
      </c>
      <c r="C12" s="460" t="s">
        <v>662</v>
      </c>
      <c r="D12" s="461" t="str">
        <f t="shared" ref="D12:K12" si="3">D4</f>
        <v>2018年1-6</v>
      </c>
      <c r="E12" s="462" t="str">
        <f t="shared" si="3"/>
        <v>2018年7-12</v>
      </c>
      <c r="F12" s="462" t="str">
        <f t="shared" si="3"/>
        <v>2018年</v>
      </c>
      <c r="G12" s="462" t="str">
        <f t="shared" si="3"/>
        <v>2019年</v>
      </c>
      <c r="H12" s="462" t="str">
        <f t="shared" si="3"/>
        <v>2020年</v>
      </c>
      <c r="I12" s="462" t="str">
        <f t="shared" si="3"/>
        <v>2021年</v>
      </c>
      <c r="J12" s="462" t="str">
        <f t="shared" si="3"/>
        <v>2022年</v>
      </c>
      <c r="K12" s="462" t="str">
        <f t="shared" si="3"/>
        <v>2023年</v>
      </c>
    </row>
    <row r="13" spans="2:13" ht="18" customHeight="1">
      <c r="B13" s="463" t="s">
        <v>682</v>
      </c>
      <c r="C13" s="523"/>
      <c r="D13" s="592"/>
      <c r="E13" s="65"/>
      <c r="F13" s="65"/>
      <c r="G13" s="65"/>
      <c r="H13" s="65"/>
      <c r="I13" s="65"/>
      <c r="J13" s="65"/>
      <c r="K13" s="65"/>
    </row>
    <row r="14" spans="2:13" ht="18" customHeight="1">
      <c r="B14" s="587" t="s">
        <v>680</v>
      </c>
      <c r="C14" s="65"/>
      <c r="D14" s="65"/>
      <c r="E14" s="593"/>
      <c r="F14" s="65"/>
      <c r="G14" s="593"/>
      <c r="H14" s="593"/>
      <c r="I14" s="593"/>
      <c r="J14" s="593"/>
      <c r="K14" s="593"/>
    </row>
    <row r="15" spans="2:13" ht="18" customHeight="1">
      <c r="B15" s="463" t="s">
        <v>681</v>
      </c>
      <c r="C15" s="65"/>
      <c r="D15" s="523">
        <f>'2报表调整'!G37</f>
        <v>0</v>
      </c>
      <c r="E15" s="65"/>
      <c r="F15" s="65"/>
      <c r="G15" s="65"/>
      <c r="H15" s="65"/>
      <c r="I15" s="65"/>
      <c r="J15" s="65"/>
      <c r="K15" s="65"/>
      <c r="L15" s="527"/>
    </row>
    <row r="16" spans="2:13" ht="18" customHeight="1">
      <c r="B16" s="587" t="s">
        <v>680</v>
      </c>
      <c r="C16" s="65"/>
      <c r="D16" s="65"/>
      <c r="E16" s="593"/>
      <c r="F16" s="65"/>
      <c r="G16" s="593"/>
      <c r="H16" s="593"/>
      <c r="I16" s="593"/>
      <c r="J16" s="593"/>
      <c r="K16" s="593"/>
      <c r="L16" s="527"/>
    </row>
    <row r="17" spans="1:19" ht="18" customHeight="1">
      <c r="B17" s="589"/>
      <c r="C17" s="590"/>
      <c r="D17" s="590"/>
      <c r="E17" s="591"/>
      <c r="F17" s="591"/>
      <c r="G17" s="591"/>
      <c r="H17" s="591"/>
      <c r="I17" s="591"/>
      <c r="J17" s="591"/>
      <c r="K17" s="591"/>
    </row>
    <row r="18" spans="1:19" ht="18" customHeight="1">
      <c r="B18" s="538" t="s">
        <v>663</v>
      </c>
      <c r="L18" s="527"/>
      <c r="M18" s="527"/>
      <c r="N18" s="527"/>
      <c r="O18" s="527"/>
      <c r="P18" s="527"/>
      <c r="Q18" s="527"/>
      <c r="R18" s="527"/>
      <c r="S18" s="527"/>
    </row>
    <row r="19" spans="1:19" ht="18" customHeight="1">
      <c r="B19" s="459" t="s">
        <v>64</v>
      </c>
      <c r="C19" s="460" t="s">
        <v>662</v>
      </c>
      <c r="D19" s="461" t="str">
        <f t="shared" ref="D19:K19" si="4">D4</f>
        <v>2018年1-6</v>
      </c>
      <c r="E19" s="462" t="str">
        <f t="shared" si="4"/>
        <v>2018年7-12</v>
      </c>
      <c r="F19" s="462" t="str">
        <f t="shared" si="4"/>
        <v>2018年</v>
      </c>
      <c r="G19" s="462" t="str">
        <f t="shared" si="4"/>
        <v>2019年</v>
      </c>
      <c r="H19" s="462" t="str">
        <f t="shared" si="4"/>
        <v>2020年</v>
      </c>
      <c r="I19" s="462" t="str">
        <f t="shared" si="4"/>
        <v>2021年</v>
      </c>
      <c r="J19" s="462" t="str">
        <f t="shared" si="4"/>
        <v>2022年</v>
      </c>
      <c r="K19" s="462" t="str">
        <f t="shared" si="4"/>
        <v>2023年</v>
      </c>
      <c r="L19" s="527"/>
      <c r="M19" s="527"/>
      <c r="N19" s="527"/>
      <c r="O19" s="527"/>
      <c r="P19" s="527"/>
      <c r="Q19" s="527"/>
      <c r="R19" s="527"/>
      <c r="S19" s="527"/>
    </row>
    <row r="20" spans="1:19" ht="18" customHeight="1">
      <c r="B20" s="6" t="s">
        <v>683</v>
      </c>
      <c r="C20" s="65"/>
      <c r="D20" s="523"/>
      <c r="E20" s="65"/>
      <c r="F20" s="65"/>
      <c r="G20" s="65"/>
      <c r="H20" s="65"/>
      <c r="I20" s="65"/>
      <c r="J20" s="65"/>
      <c r="K20" s="65"/>
      <c r="L20" s="527"/>
      <c r="M20" s="527"/>
      <c r="N20" s="527"/>
      <c r="O20" s="527"/>
      <c r="P20" s="527"/>
      <c r="Q20" s="527"/>
      <c r="R20" s="527"/>
      <c r="S20" s="527"/>
    </row>
    <row r="21" spans="1:19" ht="18" customHeight="1">
      <c r="B21" s="6" t="s">
        <v>684</v>
      </c>
      <c r="C21" s="65"/>
      <c r="D21" s="523"/>
      <c r="E21" s="65"/>
      <c r="F21" s="65"/>
      <c r="G21" s="65"/>
      <c r="H21" s="65"/>
      <c r="I21" s="65"/>
      <c r="J21" s="65"/>
      <c r="K21" s="65"/>
      <c r="L21" s="527"/>
      <c r="M21" s="527"/>
      <c r="N21" s="527"/>
      <c r="O21" s="527"/>
      <c r="P21" s="527"/>
      <c r="Q21" s="527"/>
      <c r="R21" s="527"/>
      <c r="S21" s="527"/>
    </row>
    <row r="22" spans="1:19" ht="18" customHeight="1">
      <c r="B22" s="6" t="s">
        <v>685</v>
      </c>
      <c r="C22" s="523"/>
      <c r="D22" s="523"/>
      <c r="E22" s="416">
        <f>IF(C22,IF(D21&gt;D20/C22/12*E3,D20/C22/12*E3,D21),0)</f>
        <v>0</v>
      </c>
      <c r="F22" s="65"/>
      <c r="G22" s="144">
        <f>IF(C22,IF((D21-E22)&gt;D20/C22,D20/C22,D21-E22),0)</f>
        <v>0</v>
      </c>
      <c r="H22" s="144">
        <f>IF(($D21-$E22-SUM($G22:G22))&gt;$G22,$G22,$D21-$E22-SUM($G22:G22))</f>
        <v>0</v>
      </c>
      <c r="I22" s="144">
        <f>IF(($D21-$E22-SUM($G22:H22))&gt;$G22,$G22,$D21-$E22-SUM($G22:H22))</f>
        <v>0</v>
      </c>
      <c r="J22" s="144">
        <f>IF(($D21-$E22-SUM($G22:I22))&gt;$G22,$G22,$D21-$E22-SUM($G22:I22))</f>
        <v>0</v>
      </c>
      <c r="K22" s="144">
        <f>IF(($D21-$E22-SUM($G22:J22))&gt;$G22,$G22,$D21-$E22-SUM($G22:J22))</f>
        <v>0</v>
      </c>
      <c r="L22" s="527"/>
      <c r="M22" s="529"/>
      <c r="N22" s="527"/>
      <c r="O22" s="527"/>
      <c r="P22" s="527"/>
      <c r="Q22" s="527"/>
      <c r="R22" s="527"/>
      <c r="S22" s="527"/>
    </row>
    <row r="23" spans="1:19" ht="18" customHeight="1">
      <c r="B23" s="7" t="s">
        <v>686</v>
      </c>
      <c r="C23" s="65"/>
      <c r="D23" s="65"/>
      <c r="E23" s="523"/>
      <c r="F23" s="65"/>
      <c r="G23" s="523"/>
      <c r="H23" s="523"/>
      <c r="I23" s="523"/>
      <c r="J23" s="523"/>
      <c r="K23" s="523"/>
      <c r="L23" s="527"/>
    </row>
    <row r="24" spans="1:19" ht="18" customHeight="1">
      <c r="B24" s="7" t="s">
        <v>687</v>
      </c>
      <c r="C24" s="523"/>
      <c r="D24" s="65"/>
      <c r="E24" s="375">
        <f>IF($C13,E14/$C13/12*E3,0)+IF($C24,E23/$C24/12*E3,0)</f>
        <v>0</v>
      </c>
      <c r="F24" s="65"/>
      <c r="G24" s="375">
        <f>IF($C13,($E14+SUM($G14:G14))/$C13,0)+IF($C24,($E23+SUM($G23:G23))/$C24,0)</f>
        <v>0</v>
      </c>
      <c r="H24" s="375">
        <f>IF($C13,($E14+SUM($G14:H14))/$C13,0)+IF($C24,($E23+SUM($G23:H23))/$C24,0)</f>
        <v>0</v>
      </c>
      <c r="I24" s="375">
        <f>IF($C13,($E14+SUM($G14:I14))/$C13,0)+IF($C24,($E23+SUM($G23:I23))/$C24,0)</f>
        <v>0</v>
      </c>
      <c r="J24" s="375">
        <f>IF($C13,($E14+SUM($G14:J14))/$C13,0)+IF($C24,($E23+SUM($G23:J23))/$C24,0)</f>
        <v>0</v>
      </c>
      <c r="K24" s="375">
        <f>IF($C13,($E14+SUM($G14:K14))/$C13,0)+IF($C24,($E23+SUM($G23:K23))/$C24,0)</f>
        <v>0</v>
      </c>
      <c r="L24" s="527"/>
    </row>
    <row r="25" spans="1:19" ht="18" customHeight="1">
      <c r="B25" s="6" t="s">
        <v>688</v>
      </c>
      <c r="C25" s="65"/>
      <c r="D25" s="375">
        <f>D22+D24</f>
        <v>0</v>
      </c>
      <c r="E25" s="375">
        <f>E22+E24</f>
        <v>0</v>
      </c>
      <c r="F25" s="532">
        <f>D25+E25</f>
        <v>0</v>
      </c>
      <c r="G25" s="375">
        <f>G22+G24</f>
        <v>0</v>
      </c>
      <c r="H25" s="375">
        <f t="shared" ref="H25:J25" si="5">H22+H24</f>
        <v>0</v>
      </c>
      <c r="I25" s="375">
        <f t="shared" si="5"/>
        <v>0</v>
      </c>
      <c r="J25" s="375">
        <f t="shared" si="5"/>
        <v>0</v>
      </c>
      <c r="K25" s="375">
        <f>K22+K24</f>
        <v>0</v>
      </c>
      <c r="L25" s="527"/>
    </row>
    <row r="26" spans="1:19" ht="18" customHeight="1">
      <c r="B26" s="6" t="s">
        <v>689</v>
      </c>
      <c r="C26" s="65"/>
      <c r="D26" s="65"/>
      <c r="E26" s="375">
        <f>D21+E14+E23-E25</f>
        <v>0</v>
      </c>
      <c r="F26" s="375">
        <f>E26</f>
        <v>0</v>
      </c>
      <c r="G26" s="375">
        <f>F26+G14+G23-G25</f>
        <v>0</v>
      </c>
      <c r="H26" s="375">
        <f t="shared" ref="H26:K26" si="6">G26+H14+H23-H25</f>
        <v>0</v>
      </c>
      <c r="I26" s="375">
        <f t="shared" si="6"/>
        <v>0</v>
      </c>
      <c r="J26" s="375">
        <f t="shared" si="6"/>
        <v>0</v>
      </c>
      <c r="K26" s="375">
        <f t="shared" si="6"/>
        <v>0</v>
      </c>
      <c r="L26" s="527"/>
    </row>
    <row r="27" spans="1:19" ht="18" customHeight="1">
      <c r="B27" s="538" t="s">
        <v>690</v>
      </c>
    </row>
    <row r="28" spans="1:19" ht="18" customHeight="1">
      <c r="B28" s="459" t="s">
        <v>64</v>
      </c>
      <c r="C28" s="460" t="s">
        <v>662</v>
      </c>
      <c r="D28" s="461" t="str">
        <f>D19</f>
        <v>2018年1-6</v>
      </c>
      <c r="E28" s="462" t="str">
        <f>E19</f>
        <v>2018年7-12</v>
      </c>
      <c r="F28" s="462" t="str">
        <f t="shared" ref="F28:K28" si="7">F19</f>
        <v>2018年</v>
      </c>
      <c r="G28" s="462" t="str">
        <f t="shared" si="7"/>
        <v>2019年</v>
      </c>
      <c r="H28" s="462" t="str">
        <f t="shared" si="7"/>
        <v>2020年</v>
      </c>
      <c r="I28" s="462" t="str">
        <f t="shared" si="7"/>
        <v>2021年</v>
      </c>
      <c r="J28" s="462" t="str">
        <f t="shared" si="7"/>
        <v>2022年</v>
      </c>
      <c r="K28" s="462" t="str">
        <f t="shared" si="7"/>
        <v>2023年</v>
      </c>
      <c r="L28" s="527"/>
      <c r="M28" s="527"/>
      <c r="N28" s="527"/>
      <c r="O28" s="527"/>
      <c r="P28" s="527"/>
      <c r="Q28" s="527"/>
      <c r="R28" s="527"/>
      <c r="S28" s="527"/>
    </row>
    <row r="29" spans="1:19" ht="18" customHeight="1">
      <c r="B29" s="6" t="s">
        <v>534</v>
      </c>
      <c r="C29" s="65"/>
      <c r="D29" s="523">
        <v>125.666419</v>
      </c>
      <c r="E29" s="65"/>
      <c r="F29" s="65"/>
      <c r="G29" s="65"/>
      <c r="H29" s="65"/>
      <c r="I29" s="65"/>
      <c r="J29" s="65"/>
      <c r="K29" s="65"/>
      <c r="L29" s="527"/>
    </row>
    <row r="30" spans="1:19" ht="18" customHeight="1">
      <c r="B30" s="6" t="s">
        <v>535</v>
      </c>
      <c r="C30" s="65"/>
      <c r="D30" s="523">
        <v>5.9160190000000057</v>
      </c>
      <c r="E30" s="65"/>
      <c r="F30" s="65"/>
      <c r="G30" s="65"/>
      <c r="H30" s="65"/>
      <c r="I30" s="65"/>
      <c r="J30" s="65"/>
      <c r="K30" s="65"/>
      <c r="L30" s="527"/>
    </row>
    <row r="31" spans="1:19" ht="18" customHeight="1">
      <c r="B31" s="6" t="s">
        <v>536</v>
      </c>
      <c r="C31" s="528">
        <v>3</v>
      </c>
      <c r="D31" s="523">
        <v>4.5214870000000076</v>
      </c>
      <c r="E31" s="416">
        <f>IF(C31,IF(D30&gt;D29/C31/12*E3,D29/C31/12*E3,D30),0)</f>
        <v>5.9160190000000057</v>
      </c>
      <c r="F31" s="65"/>
      <c r="G31" s="144">
        <f>IF(C31,IF((D30-E31)&gt;D29/C31,D29/C31,D30-E31),0)</f>
        <v>0</v>
      </c>
      <c r="H31" s="144">
        <f>IF(($D30-$E31-SUM($G31:G31))&gt;$G31,$G31,$D30-$E31-SUM($G31:G31))</f>
        <v>0</v>
      </c>
      <c r="I31" s="144">
        <f>IF(($D30-$E31-SUM($G31:H31))&gt;$G31,$G31,$D30-$E31-SUM($G31:H31))</f>
        <v>0</v>
      </c>
      <c r="J31" s="144">
        <f>IF(($D30-$E31-SUM($G31:I31))&gt;$G31,$G31,$D30-$E31-SUM($G31:I31))</f>
        <v>0</v>
      </c>
      <c r="K31" s="144">
        <f>IF(($D30-$E31-SUM($G31:J31))&gt;$G31,$G31,$D30-$E31-SUM($G31:J31))</f>
        <v>0</v>
      </c>
      <c r="L31" s="527"/>
    </row>
    <row r="32" spans="1:19" s="520" customFormat="1" ht="18" customHeight="1">
      <c r="A32" s="521"/>
      <c r="B32" s="7" t="s">
        <v>691</v>
      </c>
      <c r="C32" s="528">
        <v>3</v>
      </c>
      <c r="D32" s="65"/>
      <c r="E32" s="523">
        <v>6</v>
      </c>
      <c r="F32" s="65"/>
      <c r="G32" s="523">
        <v>6</v>
      </c>
      <c r="H32" s="523">
        <v>6</v>
      </c>
      <c r="I32" s="523">
        <v>6</v>
      </c>
      <c r="J32" s="523">
        <v>6</v>
      </c>
      <c r="K32" s="523">
        <v>6</v>
      </c>
      <c r="L32" s="521"/>
    </row>
    <row r="33" spans="2:12" ht="18" customHeight="1">
      <c r="B33" s="7" t="s">
        <v>692</v>
      </c>
      <c r="C33" s="65"/>
      <c r="D33" s="65"/>
      <c r="E33" s="38">
        <f>E44</f>
        <v>0.5</v>
      </c>
      <c r="F33" s="65"/>
      <c r="G33" s="38">
        <f>G44</f>
        <v>3</v>
      </c>
      <c r="H33" s="38">
        <f t="shared" ref="H33:J33" si="8">H44</f>
        <v>5</v>
      </c>
      <c r="I33" s="38">
        <f t="shared" si="8"/>
        <v>6.5</v>
      </c>
      <c r="J33" s="38">
        <f t="shared" si="8"/>
        <v>6</v>
      </c>
      <c r="K33" s="38">
        <f>K44</f>
        <v>6</v>
      </c>
    </row>
    <row r="34" spans="2:12" ht="18" customHeight="1">
      <c r="B34" s="6" t="s">
        <v>693</v>
      </c>
      <c r="C34" s="65"/>
      <c r="D34" s="38">
        <f>D31+D33</f>
        <v>4.5214870000000076</v>
      </c>
      <c r="E34" s="38">
        <f>E31+E33</f>
        <v>6.4160190000000057</v>
      </c>
      <c r="F34" s="65"/>
      <c r="G34" s="38">
        <f>G31+G33</f>
        <v>3</v>
      </c>
      <c r="H34" s="38">
        <f t="shared" ref="H34:J34" si="9">H31+H33</f>
        <v>5</v>
      </c>
      <c r="I34" s="38">
        <f t="shared" si="9"/>
        <v>6.5</v>
      </c>
      <c r="J34" s="38">
        <f t="shared" si="9"/>
        <v>6</v>
      </c>
      <c r="K34" s="38">
        <f>K31+K33</f>
        <v>6</v>
      </c>
    </row>
    <row r="35" spans="2:12" ht="18" customHeight="1">
      <c r="B35" s="6" t="s">
        <v>694</v>
      </c>
      <c r="C35" s="65"/>
      <c r="D35" s="65"/>
      <c r="E35" s="38">
        <f>D30+E16+E32-E33</f>
        <v>11.416019000000006</v>
      </c>
      <c r="F35" s="38">
        <f>E35</f>
        <v>11.416019000000006</v>
      </c>
      <c r="G35" s="38">
        <f>F35+G16+G32-G33</f>
        <v>14.416019000000006</v>
      </c>
      <c r="H35" s="38">
        <f>G35+H16+H32-H33</f>
        <v>15.416019000000006</v>
      </c>
      <c r="I35" s="38">
        <f>H35+I16+I32-I33</f>
        <v>14.916019000000006</v>
      </c>
      <c r="J35" s="38">
        <f>I35+J16+J32-J33</f>
        <v>14.916019000000006</v>
      </c>
      <c r="K35" s="38">
        <f>J35+K16+K32-K33</f>
        <v>14.916019000000006</v>
      </c>
    </row>
    <row r="37" spans="2:12" ht="18" hidden="1" customHeight="1" outlineLevel="1">
      <c r="B37" s="459" t="s">
        <v>533</v>
      </c>
      <c r="C37" s="570"/>
      <c r="D37" s="570"/>
      <c r="E37" s="462" t="str">
        <f>E28</f>
        <v>2018年7-12</v>
      </c>
      <c r="F37" s="462" t="str">
        <f t="shared" ref="F37:K37" si="10">F28</f>
        <v>2018年</v>
      </c>
      <c r="G37" s="462" t="str">
        <f t="shared" si="10"/>
        <v>2019年</v>
      </c>
      <c r="H37" s="462" t="str">
        <f t="shared" si="10"/>
        <v>2020年</v>
      </c>
      <c r="I37" s="462" t="str">
        <f t="shared" si="10"/>
        <v>2021年</v>
      </c>
      <c r="J37" s="462" t="str">
        <f t="shared" si="10"/>
        <v>2022年</v>
      </c>
      <c r="K37" s="462" t="str">
        <f t="shared" si="10"/>
        <v>2023年</v>
      </c>
    </row>
    <row r="38" spans="2:12" ht="18" hidden="1" customHeight="1" outlineLevel="1">
      <c r="B38" s="462" t="str">
        <f>E37</f>
        <v>2018年7-12</v>
      </c>
      <c r="D38" s="570"/>
      <c r="E38" s="532">
        <f>IF(C32,(E16+E32)/C32/12*E3/2,0)</f>
        <v>0.5</v>
      </c>
      <c r="F38" s="65"/>
      <c r="G38" s="416">
        <f>IF(C32,IF((E16+E32-E38)&gt;(E16+E32)/C32,(E16+E32)/C32,E16+E32-E38),0)</f>
        <v>2</v>
      </c>
      <c r="H38" s="144">
        <f>IF(($E16+$E32-$E38-SUM($G38:G38))&gt;$G38,$G38,$E16+$E32-$E38-SUM($G38:G38))</f>
        <v>2</v>
      </c>
      <c r="I38" s="144">
        <f>IF(($E16+$E32-$E38-SUM($G38:H38))&gt;$G38,$G38,$E16+$E32-$E38-SUM($G38:H38))</f>
        <v>1.5</v>
      </c>
      <c r="J38" s="144">
        <f>IF(($E16+$E32-$E38-SUM($G38:I38))&gt;$G38,$G38,$E16+$E32-$E38-SUM($G38:I38))</f>
        <v>0</v>
      </c>
      <c r="K38" s="144">
        <f>IF(($E16+$E32-$E38-SUM($G38:J38))&gt;$G38,$G38,$E16+$E32-$E38-SUM($G38:J38))</f>
        <v>0</v>
      </c>
    </row>
    <row r="39" spans="2:12" ht="18" hidden="1" customHeight="1" outlineLevel="1">
      <c r="B39" s="462" t="str">
        <f>G37</f>
        <v>2019年</v>
      </c>
      <c r="C39" s="594" t="s">
        <v>695</v>
      </c>
      <c r="D39" s="570"/>
      <c r="E39" s="38"/>
      <c r="F39" s="65"/>
      <c r="G39" s="144">
        <f>IF(C32,(G16+G32)/C32/2,0)</f>
        <v>1</v>
      </c>
      <c r="H39" s="144">
        <f>IF(C32,(G16+G32)/C32,0)</f>
        <v>2</v>
      </c>
      <c r="I39" s="144">
        <f>IF(($G16+$G32-SUM($G39:H39))&gt;$H39,$H39,$G16+$G32-SUM($G39:H39))</f>
        <v>2</v>
      </c>
      <c r="J39" s="144">
        <f>IF(($G16+$G32-SUM($G39:I39))&gt;$H39,$H39,$G16+$G32-SUM($G39:I39))</f>
        <v>1</v>
      </c>
      <c r="K39" s="144">
        <f>IF(($G16+$G32-SUM($G39:J39))&gt;$H39,$H39,$G16+$G32-SUM($G39:J39))</f>
        <v>0</v>
      </c>
    </row>
    <row r="40" spans="2:12" ht="18" hidden="1" customHeight="1" outlineLevel="1">
      <c r="B40" s="462" t="str">
        <f>H37</f>
        <v>2020年</v>
      </c>
      <c r="C40" s="570"/>
      <c r="D40" s="570"/>
      <c r="E40" s="38"/>
      <c r="F40" s="65"/>
      <c r="G40" s="144"/>
      <c r="H40" s="144">
        <f>IF(C32,(H16+H32)/C32/2,0)</f>
        <v>1</v>
      </c>
      <c r="I40" s="144">
        <f>IF(C32,(H16+H32)/C32,0)</f>
        <v>2</v>
      </c>
      <c r="J40" s="144">
        <f>IF(($H16+$H32-SUM($H40:I40))&gt;$I40,$I40,$H16+$H32-SUM($H40:I40))</f>
        <v>2</v>
      </c>
      <c r="K40" s="144">
        <f>IF(($H16+$H32-SUM($H40:J40))&gt;$I40,$I40,$H16+$H32-SUM($H40:J40))</f>
        <v>1</v>
      </c>
    </row>
    <row r="41" spans="2:12" ht="18" hidden="1" customHeight="1" outlineLevel="1">
      <c r="B41" s="462" t="str">
        <f>I37</f>
        <v>2021年</v>
      </c>
      <c r="C41" s="570"/>
      <c r="D41" s="570"/>
      <c r="E41" s="38"/>
      <c r="F41" s="65"/>
      <c r="G41" s="144"/>
      <c r="H41" s="144"/>
      <c r="I41" s="144">
        <f>IF(C32,(I16+I32)/C32/2,0)</f>
        <v>1</v>
      </c>
      <c r="J41" s="144">
        <f>IF(C32,(I16+I32)/C32,0)</f>
        <v>2</v>
      </c>
      <c r="K41" s="144">
        <f>IF(($I16+$I32-SUM($I41:J41))&gt;$J41,$J41,$I16+$I32-SUM($I41:J41))</f>
        <v>2</v>
      </c>
    </row>
    <row r="42" spans="2:12" ht="18" hidden="1" customHeight="1" outlineLevel="1">
      <c r="B42" s="462" t="str">
        <f>J37</f>
        <v>2022年</v>
      </c>
      <c r="C42" s="570"/>
      <c r="D42" s="570"/>
      <c r="E42" s="144"/>
      <c r="F42" s="65"/>
      <c r="G42" s="144"/>
      <c r="H42" s="144"/>
      <c r="I42" s="144"/>
      <c r="J42" s="144">
        <f>IF(C32,(J16+J32)/C32/2,0)</f>
        <v>1</v>
      </c>
      <c r="K42" s="144">
        <f>IF(C32,(J16+J32)/C32,0)</f>
        <v>2</v>
      </c>
    </row>
    <row r="43" spans="2:12" ht="18" hidden="1" customHeight="1" outlineLevel="1">
      <c r="B43" s="462" t="str">
        <f>K37</f>
        <v>2023年</v>
      </c>
      <c r="C43" s="570"/>
      <c r="D43" s="570"/>
      <c r="E43" s="38"/>
      <c r="F43" s="65"/>
      <c r="G43" s="144"/>
      <c r="H43" s="144"/>
      <c r="I43" s="144"/>
      <c r="J43" s="144"/>
      <c r="K43" s="144">
        <f>IF(C32,(K16+K32)/C32/2,0)</f>
        <v>1</v>
      </c>
    </row>
    <row r="44" spans="2:12" ht="18" hidden="1" customHeight="1" outlineLevel="1">
      <c r="B44" s="459" t="s">
        <v>158</v>
      </c>
      <c r="C44" s="570"/>
      <c r="D44" s="570"/>
      <c r="E44" s="532">
        <f>SUM(E38:E43)</f>
        <v>0.5</v>
      </c>
      <c r="F44" s="65"/>
      <c r="G44" s="38">
        <f>SUM(G38:G43)</f>
        <v>3</v>
      </c>
      <c r="H44" s="38">
        <f t="shared" ref="H44:J44" si="11">SUM(H38:H43)</f>
        <v>5</v>
      </c>
      <c r="I44" s="38">
        <f t="shared" si="11"/>
        <v>6.5</v>
      </c>
      <c r="J44" s="38">
        <f t="shared" si="11"/>
        <v>6</v>
      </c>
      <c r="K44" s="38">
        <f>SUM(K38:K43)</f>
        <v>6</v>
      </c>
    </row>
    <row r="45" spans="2:12" ht="18" customHeight="1" collapsed="1">
      <c r="B45" s="538" t="s">
        <v>696</v>
      </c>
      <c r="C45" s="11"/>
      <c r="D45" s="11"/>
      <c r="E45" s="11"/>
      <c r="F45" s="11"/>
      <c r="G45" s="11"/>
      <c r="H45" s="11"/>
      <c r="I45" s="11"/>
      <c r="J45" s="11"/>
      <c r="K45" s="11"/>
      <c r="L45" s="527"/>
    </row>
    <row r="46" spans="2:12" ht="18" customHeight="1">
      <c r="B46" s="459" t="s">
        <v>64</v>
      </c>
      <c r="C46" s="460" t="s">
        <v>662</v>
      </c>
      <c r="D46" s="461" t="str">
        <f t="shared" ref="D46:K46" si="12">D4</f>
        <v>2018年1-6</v>
      </c>
      <c r="E46" s="462" t="str">
        <f t="shared" si="12"/>
        <v>2018年7-12</v>
      </c>
      <c r="F46" s="462" t="str">
        <f t="shared" si="12"/>
        <v>2018年</v>
      </c>
      <c r="G46" s="462" t="str">
        <f t="shared" si="12"/>
        <v>2019年</v>
      </c>
      <c r="H46" s="462" t="str">
        <f t="shared" si="12"/>
        <v>2020年</v>
      </c>
      <c r="I46" s="462" t="str">
        <f t="shared" si="12"/>
        <v>2021年</v>
      </c>
      <c r="J46" s="462" t="str">
        <f t="shared" si="12"/>
        <v>2022年</v>
      </c>
      <c r="K46" s="462" t="str">
        <f t="shared" si="12"/>
        <v>2023年</v>
      </c>
      <c r="L46" s="527"/>
    </row>
    <row r="47" spans="2:12" ht="18" customHeight="1">
      <c r="B47" s="6" t="s">
        <v>698</v>
      </c>
      <c r="C47" s="65"/>
      <c r="D47" s="523"/>
      <c r="E47" s="38"/>
      <c r="F47" s="38"/>
      <c r="G47" s="38"/>
      <c r="H47" s="38"/>
      <c r="I47" s="38"/>
      <c r="J47" s="38"/>
      <c r="K47" s="38"/>
      <c r="L47" s="527"/>
    </row>
    <row r="48" spans="2:12" ht="18" customHeight="1">
      <c r="B48" s="6" t="s">
        <v>699</v>
      </c>
      <c r="C48" s="65"/>
      <c r="D48" s="38">
        <f>'2报表调整'!G39</f>
        <v>0</v>
      </c>
      <c r="E48" s="131"/>
      <c r="F48" s="38"/>
      <c r="G48" s="38"/>
      <c r="H48" s="38"/>
      <c r="I48" s="38"/>
      <c r="J48" s="38"/>
      <c r="K48" s="38"/>
      <c r="L48" s="527"/>
    </row>
    <row r="49" spans="2:12" ht="18" customHeight="1">
      <c r="B49" s="6" t="s">
        <v>700</v>
      </c>
      <c r="C49" s="523"/>
      <c r="D49" s="523"/>
      <c r="E49" s="416">
        <f>IF(C49,IF(D48&gt;D47/C49/12*E3,D47/C49/12*E3,D48),0)</f>
        <v>0</v>
      </c>
      <c r="F49" s="65"/>
      <c r="G49" s="144">
        <f>IF(C49,IF((D48-E49)&gt;D47/C49,D47/C49,D48-E49),0)</f>
        <v>0</v>
      </c>
      <c r="H49" s="144">
        <f>IF(($D48-$E49-SUM($G49:G49))&gt;$G49,$G49,$D48-$E49-SUM($G49:G49))</f>
        <v>0</v>
      </c>
      <c r="I49" s="144">
        <f>IF(($D48-$E49-SUM($G49:H49))&gt;$G49,$G49,$D48-$E49-SUM($G49:H49))</f>
        <v>0</v>
      </c>
      <c r="J49" s="144">
        <f>IF(($D48-$E49-SUM($G49:I49))&gt;$G49,$G49,$D48-$E49-SUM($G49:I49))</f>
        <v>0</v>
      </c>
      <c r="K49" s="144">
        <f>IF(($D48-$E49-SUM($G49:J49))&gt;$G49,$G49,$D48-$E49-SUM($G49:J49))</f>
        <v>0</v>
      </c>
      <c r="L49" s="527"/>
    </row>
    <row r="50" spans="2:12" ht="18" customHeight="1">
      <c r="B50" s="7" t="s">
        <v>701</v>
      </c>
      <c r="C50" s="528"/>
      <c r="D50" s="65"/>
      <c r="E50" s="523"/>
      <c r="F50" s="65"/>
      <c r="G50" s="523"/>
      <c r="H50" s="523"/>
      <c r="I50" s="523"/>
      <c r="J50" s="523"/>
      <c r="K50" s="523"/>
      <c r="L50" s="527"/>
    </row>
    <row r="51" spans="2:12" ht="18" customHeight="1">
      <c r="B51" s="7" t="s">
        <v>702</v>
      </c>
      <c r="C51" s="65"/>
      <c r="D51" s="65"/>
      <c r="E51" s="38">
        <f>E62</f>
        <v>0</v>
      </c>
      <c r="F51" s="65"/>
      <c r="G51" s="38">
        <f>G62</f>
        <v>0</v>
      </c>
      <c r="H51" s="38">
        <f t="shared" ref="H51:K51" si="13">H62</f>
        <v>0</v>
      </c>
      <c r="I51" s="38">
        <f t="shared" si="13"/>
        <v>0</v>
      </c>
      <c r="J51" s="38">
        <f t="shared" si="13"/>
        <v>0</v>
      </c>
      <c r="K51" s="38">
        <f t="shared" si="13"/>
        <v>0</v>
      </c>
      <c r="L51" s="527"/>
    </row>
    <row r="52" spans="2:12" ht="18" customHeight="1">
      <c r="B52" s="6" t="s">
        <v>703</v>
      </c>
      <c r="C52" s="65"/>
      <c r="D52" s="38">
        <f>D49+D51</f>
        <v>0</v>
      </c>
      <c r="E52" s="38">
        <f>E49+E51</f>
        <v>0</v>
      </c>
      <c r="F52" s="65"/>
      <c r="G52" s="38">
        <f>G49+G51</f>
        <v>0</v>
      </c>
      <c r="H52" s="38">
        <f t="shared" ref="H52:K52" si="14">H49+H51</f>
        <v>0</v>
      </c>
      <c r="I52" s="38">
        <f t="shared" si="14"/>
        <v>0</v>
      </c>
      <c r="J52" s="38">
        <f t="shared" si="14"/>
        <v>0</v>
      </c>
      <c r="K52" s="38">
        <f t="shared" si="14"/>
        <v>0</v>
      </c>
      <c r="L52" s="527"/>
    </row>
    <row r="53" spans="2:12" ht="18" customHeight="1">
      <c r="B53" s="6" t="s">
        <v>532</v>
      </c>
      <c r="C53" s="65"/>
      <c r="D53" s="65"/>
      <c r="E53" s="38">
        <f>D48+E50-E52</f>
        <v>0</v>
      </c>
      <c r="F53" s="38">
        <f>E53</f>
        <v>0</v>
      </c>
      <c r="G53" s="38">
        <f>F53+G50-G52</f>
        <v>0</v>
      </c>
      <c r="H53" s="38">
        <f t="shared" ref="H53:J53" si="15">G53+H50-H52</f>
        <v>0</v>
      </c>
      <c r="I53" s="38">
        <f t="shared" si="15"/>
        <v>0</v>
      </c>
      <c r="J53" s="38">
        <f t="shared" si="15"/>
        <v>0</v>
      </c>
      <c r="K53" s="38">
        <f>J53+K50-K52</f>
        <v>0</v>
      </c>
      <c r="L53" s="527"/>
    </row>
    <row r="54" spans="2:12" ht="18" customHeight="1">
      <c r="L54" s="527"/>
    </row>
    <row r="55" spans="2:12" ht="18" hidden="1" customHeight="1" outlineLevel="1">
      <c r="B55" s="459" t="s">
        <v>533</v>
      </c>
      <c r="C55" s="570"/>
      <c r="D55" s="570"/>
      <c r="E55" s="462" t="str">
        <f t="shared" ref="E55:K55" si="16">E46</f>
        <v>2018年7-12</v>
      </c>
      <c r="F55" s="462" t="str">
        <f t="shared" si="16"/>
        <v>2018年</v>
      </c>
      <c r="G55" s="462" t="str">
        <f t="shared" si="16"/>
        <v>2019年</v>
      </c>
      <c r="H55" s="462" t="str">
        <f t="shared" si="16"/>
        <v>2020年</v>
      </c>
      <c r="I55" s="462" t="str">
        <f t="shared" si="16"/>
        <v>2021年</v>
      </c>
      <c r="J55" s="462" t="str">
        <f t="shared" si="16"/>
        <v>2022年</v>
      </c>
      <c r="K55" s="462" t="str">
        <f t="shared" si="16"/>
        <v>2023年</v>
      </c>
    </row>
    <row r="56" spans="2:12" ht="18" hidden="1" customHeight="1" outlineLevel="1">
      <c r="B56" s="462" t="str">
        <f>E55</f>
        <v>2018年7-12</v>
      </c>
      <c r="C56" s="570"/>
      <c r="D56" s="570"/>
      <c r="E56" s="595">
        <f>IF(C50,E50/C50/12*E3,0)</f>
        <v>0</v>
      </c>
      <c r="F56" s="65"/>
      <c r="G56" s="598">
        <f>IF(C50,IF((E50-E56)&gt;E50/C50,E50/C50,E50-E56),0)</f>
        <v>0</v>
      </c>
      <c r="H56" s="144">
        <f>IF(($E50-$E56-SUM($G56:G56))&gt;$G56,$G56,$E50-$E56-SUM($G56:G56))</f>
        <v>0</v>
      </c>
      <c r="I56" s="144">
        <f>IF(($E50-$E56-SUM($G56:H56))&gt;$G56,$G56,$E50-$E56-SUM($G56:H56))</f>
        <v>0</v>
      </c>
      <c r="J56" s="144">
        <f>IF(($E50-$E56-SUM($G56:I56))&gt;$G56,$G56,$E50-$E56-SUM($G56:I56))</f>
        <v>0</v>
      </c>
      <c r="K56" s="144">
        <f>IF(($E50-$E56-SUM($G56:J56))&gt;$G56,$G56,$E50-$E56-SUM($G56:J56))</f>
        <v>0</v>
      </c>
    </row>
    <row r="57" spans="2:12" ht="18" hidden="1" customHeight="1" outlineLevel="1">
      <c r="B57" s="462" t="str">
        <f>G55</f>
        <v>2019年</v>
      </c>
      <c r="C57" s="594" t="s">
        <v>697</v>
      </c>
      <c r="D57" s="570"/>
      <c r="E57" s="596"/>
      <c r="F57" s="65"/>
      <c r="G57" s="41">
        <f>IF(C50,G50/C50,0)</f>
        <v>0</v>
      </c>
      <c r="H57" s="144">
        <f>IF(($G50-SUM($G57:G57))&gt;$G57,$G57,$G50-SUM($G57:G57))</f>
        <v>0</v>
      </c>
      <c r="I57" s="144">
        <f>IF(($G50-SUM($G57:H57))&gt;$G57,$G57,$G50-SUM($G57:H57))</f>
        <v>0</v>
      </c>
      <c r="J57" s="144">
        <f>IF(($G50-SUM($G57:I57))&gt;$G57,$G57,$G50-SUM($G57:I57))</f>
        <v>0</v>
      </c>
      <c r="K57" s="144">
        <f>IF(($G50-SUM($G57:J57))&gt;$G57,$G57,$G50-SUM($G57:J57))</f>
        <v>0</v>
      </c>
    </row>
    <row r="58" spans="2:12" ht="18" hidden="1" customHeight="1" outlineLevel="1">
      <c r="B58" s="462" t="str">
        <f>H55</f>
        <v>2020年</v>
      </c>
      <c r="C58" s="570"/>
      <c r="D58" s="570"/>
      <c r="E58" s="596"/>
      <c r="F58" s="65"/>
      <c r="G58" s="599"/>
      <c r="H58" s="144">
        <f>IF(C50,H50/C50,0)</f>
        <v>0</v>
      </c>
      <c r="I58" s="144">
        <f>IF(($H50-SUM($H58:H58))&gt;$H58,$H58,$H50-SUM($H58:H58))</f>
        <v>0</v>
      </c>
      <c r="J58" s="144">
        <f>IF(($H50-SUM($H58:I58))&gt;$H58,$H58,$H50-SUM($H58:I58))</f>
        <v>0</v>
      </c>
      <c r="K58" s="144">
        <f>IF(($H50-SUM($H58:J58))&gt;$H58,$H58,$H50-SUM($H58:J58))</f>
        <v>0</v>
      </c>
    </row>
    <row r="59" spans="2:12" ht="18" hidden="1" customHeight="1" outlineLevel="1">
      <c r="B59" s="462" t="str">
        <f>I55</f>
        <v>2021年</v>
      </c>
      <c r="C59" s="570"/>
      <c r="D59" s="570"/>
      <c r="E59" s="596"/>
      <c r="F59" s="65"/>
      <c r="G59" s="599"/>
      <c r="H59" s="144"/>
      <c r="I59" s="144">
        <f>IF(C50,I50/C50,0)</f>
        <v>0</v>
      </c>
      <c r="J59" s="144">
        <f>IF(($I50-SUM($I59:I59))&gt;$I59,$I59,$I50-SUM($I59:I59))</f>
        <v>0</v>
      </c>
      <c r="K59" s="144">
        <f>IF(($I50-SUM($I59:J59))&gt;$I59,$I59,$I50-SUM($I59:J59))</f>
        <v>0</v>
      </c>
    </row>
    <row r="60" spans="2:12" ht="18" hidden="1" customHeight="1" outlineLevel="1">
      <c r="B60" s="462" t="str">
        <f>J55</f>
        <v>2022年</v>
      </c>
      <c r="C60" s="570"/>
      <c r="D60" s="570"/>
      <c r="E60" s="597"/>
      <c r="F60" s="65"/>
      <c r="G60" s="599"/>
      <c r="H60" s="144"/>
      <c r="I60" s="144"/>
      <c r="J60" s="144">
        <f>IF(C50,J50/C50,0)</f>
        <v>0</v>
      </c>
      <c r="K60" s="144">
        <f>IF(($J50-SUM($J60:J60))&gt;$J60,$J60,$J50-SUM($J60:J60))</f>
        <v>0</v>
      </c>
    </row>
    <row r="61" spans="2:12" ht="18" hidden="1" customHeight="1" outlineLevel="1">
      <c r="B61" s="462" t="str">
        <f>K55</f>
        <v>2023年</v>
      </c>
      <c r="C61" s="570"/>
      <c r="D61" s="570"/>
      <c r="E61" s="596"/>
      <c r="F61" s="65"/>
      <c r="G61" s="531"/>
      <c r="H61" s="38"/>
      <c r="I61" s="38"/>
      <c r="J61" s="38"/>
      <c r="K61" s="38">
        <f>IF(C50,K50/C50,0)</f>
        <v>0</v>
      </c>
    </row>
    <row r="62" spans="2:12" ht="18" hidden="1" customHeight="1" outlineLevel="1">
      <c r="B62" s="459" t="s">
        <v>158</v>
      </c>
      <c r="C62" s="570"/>
      <c r="D62" s="570"/>
      <c r="E62" s="595">
        <f>SUM(E56:E61)</f>
        <v>0</v>
      </c>
      <c r="F62" s="65"/>
      <c r="G62" s="531">
        <f t="shared" ref="G62:J62" si="17">SUM(G56:G61)</f>
        <v>0</v>
      </c>
      <c r="H62" s="38">
        <f t="shared" si="17"/>
        <v>0</v>
      </c>
      <c r="I62" s="38">
        <f t="shared" si="17"/>
        <v>0</v>
      </c>
      <c r="J62" s="38">
        <f t="shared" si="17"/>
        <v>0</v>
      </c>
      <c r="K62" s="38">
        <f>SUM(K56:K61)</f>
        <v>0</v>
      </c>
    </row>
    <row r="63" spans="2:12" ht="18" customHeight="1" collapsed="1"/>
    <row r="64" spans="2:12" ht="18" customHeight="1">
      <c r="B64" s="722" t="s">
        <v>849</v>
      </c>
    </row>
    <row r="65" spans="2:4" ht="18" customHeight="1">
      <c r="B65" s="728" t="s">
        <v>850</v>
      </c>
      <c r="D65" s="723" t="str">
        <f>IF(ROUND(D13+'7折旧'!D13+'7折旧'!D15-'2报表调整'!G33,-1),"数据不一致","OK")</f>
        <v>OK</v>
      </c>
    </row>
    <row r="66" spans="2:4" ht="18" customHeight="1">
      <c r="B66" s="728" t="s">
        <v>851</v>
      </c>
      <c r="D66" s="723" t="str">
        <f>IF(ROUND(D21+D30-'2报表调整'!G36,-1),"数据不一致","OK")</f>
        <v>OK</v>
      </c>
    </row>
    <row r="67" spans="2:4" ht="18" customHeight="1">
      <c r="B67" s="728" t="s">
        <v>852</v>
      </c>
      <c r="D67" s="723" t="str">
        <f>IF(D15-'2报表调整'!G37,"数据不一致","OK")</f>
        <v>OK</v>
      </c>
    </row>
    <row r="68" spans="2:4" ht="18" customHeight="1">
      <c r="B68" s="728" t="s">
        <v>20</v>
      </c>
      <c r="D68" s="723" t="str">
        <f>IF(D48-'2报表调整'!G39,"数据不一致","OK")</f>
        <v>OK</v>
      </c>
    </row>
  </sheetData>
  <sheetProtection formatColumns="0" formatRows="0"/>
  <mergeCells count="1">
    <mergeCell ref="B1:K1"/>
  </mergeCells>
  <phoneticPr fontId="6" type="noConversion"/>
  <pageMargins left="0.75" right="0.75" top="1" bottom="1" header="0.5" footer="0.5"/>
  <pageSetup paperSize="9" orientation="landscape" r:id="rId1"/>
  <headerFooter alignWithMargins="0">
    <oddFooter>&amp;R&amp;P/&amp;N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L86"/>
  <sheetViews>
    <sheetView topLeftCell="A16" zoomScaleNormal="100" workbookViewId="0">
      <selection activeCell="G24" sqref="G24"/>
    </sheetView>
  </sheetViews>
  <sheetFormatPr defaultColWidth="9" defaultRowHeight="18" customHeight="1"/>
  <cols>
    <col min="1" max="1" width="2.75" style="3" customWidth="1"/>
    <col min="2" max="2" width="24.75" style="3" customWidth="1"/>
    <col min="3" max="3" width="8.75" style="3" customWidth="1"/>
    <col min="4" max="5" width="9.08203125" style="3" customWidth="1"/>
    <col min="6" max="6" width="9.5" style="3" customWidth="1"/>
    <col min="7" max="7" width="9.5" style="3" bestFit="1" customWidth="1"/>
    <col min="8" max="11" width="10.5" style="3" bestFit="1" customWidth="1"/>
    <col min="12" max="16384" width="9" style="3"/>
  </cols>
  <sheetData>
    <row r="1" spans="1:12" ht="31.5" customHeight="1">
      <c r="B1" s="749" t="s">
        <v>435</v>
      </c>
      <c r="C1" s="749"/>
      <c r="D1" s="749"/>
      <c r="E1" s="749"/>
      <c r="F1" s="749"/>
      <c r="G1" s="749"/>
      <c r="H1" s="749"/>
      <c r="I1" s="749"/>
      <c r="J1" s="749"/>
    </row>
    <row r="2" spans="1:12" ht="18" customHeight="1">
      <c r="B2" s="229" t="str">
        <f>'1报表'!B11</f>
        <v>评估基准日：2018/6/30</v>
      </c>
      <c r="C2" s="229"/>
      <c r="E2" s="71"/>
      <c r="F2" s="71"/>
      <c r="G2" s="71"/>
    </row>
    <row r="3" spans="1:12" s="11" customFormat="1" ht="18" customHeight="1">
      <c r="B3" s="229" t="str">
        <f>'1报表'!B12</f>
        <v>被评估单位：YLSJ公司</v>
      </c>
      <c r="C3" s="229"/>
      <c r="K3" s="15" t="s">
        <v>52</v>
      </c>
    </row>
    <row r="4" spans="1:12" s="11" customFormat="1" ht="18" customHeight="1">
      <c r="B4" s="12" t="s">
        <v>64</v>
      </c>
      <c r="C4" s="61" t="str">
        <f>'3收入'!C4</f>
        <v>2016年</v>
      </c>
      <c r="D4" s="61" t="str">
        <f>'3收入'!D4</f>
        <v>2017年</v>
      </c>
      <c r="E4" s="61" t="str">
        <f>'3收入'!E4</f>
        <v>2018年1-6</v>
      </c>
      <c r="F4" s="23" t="str">
        <f>'3收入'!F4</f>
        <v>2018年</v>
      </c>
      <c r="G4" s="23" t="str">
        <f>'3收入'!G4</f>
        <v>2019年</v>
      </c>
      <c r="H4" s="23" t="str">
        <f>'3收入'!H4</f>
        <v>2020年</v>
      </c>
      <c r="I4" s="23" t="str">
        <f>'3收入'!I4</f>
        <v>2021年</v>
      </c>
      <c r="J4" s="23" t="str">
        <f>'3收入'!J4</f>
        <v>2022年</v>
      </c>
      <c r="K4" s="23" t="str">
        <f>'3收入'!K4</f>
        <v>2023年</v>
      </c>
    </row>
    <row r="5" spans="1:12" s="11" customFormat="1" ht="18" customHeight="1">
      <c r="A5" s="128"/>
      <c r="B5" s="376" t="s">
        <v>290</v>
      </c>
      <c r="C5" s="419">
        <f>'4成本'!C70+'4成本'!C76</f>
        <v>2782.3617880000002</v>
      </c>
      <c r="D5" s="419">
        <f>'4成本'!D70+'4成本'!D76</f>
        <v>3300.8298859999995</v>
      </c>
      <c r="E5" s="419">
        <f>'4成本'!E70+'4成本'!E76</f>
        <v>1646.5652949999999</v>
      </c>
      <c r="F5" s="419">
        <f>'4成本'!F70+'4成本'!F76</f>
        <v>2160</v>
      </c>
      <c r="G5" s="419">
        <f>'4成本'!G70+'4成本'!G76</f>
        <v>2376</v>
      </c>
      <c r="H5" s="419">
        <f>'4成本'!H70+'4成本'!H76</f>
        <v>2566.08</v>
      </c>
      <c r="I5" s="419">
        <f>'4成本'!I70+'4成本'!I76</f>
        <v>2694.384</v>
      </c>
      <c r="J5" s="419">
        <f>'4成本'!J70+'4成本'!J76</f>
        <v>2775.2155200000007</v>
      </c>
      <c r="K5" s="419">
        <f>'4成本'!K70+'4成本'!K76</f>
        <v>2775.2155200000007</v>
      </c>
      <c r="L5" s="11" t="s">
        <v>408</v>
      </c>
    </row>
    <row r="6" spans="1:12" s="11" customFormat="1" ht="18" customHeight="1">
      <c r="A6" s="128"/>
      <c r="B6" s="377" t="s">
        <v>287</v>
      </c>
      <c r="C6" s="348">
        <f>'5税金'!C5</f>
        <v>32.988745999999999</v>
      </c>
      <c r="D6" s="348">
        <f>'5税金'!D5</f>
        <v>28.542701999999998</v>
      </c>
      <c r="E6" s="348">
        <f>'5税金'!E5</f>
        <v>19.638479</v>
      </c>
      <c r="F6" s="348">
        <f>'5税金'!F5</f>
        <v>22.5</v>
      </c>
      <c r="G6" s="348">
        <f>'5税金'!G5</f>
        <v>24.75</v>
      </c>
      <c r="H6" s="348">
        <f>'5税金'!H5</f>
        <v>26.73</v>
      </c>
      <c r="I6" s="348">
        <f>'5税金'!I5</f>
        <v>28.066500000000001</v>
      </c>
      <c r="J6" s="348">
        <f>'5税金'!J5</f>
        <v>28.908495000000002</v>
      </c>
      <c r="K6" s="348">
        <f>'5税金'!K5</f>
        <v>28.908495000000002</v>
      </c>
    </row>
    <row r="7" spans="1:12" s="11" customFormat="1" ht="18" customHeight="1">
      <c r="A7" s="128"/>
      <c r="B7" s="376" t="s">
        <v>216</v>
      </c>
      <c r="C7" s="348">
        <f>'6销管'!C5</f>
        <v>0</v>
      </c>
      <c r="D7" s="348">
        <f>'6销管'!D5</f>
        <v>0</v>
      </c>
      <c r="E7" s="348">
        <f>'6销管'!E5</f>
        <v>0</v>
      </c>
      <c r="F7" s="348">
        <f>'6销管'!F5</f>
        <v>0</v>
      </c>
      <c r="G7" s="348">
        <f>'6销管'!G5</f>
        <v>0</v>
      </c>
      <c r="H7" s="348">
        <f>'6销管'!H5</f>
        <v>0</v>
      </c>
      <c r="I7" s="348">
        <f>'6销管'!I5</f>
        <v>0</v>
      </c>
      <c r="J7" s="348">
        <f>'6销管'!J5</f>
        <v>0</v>
      </c>
      <c r="K7" s="348">
        <f>'6销管'!K5</f>
        <v>0</v>
      </c>
    </row>
    <row r="8" spans="1:12" s="11" customFormat="1" ht="18" customHeight="1">
      <c r="A8" s="128"/>
      <c r="B8" s="377" t="s">
        <v>71</v>
      </c>
      <c r="C8" s="348">
        <f>'6销管'!C6</f>
        <v>668.47256399999992</v>
      </c>
      <c r="D8" s="348">
        <f>'6销管'!D6</f>
        <v>615.98559899999998</v>
      </c>
      <c r="E8" s="348">
        <f>'6销管'!E6</f>
        <v>268.929236</v>
      </c>
      <c r="F8" s="348">
        <f>'6销管'!F6</f>
        <v>475.4375060000001</v>
      </c>
      <c r="G8" s="348">
        <f>'6销管'!G6</f>
        <v>512.95000000000005</v>
      </c>
      <c r="H8" s="348">
        <f>'6销管'!H6</f>
        <v>554.94600000000003</v>
      </c>
      <c r="I8" s="348">
        <f>'6销管'!I6</f>
        <v>583.44330000000002</v>
      </c>
      <c r="J8" s="348">
        <f>'6销管'!J6</f>
        <v>599.9515990000001</v>
      </c>
      <c r="K8" s="348">
        <f>'6销管'!K6</f>
        <v>599.9515990000001</v>
      </c>
    </row>
    <row r="9" spans="1:12" s="11" customFormat="1" ht="18" customHeight="1">
      <c r="A9" s="128"/>
      <c r="B9" s="376" t="s">
        <v>374</v>
      </c>
      <c r="C9" s="348">
        <f>'6销管'!C7</f>
        <v>0</v>
      </c>
      <c r="D9" s="348">
        <f>'6销管'!D7</f>
        <v>0</v>
      </c>
      <c r="E9" s="348">
        <f>'6销管'!E7</f>
        <v>0</v>
      </c>
      <c r="F9" s="348">
        <f>'6销管'!F7</f>
        <v>0</v>
      </c>
      <c r="G9" s="348">
        <f>'6销管'!G7</f>
        <v>0</v>
      </c>
      <c r="H9" s="348">
        <f>'6销管'!H7</f>
        <v>0</v>
      </c>
      <c r="I9" s="348">
        <f>'6销管'!I7</f>
        <v>0</v>
      </c>
      <c r="J9" s="348">
        <f>'6销管'!J7</f>
        <v>0</v>
      </c>
      <c r="K9" s="348">
        <f>'6销管'!K7</f>
        <v>0</v>
      </c>
    </row>
    <row r="10" spans="1:12" s="11" customFormat="1" ht="18" customHeight="1">
      <c r="A10" s="128"/>
      <c r="B10" s="376" t="s">
        <v>289</v>
      </c>
      <c r="C10" s="504">
        <f>'11财务费用'!C18</f>
        <v>0.47370899999999999</v>
      </c>
      <c r="D10" s="504">
        <f>'11财务费用'!D18</f>
        <v>0.95679899999999996</v>
      </c>
      <c r="E10" s="504">
        <f>'11财务费用'!E18</f>
        <v>2.3800000000000002E-2</v>
      </c>
      <c r="F10" s="504">
        <f>'11财务费用'!F18</f>
        <v>0</v>
      </c>
      <c r="G10" s="504">
        <f>'11财务费用'!G18</f>
        <v>0</v>
      </c>
      <c r="H10" s="504">
        <f>'11财务费用'!H18</f>
        <v>0</v>
      </c>
      <c r="I10" s="504">
        <f>'11财务费用'!I18</f>
        <v>0</v>
      </c>
      <c r="J10" s="504">
        <f>'11财务费用'!J18</f>
        <v>0</v>
      </c>
      <c r="K10" s="504">
        <f>'11财务费用'!K18</f>
        <v>0</v>
      </c>
    </row>
    <row r="11" spans="1:12" s="11" customFormat="1" ht="18" customHeight="1">
      <c r="A11" s="128"/>
      <c r="B11" s="376" t="s">
        <v>291</v>
      </c>
      <c r="C11" s="373"/>
      <c r="D11" s="373"/>
      <c r="E11" s="373"/>
      <c r="F11" s="373"/>
      <c r="G11" s="373"/>
      <c r="H11" s="373"/>
      <c r="I11" s="373"/>
      <c r="J11" s="373"/>
      <c r="K11" s="373"/>
    </row>
    <row r="12" spans="1:12" s="11" customFormat="1" ht="18" customHeight="1">
      <c r="A12" s="128"/>
      <c r="B12" s="376" t="s">
        <v>292</v>
      </c>
      <c r="C12" s="373">
        <f>'6销管'!C48</f>
        <v>2.8954360000000001</v>
      </c>
      <c r="D12" s="373">
        <f>'6销管'!D48</f>
        <v>8.0428850000000001</v>
      </c>
      <c r="E12" s="373">
        <f>'6销管'!E48</f>
        <v>4.5214870000000005</v>
      </c>
      <c r="F12" s="373">
        <f>'6销管'!F48</f>
        <v>10.937506000000013</v>
      </c>
      <c r="G12" s="373">
        <f>'6销管'!G48</f>
        <v>3</v>
      </c>
      <c r="H12" s="373">
        <f>'6销管'!H48</f>
        <v>5</v>
      </c>
      <c r="I12" s="373">
        <f>'6销管'!I48</f>
        <v>6.5</v>
      </c>
      <c r="J12" s="373">
        <f>'6销管'!J48</f>
        <v>6</v>
      </c>
      <c r="K12" s="373">
        <f>'6销管'!K48</f>
        <v>6</v>
      </c>
    </row>
    <row r="13" spans="1:12" s="11" customFormat="1" ht="18" customHeight="1">
      <c r="A13" s="128"/>
      <c r="B13" s="376" t="s">
        <v>409</v>
      </c>
      <c r="C13" s="373"/>
      <c r="D13" s="373"/>
      <c r="E13" s="373"/>
      <c r="F13" s="373"/>
      <c r="G13" s="373"/>
      <c r="H13" s="373"/>
      <c r="I13" s="373"/>
      <c r="J13" s="373"/>
      <c r="K13" s="373"/>
    </row>
    <row r="14" spans="1:12" s="11" customFormat="1" ht="18" customHeight="1">
      <c r="A14" s="128"/>
      <c r="B14" s="378" t="s">
        <v>294</v>
      </c>
      <c r="C14" s="374">
        <f>SUM(C5:C10)-SUM(C11:C13)</f>
        <v>3481.4013709999999</v>
      </c>
      <c r="D14" s="374">
        <f>SUM(D5:D10)-SUM(D11:D13)</f>
        <v>3938.272101</v>
      </c>
      <c r="E14" s="374">
        <f>SUM(E5:E10)-SUM(E11:E13)</f>
        <v>1930.6353229999997</v>
      </c>
      <c r="F14" s="374">
        <f>SUM(F5:F10)-SUM(F11:F13)</f>
        <v>2647</v>
      </c>
      <c r="G14" s="374">
        <f t="shared" ref="G14:K14" si="0">SUM(G5:G10)-SUM(G11:G13)</f>
        <v>2910.7</v>
      </c>
      <c r="H14" s="374">
        <f t="shared" si="0"/>
        <v>3142.7559999999999</v>
      </c>
      <c r="I14" s="374">
        <f t="shared" si="0"/>
        <v>3299.3937999999998</v>
      </c>
      <c r="J14" s="374">
        <f t="shared" si="0"/>
        <v>3398.0756140000008</v>
      </c>
      <c r="K14" s="374">
        <f t="shared" si="0"/>
        <v>3398.0756140000008</v>
      </c>
    </row>
    <row r="15" spans="1:12" s="11" customFormat="1" ht="18" customHeight="1">
      <c r="A15" s="128"/>
      <c r="B15" s="377" t="s">
        <v>288</v>
      </c>
      <c r="C15" s="348">
        <v>12</v>
      </c>
      <c r="D15" s="348">
        <v>12</v>
      </c>
      <c r="E15" s="416">
        <f>MONTH('1报表'!E5)</f>
        <v>6</v>
      </c>
      <c r="F15" s="348">
        <v>12</v>
      </c>
      <c r="G15" s="348">
        <v>12</v>
      </c>
      <c r="H15" s="348">
        <v>12</v>
      </c>
      <c r="I15" s="348">
        <v>12</v>
      </c>
      <c r="J15" s="348">
        <v>12</v>
      </c>
      <c r="K15" s="348">
        <v>12</v>
      </c>
    </row>
    <row r="16" spans="1:12" s="11" customFormat="1" ht="18" customHeight="1">
      <c r="A16" s="128"/>
      <c r="B16" s="376" t="s">
        <v>293</v>
      </c>
      <c r="C16" s="348">
        <f>C14/C15</f>
        <v>290.11678091666664</v>
      </c>
      <c r="D16" s="348">
        <f>D14/D15</f>
        <v>328.18934174999998</v>
      </c>
      <c r="E16" s="348">
        <f>E14/E15</f>
        <v>321.77255383333329</v>
      </c>
      <c r="F16" s="348">
        <f t="shared" ref="F16:K16" si="1">F14/F15</f>
        <v>220.58333333333334</v>
      </c>
      <c r="G16" s="348">
        <f t="shared" si="1"/>
        <v>242.55833333333331</v>
      </c>
      <c r="H16" s="348">
        <f t="shared" si="1"/>
        <v>261.8963333333333</v>
      </c>
      <c r="I16" s="348">
        <f t="shared" si="1"/>
        <v>274.94948333333332</v>
      </c>
      <c r="J16" s="348">
        <f t="shared" si="1"/>
        <v>283.17296783333342</v>
      </c>
      <c r="K16" s="348">
        <f t="shared" si="1"/>
        <v>283.17296783333342</v>
      </c>
    </row>
    <row r="17" spans="1:12" s="11" customFormat="1" ht="18" customHeight="1">
      <c r="A17" s="128"/>
      <c r="B17" s="376" t="s">
        <v>295</v>
      </c>
      <c r="C17" s="348">
        <f>D17</f>
        <v>1</v>
      </c>
      <c r="D17" s="348">
        <f>E17</f>
        <v>1</v>
      </c>
      <c r="E17" s="373">
        <v>1</v>
      </c>
      <c r="F17" s="348">
        <f>E17</f>
        <v>1</v>
      </c>
      <c r="G17" s="348">
        <f t="shared" ref="G17:J18" si="2">F17</f>
        <v>1</v>
      </c>
      <c r="H17" s="348">
        <f t="shared" si="2"/>
        <v>1</v>
      </c>
      <c r="I17" s="348">
        <f t="shared" si="2"/>
        <v>1</v>
      </c>
      <c r="J17" s="348">
        <f t="shared" si="2"/>
        <v>1</v>
      </c>
      <c r="K17" s="348">
        <f>J17</f>
        <v>1</v>
      </c>
      <c r="L17" s="11" t="s">
        <v>329</v>
      </c>
    </row>
    <row r="18" spans="1:12" s="11" customFormat="1" ht="18" customHeight="1">
      <c r="A18" s="128"/>
      <c r="B18" s="600" t="s">
        <v>704</v>
      </c>
      <c r="C18" s="601">
        <v>31.161042999999999</v>
      </c>
      <c r="D18" s="601">
        <v>31.278407999999999</v>
      </c>
      <c r="E18" s="601">
        <v>31.315556000000001</v>
      </c>
      <c r="F18" s="373">
        <f>E18</f>
        <v>31.315556000000001</v>
      </c>
      <c r="G18" s="373">
        <f>F18</f>
        <v>31.315556000000001</v>
      </c>
      <c r="H18" s="373">
        <f t="shared" si="2"/>
        <v>31.315556000000001</v>
      </c>
      <c r="I18" s="373">
        <f t="shared" si="2"/>
        <v>31.315556000000001</v>
      </c>
      <c r="J18" s="373">
        <f t="shared" si="2"/>
        <v>31.315556000000001</v>
      </c>
      <c r="K18" s="373">
        <f t="shared" ref="K18" si="3">J18</f>
        <v>31.315556000000001</v>
      </c>
      <c r="L18" s="11" t="s">
        <v>395</v>
      </c>
    </row>
    <row r="19" spans="1:12" s="11" customFormat="1" ht="18" customHeight="1">
      <c r="A19" s="128"/>
      <c r="B19" s="376" t="s">
        <v>571</v>
      </c>
      <c r="C19" s="603">
        <f>MIN(C16*C17,C23)+C18</f>
        <v>321.27782391666665</v>
      </c>
      <c r="D19" s="603">
        <f>MIN(D16*D17,D23)+D18</f>
        <v>359.46774975</v>
      </c>
      <c r="E19" s="603">
        <f>MIN(E16*E17,E23)+E18</f>
        <v>156.56071600000001</v>
      </c>
      <c r="F19" s="348">
        <f>F16*F17+F18</f>
        <v>251.89888933333333</v>
      </c>
      <c r="G19" s="348">
        <f t="shared" ref="G19:K19" si="4">G16*G17+G18</f>
        <v>273.8738893333333</v>
      </c>
      <c r="H19" s="348">
        <f t="shared" si="4"/>
        <v>293.21188933333332</v>
      </c>
      <c r="I19" s="348">
        <f t="shared" si="4"/>
        <v>306.26503933333333</v>
      </c>
      <c r="J19" s="348">
        <f t="shared" si="4"/>
        <v>314.48852383333343</v>
      </c>
      <c r="K19" s="348">
        <f t="shared" si="4"/>
        <v>314.48852383333343</v>
      </c>
    </row>
    <row r="20" spans="1:12" s="11" customFormat="1" ht="18" customHeight="1">
      <c r="A20" s="128"/>
      <c r="B20" s="376" t="s">
        <v>760</v>
      </c>
      <c r="C20" s="602">
        <f>C19/'3收入'!C5</f>
        <v>5.0915664954250123E-2</v>
      </c>
      <c r="D20" s="602">
        <f>D19/'3收入'!D5</f>
        <v>5.5696185594567474E-2</v>
      </c>
      <c r="E20" s="602">
        <f>E19/'3收入'!E5</f>
        <v>7.5670160387169089E-2</v>
      </c>
      <c r="F20" s="148">
        <f>F19/'3收入'!F5</f>
        <v>5.5977530962962964E-2</v>
      </c>
      <c r="G20" s="148">
        <f>G19/'3收入'!G5</f>
        <v>5.5328058451178441E-2</v>
      </c>
      <c r="H20" s="148">
        <f>H19/'3收入'!H5</f>
        <v>5.4846967701708438E-2</v>
      </c>
      <c r="I20" s="148">
        <f>I19/'3收入'!I5</f>
        <v>5.4560604160357247E-2</v>
      </c>
      <c r="J20" s="148">
        <f>J19/'3收入'!J5</f>
        <v>5.4393790446948795E-2</v>
      </c>
      <c r="K20" s="148">
        <f>K19/'3收入'!K5</f>
        <v>5.4393790446948795E-2</v>
      </c>
    </row>
    <row r="21" spans="1:12" ht="31.5" customHeight="1">
      <c r="B21" s="439" t="s">
        <v>434</v>
      </c>
      <c r="C21" s="439"/>
      <c r="D21" s="437"/>
      <c r="E21" s="437"/>
      <c r="F21" s="437"/>
      <c r="G21" s="437"/>
      <c r="H21" s="437"/>
      <c r="I21" s="437"/>
      <c r="J21" s="437"/>
    </row>
    <row r="22" spans="1:12" s="11" customFormat="1" ht="18" customHeight="1">
      <c r="B22" s="24" t="s">
        <v>64</v>
      </c>
      <c r="C22" s="65"/>
      <c r="D22" s="65"/>
      <c r="E22" s="61" t="str">
        <f>E4</f>
        <v>2018年1-6</v>
      </c>
    </row>
    <row r="23" spans="1:12" s="11" customFormat="1" ht="18" customHeight="1">
      <c r="B23" s="604" t="s">
        <v>706</v>
      </c>
      <c r="C23" s="65"/>
      <c r="D23" s="65"/>
      <c r="E23" s="348">
        <f>'2报表调整'!D8</f>
        <v>125.24516</v>
      </c>
    </row>
    <row r="24" spans="1:12" s="11" customFormat="1" ht="18" customHeight="1">
      <c r="A24" s="128"/>
      <c r="B24" s="604" t="s">
        <v>705</v>
      </c>
      <c r="C24" s="65"/>
      <c r="D24" s="65"/>
      <c r="E24" s="2">
        <f>E19</f>
        <v>156.56071600000001</v>
      </c>
    </row>
    <row r="25" spans="1:12" s="11" customFormat="1" ht="18" customHeight="1">
      <c r="B25" s="605" t="s">
        <v>591</v>
      </c>
      <c r="C25" s="65"/>
      <c r="D25" s="65"/>
      <c r="E25" s="374">
        <f>MAX(E23-E24,0)</f>
        <v>0</v>
      </c>
    </row>
    <row r="26" spans="1:12" s="11" customFormat="1" ht="18" customHeight="1"/>
    <row r="27" spans="1:12" s="11" customFormat="1" ht="18" customHeight="1"/>
    <row r="28" spans="1:12" s="11" customFormat="1" ht="18" customHeight="1"/>
    <row r="29" spans="1:12" s="11" customFormat="1" ht="18" customHeight="1"/>
    <row r="30" spans="1:12" s="11" customFormat="1" ht="18" customHeight="1"/>
    <row r="31" spans="1:12" s="11" customFormat="1" ht="18" customHeight="1"/>
    <row r="32" spans="1:12" s="11" customFormat="1" ht="18" customHeight="1"/>
    <row r="33" s="11" customFormat="1" ht="18" customHeight="1"/>
    <row r="34" s="11" customFormat="1" ht="18" customHeight="1"/>
    <row r="35" s="11" customFormat="1" ht="18" customHeight="1"/>
    <row r="36" s="11" customFormat="1" ht="18" customHeight="1"/>
    <row r="37" s="11" customFormat="1" ht="18" customHeight="1"/>
    <row r="38" s="11" customFormat="1" ht="18" customHeight="1"/>
    <row r="39" s="11" customFormat="1" ht="18" customHeight="1"/>
    <row r="40" s="11" customFormat="1" ht="18" customHeight="1"/>
    <row r="41" s="11" customFormat="1" ht="18" customHeight="1"/>
    <row r="42" s="11" customFormat="1" ht="18" customHeight="1"/>
    <row r="43" s="11" customFormat="1" ht="18" customHeight="1"/>
    <row r="44" s="11" customFormat="1" ht="18" customHeight="1"/>
    <row r="45" s="11" customFormat="1" ht="18" customHeight="1"/>
    <row r="46" s="11" customFormat="1" ht="18" customHeight="1"/>
    <row r="47" s="11" customFormat="1" ht="18" customHeight="1"/>
    <row r="48" s="11" customFormat="1" ht="18" customHeight="1"/>
    <row r="49" s="11" customFormat="1" ht="18" customHeight="1"/>
    <row r="50" s="11" customFormat="1" ht="18" customHeight="1"/>
    <row r="51" s="11" customFormat="1" ht="18" customHeight="1"/>
    <row r="52" s="11" customFormat="1" ht="18" customHeight="1"/>
    <row r="53" s="11" customFormat="1" ht="18" customHeight="1"/>
    <row r="54" s="11" customFormat="1" ht="18" customHeight="1"/>
    <row r="55" s="11" customFormat="1" ht="18" customHeight="1"/>
    <row r="56" s="11" customFormat="1" ht="18" customHeight="1"/>
    <row r="57" s="11" customFormat="1" ht="18" customHeight="1"/>
    <row r="58" s="11" customFormat="1" ht="18" customHeight="1"/>
    <row r="59" s="11" customFormat="1" ht="18" customHeight="1"/>
    <row r="60" s="11" customFormat="1" ht="18" customHeight="1"/>
    <row r="61" s="11" customFormat="1" ht="18" customHeight="1"/>
    <row r="62" s="11" customFormat="1" ht="18" customHeight="1"/>
    <row r="63" s="11" customFormat="1" ht="18" customHeight="1"/>
    <row r="64" s="11" customFormat="1" ht="18" customHeight="1"/>
    <row r="65" s="11" customFormat="1" ht="18" customHeight="1"/>
    <row r="66" s="11" customFormat="1" ht="18" customHeight="1"/>
    <row r="67" s="11" customFormat="1" ht="18" customHeight="1"/>
    <row r="68" s="11" customFormat="1" ht="18" customHeight="1"/>
    <row r="69" s="11" customFormat="1" ht="18" customHeight="1"/>
    <row r="70" s="11" customFormat="1" ht="18" customHeight="1"/>
    <row r="71" s="11" customFormat="1" ht="18" customHeight="1"/>
    <row r="72" s="11" customFormat="1" ht="18" customHeight="1"/>
    <row r="73" s="11" customFormat="1" ht="18" customHeight="1"/>
    <row r="74" s="11" customFormat="1" ht="18" customHeight="1"/>
    <row r="75" s="11" customFormat="1" ht="18" customHeight="1"/>
    <row r="76" s="11" customFormat="1" ht="18" customHeight="1"/>
    <row r="77" s="11" customFormat="1" ht="18" customHeight="1"/>
    <row r="78" s="11" customFormat="1" ht="18" customHeight="1"/>
    <row r="79" s="11" customFormat="1" ht="18" customHeight="1"/>
    <row r="80" s="11" customFormat="1" ht="18" customHeight="1"/>
    <row r="81" s="11" customFormat="1" ht="18" customHeight="1"/>
    <row r="82" s="11" customFormat="1" ht="18" customHeight="1"/>
    <row r="83" s="11" customFormat="1" ht="18" customHeight="1"/>
    <row r="84" s="11" customFormat="1" ht="18" customHeight="1"/>
    <row r="85" s="11" customFormat="1" ht="18" customHeight="1"/>
    <row r="86" s="11" customFormat="1" ht="18" customHeight="1"/>
  </sheetData>
  <sheetProtection formatCells="0" formatColumns="0" formatRows="0" insertColumns="0" insertRows="0" deleteColumns="0" deleteRows="0"/>
  <mergeCells count="1">
    <mergeCell ref="B1:J1"/>
  </mergeCells>
  <phoneticPr fontId="6" type="noConversion"/>
  <pageMargins left="0.75" right="0.75" top="1" bottom="1" header="0.5" footer="0.5"/>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tabColor rgb="FFFFFF00"/>
  </sheetPr>
  <dimension ref="A1:DZ124"/>
  <sheetViews>
    <sheetView topLeftCell="A37" zoomScaleNormal="100" workbookViewId="0">
      <selection activeCell="I42" sqref="I42"/>
    </sheetView>
  </sheetViews>
  <sheetFormatPr defaultColWidth="9" defaultRowHeight="18" customHeight="1" outlineLevelRow="1"/>
  <cols>
    <col min="1" max="1" width="2.75" style="3" customWidth="1"/>
    <col min="2" max="2" width="24.75" style="3" customWidth="1"/>
    <col min="3" max="5" width="9.08203125" style="3" customWidth="1"/>
    <col min="6" max="6" width="9.5" style="3" customWidth="1"/>
    <col min="7" max="7" width="9.5" style="3" bestFit="1" customWidth="1"/>
    <col min="8" max="11" width="10.5" style="3" bestFit="1" customWidth="1"/>
    <col min="12" max="16384" width="9" style="3"/>
  </cols>
  <sheetData>
    <row r="1" spans="1:130" ht="27.75" customHeight="1">
      <c r="A1" s="239"/>
      <c r="B1" s="749" t="s">
        <v>315</v>
      </c>
      <c r="C1" s="749"/>
      <c r="D1" s="749"/>
      <c r="E1" s="749"/>
      <c r="F1" s="749"/>
      <c r="G1" s="749"/>
      <c r="H1" s="749"/>
      <c r="I1" s="749"/>
      <c r="J1" s="749"/>
      <c r="K1" s="437"/>
      <c r="L1" s="11"/>
      <c r="M1" s="11"/>
      <c r="N1" s="11"/>
      <c r="O1" s="11"/>
      <c r="P1" s="11"/>
      <c r="Q1" s="11"/>
      <c r="R1" s="11"/>
      <c r="S1" s="11"/>
      <c r="T1" s="11"/>
      <c r="U1" s="11"/>
      <c r="V1" s="11"/>
      <c r="W1" s="11"/>
      <c r="X1" s="11"/>
    </row>
    <row r="2" spans="1:130" ht="18" customHeight="1">
      <c r="B2" s="229" t="str">
        <f>'1报表'!B11</f>
        <v>评估基准日：2018/6/30</v>
      </c>
      <c r="E2" s="71"/>
      <c r="F2" s="71"/>
      <c r="G2" s="71"/>
    </row>
    <row r="3" spans="1:130" s="11" customFormat="1" ht="18" customHeight="1">
      <c r="B3" s="229" t="str">
        <f>'1报表'!B12</f>
        <v>被评估单位：YLSJ公司</v>
      </c>
      <c r="E3" s="729">
        <f>MONTH('1报表'!E5)</f>
        <v>6</v>
      </c>
      <c r="F3" s="730" t="s">
        <v>853</v>
      </c>
      <c r="K3" s="15" t="s">
        <v>52</v>
      </c>
    </row>
    <row r="4" spans="1:130" ht="21" customHeight="1">
      <c r="B4" s="24" t="s">
        <v>64</v>
      </c>
      <c r="C4" s="61" t="str">
        <f>'3收入'!C4</f>
        <v>2016年</v>
      </c>
      <c r="D4" s="61" t="str">
        <f>'3收入'!D4</f>
        <v>2017年</v>
      </c>
      <c r="E4" s="61" t="str">
        <f>'3收入'!E4</f>
        <v>2018年1-6</v>
      </c>
      <c r="F4" s="23" t="str">
        <f>'3收入'!F4</f>
        <v>2018年</v>
      </c>
      <c r="G4" s="23" t="str">
        <f>'3收入'!G4</f>
        <v>2019年</v>
      </c>
      <c r="H4" s="23" t="str">
        <f>'3收入'!H4</f>
        <v>2020年</v>
      </c>
      <c r="I4" s="23" t="str">
        <f>'3收入'!I4</f>
        <v>2021年</v>
      </c>
      <c r="J4" s="23" t="str">
        <f>'3收入'!J4</f>
        <v>2022年</v>
      </c>
      <c r="K4" s="23" t="str">
        <f>'3收入'!K4</f>
        <v>2023年</v>
      </c>
      <c r="L4" s="606" t="s">
        <v>708</v>
      </c>
      <c r="M4" s="73"/>
      <c r="N4" s="73"/>
      <c r="O4" s="73"/>
      <c r="P4" s="73"/>
      <c r="Q4" s="73"/>
      <c r="R4" s="73"/>
      <c r="S4" s="73"/>
      <c r="T4" s="73"/>
      <c r="U4" s="73"/>
      <c r="V4" s="73"/>
      <c r="W4" s="73"/>
      <c r="X4" s="73"/>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row>
    <row r="5" spans="1:130" ht="18" customHeight="1">
      <c r="A5" s="226"/>
      <c r="B5" s="5" t="s">
        <v>194</v>
      </c>
      <c r="C5" s="50">
        <f>'9溢余现金'!C19</f>
        <v>321.27782391666665</v>
      </c>
      <c r="D5" s="50">
        <f>'9溢余现金'!D19</f>
        <v>359.46774975</v>
      </c>
      <c r="E5" s="50">
        <f>'9溢余现金'!E19</f>
        <v>156.56071600000001</v>
      </c>
      <c r="F5" s="50">
        <f>'9溢余现金'!F19</f>
        <v>251.89888933333333</v>
      </c>
      <c r="G5" s="50">
        <f>'9溢余现金'!G19</f>
        <v>273.8738893333333</v>
      </c>
      <c r="H5" s="50">
        <f>'9溢余现金'!H19</f>
        <v>293.21188933333332</v>
      </c>
      <c r="I5" s="50">
        <f>'9溢余现金'!I19</f>
        <v>306.26503933333333</v>
      </c>
      <c r="J5" s="50">
        <f>'9溢余现金'!J19</f>
        <v>314.48852383333343</v>
      </c>
      <c r="K5" s="50">
        <f>'9溢余现金'!K19</f>
        <v>314.48852383333343</v>
      </c>
      <c r="L5" s="607" t="s">
        <v>707</v>
      </c>
      <c r="M5" s="73"/>
      <c r="N5" s="73"/>
      <c r="O5" s="73"/>
      <c r="P5" s="73"/>
      <c r="Q5" s="73"/>
      <c r="R5" s="73"/>
      <c r="S5" s="73"/>
      <c r="T5" s="73"/>
      <c r="U5" s="73"/>
      <c r="V5" s="73"/>
      <c r="W5" s="73"/>
      <c r="X5" s="73"/>
      <c r="Y5" s="72"/>
      <c r="Z5" s="72"/>
      <c r="AA5" s="72"/>
      <c r="AB5" s="72"/>
      <c r="AC5" s="72"/>
      <c r="AD5" s="72"/>
      <c r="AE5" s="72"/>
      <c r="AF5" s="72"/>
      <c r="AG5" s="72"/>
      <c r="AH5" s="72"/>
      <c r="AI5" s="72"/>
      <c r="AJ5" s="72"/>
      <c r="AK5" s="72"/>
      <c r="AL5" s="72"/>
      <c r="AM5" s="72"/>
      <c r="AN5" s="72"/>
      <c r="AO5" s="72"/>
      <c r="AP5" s="72"/>
      <c r="AQ5" s="72"/>
      <c r="AR5" s="72"/>
      <c r="AS5" s="72"/>
      <c r="AT5" s="72"/>
      <c r="AU5" s="72"/>
      <c r="AV5" s="72"/>
      <c r="AW5" s="72"/>
      <c r="AX5" s="72"/>
      <c r="AY5" s="72"/>
      <c r="AZ5" s="72"/>
      <c r="BA5" s="72"/>
      <c r="BB5" s="72"/>
      <c r="BC5" s="72"/>
      <c r="BD5" s="72"/>
      <c r="BE5" s="72"/>
      <c r="BF5" s="72"/>
      <c r="BG5" s="72"/>
      <c r="BH5" s="72"/>
      <c r="BI5" s="72"/>
      <c r="BJ5" s="72"/>
      <c r="BK5" s="72"/>
      <c r="BL5" s="72"/>
      <c r="BM5" s="72"/>
      <c r="BN5" s="72"/>
      <c r="BO5" s="72"/>
      <c r="BP5" s="72"/>
      <c r="BQ5" s="72"/>
      <c r="BR5" s="72"/>
      <c r="BS5" s="72"/>
      <c r="BT5" s="72"/>
      <c r="BU5" s="72"/>
      <c r="BV5" s="72"/>
      <c r="BW5" s="72"/>
      <c r="BX5" s="72"/>
      <c r="BY5" s="72"/>
      <c r="BZ5" s="72"/>
      <c r="CA5" s="72"/>
      <c r="CB5" s="72"/>
      <c r="CC5" s="72"/>
      <c r="CD5" s="72"/>
      <c r="CE5" s="72"/>
      <c r="CF5" s="72"/>
      <c r="CG5" s="72"/>
      <c r="CH5" s="72"/>
      <c r="CI5" s="72"/>
      <c r="CJ5" s="72"/>
      <c r="CK5" s="72"/>
      <c r="CL5" s="72"/>
      <c r="CM5" s="72"/>
      <c r="CN5" s="72"/>
      <c r="CO5" s="72"/>
      <c r="CP5" s="72"/>
      <c r="CQ5" s="72"/>
      <c r="CR5" s="72"/>
      <c r="CS5" s="72"/>
      <c r="CT5" s="72"/>
      <c r="CU5" s="72"/>
      <c r="CV5" s="72"/>
      <c r="CW5" s="72"/>
      <c r="CX5" s="72"/>
      <c r="CY5" s="72"/>
      <c r="CZ5" s="72"/>
      <c r="DA5" s="72"/>
      <c r="DB5" s="72"/>
      <c r="DC5" s="72"/>
      <c r="DD5" s="72"/>
      <c r="DE5" s="72"/>
      <c r="DF5" s="72"/>
      <c r="DG5" s="72"/>
      <c r="DH5" s="72"/>
      <c r="DI5" s="72"/>
      <c r="DJ5" s="72"/>
      <c r="DK5" s="72"/>
      <c r="DL5" s="72"/>
      <c r="DM5" s="72"/>
      <c r="DN5" s="72"/>
      <c r="DO5" s="72"/>
      <c r="DP5" s="72"/>
      <c r="DQ5" s="72"/>
      <c r="DR5" s="72"/>
      <c r="DS5" s="72"/>
      <c r="DT5" s="72"/>
      <c r="DU5" s="72"/>
      <c r="DV5" s="72"/>
      <c r="DW5" s="72"/>
      <c r="DX5" s="72"/>
      <c r="DY5" s="72"/>
      <c r="DZ5" s="72"/>
    </row>
    <row r="6" spans="1:130" s="212" customFormat="1" ht="18" customHeight="1" outlineLevel="1">
      <c r="A6" s="136"/>
      <c r="B6" s="444" t="s">
        <v>709</v>
      </c>
      <c r="C6" s="446">
        <f>'1报表'!C18-'2报表调整'!K11</f>
        <v>915.133782</v>
      </c>
      <c r="D6" s="446">
        <f>'1报表'!D18-'2报表调整'!L11</f>
        <v>747.61612200000002</v>
      </c>
      <c r="E6" s="446">
        <f>'2报表调整'!G11</f>
        <v>479.66660899999999</v>
      </c>
      <c r="F6" s="445"/>
      <c r="G6" s="445"/>
      <c r="H6" s="445"/>
      <c r="I6" s="445"/>
      <c r="J6" s="445"/>
      <c r="K6" s="445"/>
      <c r="L6" s="41"/>
      <c r="M6" s="41"/>
      <c r="N6" s="41"/>
      <c r="O6" s="41"/>
      <c r="P6" s="41"/>
      <c r="Q6" s="41"/>
      <c r="R6" s="41"/>
      <c r="S6" s="41"/>
      <c r="T6" s="41"/>
      <c r="U6" s="41"/>
      <c r="V6" s="41"/>
      <c r="W6" s="41"/>
      <c r="X6" s="41"/>
    </row>
    <row r="7" spans="1:130" s="212" customFormat="1" ht="18" customHeight="1" outlineLevel="1">
      <c r="A7" s="136"/>
      <c r="B7" s="365" t="s">
        <v>437</v>
      </c>
      <c r="C7" s="446">
        <f>IF(C41,360*C6/C41,0)</f>
        <v>52.210488751619764</v>
      </c>
      <c r="D7" s="446">
        <f>IF(D41,360*D6/D41,0)</f>
        <v>41.701020113237597</v>
      </c>
      <c r="E7" s="446">
        <f>IF(E41,360*E6*E3/E41/12,0)</f>
        <v>41.730524931758183</v>
      </c>
      <c r="F7" s="447">
        <v>42</v>
      </c>
      <c r="G7" s="447">
        <f>F7</f>
        <v>42</v>
      </c>
      <c r="H7" s="447">
        <f>G7</f>
        <v>42</v>
      </c>
      <c r="I7" s="447">
        <f>H7</f>
        <v>42</v>
      </c>
      <c r="J7" s="447">
        <f>I7</f>
        <v>42</v>
      </c>
      <c r="K7" s="447">
        <f>J7</f>
        <v>42</v>
      </c>
      <c r="L7" s="41"/>
      <c r="M7" s="41"/>
      <c r="N7" s="41"/>
      <c r="O7" s="41"/>
      <c r="P7" s="41"/>
      <c r="Q7" s="41"/>
      <c r="R7" s="41"/>
      <c r="S7" s="41"/>
      <c r="T7" s="41"/>
      <c r="U7" s="41"/>
      <c r="V7" s="41"/>
      <c r="W7" s="41"/>
      <c r="X7" s="41"/>
    </row>
    <row r="8" spans="1:130" s="212" customFormat="1" ht="18" customHeight="1">
      <c r="A8" s="136"/>
      <c r="B8" s="6" t="s">
        <v>710</v>
      </c>
      <c r="C8" s="38">
        <f t="shared" ref="C8:E8" si="0">C6</f>
        <v>915.133782</v>
      </c>
      <c r="D8" s="38">
        <f t="shared" si="0"/>
        <v>747.61612200000002</v>
      </c>
      <c r="E8" s="38">
        <f t="shared" si="0"/>
        <v>479.66660899999999</v>
      </c>
      <c r="F8" s="38">
        <f t="shared" ref="F8:K8" si="1">IF(F6,F6,F41*F7/360)</f>
        <v>525</v>
      </c>
      <c r="G8" s="38">
        <f t="shared" si="1"/>
        <v>577.5</v>
      </c>
      <c r="H8" s="38">
        <f t="shared" si="1"/>
        <v>623.70000000000005</v>
      </c>
      <c r="I8" s="38">
        <f t="shared" si="1"/>
        <v>654.88499999999999</v>
      </c>
      <c r="J8" s="38">
        <f t="shared" si="1"/>
        <v>674.53155000000004</v>
      </c>
      <c r="K8" s="38">
        <f t="shared" si="1"/>
        <v>674.53155000000004</v>
      </c>
      <c r="L8" s="41"/>
      <c r="M8" s="41"/>
      <c r="N8" s="41"/>
      <c r="O8" s="41"/>
      <c r="P8" s="41"/>
      <c r="Q8" s="41"/>
      <c r="R8" s="41"/>
      <c r="S8" s="41"/>
      <c r="T8" s="41"/>
      <c r="U8" s="41"/>
      <c r="V8" s="41"/>
      <c r="W8" s="41"/>
      <c r="X8" s="41"/>
    </row>
    <row r="9" spans="1:130" s="184" customFormat="1" ht="18" customHeight="1" outlineLevel="1">
      <c r="A9" s="137"/>
      <c r="B9" s="442" t="s">
        <v>711</v>
      </c>
      <c r="C9" s="449">
        <f>'1报表'!C19-'2报表调整'!K12</f>
        <v>0</v>
      </c>
      <c r="D9" s="449">
        <f>'1报表'!D19-'2报表调整'!L12</f>
        <v>0</v>
      </c>
      <c r="E9" s="449">
        <f>'2报表调整'!G12</f>
        <v>0</v>
      </c>
      <c r="F9" s="445"/>
      <c r="G9" s="445"/>
      <c r="H9" s="445"/>
      <c r="I9" s="445"/>
      <c r="J9" s="445"/>
      <c r="K9" s="445"/>
      <c r="L9" s="171"/>
      <c r="M9" s="131"/>
      <c r="N9" s="131"/>
      <c r="O9" s="131"/>
      <c r="P9" s="131"/>
      <c r="Q9" s="131"/>
      <c r="R9" s="131"/>
      <c r="S9" s="131"/>
      <c r="T9" s="131"/>
      <c r="U9" s="131"/>
      <c r="V9" s="131"/>
      <c r="W9" s="131"/>
      <c r="X9" s="131"/>
    </row>
    <row r="10" spans="1:130" s="184" customFormat="1" ht="18" customHeight="1" outlineLevel="1">
      <c r="A10" s="137"/>
      <c r="B10" s="366" t="s">
        <v>438</v>
      </c>
      <c r="C10" s="446">
        <f>IF(C42,360*C9/C42,0)</f>
        <v>0</v>
      </c>
      <c r="D10" s="446">
        <f>IF(D42,360*D9/D42,0)</f>
        <v>0</v>
      </c>
      <c r="E10" s="446">
        <f>IF(E42,360*E9*E3/E42/12,0)</f>
        <v>0</v>
      </c>
      <c r="F10" s="447"/>
      <c r="G10" s="447">
        <f>F10</f>
        <v>0</v>
      </c>
      <c r="H10" s="447">
        <f>G10</f>
        <v>0</v>
      </c>
      <c r="I10" s="447">
        <f>H10</f>
        <v>0</v>
      </c>
      <c r="J10" s="447">
        <f>I10</f>
        <v>0</v>
      </c>
      <c r="K10" s="447">
        <f>J10</f>
        <v>0</v>
      </c>
      <c r="L10" s="171"/>
      <c r="M10" s="131"/>
      <c r="N10" s="131"/>
      <c r="O10" s="131"/>
      <c r="P10" s="131"/>
      <c r="Q10" s="131"/>
      <c r="R10" s="131"/>
      <c r="S10" s="131"/>
      <c r="T10" s="131"/>
      <c r="U10" s="131"/>
      <c r="V10" s="131"/>
      <c r="W10" s="131"/>
      <c r="X10" s="131"/>
    </row>
    <row r="11" spans="1:130" s="184" customFormat="1" ht="18" customHeight="1">
      <c r="A11" s="137"/>
      <c r="B11" s="443" t="s">
        <v>66</v>
      </c>
      <c r="C11" s="38">
        <f>C9</f>
        <v>0</v>
      </c>
      <c r="D11" s="38">
        <f t="shared" ref="D11" si="2">D9</f>
        <v>0</v>
      </c>
      <c r="E11" s="38">
        <f>E9</f>
        <v>0</v>
      </c>
      <c r="F11" s="38">
        <f>IF(F9,F9,F42*F10/360)</f>
        <v>0</v>
      </c>
      <c r="G11" s="38">
        <f t="shared" ref="G11:K11" si="3">IF(G9,G9,G42*G10/360)</f>
        <v>0</v>
      </c>
      <c r="H11" s="38">
        <f t="shared" si="3"/>
        <v>0</v>
      </c>
      <c r="I11" s="38">
        <f t="shared" si="3"/>
        <v>0</v>
      </c>
      <c r="J11" s="38">
        <f t="shared" si="3"/>
        <v>0</v>
      </c>
      <c r="K11" s="38">
        <f t="shared" si="3"/>
        <v>0</v>
      </c>
      <c r="L11" s="171"/>
      <c r="M11" s="131"/>
      <c r="N11" s="131"/>
      <c r="O11" s="131"/>
      <c r="P11" s="131"/>
      <c r="Q11" s="131"/>
      <c r="R11" s="131"/>
      <c r="S11" s="131"/>
      <c r="T11" s="131"/>
      <c r="U11" s="131"/>
      <c r="V11" s="131"/>
      <c r="W11" s="131"/>
      <c r="X11" s="131"/>
    </row>
    <row r="12" spans="1:130" s="212" customFormat="1" ht="18" customHeight="1" outlineLevel="1">
      <c r="A12" s="136"/>
      <c r="B12" s="448" t="s">
        <v>712</v>
      </c>
      <c r="C12" s="446">
        <f>'1报表'!C22-'2报表调整'!K15</f>
        <v>124.12402399999999</v>
      </c>
      <c r="D12" s="446">
        <f>'1报表'!D22-'2报表调整'!L15</f>
        <v>195.04909699999999</v>
      </c>
      <c r="E12" s="446">
        <f>'2报表调整'!G15</f>
        <v>191.02019999999993</v>
      </c>
      <c r="F12" s="450"/>
      <c r="G12" s="450"/>
      <c r="H12" s="450"/>
      <c r="I12" s="450"/>
      <c r="J12" s="450"/>
      <c r="K12" s="450"/>
      <c r="L12" s="41"/>
      <c r="M12" s="41"/>
      <c r="N12" s="41"/>
      <c r="O12" s="41"/>
      <c r="P12" s="41"/>
      <c r="Q12" s="41"/>
      <c r="R12" s="41"/>
      <c r="S12" s="41"/>
      <c r="T12" s="41"/>
      <c r="U12" s="41"/>
      <c r="V12" s="41"/>
      <c r="W12" s="41"/>
      <c r="X12" s="41"/>
    </row>
    <row r="13" spans="1:130" s="212" customFormat="1" ht="18" customHeight="1" outlineLevel="1">
      <c r="A13" s="136"/>
      <c r="B13" s="367" t="s">
        <v>438</v>
      </c>
      <c r="C13" s="446">
        <f>IF(C41,360*C12/C41,0)</f>
        <v>7.0815612824331087</v>
      </c>
      <c r="D13" s="446">
        <f>IF(D41,360*D12/D41,0)</f>
        <v>10.879575864825757</v>
      </c>
      <c r="E13" s="446">
        <f>IF(E41,360*E12*E3/E41/12,0)</f>
        <v>16.618570208979111</v>
      </c>
      <c r="F13" s="447">
        <v>15</v>
      </c>
      <c r="G13" s="447">
        <f t="shared" ref="G13:K13" si="4">F13</f>
        <v>15</v>
      </c>
      <c r="H13" s="447">
        <f t="shared" si="4"/>
        <v>15</v>
      </c>
      <c r="I13" s="447">
        <f t="shared" si="4"/>
        <v>15</v>
      </c>
      <c r="J13" s="447">
        <f t="shared" si="4"/>
        <v>15</v>
      </c>
      <c r="K13" s="447">
        <f t="shared" si="4"/>
        <v>15</v>
      </c>
      <c r="L13" s="41"/>
      <c r="M13" s="41"/>
      <c r="N13" s="41"/>
      <c r="O13" s="41"/>
      <c r="P13" s="41"/>
      <c r="Q13" s="41"/>
      <c r="R13" s="41"/>
      <c r="S13" s="41"/>
      <c r="T13" s="41"/>
      <c r="U13" s="41"/>
      <c r="V13" s="41"/>
      <c r="W13" s="41"/>
      <c r="X13" s="41"/>
    </row>
    <row r="14" spans="1:130" s="212" customFormat="1" ht="18" customHeight="1">
      <c r="A14" s="136"/>
      <c r="B14" s="451" t="s">
        <v>67</v>
      </c>
      <c r="C14" s="144">
        <f t="shared" ref="C14:E14" si="5">C12</f>
        <v>124.12402399999999</v>
      </c>
      <c r="D14" s="144">
        <f t="shared" si="5"/>
        <v>195.04909699999999</v>
      </c>
      <c r="E14" s="144">
        <f t="shared" si="5"/>
        <v>191.02019999999993</v>
      </c>
      <c r="F14" s="144">
        <f t="shared" ref="F14:K14" si="6">IF(F12,F12,F41*F13/360)</f>
        <v>187.5</v>
      </c>
      <c r="G14" s="144">
        <f t="shared" si="6"/>
        <v>206.25</v>
      </c>
      <c r="H14" s="144">
        <f t="shared" si="6"/>
        <v>222.75</v>
      </c>
      <c r="I14" s="144">
        <f t="shared" si="6"/>
        <v>233.88749999999999</v>
      </c>
      <c r="J14" s="144">
        <f t="shared" si="6"/>
        <v>240.90412500000005</v>
      </c>
      <c r="K14" s="144">
        <f t="shared" si="6"/>
        <v>240.90412500000005</v>
      </c>
      <c r="L14" s="131"/>
      <c r="M14" s="41"/>
      <c r="N14" s="41"/>
      <c r="O14" s="41"/>
      <c r="P14" s="41"/>
      <c r="Q14" s="41"/>
      <c r="R14" s="41"/>
      <c r="S14" s="41"/>
      <c r="T14" s="41"/>
      <c r="U14" s="41"/>
      <c r="V14" s="41"/>
      <c r="W14" s="41"/>
      <c r="X14" s="41"/>
    </row>
    <row r="15" spans="1:130" s="215" customFormat="1" ht="18" customHeight="1" outlineLevel="1">
      <c r="A15" s="136"/>
      <c r="B15" s="452" t="s">
        <v>713</v>
      </c>
      <c r="C15" s="449">
        <f>'1报表'!C23-'2报表调整'!K16</f>
        <v>0</v>
      </c>
      <c r="D15" s="449">
        <f>'1报表'!D23-'2报表调整'!L16</f>
        <v>0</v>
      </c>
      <c r="E15" s="449">
        <f>'2报表调整'!G16</f>
        <v>0</v>
      </c>
      <c r="F15" s="453"/>
      <c r="G15" s="453"/>
      <c r="H15" s="453"/>
      <c r="I15" s="453"/>
      <c r="J15" s="453"/>
      <c r="K15" s="453"/>
      <c r="L15" s="171"/>
      <c r="M15" s="131"/>
      <c r="N15" s="131"/>
      <c r="O15" s="131"/>
      <c r="P15" s="131"/>
      <c r="Q15" s="131"/>
      <c r="R15" s="131"/>
      <c r="S15" s="131"/>
      <c r="T15" s="131"/>
      <c r="U15" s="131"/>
      <c r="V15" s="131"/>
      <c r="W15" s="131"/>
      <c r="X15" s="131"/>
      <c r="Y15" s="184"/>
      <c r="Z15" s="184"/>
      <c r="AA15" s="184"/>
      <c r="AB15" s="184"/>
      <c r="AC15" s="184"/>
      <c r="AD15" s="184"/>
      <c r="AE15" s="184"/>
      <c r="AF15" s="184"/>
      <c r="AG15" s="184"/>
      <c r="AH15" s="184"/>
    </row>
    <row r="16" spans="1:130" s="215" customFormat="1" ht="18" customHeight="1" outlineLevel="1">
      <c r="A16" s="136"/>
      <c r="B16" s="368" t="s">
        <v>439</v>
      </c>
      <c r="C16" s="446">
        <f>IF(C42,360*C15/C42,0)</f>
        <v>0</v>
      </c>
      <c r="D16" s="446">
        <f>IF(D42,360*D15/D42,0)</f>
        <v>0</v>
      </c>
      <c r="E16" s="446">
        <f>IF(E42,360*E15*E3/E42/12,0)</f>
        <v>0</v>
      </c>
      <c r="F16" s="447"/>
      <c r="G16" s="447">
        <f>F16</f>
        <v>0</v>
      </c>
      <c r="H16" s="447">
        <f>G16</f>
        <v>0</v>
      </c>
      <c r="I16" s="447">
        <f>H16</f>
        <v>0</v>
      </c>
      <c r="J16" s="447">
        <f>I16</f>
        <v>0</v>
      </c>
      <c r="K16" s="447">
        <f>J16</f>
        <v>0</v>
      </c>
      <c r="L16" s="171"/>
      <c r="M16" s="131"/>
      <c r="N16" s="131"/>
      <c r="O16" s="131"/>
      <c r="P16" s="131"/>
      <c r="Q16" s="131"/>
      <c r="R16" s="131"/>
      <c r="S16" s="131"/>
      <c r="T16" s="131"/>
      <c r="U16" s="131"/>
      <c r="V16" s="131"/>
      <c r="W16" s="131"/>
      <c r="X16" s="131"/>
      <c r="Y16" s="184"/>
      <c r="Z16" s="184"/>
      <c r="AA16" s="184"/>
      <c r="AB16" s="184"/>
      <c r="AC16" s="184"/>
      <c r="AD16" s="184"/>
      <c r="AE16" s="184"/>
      <c r="AF16" s="184"/>
      <c r="AG16" s="184"/>
      <c r="AH16" s="184"/>
    </row>
    <row r="17" spans="1:130" s="215" customFormat="1" ht="18" customHeight="1">
      <c r="A17" s="136"/>
      <c r="B17" s="451" t="s">
        <v>596</v>
      </c>
      <c r="C17" s="38">
        <f t="shared" ref="C17:E17" si="7">C15</f>
        <v>0</v>
      </c>
      <c r="D17" s="38">
        <f t="shared" si="7"/>
        <v>0</v>
      </c>
      <c r="E17" s="38">
        <f t="shared" si="7"/>
        <v>0</v>
      </c>
      <c r="F17" s="38">
        <f t="shared" ref="F17:K17" si="8">IF(F15,F15,F42*F16/360)</f>
        <v>0</v>
      </c>
      <c r="G17" s="38">
        <f t="shared" si="8"/>
        <v>0</v>
      </c>
      <c r="H17" s="38">
        <f t="shared" si="8"/>
        <v>0</v>
      </c>
      <c r="I17" s="38">
        <f t="shared" si="8"/>
        <v>0</v>
      </c>
      <c r="J17" s="38">
        <f t="shared" si="8"/>
        <v>0</v>
      </c>
      <c r="K17" s="38">
        <f t="shared" si="8"/>
        <v>0</v>
      </c>
      <c r="L17" s="171"/>
      <c r="M17" s="131"/>
      <c r="N17" s="131"/>
      <c r="O17" s="131"/>
      <c r="P17" s="131"/>
      <c r="Q17" s="131"/>
      <c r="R17" s="131"/>
      <c r="S17" s="131"/>
      <c r="T17" s="131"/>
      <c r="U17" s="131"/>
      <c r="V17" s="131"/>
      <c r="W17" s="131"/>
      <c r="X17" s="131"/>
      <c r="Y17" s="184"/>
      <c r="Z17" s="184"/>
      <c r="AA17" s="184"/>
      <c r="AB17" s="184"/>
      <c r="AC17" s="184"/>
      <c r="AD17" s="184"/>
      <c r="AE17" s="184"/>
      <c r="AF17" s="184"/>
      <c r="AG17" s="184"/>
      <c r="AH17" s="184"/>
    </row>
    <row r="18" spans="1:130" s="215" customFormat="1" ht="18" customHeight="1">
      <c r="A18" s="136"/>
      <c r="B18" s="451" t="s">
        <v>714</v>
      </c>
      <c r="C18" s="38">
        <f>'1报表'!C24-'2报表调整'!K17</f>
        <v>0</v>
      </c>
      <c r="D18" s="38">
        <f>'1报表'!D24-'2报表调整'!L17</f>
        <v>0</v>
      </c>
      <c r="E18" s="38">
        <f>'2报表调整'!G17</f>
        <v>0</v>
      </c>
      <c r="F18" s="205"/>
      <c r="G18" s="205"/>
      <c r="H18" s="205"/>
      <c r="I18" s="205"/>
      <c r="J18" s="205"/>
      <c r="K18" s="205"/>
      <c r="L18" s="171"/>
      <c r="M18" s="131"/>
      <c r="N18" s="131"/>
      <c r="O18" s="131"/>
      <c r="P18" s="131"/>
      <c r="Q18" s="131"/>
      <c r="R18" s="131"/>
      <c r="S18" s="131"/>
      <c r="T18" s="131"/>
      <c r="U18" s="131"/>
      <c r="V18" s="131"/>
      <c r="W18" s="131"/>
      <c r="X18" s="131"/>
      <c r="Y18" s="184"/>
      <c r="Z18" s="184"/>
      <c r="AA18" s="184"/>
      <c r="AB18" s="184"/>
      <c r="AC18" s="184"/>
      <c r="AD18" s="184"/>
      <c r="AE18" s="184"/>
      <c r="AF18" s="184"/>
      <c r="AG18" s="184"/>
      <c r="AH18" s="184"/>
    </row>
    <row r="19" spans="1:130" ht="18" customHeight="1">
      <c r="A19" s="226"/>
      <c r="B19" s="5" t="s">
        <v>715</v>
      </c>
      <c r="C19" s="38">
        <f>'1报表'!C26-'2报表调整'!K19</f>
        <v>0</v>
      </c>
      <c r="D19" s="38">
        <f>'1报表'!D26-'2报表调整'!L19</f>
        <v>0</v>
      </c>
      <c r="E19" s="38">
        <f>'2报表调整'!G19</f>
        <v>0</v>
      </c>
      <c r="F19" s="205"/>
      <c r="G19" s="205"/>
      <c r="H19" s="205"/>
      <c r="I19" s="205"/>
      <c r="J19" s="205"/>
      <c r="K19" s="205"/>
      <c r="L19" s="73"/>
      <c r="M19" s="73"/>
      <c r="N19" s="73"/>
      <c r="O19" s="73"/>
      <c r="P19" s="73"/>
      <c r="Q19" s="73"/>
      <c r="R19" s="73"/>
      <c r="S19" s="73"/>
      <c r="T19" s="73"/>
      <c r="U19" s="73"/>
      <c r="V19" s="73"/>
      <c r="W19" s="73"/>
      <c r="X19" s="73"/>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row>
    <row r="20" spans="1:130" ht="18" customHeight="1">
      <c r="A20" s="226"/>
      <c r="B20" s="5" t="s">
        <v>716</v>
      </c>
      <c r="C20" s="38">
        <f>'1报表'!C27-'2报表调整'!K20</f>
        <v>0</v>
      </c>
      <c r="D20" s="38">
        <f>'1报表'!D27-'2报表调整'!L20</f>
        <v>0</v>
      </c>
      <c r="E20" s="38">
        <f>'2报表调整'!G20</f>
        <v>0</v>
      </c>
      <c r="F20" s="205"/>
      <c r="G20" s="205"/>
      <c r="H20" s="205"/>
      <c r="I20" s="205"/>
      <c r="J20" s="205"/>
      <c r="K20" s="205"/>
      <c r="L20" s="73"/>
      <c r="M20" s="73"/>
      <c r="N20" s="73"/>
      <c r="O20" s="73"/>
      <c r="P20" s="73"/>
      <c r="Q20" s="73"/>
      <c r="R20" s="73"/>
      <c r="S20" s="73"/>
      <c r="T20" s="73"/>
      <c r="U20" s="73"/>
      <c r="V20" s="73"/>
      <c r="W20" s="73"/>
      <c r="X20" s="73"/>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row>
    <row r="21" spans="1:130" ht="18" customHeight="1">
      <c r="A21" s="226"/>
      <c r="B21" s="35" t="s">
        <v>620</v>
      </c>
      <c r="C21" s="52">
        <f t="shared" ref="C21" si="9">C5+C8+C11+C14+C17+C18+C19+C20</f>
        <v>1360.5356299166667</v>
      </c>
      <c r="D21" s="52">
        <f>D5+D8+D11+D14+D17+D18+D19+D20</f>
        <v>1302.1329687500001</v>
      </c>
      <c r="E21" s="52">
        <f>E5+E8+E11+E14+E17+E18+E19+E20</f>
        <v>827.247525</v>
      </c>
      <c r="F21" s="52">
        <f t="shared" ref="F21" si="10">F5+F8+F11+F14+F17+F18+F19+F20</f>
        <v>964.39888933333327</v>
      </c>
      <c r="G21" s="52">
        <f t="shared" ref="G21" si="11">G5+G8+G11+G14+G17+G18+G19+G20</f>
        <v>1057.6238893333334</v>
      </c>
      <c r="H21" s="52">
        <f t="shared" ref="H21" si="12">H5+H8+H11+H14+H17+H18+H19+H20</f>
        <v>1139.6618893333334</v>
      </c>
      <c r="I21" s="52">
        <f t="shared" ref="I21" si="13">I5+I8+I11+I14+I17+I18+I19+I20</f>
        <v>1195.0375393333334</v>
      </c>
      <c r="J21" s="52">
        <f t="shared" ref="J21" si="14">J5+J8+J11+J14+J17+J18+J19+J20</f>
        <v>1229.9241988333335</v>
      </c>
      <c r="K21" s="52">
        <f t="shared" ref="K21" si="15">K5+K8+K11+K14+K17+K18+K19+K20</f>
        <v>1229.9241988333335</v>
      </c>
      <c r="L21" s="73"/>
      <c r="M21" s="73"/>
      <c r="N21" s="73"/>
      <c r="O21" s="73"/>
      <c r="P21" s="73"/>
      <c r="Q21" s="73"/>
      <c r="R21" s="73"/>
      <c r="S21" s="73"/>
      <c r="T21" s="73"/>
      <c r="U21" s="73"/>
      <c r="V21" s="73"/>
      <c r="W21" s="73"/>
      <c r="X21" s="73"/>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c r="DL21" s="72"/>
      <c r="DM21" s="72"/>
      <c r="DN21" s="72"/>
      <c r="DO21" s="72"/>
      <c r="DP21" s="72"/>
      <c r="DQ21" s="72"/>
      <c r="DR21" s="72"/>
      <c r="DS21" s="72"/>
      <c r="DT21" s="72"/>
      <c r="DU21" s="72"/>
      <c r="DV21" s="72"/>
      <c r="DW21" s="72"/>
      <c r="DX21" s="72"/>
      <c r="DY21" s="72"/>
      <c r="DZ21" s="72"/>
    </row>
    <row r="22" spans="1:130" s="72" customFormat="1" ht="18" customHeight="1">
      <c r="A22" s="226"/>
      <c r="B22" s="165"/>
      <c r="C22" s="454"/>
      <c r="D22" s="455"/>
      <c r="E22" s="454"/>
      <c r="F22" s="454"/>
      <c r="G22" s="454"/>
      <c r="H22" s="454"/>
      <c r="I22" s="454"/>
      <c r="J22" s="454"/>
      <c r="K22" s="165"/>
      <c r="L22" s="73"/>
      <c r="T22" s="73"/>
      <c r="U22" s="73"/>
      <c r="V22" s="73"/>
      <c r="W22" s="73"/>
      <c r="X22" s="73"/>
    </row>
    <row r="23" spans="1:130" s="184" customFormat="1" ht="18" customHeight="1" outlineLevel="1">
      <c r="A23" s="137"/>
      <c r="B23" s="444" t="s">
        <v>717</v>
      </c>
      <c r="C23" s="449">
        <f>'1报表'!C55-'2报表调整'!K48</f>
        <v>0</v>
      </c>
      <c r="D23" s="449">
        <f>'1报表'!D55-'2报表调整'!L48</f>
        <v>0</v>
      </c>
      <c r="E23" s="449">
        <f>'2报表调整'!G48</f>
        <v>297.39515899999998</v>
      </c>
      <c r="F23" s="447"/>
      <c r="G23" s="447"/>
      <c r="H23" s="447"/>
      <c r="I23" s="447"/>
      <c r="J23" s="447"/>
      <c r="K23" s="447"/>
      <c r="L23" s="223"/>
      <c r="M23" s="131"/>
      <c r="N23" s="131"/>
      <c r="O23" s="131"/>
      <c r="P23" s="131"/>
      <c r="Q23" s="131"/>
      <c r="R23" s="131"/>
      <c r="S23" s="131"/>
      <c r="T23" s="131"/>
      <c r="U23" s="131"/>
      <c r="V23" s="131"/>
      <c r="W23" s="131"/>
      <c r="X23" s="131"/>
    </row>
    <row r="24" spans="1:130" s="184" customFormat="1" ht="18" customHeight="1" outlineLevel="1">
      <c r="A24" s="137"/>
      <c r="B24" s="365" t="s">
        <v>438</v>
      </c>
      <c r="C24" s="446">
        <f>IF(C42,360*C23/C42,0)</f>
        <v>0</v>
      </c>
      <c r="D24" s="446">
        <f>IF(D42,360*D23/D42,0)</f>
        <v>0</v>
      </c>
      <c r="E24" s="446">
        <f>IF(E42,360*E23*E3/E42/12,0)</f>
        <v>23.809471230827416</v>
      </c>
      <c r="F24" s="447">
        <v>20</v>
      </c>
      <c r="G24" s="447">
        <f>F24</f>
        <v>20</v>
      </c>
      <c r="H24" s="447">
        <f>G24</f>
        <v>20</v>
      </c>
      <c r="I24" s="447">
        <f>H24</f>
        <v>20</v>
      </c>
      <c r="J24" s="447">
        <f>I24</f>
        <v>20</v>
      </c>
      <c r="K24" s="447">
        <f>J24</f>
        <v>20</v>
      </c>
      <c r="L24" s="223"/>
      <c r="M24" s="131"/>
      <c r="N24" s="131"/>
      <c r="O24" s="131"/>
      <c r="P24" s="131"/>
      <c r="Q24" s="131"/>
      <c r="R24" s="131"/>
      <c r="S24" s="131"/>
      <c r="T24" s="131"/>
      <c r="U24" s="131"/>
      <c r="V24" s="131"/>
      <c r="W24" s="131"/>
      <c r="X24" s="131"/>
    </row>
    <row r="25" spans="1:130" s="184" customFormat="1" ht="18" customHeight="1">
      <c r="A25" s="137"/>
      <c r="B25" s="6" t="s">
        <v>718</v>
      </c>
      <c r="C25" s="38">
        <f t="shared" ref="C25:E25" si="16">C23</f>
        <v>0</v>
      </c>
      <c r="D25" s="38">
        <f t="shared" si="16"/>
        <v>0</v>
      </c>
      <c r="E25" s="38">
        <f t="shared" si="16"/>
        <v>297.39515899999998</v>
      </c>
      <c r="F25" s="38">
        <f t="shared" ref="F25:K25" si="17">IF(F23,F23,F42*F24/360)</f>
        <v>219.93277777777777</v>
      </c>
      <c r="G25" s="38">
        <f t="shared" si="17"/>
        <v>242.36333333333334</v>
      </c>
      <c r="H25" s="38">
        <f t="shared" si="17"/>
        <v>261.56526288888892</v>
      </c>
      <c r="I25" s="38">
        <f t="shared" si="17"/>
        <v>273.21505555555552</v>
      </c>
      <c r="J25" s="38">
        <f t="shared" si="17"/>
        <v>281.89878500000003</v>
      </c>
      <c r="K25" s="38">
        <f t="shared" si="17"/>
        <v>282.29600722222222</v>
      </c>
      <c r="L25" s="223"/>
      <c r="M25" s="131"/>
      <c r="N25" s="131"/>
      <c r="O25" s="131"/>
      <c r="P25" s="131"/>
      <c r="Q25" s="131"/>
      <c r="R25" s="131"/>
      <c r="S25" s="131"/>
      <c r="T25" s="131"/>
      <c r="U25" s="131"/>
      <c r="V25" s="131"/>
      <c r="W25" s="131"/>
      <c r="X25" s="131"/>
    </row>
    <row r="26" spans="1:130" s="184" customFormat="1" ht="18" customHeight="1" outlineLevel="1">
      <c r="A26" s="137"/>
      <c r="B26" s="442" t="s">
        <v>719</v>
      </c>
      <c r="C26" s="449">
        <f>'1报表'!C56-'2报表调整'!K49</f>
        <v>124.37</v>
      </c>
      <c r="D26" s="449">
        <f>'1报表'!D56-'2报表调整'!L49</f>
        <v>78</v>
      </c>
      <c r="E26" s="449">
        <f>'2报表调整'!G49</f>
        <v>99.153700000000001</v>
      </c>
      <c r="F26" s="453"/>
      <c r="G26" s="453"/>
      <c r="H26" s="453"/>
      <c r="I26" s="453"/>
      <c r="J26" s="453"/>
      <c r="K26" s="453"/>
      <c r="L26" s="223"/>
      <c r="M26" s="131"/>
      <c r="N26" s="131"/>
      <c r="O26" s="131"/>
      <c r="P26" s="131"/>
      <c r="Q26" s="131"/>
      <c r="R26" s="131"/>
      <c r="S26" s="131"/>
      <c r="T26" s="131"/>
      <c r="U26" s="131"/>
      <c r="V26" s="131"/>
      <c r="W26" s="131"/>
      <c r="X26" s="131"/>
    </row>
    <row r="27" spans="1:130" s="184" customFormat="1" ht="18" customHeight="1" outlineLevel="1">
      <c r="A27" s="137"/>
      <c r="B27" s="369" t="s">
        <v>439</v>
      </c>
      <c r="C27" s="446">
        <f>IF(C41,360*C26/C41,0)</f>
        <v>7.0955947794296925</v>
      </c>
      <c r="D27" s="446">
        <f>IF(D41,360*D26/D41,0)</f>
        <v>4.3507349201232612</v>
      </c>
      <c r="E27" s="446">
        <f>IF(E41,360*E26*E3/E41/12,0)</f>
        <v>8.6262747339289412</v>
      </c>
      <c r="F27" s="447">
        <v>6</v>
      </c>
      <c r="G27" s="447">
        <f>F27</f>
        <v>6</v>
      </c>
      <c r="H27" s="447">
        <f>G27</f>
        <v>6</v>
      </c>
      <c r="I27" s="447">
        <f>H27</f>
        <v>6</v>
      </c>
      <c r="J27" s="447">
        <f>I27</f>
        <v>6</v>
      </c>
      <c r="K27" s="447">
        <f>J27</f>
        <v>6</v>
      </c>
      <c r="L27" s="223"/>
      <c r="M27" s="131"/>
      <c r="N27" s="131"/>
      <c r="O27" s="131"/>
      <c r="P27" s="131"/>
      <c r="Q27" s="131"/>
      <c r="R27" s="131"/>
      <c r="S27" s="131"/>
      <c r="T27" s="131"/>
      <c r="U27" s="131"/>
      <c r="V27" s="131"/>
      <c r="W27" s="131"/>
      <c r="X27" s="131"/>
    </row>
    <row r="28" spans="1:130" s="184" customFormat="1" ht="18" customHeight="1">
      <c r="A28" s="137"/>
      <c r="B28" s="443" t="s">
        <v>610</v>
      </c>
      <c r="C28" s="38">
        <f t="shared" ref="C28:E28" si="18">C26</f>
        <v>124.37</v>
      </c>
      <c r="D28" s="38">
        <f t="shared" si="18"/>
        <v>78</v>
      </c>
      <c r="E28" s="38">
        <f t="shared" si="18"/>
        <v>99.153700000000001</v>
      </c>
      <c r="F28" s="38">
        <f t="shared" ref="F28:K28" si="19">IF(F26,F26,F41*F27/360)</f>
        <v>75</v>
      </c>
      <c r="G28" s="38">
        <f t="shared" si="19"/>
        <v>82.5</v>
      </c>
      <c r="H28" s="38">
        <f t="shared" si="19"/>
        <v>89.1</v>
      </c>
      <c r="I28" s="38">
        <f t="shared" si="19"/>
        <v>93.555000000000007</v>
      </c>
      <c r="J28" s="38">
        <f t="shared" si="19"/>
        <v>96.361650000000012</v>
      </c>
      <c r="K28" s="38">
        <f t="shared" si="19"/>
        <v>96.361650000000012</v>
      </c>
      <c r="L28" s="131"/>
      <c r="M28" s="131"/>
      <c r="N28" s="131"/>
      <c r="O28" s="131"/>
      <c r="P28" s="131"/>
      <c r="Q28" s="131"/>
      <c r="R28" s="131"/>
      <c r="S28" s="131"/>
      <c r="T28" s="131"/>
      <c r="U28" s="131"/>
      <c r="V28" s="131"/>
      <c r="W28" s="131"/>
      <c r="X28" s="131"/>
    </row>
    <row r="29" spans="1:130" s="184" customFormat="1" ht="18" customHeight="1">
      <c r="A29" s="137"/>
      <c r="B29" s="443" t="s">
        <v>343</v>
      </c>
      <c r="C29" s="38">
        <f>'1报表'!C57-'2报表调整'!K50</f>
        <v>0</v>
      </c>
      <c r="D29" s="38">
        <f>'1报表'!D57-'2报表调整'!L50</f>
        <v>0</v>
      </c>
      <c r="E29" s="38">
        <f>'2报表调整'!G50</f>
        <v>0</v>
      </c>
      <c r="F29" s="205"/>
      <c r="G29" s="205"/>
      <c r="H29" s="205"/>
      <c r="I29" s="205"/>
      <c r="J29" s="205"/>
      <c r="K29" s="205"/>
      <c r="L29" s="131"/>
      <c r="M29" s="131"/>
      <c r="N29" s="131"/>
      <c r="O29" s="131"/>
      <c r="P29" s="131"/>
      <c r="Q29" s="131"/>
      <c r="R29" s="131"/>
      <c r="S29" s="131"/>
      <c r="T29" s="131"/>
      <c r="U29" s="131"/>
      <c r="V29" s="131"/>
      <c r="W29" s="131"/>
      <c r="X29" s="131"/>
    </row>
    <row r="30" spans="1:130" ht="18" customHeight="1">
      <c r="A30" s="226"/>
      <c r="B30" s="4" t="s">
        <v>29</v>
      </c>
      <c r="C30" s="38">
        <f>'1报表'!C58-'2报表调整'!K51</f>
        <v>0</v>
      </c>
      <c r="D30" s="38">
        <f>'1报表'!D58-'2报表调整'!L51</f>
        <v>-0.188809</v>
      </c>
      <c r="E30" s="38">
        <f>'2报表调整'!G51</f>
        <v>0</v>
      </c>
      <c r="F30" s="205"/>
      <c r="G30" s="205"/>
      <c r="H30" s="205"/>
      <c r="I30" s="205"/>
      <c r="J30" s="205"/>
      <c r="K30" s="205"/>
      <c r="L30" s="72"/>
      <c r="M30" s="73"/>
      <c r="N30" s="73"/>
      <c r="O30" s="73"/>
      <c r="P30" s="73"/>
      <c r="Q30" s="73"/>
      <c r="R30" s="73"/>
      <c r="S30" s="73"/>
      <c r="T30" s="73"/>
      <c r="U30" s="73"/>
      <c r="V30" s="73"/>
      <c r="W30" s="73"/>
      <c r="X30" s="73"/>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c r="BO30" s="72"/>
      <c r="BP30" s="72"/>
      <c r="BQ30" s="72"/>
      <c r="BR30" s="72"/>
      <c r="BS30" s="72"/>
      <c r="BT30" s="72"/>
      <c r="BU30" s="72"/>
      <c r="BV30" s="72"/>
      <c r="BW30" s="72"/>
      <c r="BX30" s="72"/>
      <c r="BY30" s="72"/>
      <c r="BZ30" s="72"/>
      <c r="CA30" s="72"/>
      <c r="CB30" s="72"/>
      <c r="CC30" s="72"/>
      <c r="CD30" s="72"/>
      <c r="CE30" s="72"/>
      <c r="CF30" s="72"/>
      <c r="CG30" s="72"/>
      <c r="CH30" s="72"/>
      <c r="CI30" s="72"/>
      <c r="CJ30" s="72"/>
      <c r="CK30" s="72"/>
      <c r="CL30" s="72"/>
      <c r="CM30" s="72"/>
      <c r="CN30" s="72"/>
      <c r="CO30" s="72"/>
      <c r="CP30" s="72"/>
      <c r="CQ30" s="72"/>
      <c r="CR30" s="72"/>
      <c r="CS30" s="72"/>
      <c r="CT30" s="72"/>
      <c r="CU30" s="72"/>
      <c r="CV30" s="72"/>
      <c r="CW30" s="72"/>
      <c r="CX30" s="72"/>
      <c r="CY30" s="72"/>
      <c r="CZ30" s="72"/>
      <c r="DA30" s="72"/>
      <c r="DB30" s="72"/>
      <c r="DC30" s="72"/>
      <c r="DD30" s="72"/>
      <c r="DE30" s="72"/>
      <c r="DF30" s="72"/>
      <c r="DG30" s="72"/>
      <c r="DH30" s="72"/>
      <c r="DI30" s="72"/>
      <c r="DJ30" s="72"/>
      <c r="DK30" s="72"/>
      <c r="DL30" s="72"/>
      <c r="DM30" s="72"/>
      <c r="DN30" s="72"/>
      <c r="DO30" s="72"/>
      <c r="DP30" s="72"/>
      <c r="DQ30" s="72"/>
      <c r="DR30" s="72"/>
      <c r="DS30" s="72"/>
      <c r="DT30" s="72"/>
      <c r="DU30" s="72"/>
      <c r="DV30" s="72"/>
      <c r="DW30" s="72"/>
      <c r="DX30" s="72"/>
      <c r="DY30" s="72"/>
      <c r="DZ30" s="72"/>
    </row>
    <row r="31" spans="1:130" s="240" customFormat="1" ht="18" customHeight="1">
      <c r="A31" s="226"/>
      <c r="B31" s="26" t="s">
        <v>30</v>
      </c>
      <c r="C31" s="51">
        <f>'1报表'!C59</f>
        <v>100.54686</v>
      </c>
      <c r="D31" s="51">
        <f>'1报表'!D59</f>
        <v>28.323039999999999</v>
      </c>
      <c r="E31" s="51">
        <f>'2报表调整'!G52</f>
        <v>2.2263799999999998</v>
      </c>
      <c r="F31" s="205"/>
      <c r="G31" s="205"/>
      <c r="H31" s="205"/>
      <c r="I31" s="205"/>
      <c r="J31" s="205"/>
      <c r="K31" s="205"/>
      <c r="L31" s="187"/>
      <c r="M31" s="72"/>
      <c r="N31" s="73"/>
      <c r="O31" s="73"/>
      <c r="P31" s="73"/>
      <c r="Q31" s="73"/>
      <c r="R31" s="73"/>
      <c r="S31" s="73"/>
      <c r="T31" s="73"/>
      <c r="U31" s="73"/>
      <c r="V31" s="73"/>
      <c r="W31" s="73"/>
      <c r="X31" s="73"/>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c r="BO31" s="72"/>
      <c r="BP31" s="72"/>
      <c r="BQ31" s="72"/>
      <c r="BR31" s="72"/>
      <c r="BS31" s="72"/>
      <c r="BT31" s="72"/>
      <c r="BU31" s="72"/>
      <c r="BV31" s="72"/>
      <c r="BW31" s="72"/>
      <c r="BX31" s="72"/>
      <c r="BY31" s="72"/>
      <c r="BZ31" s="72"/>
      <c r="CA31" s="72"/>
      <c r="CB31" s="72"/>
      <c r="CC31" s="72"/>
      <c r="CD31" s="72"/>
      <c r="CE31" s="72"/>
      <c r="CF31" s="72"/>
      <c r="CG31" s="72"/>
      <c r="CH31" s="72"/>
      <c r="CI31" s="72"/>
      <c r="CJ31" s="72"/>
      <c r="CK31" s="72"/>
      <c r="CL31" s="72"/>
      <c r="CM31" s="72"/>
      <c r="CN31" s="72"/>
      <c r="CO31" s="72"/>
      <c r="CP31" s="72"/>
      <c r="CQ31" s="72"/>
      <c r="CR31" s="72"/>
      <c r="CS31" s="72"/>
      <c r="CT31" s="72"/>
      <c r="CU31" s="72"/>
      <c r="CV31" s="72"/>
      <c r="CW31" s="72"/>
      <c r="CX31" s="72"/>
      <c r="CY31" s="72"/>
      <c r="CZ31" s="72"/>
      <c r="DA31" s="72"/>
      <c r="DB31" s="72"/>
      <c r="DC31" s="72"/>
      <c r="DD31" s="72"/>
      <c r="DE31" s="72"/>
      <c r="DF31" s="72"/>
      <c r="DG31" s="72"/>
      <c r="DH31" s="72"/>
      <c r="DI31" s="72"/>
      <c r="DJ31" s="72"/>
      <c r="DK31" s="72"/>
      <c r="DL31" s="72"/>
      <c r="DM31" s="72"/>
      <c r="DN31" s="72"/>
      <c r="DO31" s="72"/>
      <c r="DP31" s="72"/>
      <c r="DQ31" s="72"/>
      <c r="DR31" s="72"/>
      <c r="DS31" s="72"/>
      <c r="DT31" s="72"/>
      <c r="DU31" s="72"/>
      <c r="DV31" s="72"/>
      <c r="DW31" s="72"/>
      <c r="DX31" s="72"/>
      <c r="DY31" s="72"/>
      <c r="DZ31" s="72"/>
    </row>
    <row r="32" spans="1:130" s="184" customFormat="1" ht="18" customHeight="1" outlineLevel="1">
      <c r="A32" s="137"/>
      <c r="B32" s="442" t="s">
        <v>720</v>
      </c>
      <c r="C32" s="449">
        <f>'1报表'!C62-'2报表调整'!K55</f>
        <v>499.38200199999994</v>
      </c>
      <c r="D32" s="449">
        <f>'1报表'!D62-'2报表调整'!L55</f>
        <v>567.33490000000006</v>
      </c>
      <c r="E32" s="449">
        <f>'2报表调整'!G55</f>
        <v>211.23040899999998</v>
      </c>
      <c r="F32" s="453"/>
      <c r="G32" s="453"/>
      <c r="H32" s="453"/>
      <c r="I32" s="453"/>
      <c r="J32" s="453"/>
      <c r="K32" s="453"/>
      <c r="L32" s="221"/>
      <c r="M32" s="171"/>
      <c r="N32" s="131"/>
      <c r="O32" s="131"/>
      <c r="P32" s="131"/>
      <c r="Q32" s="131"/>
      <c r="R32" s="131"/>
      <c r="S32" s="131"/>
      <c r="T32" s="131"/>
      <c r="U32" s="131"/>
      <c r="V32" s="131"/>
      <c r="W32" s="131"/>
      <c r="X32" s="131"/>
    </row>
    <row r="33" spans="1:130" s="184" customFormat="1" ht="18" customHeight="1" outlineLevel="1">
      <c r="A33" s="137"/>
      <c r="B33" s="369" t="s">
        <v>444</v>
      </c>
      <c r="C33" s="456">
        <f>IF(C42,C32/C42,0)</f>
        <v>9.3776976611270949E-2</v>
      </c>
      <c r="D33" s="456">
        <f>IF(D42,D32/D42,0)</f>
        <v>9.6573090475466333E-2</v>
      </c>
      <c r="E33" s="456">
        <f>IF(E42,E32*E3/E42/12,0)</f>
        <v>4.6975325159522185E-2</v>
      </c>
      <c r="F33" s="457">
        <v>0.1</v>
      </c>
      <c r="G33" s="457">
        <f>F33</f>
        <v>0.1</v>
      </c>
      <c r="H33" s="457">
        <f>G33</f>
        <v>0.1</v>
      </c>
      <c r="I33" s="457">
        <f>H33</f>
        <v>0.1</v>
      </c>
      <c r="J33" s="457">
        <f>I33</f>
        <v>0.1</v>
      </c>
      <c r="K33" s="457">
        <f>J33</f>
        <v>0.1</v>
      </c>
      <c r="L33" s="221"/>
      <c r="M33" s="171"/>
      <c r="N33" s="131"/>
      <c r="O33" s="131"/>
      <c r="P33" s="131"/>
      <c r="Q33" s="131"/>
      <c r="R33" s="131"/>
      <c r="S33" s="131"/>
      <c r="T33" s="131"/>
      <c r="U33" s="131"/>
      <c r="V33" s="131"/>
      <c r="W33" s="131"/>
      <c r="X33" s="131"/>
    </row>
    <row r="34" spans="1:130" s="184" customFormat="1" ht="18" customHeight="1">
      <c r="A34" s="137"/>
      <c r="B34" s="443" t="s">
        <v>325</v>
      </c>
      <c r="C34" s="144">
        <f t="shared" ref="C34:E34" si="20">C32</f>
        <v>499.38200199999994</v>
      </c>
      <c r="D34" s="144">
        <f t="shared" si="20"/>
        <v>567.33490000000006</v>
      </c>
      <c r="E34" s="144">
        <f t="shared" si="20"/>
        <v>211.23040899999998</v>
      </c>
      <c r="F34" s="38">
        <f t="shared" ref="F34:K34" si="21">IF(F32,F32,F42*F33)</f>
        <v>395.87900000000002</v>
      </c>
      <c r="G34" s="38">
        <f t="shared" si="21"/>
        <v>436.25400000000002</v>
      </c>
      <c r="H34" s="38">
        <f t="shared" si="21"/>
        <v>470.81747320000005</v>
      </c>
      <c r="I34" s="38">
        <f t="shared" si="21"/>
        <v>491.78710000000001</v>
      </c>
      <c r="J34" s="38">
        <f t="shared" si="21"/>
        <v>507.41781300000002</v>
      </c>
      <c r="K34" s="38">
        <f t="shared" si="21"/>
        <v>508.132813</v>
      </c>
      <c r="L34" s="131"/>
      <c r="M34" s="131"/>
      <c r="N34" s="131"/>
      <c r="O34" s="131"/>
      <c r="P34" s="131"/>
      <c r="Q34" s="131"/>
      <c r="R34" s="131"/>
      <c r="S34" s="131"/>
      <c r="T34" s="131"/>
      <c r="U34" s="131"/>
      <c r="V34" s="131"/>
      <c r="W34" s="131"/>
      <c r="X34" s="131"/>
    </row>
    <row r="35" spans="1:130" s="184" customFormat="1" ht="18" customHeight="1" outlineLevel="1">
      <c r="A35" s="137"/>
      <c r="B35" s="442" t="s">
        <v>721</v>
      </c>
      <c r="C35" s="449">
        <f>'1报表'!C65-'2报表调整'!K58</f>
        <v>0</v>
      </c>
      <c r="D35" s="449">
        <f>'1报表'!D65-'2报表调整'!L58</f>
        <v>0</v>
      </c>
      <c r="E35" s="449">
        <f>'2报表调整'!G58</f>
        <v>0</v>
      </c>
      <c r="F35" s="453"/>
      <c r="G35" s="453"/>
      <c r="H35" s="453"/>
      <c r="I35" s="453"/>
      <c r="J35" s="453"/>
      <c r="K35" s="453"/>
      <c r="L35" s="171"/>
      <c r="M35" s="131"/>
      <c r="N35" s="131"/>
      <c r="O35" s="131"/>
      <c r="P35" s="131"/>
      <c r="Q35" s="131"/>
      <c r="R35" s="131"/>
      <c r="S35" s="131"/>
      <c r="T35" s="131"/>
      <c r="U35" s="131"/>
      <c r="V35" s="131"/>
      <c r="W35" s="131"/>
      <c r="X35" s="131"/>
    </row>
    <row r="36" spans="1:130" s="184" customFormat="1" ht="18" customHeight="1" outlineLevel="1">
      <c r="A36" s="137"/>
      <c r="B36" s="369" t="s">
        <v>444</v>
      </c>
      <c r="C36" s="458">
        <f>IF(C42,C35/C42,0)</f>
        <v>0</v>
      </c>
      <c r="D36" s="458">
        <f>IF(D42,D35/D42,0)</f>
        <v>0</v>
      </c>
      <c r="E36" s="458">
        <f>IF(E42,E35*E3/E42/12,0)</f>
        <v>0</v>
      </c>
      <c r="F36" s="447"/>
      <c r="G36" s="447"/>
      <c r="H36" s="447"/>
      <c r="I36" s="447"/>
      <c r="J36" s="447"/>
      <c r="K36" s="447"/>
      <c r="L36" s="171"/>
      <c r="M36" s="131"/>
      <c r="N36" s="131"/>
      <c r="O36" s="131"/>
      <c r="P36" s="131"/>
      <c r="Q36" s="131"/>
      <c r="R36" s="131"/>
      <c r="S36" s="131"/>
      <c r="T36" s="131"/>
      <c r="U36" s="131"/>
      <c r="V36" s="131"/>
      <c r="W36" s="131"/>
      <c r="X36" s="131"/>
    </row>
    <row r="37" spans="1:130" s="184" customFormat="1" ht="18" customHeight="1">
      <c r="A37" s="137"/>
      <c r="B37" s="443" t="s">
        <v>613</v>
      </c>
      <c r="C37" s="38">
        <f t="shared" ref="C37:E37" si="22">C35</f>
        <v>0</v>
      </c>
      <c r="D37" s="38">
        <f t="shared" si="22"/>
        <v>0</v>
      </c>
      <c r="E37" s="38">
        <f t="shared" si="22"/>
        <v>0</v>
      </c>
      <c r="F37" s="38">
        <f t="shared" ref="F37:K37" si="23">IF(F35,F35,F42*F36)</f>
        <v>0</v>
      </c>
      <c r="G37" s="38">
        <f t="shared" si="23"/>
        <v>0</v>
      </c>
      <c r="H37" s="38">
        <f t="shared" si="23"/>
        <v>0</v>
      </c>
      <c r="I37" s="38">
        <f t="shared" si="23"/>
        <v>0</v>
      </c>
      <c r="J37" s="38">
        <f t="shared" si="23"/>
        <v>0</v>
      </c>
      <c r="K37" s="38">
        <f t="shared" si="23"/>
        <v>0</v>
      </c>
      <c r="L37" s="171"/>
      <c r="M37" s="131"/>
      <c r="N37" s="131"/>
      <c r="O37" s="131"/>
      <c r="P37" s="131"/>
      <c r="Q37" s="131"/>
      <c r="R37" s="131"/>
      <c r="S37" s="131"/>
      <c r="T37" s="131"/>
      <c r="U37" s="131"/>
      <c r="V37" s="131"/>
      <c r="W37" s="131"/>
      <c r="X37" s="131"/>
    </row>
    <row r="38" spans="1:130" ht="18" customHeight="1">
      <c r="A38" s="226"/>
      <c r="B38" s="35" t="s">
        <v>722</v>
      </c>
      <c r="C38" s="440">
        <f t="shared" ref="C38:F38" si="24">C25+C28+C29+C30+C31+C34+C37</f>
        <v>724.29886199999987</v>
      </c>
      <c r="D38" s="440">
        <f>D25+D28+D29+D30+D31+D34+D37</f>
        <v>673.46913100000006</v>
      </c>
      <c r="E38" s="440">
        <f t="shared" si="24"/>
        <v>610.00564799999995</v>
      </c>
      <c r="F38" s="440">
        <f t="shared" si="24"/>
        <v>690.81177777777782</v>
      </c>
      <c r="G38" s="440">
        <f t="shared" ref="G38" si="25">G25+G28+G29+G30+G31+G34+G37</f>
        <v>761.11733333333336</v>
      </c>
      <c r="H38" s="440">
        <f t="shared" ref="H38" si="26">H25+H28+H29+H30+H31+H34+H37</f>
        <v>821.48273608888894</v>
      </c>
      <c r="I38" s="440">
        <f t="shared" ref="I38" si="27">I25+I28+I29+I30+I31+I34+I37</f>
        <v>858.55715555555548</v>
      </c>
      <c r="J38" s="440">
        <f t="shared" ref="J38" si="28">J25+J28+J29+J30+J31+J34+J37</f>
        <v>885.67824800000005</v>
      </c>
      <c r="K38" s="52">
        <f t="shared" ref="K38" si="29">K25+K28+K29+K30+K31+K34+K37</f>
        <v>886.79047022222221</v>
      </c>
      <c r="L38" s="72"/>
      <c r="M38" s="73"/>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row>
    <row r="39" spans="1:130" ht="19.899999999999999" customHeight="1">
      <c r="B39" s="6" t="s">
        <v>90</v>
      </c>
      <c r="C39" s="441">
        <f t="shared" ref="C39:D39" si="30">C21-C38</f>
        <v>636.23676791666685</v>
      </c>
      <c r="D39" s="441">
        <f t="shared" si="30"/>
        <v>628.66383775000008</v>
      </c>
      <c r="E39" s="441">
        <f>E21-E38</f>
        <v>217.24187700000004</v>
      </c>
      <c r="F39" s="140">
        <f t="shared" ref="F39:K39" si="31">F21-F38</f>
        <v>273.58711155555545</v>
      </c>
      <c r="G39" s="140">
        <f t="shared" si="31"/>
        <v>296.50655600000005</v>
      </c>
      <c r="H39" s="140">
        <f t="shared" si="31"/>
        <v>318.17915324444448</v>
      </c>
      <c r="I39" s="140">
        <f t="shared" si="31"/>
        <v>336.48038377777789</v>
      </c>
      <c r="J39" s="140">
        <f t="shared" si="31"/>
        <v>344.2459508333335</v>
      </c>
      <c r="K39" s="140">
        <f t="shared" si="31"/>
        <v>343.13372861111134</v>
      </c>
      <c r="L39" s="241"/>
      <c r="M39" s="72"/>
      <c r="N39" s="73"/>
      <c r="O39" s="73"/>
      <c r="P39" s="73"/>
      <c r="Q39" s="73"/>
      <c r="R39" s="73"/>
      <c r="S39" s="73"/>
      <c r="T39" s="73"/>
      <c r="U39" s="73"/>
      <c r="V39" s="73"/>
      <c r="W39" s="73"/>
      <c r="X39" s="73"/>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row>
    <row r="40" spans="1:130" ht="19.899999999999999" customHeight="1">
      <c r="B40" s="6" t="s">
        <v>91</v>
      </c>
      <c r="C40" s="65"/>
      <c r="D40" s="65"/>
      <c r="E40" s="65"/>
      <c r="F40" s="295">
        <f t="shared" ref="F40:K40" si="32">F39-E39</f>
        <v>56.345234555555407</v>
      </c>
      <c r="G40" s="295">
        <f t="shared" si="32"/>
        <v>22.919444444444594</v>
      </c>
      <c r="H40" s="295">
        <f t="shared" si="32"/>
        <v>21.672597244444432</v>
      </c>
      <c r="I40" s="295">
        <f t="shared" si="32"/>
        <v>18.30123053333341</v>
      </c>
      <c r="J40" s="295">
        <f t="shared" si="32"/>
        <v>7.7655670555556071</v>
      </c>
      <c r="K40" s="608">
        <f t="shared" si="32"/>
        <v>-1.1122222222221581</v>
      </c>
      <c r="L40" s="241"/>
      <c r="M40" s="72"/>
      <c r="N40" s="72"/>
      <c r="O40" s="72"/>
      <c r="P40" s="72"/>
      <c r="Q40" s="72"/>
      <c r="R40" s="72"/>
      <c r="S40" s="72"/>
      <c r="T40" s="73"/>
      <c r="U40" s="73"/>
      <c r="V40" s="73"/>
      <c r="W40" s="73"/>
      <c r="X40" s="73"/>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c r="CZ40" s="72"/>
      <c r="DA40" s="72"/>
      <c r="DB40" s="72"/>
      <c r="DC40" s="72"/>
      <c r="DD40" s="72"/>
      <c r="DE40" s="72"/>
      <c r="DF40" s="72"/>
      <c r="DG40" s="72"/>
      <c r="DH40" s="72"/>
      <c r="DI40" s="72"/>
      <c r="DJ40" s="72"/>
      <c r="DK40" s="72"/>
      <c r="DL40" s="72"/>
      <c r="DM40" s="72"/>
      <c r="DN40" s="72"/>
      <c r="DO40" s="72"/>
      <c r="DP40" s="72"/>
      <c r="DQ40" s="72"/>
      <c r="DR40" s="72"/>
      <c r="DS40" s="72"/>
      <c r="DT40" s="72"/>
      <c r="DU40" s="72"/>
      <c r="DV40" s="72"/>
      <c r="DW40" s="72"/>
      <c r="DX40" s="72"/>
      <c r="DY40" s="72"/>
      <c r="DZ40" s="72"/>
    </row>
    <row r="41" spans="1:130" s="11" customFormat="1" ht="18" customHeight="1">
      <c r="A41" s="226"/>
      <c r="B41" s="17" t="s">
        <v>65</v>
      </c>
      <c r="C41" s="41">
        <f>'3收入'!C5</f>
        <v>6309.9995689999996</v>
      </c>
      <c r="D41" s="41">
        <f>'3收入'!D5</f>
        <v>6454.082015</v>
      </c>
      <c r="E41" s="41">
        <f>'3收入'!E5</f>
        <v>2068.9888219999998</v>
      </c>
      <c r="F41" s="41">
        <f>'3收入'!F5</f>
        <v>4500</v>
      </c>
      <c r="G41" s="41">
        <f>'3收入'!G5</f>
        <v>4950</v>
      </c>
      <c r="H41" s="41">
        <f>'3收入'!H5</f>
        <v>5346</v>
      </c>
      <c r="I41" s="41">
        <f>'3收入'!I5</f>
        <v>5613.3</v>
      </c>
      <c r="J41" s="41">
        <f>'3收入'!J5</f>
        <v>5781.6990000000005</v>
      </c>
      <c r="K41" s="41">
        <f>'3收入'!K5</f>
        <v>5781.6990000000005</v>
      </c>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c r="CC41" s="73"/>
      <c r="CD41" s="73"/>
      <c r="CE41" s="73"/>
      <c r="CF41" s="73"/>
      <c r="CG41" s="73"/>
      <c r="CH41" s="73"/>
      <c r="CI41" s="73"/>
      <c r="CJ41" s="73"/>
      <c r="CK41" s="73"/>
      <c r="CL41" s="73"/>
      <c r="CM41" s="73"/>
      <c r="CN41" s="73"/>
      <c r="CO41" s="73"/>
      <c r="CP41" s="73"/>
      <c r="CQ41" s="73"/>
      <c r="CR41" s="73"/>
      <c r="CS41" s="73"/>
      <c r="CT41" s="73"/>
      <c r="CU41" s="73"/>
      <c r="CV41" s="73"/>
      <c r="CW41" s="73"/>
      <c r="CX41" s="73"/>
      <c r="CY41" s="73"/>
      <c r="CZ41" s="73"/>
      <c r="DA41" s="73"/>
      <c r="DB41" s="73"/>
      <c r="DC41" s="73"/>
      <c r="DD41" s="73"/>
      <c r="DE41" s="73"/>
      <c r="DF41" s="73"/>
      <c r="DG41" s="73"/>
      <c r="DH41" s="73"/>
      <c r="DI41" s="73"/>
      <c r="DJ41" s="73"/>
      <c r="DK41" s="73"/>
      <c r="DL41" s="73"/>
      <c r="DM41" s="73"/>
      <c r="DN41" s="73"/>
      <c r="DO41" s="73"/>
      <c r="DP41" s="73"/>
      <c r="DQ41" s="73"/>
      <c r="DR41" s="73"/>
      <c r="DS41" s="73"/>
      <c r="DT41" s="73"/>
      <c r="DU41" s="73"/>
      <c r="DV41" s="73"/>
      <c r="DW41" s="73"/>
      <c r="DX41" s="73"/>
      <c r="DY41" s="73"/>
      <c r="DZ41" s="73"/>
    </row>
    <row r="42" spans="1:130" s="11" customFormat="1" ht="18" customHeight="1">
      <c r="B42" s="17" t="s">
        <v>436</v>
      </c>
      <c r="C42" s="41">
        <f>'4成本'!C5</f>
        <v>5325.2090229999994</v>
      </c>
      <c r="D42" s="41">
        <f>'4成本'!D5</f>
        <v>5874.6685770000004</v>
      </c>
      <c r="E42" s="41">
        <f>'4成本'!E5</f>
        <v>2248.312367</v>
      </c>
      <c r="F42" s="11">
        <f>'4成本'!F5</f>
        <v>3958.79</v>
      </c>
      <c r="G42" s="11">
        <f>'4成本'!G5</f>
        <v>4362.54</v>
      </c>
      <c r="H42" s="11">
        <f>'4成本'!H5</f>
        <v>4708.1747320000004</v>
      </c>
      <c r="I42" s="11">
        <f>'4成本'!I5</f>
        <v>4917.8710000000001</v>
      </c>
      <c r="J42" s="11">
        <f>'4成本'!J5</f>
        <v>5074.1781300000002</v>
      </c>
      <c r="K42" s="11">
        <f>'4成本'!K5</f>
        <v>5081.3281299999999</v>
      </c>
    </row>
    <row r="43" spans="1:130" s="11" customFormat="1" ht="18" customHeight="1">
      <c r="A43" s="226"/>
      <c r="B43" s="190" t="s">
        <v>102</v>
      </c>
      <c r="C43" s="609">
        <f t="shared" ref="C43:D43" si="33">C39/C41</f>
        <v>0.10082992256329057</v>
      </c>
      <c r="D43" s="609">
        <f t="shared" si="33"/>
        <v>9.74056165212831E-2</v>
      </c>
      <c r="E43" s="609">
        <f>E39/E41</f>
        <v>0.10499905784411244</v>
      </c>
      <c r="F43" s="264">
        <f>F39/F41</f>
        <v>6.0797135901234547E-2</v>
      </c>
      <c r="G43" s="264">
        <f>G39/G41</f>
        <v>5.9900314343434354E-2</v>
      </c>
      <c r="H43" s="264">
        <f t="shared" ref="H43:K43" si="34">H39/H41</f>
        <v>5.9517237793573603E-2</v>
      </c>
      <c r="I43" s="264">
        <f t="shared" si="34"/>
        <v>5.9943417201606522E-2</v>
      </c>
      <c r="J43" s="264">
        <f t="shared" si="34"/>
        <v>5.9540621335239602E-2</v>
      </c>
      <c r="K43" s="264">
        <f t="shared" si="34"/>
        <v>5.9348251891202103E-2</v>
      </c>
      <c r="L43" s="73"/>
      <c r="M43" s="73"/>
      <c r="N43" s="73"/>
      <c r="O43" s="73"/>
      <c r="P43" s="73"/>
      <c r="Q43" s="73"/>
      <c r="R43" s="73"/>
      <c r="S43" s="73"/>
      <c r="T43" s="73"/>
      <c r="U43" s="73"/>
      <c r="V43" s="73"/>
      <c r="W43" s="73"/>
      <c r="X43" s="73"/>
      <c r="Y43" s="73"/>
      <c r="Z43" s="73"/>
      <c r="AA43" s="73"/>
      <c r="AB43" s="73"/>
      <c r="AC43" s="73"/>
      <c r="AD43" s="73"/>
      <c r="AE43" s="73"/>
      <c r="AF43" s="73"/>
      <c r="AG43" s="73"/>
      <c r="AH43" s="73"/>
      <c r="AI43" s="73"/>
      <c r="AJ43" s="73"/>
      <c r="AK43" s="73"/>
      <c r="AL43" s="73"/>
      <c r="AM43" s="73"/>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c r="CC43" s="73"/>
      <c r="CD43" s="73"/>
      <c r="CE43" s="73"/>
      <c r="CF43" s="73"/>
      <c r="CG43" s="73"/>
      <c r="CH43" s="73"/>
      <c r="CI43" s="73"/>
      <c r="CJ43" s="73"/>
      <c r="CK43" s="73"/>
      <c r="CL43" s="73"/>
      <c r="CM43" s="73"/>
      <c r="CN43" s="73"/>
      <c r="CO43" s="73"/>
      <c r="CP43" s="73"/>
      <c r="CQ43" s="73"/>
      <c r="CR43" s="73"/>
      <c r="CS43" s="73"/>
      <c r="CT43" s="73"/>
      <c r="CU43" s="73"/>
      <c r="CV43" s="73"/>
      <c r="CW43" s="73"/>
      <c r="CX43" s="73"/>
      <c r="CY43" s="73"/>
      <c r="CZ43" s="73"/>
      <c r="DA43" s="73"/>
      <c r="DB43" s="73"/>
      <c r="DC43" s="73"/>
      <c r="DD43" s="73"/>
      <c r="DE43" s="73"/>
      <c r="DF43" s="73"/>
      <c r="DG43" s="73"/>
      <c r="DH43" s="73"/>
      <c r="DI43" s="73"/>
      <c r="DJ43" s="73"/>
      <c r="DK43" s="73"/>
      <c r="DL43" s="73"/>
      <c r="DM43" s="73"/>
      <c r="DN43" s="73"/>
      <c r="DO43" s="73"/>
      <c r="DP43" s="73"/>
      <c r="DQ43" s="73"/>
      <c r="DR43" s="73"/>
      <c r="DS43" s="73"/>
      <c r="DT43" s="73"/>
      <c r="DU43" s="73"/>
      <c r="DV43" s="73"/>
      <c r="DW43" s="73"/>
      <c r="DX43" s="73"/>
      <c r="DY43" s="73"/>
      <c r="DZ43" s="73"/>
    </row>
    <row r="44" spans="1:130" s="11" customFormat="1" ht="18" customHeight="1">
      <c r="D44" s="147" t="s">
        <v>723</v>
      </c>
    </row>
    <row r="45" spans="1:130" s="11" customFormat="1" ht="18" customHeight="1"/>
    <row r="46" spans="1:130" s="11" customFormat="1" ht="18" customHeight="1"/>
    <row r="47" spans="1:130" s="11" customFormat="1" ht="18" customHeight="1"/>
    <row r="48" spans="1:130" s="11" customFormat="1" ht="18" customHeight="1"/>
    <row r="49" s="11" customFormat="1" ht="18" customHeight="1"/>
    <row r="50" s="11" customFormat="1" ht="18" customHeight="1"/>
    <row r="51" s="11" customFormat="1" ht="18" customHeight="1"/>
    <row r="52" s="11" customFormat="1" ht="18" customHeight="1"/>
    <row r="53" s="11" customFormat="1" ht="18" customHeight="1"/>
    <row r="54" s="11" customFormat="1" ht="18" customHeight="1"/>
    <row r="55" s="11" customFormat="1" ht="18" customHeight="1"/>
    <row r="56" s="11" customFormat="1" ht="18" customHeight="1"/>
    <row r="57" s="11" customFormat="1" ht="18" customHeight="1"/>
    <row r="58" s="11" customFormat="1" ht="18" customHeight="1"/>
    <row r="59" s="11" customFormat="1" ht="18" customHeight="1"/>
    <row r="60" s="11" customFormat="1" ht="18" customHeight="1"/>
    <row r="61" s="11" customFormat="1" ht="18" customHeight="1"/>
    <row r="62" s="11" customFormat="1" ht="18" customHeight="1"/>
    <row r="63" s="11" customFormat="1" ht="18" customHeight="1"/>
    <row r="64" s="11" customFormat="1" ht="18" customHeight="1"/>
    <row r="65" s="11" customFormat="1" ht="18" customHeight="1"/>
    <row r="66" s="11" customFormat="1" ht="18" customHeight="1"/>
    <row r="67" s="11" customFormat="1" ht="18" customHeight="1"/>
    <row r="68" s="11" customFormat="1" ht="18" customHeight="1"/>
    <row r="69" s="11" customFormat="1" ht="18" customHeight="1"/>
    <row r="70" s="11" customFormat="1" ht="18" customHeight="1"/>
    <row r="71" s="11" customFormat="1" ht="18" customHeight="1"/>
    <row r="72" s="11" customFormat="1" ht="18" customHeight="1"/>
    <row r="73" s="11" customFormat="1" ht="18" customHeight="1"/>
    <row r="74" s="11" customFormat="1" ht="18" customHeight="1"/>
    <row r="75" s="11" customFormat="1" ht="18" customHeight="1"/>
    <row r="76" s="11" customFormat="1" ht="18" customHeight="1"/>
    <row r="77" s="11" customFormat="1" ht="18" customHeight="1"/>
    <row r="78" s="11" customFormat="1" ht="18" customHeight="1"/>
    <row r="79" s="11" customFormat="1" ht="18" customHeight="1"/>
    <row r="80" s="11" customFormat="1" ht="18" customHeight="1"/>
    <row r="81" s="11" customFormat="1" ht="18" customHeight="1"/>
    <row r="82" s="11" customFormat="1" ht="18" customHeight="1"/>
    <row r="83" s="11" customFormat="1" ht="18" customHeight="1"/>
    <row r="84" s="11" customFormat="1" ht="18" customHeight="1"/>
    <row r="85" s="11" customFormat="1" ht="18" customHeight="1"/>
    <row r="86" s="11" customFormat="1" ht="18" customHeight="1"/>
    <row r="87" s="11" customFormat="1" ht="18" customHeight="1"/>
    <row r="88" s="11" customFormat="1" ht="18" customHeight="1"/>
    <row r="89" s="11" customFormat="1" ht="18" customHeight="1"/>
    <row r="90" s="11" customFormat="1" ht="18" customHeight="1"/>
    <row r="91" s="11" customFormat="1" ht="18" customHeight="1"/>
    <row r="92" s="11" customFormat="1" ht="18" customHeight="1"/>
    <row r="93" s="11" customFormat="1" ht="18" customHeight="1"/>
    <row r="94" s="11" customFormat="1" ht="18" customHeight="1"/>
    <row r="95" s="11" customFormat="1" ht="18" customHeight="1"/>
    <row r="96" s="11" customFormat="1" ht="18" customHeight="1"/>
    <row r="97" s="11" customFormat="1" ht="18" customHeight="1"/>
    <row r="98" s="11" customFormat="1" ht="18" customHeight="1"/>
    <row r="99" s="11" customFormat="1" ht="18" customHeight="1"/>
    <row r="100" s="11" customFormat="1" ht="18" customHeight="1"/>
    <row r="101" s="11" customFormat="1" ht="18" customHeight="1"/>
    <row r="102" s="11" customFormat="1" ht="18" customHeight="1"/>
    <row r="103" s="11" customFormat="1" ht="18" customHeight="1"/>
    <row r="104" s="11" customFormat="1" ht="18" customHeight="1"/>
    <row r="105" s="11" customFormat="1" ht="18" customHeight="1"/>
    <row r="106" s="11" customFormat="1" ht="18" customHeight="1"/>
    <row r="107" s="11" customFormat="1" ht="18" customHeight="1"/>
    <row r="108" s="11" customFormat="1" ht="18" customHeight="1"/>
    <row r="109" s="11" customFormat="1" ht="18" customHeight="1"/>
    <row r="110" s="11" customFormat="1" ht="18" customHeight="1"/>
    <row r="111" s="11" customFormat="1" ht="18" customHeight="1"/>
    <row r="112" s="11" customFormat="1" ht="18" customHeight="1"/>
    <row r="113" s="11" customFormat="1" ht="18" customHeight="1"/>
    <row r="114" s="11" customFormat="1" ht="18" customHeight="1"/>
    <row r="115" s="11" customFormat="1" ht="18" customHeight="1"/>
    <row r="116" s="11" customFormat="1" ht="18" customHeight="1"/>
    <row r="117" s="11" customFormat="1" ht="18" customHeight="1"/>
    <row r="118" s="11" customFormat="1" ht="18" customHeight="1"/>
    <row r="119" s="11" customFormat="1" ht="18" customHeight="1"/>
    <row r="120" s="11" customFormat="1" ht="18" customHeight="1"/>
    <row r="121" s="11" customFormat="1" ht="18" customHeight="1"/>
    <row r="122" s="11" customFormat="1" ht="18" customHeight="1"/>
    <row r="123" s="11" customFormat="1" ht="18" customHeight="1"/>
    <row r="124" s="11" customFormat="1" ht="18" customHeight="1"/>
  </sheetData>
  <sheetProtection formatCells="0" formatColumns="0" formatRows="0" insertColumns="0" insertRows="0" deleteColumns="0" deleteRows="0"/>
  <mergeCells count="1">
    <mergeCell ref="B1:J1"/>
  </mergeCells>
  <phoneticPr fontId="6" type="noConversion"/>
  <pageMargins left="0.75" right="0.75" top="1" bottom="1" header="0.5" footer="0.5"/>
  <headerFooter alignWithMargins="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97"/>
  <sheetViews>
    <sheetView zoomScaleNormal="100" workbookViewId="0">
      <selection activeCell="G5" sqref="G5"/>
    </sheetView>
  </sheetViews>
  <sheetFormatPr defaultColWidth="9" defaultRowHeight="18" customHeight="1"/>
  <cols>
    <col min="1" max="1" width="2.75" style="3" customWidth="1"/>
    <col min="2" max="2" width="24.75" style="3" customWidth="1"/>
    <col min="3" max="3" width="9.08203125" style="3" customWidth="1"/>
    <col min="4" max="4" width="12.33203125" style="3" customWidth="1"/>
    <col min="5" max="5" width="9.58203125" style="3" customWidth="1"/>
    <col min="6" max="6" width="9.5" style="3" customWidth="1"/>
    <col min="7" max="7" width="9.5" style="3" bestFit="1" customWidth="1"/>
    <col min="8" max="11" width="10.5" style="3" bestFit="1" customWidth="1"/>
    <col min="12" max="16384" width="9" style="3"/>
  </cols>
  <sheetData>
    <row r="1" spans="1:13" ht="31.5" customHeight="1">
      <c r="B1" s="749" t="s">
        <v>445</v>
      </c>
      <c r="C1" s="749"/>
      <c r="D1" s="749"/>
      <c r="E1" s="749"/>
      <c r="F1" s="749"/>
      <c r="G1" s="749"/>
      <c r="H1" s="749"/>
      <c r="I1" s="749"/>
      <c r="J1" s="749"/>
      <c r="K1" s="749"/>
    </row>
    <row r="2" spans="1:13" ht="18" customHeight="1">
      <c r="B2" s="229" t="str">
        <f>'1报表'!B11</f>
        <v>评估基准日：2018/6/30</v>
      </c>
      <c r="E2" s="71"/>
      <c r="F2" s="71"/>
      <c r="G2" s="71"/>
    </row>
    <row r="3" spans="1:13" s="11" customFormat="1" ht="18" customHeight="1">
      <c r="B3" s="229" t="str">
        <f>'1报表'!B12</f>
        <v>被评估单位：YLSJ公司</v>
      </c>
      <c r="D3" s="511"/>
      <c r="E3" s="610" t="str">
        <f>'7折旧'!F3</f>
        <v>2018年剩余折摊月数</v>
      </c>
      <c r="F3" s="729">
        <f>'7折旧'!E3</f>
        <v>6</v>
      </c>
      <c r="K3" s="15" t="s">
        <v>52</v>
      </c>
    </row>
    <row r="4" spans="1:13" s="11" customFormat="1" ht="18" customHeight="1">
      <c r="B4" s="183" t="s">
        <v>496</v>
      </c>
      <c r="C4" s="466" t="s">
        <v>447</v>
      </c>
      <c r="D4" s="466" t="s">
        <v>456</v>
      </c>
      <c r="E4" s="61" t="str">
        <f>'3收入'!E4</f>
        <v>2018年1-6</v>
      </c>
      <c r="F4" s="23" t="str">
        <f>'7折旧'!E4</f>
        <v>2018年7-12</v>
      </c>
      <c r="G4" s="23" t="str">
        <f>'3收入'!G4</f>
        <v>2019年</v>
      </c>
      <c r="H4" s="23" t="str">
        <f>'3收入'!H4</f>
        <v>2020年</v>
      </c>
      <c r="I4" s="23" t="str">
        <f>'3收入'!I4</f>
        <v>2021年</v>
      </c>
      <c r="J4" s="23" t="str">
        <f>'3收入'!J4</f>
        <v>2022年</v>
      </c>
      <c r="K4" s="23" t="str">
        <f>'3收入'!K4</f>
        <v>2023年</v>
      </c>
    </row>
    <row r="5" spans="1:13" s="11" customFormat="1" ht="18" customHeight="1">
      <c r="A5" s="128"/>
      <c r="B5" s="376" t="s">
        <v>460</v>
      </c>
      <c r="C5" s="568"/>
      <c r="D5" s="438"/>
      <c r="E5" s="205"/>
      <c r="F5" s="348"/>
      <c r="G5" s="348"/>
      <c r="H5" s="348"/>
      <c r="I5" s="348"/>
      <c r="J5" s="348"/>
      <c r="K5" s="348"/>
    </row>
    <row r="6" spans="1:13" s="11" customFormat="1" ht="18" customHeight="1">
      <c r="A6" s="128"/>
      <c r="B6" s="376" t="s">
        <v>446</v>
      </c>
      <c r="C6" s="568"/>
      <c r="D6" s="375"/>
      <c r="E6" s="205"/>
      <c r="F6" s="348"/>
      <c r="G6" s="348"/>
      <c r="H6" s="348"/>
      <c r="I6" s="348"/>
      <c r="J6" s="348"/>
      <c r="K6" s="348"/>
    </row>
    <row r="7" spans="1:13" s="11" customFormat="1" ht="18" customHeight="1">
      <c r="A7" s="128"/>
      <c r="B7" s="376" t="s">
        <v>461</v>
      </c>
      <c r="C7" s="568"/>
      <c r="D7" s="375"/>
      <c r="E7" s="205"/>
      <c r="F7" s="348"/>
      <c r="G7" s="348"/>
      <c r="H7" s="348"/>
      <c r="I7" s="348"/>
      <c r="J7" s="348"/>
      <c r="K7" s="348"/>
    </row>
    <row r="8" spans="1:13" s="11" customFormat="1" ht="18" customHeight="1">
      <c r="A8" s="128"/>
      <c r="B8" s="699" t="s">
        <v>724</v>
      </c>
      <c r="C8" s="700">
        <v>5.3999999999999999E-2</v>
      </c>
      <c r="D8" s="465"/>
      <c r="E8" s="701"/>
      <c r="F8" s="702"/>
      <c r="G8" s="702"/>
      <c r="H8" s="702"/>
      <c r="I8" s="702"/>
      <c r="J8" s="702"/>
      <c r="K8" s="702"/>
      <c r="L8" s="703" t="s">
        <v>817</v>
      </c>
      <c r="M8" s="704"/>
    </row>
    <row r="9" spans="1:13" s="11" customFormat="1" ht="18" customHeight="1">
      <c r="A9" s="128"/>
      <c r="B9" s="376" t="s">
        <v>39</v>
      </c>
      <c r="C9" s="568"/>
      <c r="D9" s="375"/>
      <c r="E9" s="205"/>
      <c r="F9" s="348"/>
      <c r="G9" s="348"/>
      <c r="H9" s="348"/>
      <c r="I9" s="348"/>
      <c r="J9" s="348"/>
      <c r="K9" s="348"/>
    </row>
    <row r="10" spans="1:13" s="11" customFormat="1" ht="18" customHeight="1">
      <c r="A10" s="128"/>
      <c r="B10" s="378" t="s">
        <v>448</v>
      </c>
      <c r="C10" s="418"/>
      <c r="D10" s="418"/>
      <c r="E10" s="374">
        <f t="shared" ref="E10:K10" si="0">SUM(E5:E9)</f>
        <v>0</v>
      </c>
      <c r="F10" s="374">
        <f t="shared" si="0"/>
        <v>0</v>
      </c>
      <c r="G10" s="374">
        <f t="shared" si="0"/>
        <v>0</v>
      </c>
      <c r="H10" s="374">
        <f t="shared" si="0"/>
        <v>0</v>
      </c>
      <c r="I10" s="374">
        <f t="shared" si="0"/>
        <v>0</v>
      </c>
      <c r="J10" s="374">
        <f t="shared" si="0"/>
        <v>0</v>
      </c>
      <c r="K10" s="374">
        <f t="shared" si="0"/>
        <v>0</v>
      </c>
    </row>
    <row r="11" spans="1:13" s="11" customFormat="1" ht="24" customHeight="1">
      <c r="B11" s="439" t="s">
        <v>450</v>
      </c>
    </row>
    <row r="12" spans="1:13" s="11" customFormat="1" ht="18" customHeight="1">
      <c r="A12" s="128"/>
      <c r="B12" s="376" t="s">
        <v>449</v>
      </c>
      <c r="C12" s="61" t="str">
        <f>'3收入'!C4</f>
        <v>2016年</v>
      </c>
      <c r="D12" s="61" t="str">
        <f>'3收入'!D4</f>
        <v>2017年</v>
      </c>
      <c r="E12" s="61" t="str">
        <f>E4</f>
        <v>2018年1-6</v>
      </c>
      <c r="F12" s="23" t="str">
        <f>F4</f>
        <v>2018年7-12</v>
      </c>
      <c r="G12" s="23" t="str">
        <f t="shared" ref="G12:K12" si="1">G4</f>
        <v>2019年</v>
      </c>
      <c r="H12" s="23" t="str">
        <f t="shared" si="1"/>
        <v>2020年</v>
      </c>
      <c r="I12" s="23" t="str">
        <f t="shared" si="1"/>
        <v>2021年</v>
      </c>
      <c r="J12" s="23" t="str">
        <f t="shared" si="1"/>
        <v>2022年</v>
      </c>
      <c r="K12" s="23" t="str">
        <f t="shared" si="1"/>
        <v>2023年</v>
      </c>
    </row>
    <row r="13" spans="1:13" s="11" customFormat="1" ht="18" customHeight="1">
      <c r="A13" s="128"/>
      <c r="B13" s="376" t="s">
        <v>462</v>
      </c>
      <c r="C13" s="65"/>
      <c r="D13" s="65"/>
      <c r="E13" s="65"/>
      <c r="F13" s="348">
        <f>$C5*E5/12*$F$3</f>
        <v>0</v>
      </c>
      <c r="G13" s="348">
        <f t="shared" ref="G13:H16" si="2">$C5*F5</f>
        <v>0</v>
      </c>
      <c r="H13" s="348">
        <f t="shared" si="2"/>
        <v>0</v>
      </c>
      <c r="I13" s="348">
        <f t="shared" ref="I13:J13" si="3">$C5*H5</f>
        <v>0</v>
      </c>
      <c r="J13" s="348">
        <f t="shared" si="3"/>
        <v>0</v>
      </c>
      <c r="K13" s="348">
        <f>$C5*J5</f>
        <v>0</v>
      </c>
      <c r="L13" s="11" t="s">
        <v>542</v>
      </c>
    </row>
    <row r="14" spans="1:13" s="11" customFormat="1" ht="18" customHeight="1">
      <c r="A14" s="128"/>
      <c r="B14" s="376" t="s">
        <v>34</v>
      </c>
      <c r="C14" s="65"/>
      <c r="D14" s="65"/>
      <c r="E14" s="65"/>
      <c r="F14" s="348">
        <f>$C6*E6/12*$F$3</f>
        <v>0</v>
      </c>
      <c r="G14" s="348">
        <f t="shared" si="2"/>
        <v>0</v>
      </c>
      <c r="H14" s="348">
        <f t="shared" si="2"/>
        <v>0</v>
      </c>
      <c r="I14" s="348">
        <f t="shared" ref="I14:J16" si="4">$C6*H6</f>
        <v>0</v>
      </c>
      <c r="J14" s="348">
        <f t="shared" si="4"/>
        <v>0</v>
      </c>
      <c r="K14" s="348">
        <f>$C6*J6</f>
        <v>0</v>
      </c>
    </row>
    <row r="15" spans="1:13" s="11" customFormat="1" ht="18" customHeight="1">
      <c r="A15" s="128"/>
      <c r="B15" s="376" t="s">
        <v>463</v>
      </c>
      <c r="C15" s="65"/>
      <c r="D15" s="65"/>
      <c r="E15" s="65"/>
      <c r="F15" s="348">
        <f>$C7*E7/12*$F$3</f>
        <v>0</v>
      </c>
      <c r="G15" s="348">
        <f t="shared" si="2"/>
        <v>0</v>
      </c>
      <c r="H15" s="348">
        <f t="shared" si="2"/>
        <v>0</v>
      </c>
      <c r="I15" s="348">
        <f t="shared" si="4"/>
        <v>0</v>
      </c>
      <c r="J15" s="348">
        <f t="shared" si="4"/>
        <v>0</v>
      </c>
      <c r="K15" s="348">
        <f>$C7*J7</f>
        <v>0</v>
      </c>
    </row>
    <row r="16" spans="1:13" s="11" customFormat="1" ht="18" customHeight="1">
      <c r="A16" s="128"/>
      <c r="B16" s="611" t="s">
        <v>725</v>
      </c>
      <c r="C16" s="65"/>
      <c r="D16" s="65"/>
      <c r="E16" s="65"/>
      <c r="F16" s="348">
        <f>$C8*E8/12*$F$3</f>
        <v>0</v>
      </c>
      <c r="G16" s="348">
        <f>$C8*F8</f>
        <v>0</v>
      </c>
      <c r="H16" s="348">
        <f t="shared" si="2"/>
        <v>0</v>
      </c>
      <c r="I16" s="348">
        <f t="shared" si="4"/>
        <v>0</v>
      </c>
      <c r="J16" s="348">
        <f t="shared" si="4"/>
        <v>0</v>
      </c>
      <c r="K16" s="348">
        <f>$C8*J8</f>
        <v>0</v>
      </c>
    </row>
    <row r="17" spans="1:12" s="11" customFormat="1" ht="18" customHeight="1">
      <c r="A17" s="128"/>
      <c r="B17" s="376" t="s">
        <v>39</v>
      </c>
      <c r="C17" s="65"/>
      <c r="D17" s="65"/>
      <c r="E17" s="65"/>
      <c r="F17" s="348">
        <f>$C9*E9/12*$F$3</f>
        <v>0</v>
      </c>
      <c r="G17" s="348">
        <f>$C9*F9</f>
        <v>0</v>
      </c>
      <c r="H17" s="348">
        <f t="shared" ref="H17:K17" si="5">$C9*G9</f>
        <v>0</v>
      </c>
      <c r="I17" s="348">
        <f t="shared" si="5"/>
        <v>0</v>
      </c>
      <c r="J17" s="348">
        <f t="shared" si="5"/>
        <v>0</v>
      </c>
      <c r="K17" s="348">
        <f t="shared" si="5"/>
        <v>0</v>
      </c>
    </row>
    <row r="18" spans="1:12" s="11" customFormat="1" ht="18" customHeight="1">
      <c r="A18" s="128"/>
      <c r="B18" s="378" t="s">
        <v>451</v>
      </c>
      <c r="C18" s="374">
        <f>'1报表'!C104</f>
        <v>0.47370899999999999</v>
      </c>
      <c r="D18" s="374">
        <f>'1报表'!D104</f>
        <v>0.95679899999999996</v>
      </c>
      <c r="E18" s="374">
        <f>'1报表'!E104</f>
        <v>2.3800000000000002E-2</v>
      </c>
      <c r="F18" s="374">
        <f>SUM(F13:F17)</f>
        <v>0</v>
      </c>
      <c r="G18" s="374">
        <f t="shared" ref="G18:J18" si="6">SUM(G13:G17)</f>
        <v>0</v>
      </c>
      <c r="H18" s="374">
        <f t="shared" si="6"/>
        <v>0</v>
      </c>
      <c r="I18" s="374">
        <f t="shared" si="6"/>
        <v>0</v>
      </c>
      <c r="J18" s="374">
        <f t="shared" si="6"/>
        <v>0</v>
      </c>
      <c r="K18" s="374">
        <f>SUM(K13:K17)</f>
        <v>0</v>
      </c>
    </row>
    <row r="19" spans="1:12" s="11" customFormat="1" ht="18" customHeight="1">
      <c r="A19" s="128"/>
      <c r="B19" s="376" t="s">
        <v>458</v>
      </c>
      <c r="C19" s="348">
        <f>'1报表'!C105</f>
        <v>34.373249000000001</v>
      </c>
      <c r="D19" s="348">
        <f>'1报表'!D105</f>
        <v>12.141109999999999</v>
      </c>
      <c r="E19" s="348">
        <f>'1报表'!E105</f>
        <v>1.0367090000000001</v>
      </c>
      <c r="F19" s="65"/>
      <c r="G19" s="65"/>
      <c r="H19" s="65"/>
      <c r="I19" s="65"/>
      <c r="J19" s="65"/>
      <c r="K19" s="65"/>
    </row>
    <row r="20" spans="1:12" s="11" customFormat="1" ht="18" customHeight="1">
      <c r="A20" s="128"/>
      <c r="B20" s="376" t="s">
        <v>452</v>
      </c>
      <c r="C20" s="75">
        <f>C21-C18+C19</f>
        <v>0</v>
      </c>
      <c r="D20" s="75">
        <f t="shared" ref="D20" si="7">D21-D18+D19</f>
        <v>0</v>
      </c>
      <c r="E20" s="75">
        <f>E21-E18+E19</f>
        <v>0</v>
      </c>
      <c r="F20" s="205"/>
      <c r="G20" s="205"/>
      <c r="H20" s="205"/>
      <c r="I20" s="205"/>
      <c r="J20" s="205"/>
      <c r="K20" s="205"/>
      <c r="L20" s="17" t="s">
        <v>454</v>
      </c>
    </row>
    <row r="21" spans="1:12" s="11" customFormat="1" ht="18" customHeight="1">
      <c r="A21" s="128"/>
      <c r="B21" s="378" t="s">
        <v>453</v>
      </c>
      <c r="C21" s="418">
        <f>'1报表'!C103</f>
        <v>-33.899540000000002</v>
      </c>
      <c r="D21" s="418">
        <f>'1报表'!D103</f>
        <v>-11.184310999999999</v>
      </c>
      <c r="E21" s="418">
        <f>'1报表'!E103</f>
        <v>-1.0129090000000001</v>
      </c>
      <c r="F21" s="418">
        <f>SUM(F18:F20)</f>
        <v>0</v>
      </c>
      <c r="G21" s="418">
        <f t="shared" ref="G21:J21" si="8">SUM(G18:G20)</f>
        <v>0</v>
      </c>
      <c r="H21" s="418">
        <f t="shared" si="8"/>
        <v>0</v>
      </c>
      <c r="I21" s="418">
        <f t="shared" si="8"/>
        <v>0</v>
      </c>
      <c r="J21" s="418">
        <f t="shared" si="8"/>
        <v>0</v>
      </c>
      <c r="K21" s="418">
        <f>SUM(K18:K20)</f>
        <v>0</v>
      </c>
    </row>
    <row r="22" spans="1:12" s="11" customFormat="1" ht="18" customHeight="1"/>
    <row r="23" spans="1:12" s="612" customFormat="1" ht="20.149999999999999" customHeight="1">
      <c r="B23" s="697" t="s">
        <v>726</v>
      </c>
      <c r="C23" s="705"/>
      <c r="D23" s="696" t="s">
        <v>812</v>
      </c>
      <c r="E23" s="697"/>
      <c r="F23" s="698">
        <f>预测财报!F83</f>
        <v>0</v>
      </c>
      <c r="G23" s="698">
        <f>预测财报!G83</f>
        <v>0</v>
      </c>
      <c r="H23" s="698">
        <f>预测财报!H83</f>
        <v>0</v>
      </c>
      <c r="I23" s="698">
        <f>预测财报!I83</f>
        <v>0</v>
      </c>
      <c r="J23" s="698">
        <f>预测财报!J83</f>
        <v>0</v>
      </c>
      <c r="K23" s="698">
        <f>预测财报!K83</f>
        <v>0</v>
      </c>
      <c r="L23" s="147" t="s">
        <v>816</v>
      </c>
    </row>
    <row r="24" spans="1:12" s="11" customFormat="1" ht="18" customHeight="1">
      <c r="B24" s="147" t="s">
        <v>815</v>
      </c>
      <c r="C24" s="193"/>
      <c r="F24" s="11">
        <f>F8-F23</f>
        <v>0</v>
      </c>
      <c r="G24" s="11">
        <f t="shared" ref="G24:J24" si="9">G8-G23</f>
        <v>0</v>
      </c>
      <c r="H24" s="11">
        <f t="shared" si="9"/>
        <v>0</v>
      </c>
      <c r="I24" s="11">
        <f t="shared" si="9"/>
        <v>0</v>
      </c>
      <c r="J24" s="11">
        <f t="shared" si="9"/>
        <v>0</v>
      </c>
      <c r="L24" s="147" t="s">
        <v>814</v>
      </c>
    </row>
    <row r="25" spans="1:12" s="11" customFormat="1" ht="18" customHeight="1"/>
    <row r="26" spans="1:12" s="11" customFormat="1" ht="18" customHeight="1"/>
    <row r="27" spans="1:12" s="11" customFormat="1" ht="18" customHeight="1">
      <c r="B27" s="197" t="s">
        <v>813</v>
      </c>
    </row>
    <row r="28" spans="1:12" s="11" customFormat="1" ht="18" customHeight="1"/>
    <row r="29" spans="1:12" s="11" customFormat="1" ht="18" customHeight="1"/>
    <row r="30" spans="1:12" s="11" customFormat="1" ht="18" customHeight="1"/>
    <row r="31" spans="1:12" s="11" customFormat="1" ht="18" customHeight="1"/>
    <row r="32" spans="1:12" s="11" customFormat="1" ht="18" customHeight="1"/>
    <row r="33" s="11" customFormat="1" ht="18" customHeight="1"/>
    <row r="34" s="11" customFormat="1" ht="18" customHeight="1"/>
    <row r="35" s="11" customFormat="1" ht="18" customHeight="1"/>
    <row r="36" s="11" customFormat="1" ht="18" customHeight="1"/>
    <row r="37" s="11" customFormat="1" ht="18" customHeight="1"/>
    <row r="38" s="11" customFormat="1" ht="18" customHeight="1"/>
    <row r="39" s="11" customFormat="1" ht="18" customHeight="1"/>
    <row r="40" s="11" customFormat="1" ht="18" customHeight="1"/>
    <row r="41" s="11" customFormat="1" ht="18" customHeight="1"/>
    <row r="42" s="11" customFormat="1" ht="18" customHeight="1"/>
    <row r="43" s="11" customFormat="1" ht="18" customHeight="1"/>
    <row r="44" s="11" customFormat="1" ht="18" customHeight="1"/>
    <row r="45" s="11" customFormat="1" ht="18" customHeight="1"/>
    <row r="46" s="11" customFormat="1" ht="18" customHeight="1"/>
    <row r="47" s="11" customFormat="1" ht="18" customHeight="1"/>
    <row r="48" s="11" customFormat="1" ht="18" customHeight="1"/>
    <row r="49" s="11" customFormat="1" ht="18" customHeight="1"/>
    <row r="50" s="11" customFormat="1" ht="18" customHeight="1"/>
    <row r="51" s="11" customFormat="1" ht="18" customHeight="1"/>
    <row r="52" s="11" customFormat="1" ht="18" customHeight="1"/>
    <row r="53" s="11" customFormat="1" ht="18" customHeight="1"/>
    <row r="54" s="11" customFormat="1" ht="18" customHeight="1"/>
    <row r="55" s="11" customFormat="1" ht="18" customHeight="1"/>
    <row r="56" s="11" customFormat="1" ht="18" customHeight="1"/>
    <row r="57" s="11" customFormat="1" ht="18" customHeight="1"/>
    <row r="58" s="11" customFormat="1" ht="18" customHeight="1"/>
    <row r="59" s="11" customFormat="1" ht="18" customHeight="1"/>
    <row r="60" s="11" customFormat="1" ht="18" customHeight="1"/>
    <row r="61" s="11" customFormat="1" ht="18" customHeight="1"/>
    <row r="62" s="11" customFormat="1" ht="18" customHeight="1"/>
    <row r="63" s="11" customFormat="1" ht="18" customHeight="1"/>
    <row r="64" s="11" customFormat="1" ht="18" customHeight="1"/>
    <row r="65" s="11" customFormat="1" ht="18" customHeight="1"/>
    <row r="66" s="11" customFormat="1" ht="18" customHeight="1"/>
    <row r="67" s="11" customFormat="1" ht="18" customHeight="1"/>
    <row r="68" s="11" customFormat="1" ht="18" customHeight="1"/>
    <row r="69" s="11" customFormat="1" ht="18" customHeight="1"/>
    <row r="70" s="11" customFormat="1" ht="18" customHeight="1"/>
    <row r="71" s="11" customFormat="1" ht="18" customHeight="1"/>
    <row r="72" s="11" customFormat="1" ht="18" customHeight="1"/>
    <row r="73" s="11" customFormat="1" ht="18" customHeight="1"/>
    <row r="74" s="11" customFormat="1" ht="18" customHeight="1"/>
    <row r="75" s="11" customFormat="1" ht="18" customHeight="1"/>
    <row r="76" s="11" customFormat="1" ht="18" customHeight="1"/>
    <row r="77" s="11" customFormat="1" ht="18" customHeight="1"/>
    <row r="78" s="11" customFormat="1" ht="18" customHeight="1"/>
    <row r="79" s="11" customFormat="1" ht="18" customHeight="1"/>
    <row r="80" s="11" customFormat="1" ht="18" customHeight="1"/>
    <row r="81" s="11" customFormat="1" ht="18" customHeight="1"/>
    <row r="82" s="11" customFormat="1" ht="18" customHeight="1"/>
    <row r="83" s="11" customFormat="1" ht="18" customHeight="1"/>
    <row r="84" s="11" customFormat="1" ht="18" customHeight="1"/>
    <row r="85" s="11" customFormat="1" ht="18" customHeight="1"/>
    <row r="86" s="11" customFormat="1" ht="18" customHeight="1"/>
    <row r="87" s="11" customFormat="1" ht="18" customHeight="1"/>
    <row r="88" s="11" customFormat="1" ht="18" customHeight="1"/>
    <row r="89" s="11" customFormat="1" ht="18" customHeight="1"/>
    <row r="90" s="11" customFormat="1" ht="18" customHeight="1"/>
    <row r="91" s="11" customFormat="1" ht="18" customHeight="1"/>
    <row r="92" s="11" customFormat="1" ht="18" customHeight="1"/>
    <row r="93" s="11" customFormat="1" ht="18" customHeight="1"/>
    <row r="94" s="11" customFormat="1" ht="18" customHeight="1"/>
    <row r="95" s="11" customFormat="1" ht="18" customHeight="1"/>
    <row r="96" s="11" customFormat="1" ht="18" customHeight="1"/>
    <row r="97" s="11" customFormat="1" ht="18" customHeight="1"/>
  </sheetData>
  <sheetProtection formatCells="0" formatColumns="0" formatRows="0" insertColumns="0" insertRows="0" deleteColumns="0" deleteRows="0"/>
  <mergeCells count="1">
    <mergeCell ref="B1:K1"/>
  </mergeCells>
  <phoneticPr fontId="6" type="noConversion"/>
  <pageMargins left="0.75" right="0.75" top="1" bottom="1" header="0.5" footer="0.5"/>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Y147"/>
  <sheetViews>
    <sheetView topLeftCell="A16" zoomScaleNormal="100" workbookViewId="0">
      <selection activeCell="G27" sqref="G27"/>
    </sheetView>
  </sheetViews>
  <sheetFormatPr defaultColWidth="9" defaultRowHeight="18" customHeight="1"/>
  <cols>
    <col min="1" max="1" width="2.33203125" style="211" customWidth="1"/>
    <col min="2" max="2" width="25.83203125" style="212" customWidth="1"/>
    <col min="3" max="4" width="9" style="212" customWidth="1"/>
    <col min="5" max="5" width="9.25" style="212" customWidth="1"/>
    <col min="6" max="6" width="9.75" style="212" bestFit="1" customWidth="1"/>
    <col min="7" max="7" width="9.25" style="212" bestFit="1" customWidth="1"/>
    <col min="8" max="8" width="9.58203125" style="212" bestFit="1" customWidth="1"/>
    <col min="9" max="10" width="9.25" style="212" customWidth="1"/>
    <col min="11" max="11" width="9" style="212" customWidth="1"/>
    <col min="12" max="12" width="13.08203125" style="41" customWidth="1"/>
    <col min="13" max="13" width="15.83203125" style="41" customWidth="1"/>
    <col min="14" max="14" width="9" style="41"/>
    <col min="15" max="15" width="10.58203125" style="41" customWidth="1"/>
    <col min="16" max="25" width="9" style="41"/>
    <col min="26" max="26" width="10.75" style="212" customWidth="1"/>
    <col min="27" max="16384" width="9" style="212"/>
  </cols>
  <sheetData>
    <row r="1" spans="1:25" s="184" customFormat="1" ht="29.25" customHeight="1">
      <c r="A1" s="74"/>
      <c r="B1" s="749" t="s">
        <v>642</v>
      </c>
      <c r="C1" s="749"/>
      <c r="D1" s="749"/>
      <c r="E1" s="749"/>
      <c r="F1" s="749"/>
      <c r="G1" s="749"/>
      <c r="H1" s="749"/>
      <c r="I1" s="749"/>
      <c r="J1" s="749"/>
      <c r="K1" s="749"/>
      <c r="L1" s="380"/>
      <c r="M1" s="380"/>
      <c r="N1" s="380"/>
      <c r="O1" s="131"/>
      <c r="P1" s="131"/>
      <c r="Q1" s="131"/>
      <c r="R1" s="131"/>
      <c r="S1" s="131"/>
      <c r="T1" s="131"/>
      <c r="U1" s="131"/>
      <c r="V1" s="131"/>
      <c r="W1" s="131"/>
      <c r="X1" s="131"/>
      <c r="Y1" s="131"/>
    </row>
    <row r="2" spans="1:25" s="184" customFormat="1" ht="18" customHeight="1">
      <c r="A2" s="213"/>
      <c r="B2" s="229" t="str">
        <f>'1报表'!B11</f>
        <v>评估基准日：2018/6/30</v>
      </c>
      <c r="D2" s="210"/>
      <c r="F2" s="379"/>
      <c r="L2" s="131"/>
      <c r="M2" s="131"/>
      <c r="N2" s="131"/>
      <c r="O2" s="131"/>
      <c r="P2" s="131"/>
      <c r="Q2" s="131"/>
      <c r="R2" s="131"/>
      <c r="S2" s="131"/>
      <c r="T2" s="131"/>
      <c r="U2" s="131"/>
      <c r="V2" s="131"/>
      <c r="W2" s="131"/>
      <c r="X2" s="131"/>
      <c r="Y2" s="131"/>
    </row>
    <row r="3" spans="1:25" ht="18" customHeight="1">
      <c r="A3" s="36"/>
      <c r="B3" s="132" t="str">
        <f>'1报表'!B12</f>
        <v>被评估单位：YLSJ公司</v>
      </c>
      <c r="C3" s="467"/>
      <c r="D3" s="467"/>
      <c r="E3" s="467"/>
      <c r="F3" s="468"/>
      <c r="G3" s="469"/>
      <c r="H3" s="467"/>
      <c r="I3" s="467"/>
      <c r="J3" s="467"/>
      <c r="K3" s="470" t="s">
        <v>52</v>
      </c>
    </row>
    <row r="4" spans="1:25" ht="21" customHeight="1">
      <c r="A4" s="133"/>
      <c r="B4" s="471" t="s">
        <v>319</v>
      </c>
      <c r="C4" s="472" t="str">
        <f>'3收入'!C4</f>
        <v>2016年</v>
      </c>
      <c r="D4" s="472" t="str">
        <f>'3收入'!D4</f>
        <v>2017年</v>
      </c>
      <c r="E4" s="472" t="str">
        <f>'3收入'!E4</f>
        <v>2018年1-6</v>
      </c>
      <c r="F4" s="473" t="str">
        <f>'3收入'!F4</f>
        <v>2018年</v>
      </c>
      <c r="G4" s="473" t="str">
        <f>'3收入'!G4</f>
        <v>2019年</v>
      </c>
      <c r="H4" s="473" t="str">
        <f>'3收入'!H4</f>
        <v>2020年</v>
      </c>
      <c r="I4" s="473" t="str">
        <f>'3收入'!I4</f>
        <v>2021年</v>
      </c>
      <c r="J4" s="473" t="str">
        <f>'3收入'!J4</f>
        <v>2022年</v>
      </c>
      <c r="K4" s="473" t="str">
        <f>'3收入'!K4</f>
        <v>2023年</v>
      </c>
    </row>
    <row r="5" spans="1:25" ht="18" customHeight="1">
      <c r="A5" s="82"/>
      <c r="B5" s="378" t="s">
        <v>273</v>
      </c>
      <c r="C5" s="38">
        <f>'3收入'!C5</f>
        <v>6309.9995689999996</v>
      </c>
      <c r="D5" s="38">
        <f>'3收入'!D5</f>
        <v>6454.082015</v>
      </c>
      <c r="E5" s="38">
        <f>'3收入'!E5</f>
        <v>2068.9888219999998</v>
      </c>
      <c r="F5" s="38">
        <f>'3收入'!F5</f>
        <v>4500</v>
      </c>
      <c r="G5" s="38">
        <f>'3收入'!G5</f>
        <v>4950</v>
      </c>
      <c r="H5" s="38">
        <f>'3收入'!H5</f>
        <v>5346</v>
      </c>
      <c r="I5" s="38">
        <f>'3收入'!I5</f>
        <v>5613.3</v>
      </c>
      <c r="J5" s="38">
        <f>'3收入'!J5</f>
        <v>5781.6990000000005</v>
      </c>
      <c r="K5" s="38">
        <f>'3收入'!K5</f>
        <v>5781.6990000000005</v>
      </c>
      <c r="X5" s="11"/>
    </row>
    <row r="6" spans="1:25" ht="18" customHeight="1">
      <c r="A6" s="82"/>
      <c r="B6" s="376" t="s">
        <v>94</v>
      </c>
      <c r="C6" s="38">
        <f>'4成本'!C5</f>
        <v>5325.2090229999994</v>
      </c>
      <c r="D6" s="38">
        <f>'4成本'!D5</f>
        <v>5874.6685770000004</v>
      </c>
      <c r="E6" s="38">
        <f>'4成本'!E5</f>
        <v>2248.312367</v>
      </c>
      <c r="F6" s="38">
        <f>'4成本'!F5</f>
        <v>3958.79</v>
      </c>
      <c r="G6" s="38">
        <f>'4成本'!G5</f>
        <v>4362.54</v>
      </c>
      <c r="H6" s="38">
        <f>'4成本'!H5</f>
        <v>4708.1747320000004</v>
      </c>
      <c r="I6" s="38">
        <f>'4成本'!I5</f>
        <v>4917.8710000000001</v>
      </c>
      <c r="J6" s="38">
        <f>'4成本'!J5</f>
        <v>5074.1781300000002</v>
      </c>
      <c r="K6" s="38">
        <f>'4成本'!K5</f>
        <v>5081.3281299999999</v>
      </c>
      <c r="X6" s="11"/>
    </row>
    <row r="7" spans="1:25" ht="18" customHeight="1">
      <c r="A7" s="82"/>
      <c r="B7" s="377" t="s">
        <v>168</v>
      </c>
      <c r="C7" s="38">
        <f>'5税金'!C5</f>
        <v>32.988745999999999</v>
      </c>
      <c r="D7" s="38">
        <f>'5税金'!D5</f>
        <v>28.542701999999998</v>
      </c>
      <c r="E7" s="38">
        <f>'5税金'!E5</f>
        <v>19.638479</v>
      </c>
      <c r="F7" s="38">
        <f>'5税金'!F5</f>
        <v>22.5</v>
      </c>
      <c r="G7" s="38">
        <f>'5税金'!G5</f>
        <v>24.75</v>
      </c>
      <c r="H7" s="38">
        <f>'5税金'!H5</f>
        <v>26.73</v>
      </c>
      <c r="I7" s="38">
        <f>'5税金'!I5</f>
        <v>28.066500000000001</v>
      </c>
      <c r="J7" s="38">
        <f>'5税金'!J5</f>
        <v>28.908495000000002</v>
      </c>
      <c r="K7" s="38">
        <f>'5税金'!K5</f>
        <v>28.908495000000002</v>
      </c>
      <c r="X7" s="11"/>
    </row>
    <row r="8" spans="1:25" ht="18" customHeight="1">
      <c r="A8" s="82"/>
      <c r="B8" s="377" t="s">
        <v>235</v>
      </c>
      <c r="C8" s="38">
        <f>'6销管'!C5</f>
        <v>0</v>
      </c>
      <c r="D8" s="38">
        <f>'6销管'!D5</f>
        <v>0</v>
      </c>
      <c r="E8" s="38">
        <f>'6销管'!E5</f>
        <v>0</v>
      </c>
      <c r="F8" s="38">
        <f>'6销管'!F5</f>
        <v>0</v>
      </c>
      <c r="G8" s="38">
        <f>'6销管'!G5</f>
        <v>0</v>
      </c>
      <c r="H8" s="38">
        <f>'6销管'!H5</f>
        <v>0</v>
      </c>
      <c r="I8" s="38">
        <f>'6销管'!I5</f>
        <v>0</v>
      </c>
      <c r="J8" s="38">
        <f>'6销管'!J5</f>
        <v>0</v>
      </c>
      <c r="K8" s="38">
        <f>'6销管'!K5</f>
        <v>0</v>
      </c>
      <c r="X8" s="11"/>
    </row>
    <row r="9" spans="1:25" ht="18" customHeight="1">
      <c r="A9" s="82"/>
      <c r="B9" s="377" t="s">
        <v>193</v>
      </c>
      <c r="C9" s="38">
        <f>'6销管'!C6</f>
        <v>668.47256399999992</v>
      </c>
      <c r="D9" s="38">
        <f>'6销管'!D6</f>
        <v>615.98559899999998</v>
      </c>
      <c r="E9" s="38">
        <f>'6销管'!E6</f>
        <v>268.929236</v>
      </c>
      <c r="F9" s="38">
        <f>'6销管'!F6</f>
        <v>475.4375060000001</v>
      </c>
      <c r="G9" s="38">
        <f>'6销管'!G6</f>
        <v>512.95000000000005</v>
      </c>
      <c r="H9" s="38">
        <f>'6销管'!H6</f>
        <v>554.94600000000003</v>
      </c>
      <c r="I9" s="38">
        <f>'6销管'!I6</f>
        <v>583.44330000000002</v>
      </c>
      <c r="J9" s="38">
        <f>'6销管'!J6</f>
        <v>599.9515990000001</v>
      </c>
      <c r="K9" s="38">
        <f>'6销管'!K6</f>
        <v>599.9515990000001</v>
      </c>
      <c r="X9" s="11"/>
    </row>
    <row r="10" spans="1:25" ht="18" customHeight="1">
      <c r="A10" s="82"/>
      <c r="B10" s="377" t="s">
        <v>375</v>
      </c>
      <c r="C10" s="38">
        <f>'6销管'!C7</f>
        <v>0</v>
      </c>
      <c r="D10" s="38">
        <f>'6销管'!D7</f>
        <v>0</v>
      </c>
      <c r="E10" s="38">
        <f>'6销管'!E7</f>
        <v>0</v>
      </c>
      <c r="F10" s="38">
        <f>'6销管'!F7</f>
        <v>0</v>
      </c>
      <c r="G10" s="38">
        <f>'6销管'!G7</f>
        <v>0</v>
      </c>
      <c r="H10" s="38">
        <f>'6销管'!H7</f>
        <v>0</v>
      </c>
      <c r="I10" s="38">
        <f>'6销管'!I7</f>
        <v>0</v>
      </c>
      <c r="J10" s="38">
        <f>'6销管'!J7</f>
        <v>0</v>
      </c>
      <c r="K10" s="38">
        <f>'6销管'!K7</f>
        <v>0</v>
      </c>
      <c r="X10" s="11"/>
    </row>
    <row r="11" spans="1:25" ht="18" customHeight="1">
      <c r="A11" s="82"/>
      <c r="B11" s="377" t="s">
        <v>455</v>
      </c>
      <c r="C11" s="38">
        <f>'11财务费用'!C21</f>
        <v>-33.899540000000002</v>
      </c>
      <c r="D11" s="38">
        <f>'11财务费用'!D21</f>
        <v>-11.184310999999999</v>
      </c>
      <c r="E11" s="38">
        <f>'11财务费用'!E21</f>
        <v>-1.0129090000000001</v>
      </c>
      <c r="F11" s="38">
        <f>'11财务费用'!F21+E11</f>
        <v>-1.0129090000000001</v>
      </c>
      <c r="G11" s="38">
        <f>'11财务费用'!G21</f>
        <v>0</v>
      </c>
      <c r="H11" s="38">
        <f>'11财务费用'!H21</f>
        <v>0</v>
      </c>
      <c r="I11" s="38">
        <f>'11财务费用'!I21</f>
        <v>0</v>
      </c>
      <c r="J11" s="38">
        <f>'11财务费用'!J21</f>
        <v>0</v>
      </c>
      <c r="K11" s="38">
        <f>'11财务费用'!K21</f>
        <v>0</v>
      </c>
      <c r="L11" s="214"/>
      <c r="M11" s="214"/>
      <c r="X11" s="11"/>
    </row>
    <row r="12" spans="1:25" ht="18" customHeight="1">
      <c r="A12" s="82"/>
      <c r="B12" s="464" t="s">
        <v>175</v>
      </c>
      <c r="C12" s="8">
        <f>C5-SUM(C6:C11)</f>
        <v>317.22877600000083</v>
      </c>
      <c r="D12" s="8">
        <f t="shared" ref="D12:K12" si="0">D5-SUM(D6:D11)</f>
        <v>-53.930551999999807</v>
      </c>
      <c r="E12" s="8">
        <f t="shared" si="0"/>
        <v>-466.87835100000029</v>
      </c>
      <c r="F12" s="8">
        <f t="shared" si="0"/>
        <v>44.28540299999986</v>
      </c>
      <c r="G12" s="8">
        <f t="shared" si="0"/>
        <v>49.760000000000218</v>
      </c>
      <c r="H12" s="8">
        <f t="shared" si="0"/>
        <v>56.14926800000012</v>
      </c>
      <c r="I12" s="8">
        <f t="shared" si="0"/>
        <v>83.919200000000274</v>
      </c>
      <c r="J12" s="8">
        <f t="shared" si="0"/>
        <v>78.660776000000624</v>
      </c>
      <c r="K12" s="8">
        <f t="shared" si="0"/>
        <v>71.510776000000988</v>
      </c>
      <c r="L12" s="53"/>
    </row>
    <row r="13" spans="1:25" ht="18" customHeight="1">
      <c r="A13" s="82"/>
      <c r="B13" s="474" t="s">
        <v>176</v>
      </c>
      <c r="C13" s="8">
        <f t="shared" ref="C13:K13" si="1">C12</f>
        <v>317.22877600000083</v>
      </c>
      <c r="D13" s="8">
        <f t="shared" si="1"/>
        <v>-53.930551999999807</v>
      </c>
      <c r="E13" s="8">
        <f t="shared" si="1"/>
        <v>-466.87835100000029</v>
      </c>
      <c r="F13" s="8">
        <f t="shared" si="1"/>
        <v>44.28540299999986</v>
      </c>
      <c r="G13" s="8">
        <f t="shared" si="1"/>
        <v>49.760000000000218</v>
      </c>
      <c r="H13" s="8">
        <f t="shared" si="1"/>
        <v>56.14926800000012</v>
      </c>
      <c r="I13" s="8">
        <f t="shared" si="1"/>
        <v>83.919200000000274</v>
      </c>
      <c r="J13" s="8">
        <f t="shared" si="1"/>
        <v>78.660776000000624</v>
      </c>
      <c r="K13" s="8">
        <f t="shared" si="1"/>
        <v>71.510776000000988</v>
      </c>
      <c r="L13" s="53"/>
    </row>
    <row r="14" spans="1:25" ht="18" customHeight="1">
      <c r="A14" s="707"/>
      <c r="B14" s="708" t="s">
        <v>821</v>
      </c>
      <c r="C14" s="65"/>
      <c r="D14" s="65"/>
      <c r="E14" s="65"/>
      <c r="F14" s="475">
        <f>-D13</f>
        <v>53.930551999999807</v>
      </c>
      <c r="G14" s="475">
        <f>F14-F13</f>
        <v>9.6451489999999467</v>
      </c>
      <c r="H14" s="475"/>
      <c r="I14" s="475"/>
      <c r="J14" s="475"/>
      <c r="K14" s="475"/>
      <c r="L14" s="53"/>
    </row>
    <row r="15" spans="1:25" ht="18" customHeight="1">
      <c r="A15" s="709"/>
      <c r="B15" s="708" t="s">
        <v>822</v>
      </c>
      <c r="C15" s="65"/>
      <c r="D15" s="65"/>
      <c r="E15" s="65"/>
      <c r="F15" s="475"/>
      <c r="G15" s="475"/>
      <c r="H15" s="475"/>
      <c r="I15" s="475"/>
      <c r="J15" s="475"/>
      <c r="K15" s="475"/>
      <c r="L15" s="53"/>
    </row>
    <row r="16" spans="1:25" s="41" customFormat="1" ht="18" customHeight="1">
      <c r="A16" s="40"/>
      <c r="B16" s="559" t="s">
        <v>823</v>
      </c>
      <c r="C16" s="65"/>
      <c r="D16" s="65"/>
      <c r="E16" s="65"/>
      <c r="F16" s="475"/>
      <c r="G16" s="475"/>
      <c r="H16" s="475"/>
      <c r="I16" s="475"/>
      <c r="J16" s="475"/>
      <c r="K16" s="475"/>
    </row>
    <row r="17" spans="1:25" s="41" customFormat="1" ht="18" customHeight="1">
      <c r="A17" s="40"/>
      <c r="B17" s="559" t="s">
        <v>824</v>
      </c>
      <c r="C17" s="65"/>
      <c r="D17" s="65"/>
      <c r="E17" s="65"/>
      <c r="F17" s="475"/>
      <c r="G17" s="475"/>
      <c r="H17" s="475"/>
      <c r="I17" s="475"/>
      <c r="J17" s="475"/>
      <c r="K17" s="475"/>
    </row>
    <row r="18" spans="1:25" ht="18" customHeight="1">
      <c r="A18" s="709"/>
      <c r="B18" s="710" t="s">
        <v>825</v>
      </c>
      <c r="C18" s="65"/>
      <c r="D18" s="65"/>
      <c r="E18" s="65"/>
      <c r="F18" s="8">
        <f>F13-F14-F15-F16+F17</f>
        <v>-9.6451489999999467</v>
      </c>
      <c r="G18" s="8">
        <f>G13-G14-G15-G16+G17</f>
        <v>40.114851000000272</v>
      </c>
      <c r="H18" s="8">
        <f t="shared" ref="H18:J18" si="2">H13-H14-H15-H16+H17</f>
        <v>56.14926800000012</v>
      </c>
      <c r="I18" s="8">
        <f t="shared" si="2"/>
        <v>83.919200000000274</v>
      </c>
      <c r="J18" s="8">
        <f t="shared" si="2"/>
        <v>78.660776000000624</v>
      </c>
      <c r="K18" s="8">
        <f t="shared" ref="K18" si="3">K13-K14-K15-K16+K17</f>
        <v>71.510776000000988</v>
      </c>
      <c r="L18" s="212"/>
      <c r="M18" s="212"/>
      <c r="N18" s="212"/>
      <c r="O18" s="212"/>
      <c r="P18" s="212"/>
      <c r="Q18" s="212"/>
      <c r="R18" s="212"/>
      <c r="S18" s="212"/>
      <c r="T18" s="212"/>
      <c r="U18" s="212"/>
      <c r="V18" s="13"/>
      <c r="W18" s="13"/>
      <c r="Y18" s="212"/>
    </row>
    <row r="19" spans="1:25" ht="18" customHeight="1">
      <c r="A19" s="709"/>
      <c r="B19" s="711" t="s">
        <v>826</v>
      </c>
      <c r="C19" s="65"/>
      <c r="D19" s="65"/>
      <c r="E19" s="65"/>
      <c r="F19" s="476">
        <v>0.25</v>
      </c>
      <c r="G19" s="476">
        <v>0.25</v>
      </c>
      <c r="H19" s="476">
        <v>0.25</v>
      </c>
      <c r="I19" s="476">
        <v>0.25</v>
      </c>
      <c r="J19" s="476">
        <v>0.25</v>
      </c>
      <c r="K19" s="476">
        <v>0.25</v>
      </c>
      <c r="L19" s="190"/>
      <c r="Y19" s="212"/>
    </row>
    <row r="20" spans="1:25" ht="18" customHeight="1">
      <c r="A20" s="82"/>
      <c r="B20" s="200" t="s">
        <v>494</v>
      </c>
      <c r="C20" s="65"/>
      <c r="D20" s="65"/>
      <c r="E20" s="65"/>
      <c r="F20" s="2">
        <f>IF(F18&lt;0,0,F18*F19)</f>
        <v>0</v>
      </c>
      <c r="G20" s="2">
        <f>IF(G18&lt;0,0,G18*G19)</f>
        <v>10.028712750000068</v>
      </c>
      <c r="H20" s="2">
        <f>IF(H18&lt;0,0,H18*H19)</f>
        <v>14.03731700000003</v>
      </c>
      <c r="I20" s="2">
        <f t="shared" ref="I20:K20" si="4">IF(I18&lt;0,0,I18*I19)</f>
        <v>20.979800000000068</v>
      </c>
      <c r="J20" s="2">
        <f t="shared" si="4"/>
        <v>19.665194000000156</v>
      </c>
      <c r="K20" s="2">
        <f t="shared" si="4"/>
        <v>17.877694000000247</v>
      </c>
      <c r="L20" s="53"/>
      <c r="M20" s="190"/>
    </row>
    <row r="21" spans="1:25" ht="18" customHeight="1">
      <c r="A21" s="82"/>
      <c r="B21" s="477" t="s">
        <v>280</v>
      </c>
      <c r="C21" s="65"/>
      <c r="D21" s="65"/>
      <c r="E21" s="65"/>
      <c r="F21" s="8">
        <f>F13-F20</f>
        <v>44.28540299999986</v>
      </c>
      <c r="G21" s="8">
        <f>G13-G20</f>
        <v>39.73128725000015</v>
      </c>
      <c r="H21" s="8">
        <f t="shared" ref="H21:K21" si="5">H13-H20</f>
        <v>42.11195100000009</v>
      </c>
      <c r="I21" s="8">
        <f t="shared" si="5"/>
        <v>62.939400000000205</v>
      </c>
      <c r="J21" s="8">
        <f t="shared" si="5"/>
        <v>58.995582000000468</v>
      </c>
      <c r="K21" s="8">
        <f t="shared" si="5"/>
        <v>53.633082000000741</v>
      </c>
      <c r="M21" s="190"/>
    </row>
    <row r="22" spans="1:25" ht="18" customHeight="1">
      <c r="A22" s="82"/>
      <c r="B22" s="244" t="s">
        <v>543</v>
      </c>
      <c r="C22" s="65"/>
      <c r="D22" s="65"/>
      <c r="E22" s="65"/>
      <c r="F22" s="478"/>
      <c r="G22" s="478"/>
      <c r="H22" s="478"/>
      <c r="I22" s="478"/>
      <c r="J22" s="478"/>
      <c r="K22" s="478"/>
      <c r="M22" s="190"/>
    </row>
    <row r="23" spans="1:25" s="184" customFormat="1" ht="18" customHeight="1">
      <c r="A23" s="139"/>
      <c r="B23" s="464" t="s">
        <v>544</v>
      </c>
      <c r="C23" s="65"/>
      <c r="D23" s="65"/>
      <c r="E23" s="65"/>
      <c r="F23" s="479">
        <f>F21-F22</f>
        <v>44.28540299999986</v>
      </c>
      <c r="G23" s="479">
        <f t="shared" ref="G23:K23" si="6">G21-G22</f>
        <v>39.73128725000015</v>
      </c>
      <c r="H23" s="479">
        <f t="shared" si="6"/>
        <v>42.11195100000009</v>
      </c>
      <c r="I23" s="479">
        <f t="shared" si="6"/>
        <v>62.939400000000205</v>
      </c>
      <c r="J23" s="479">
        <f t="shared" si="6"/>
        <v>58.995582000000468</v>
      </c>
      <c r="K23" s="479">
        <f t="shared" si="6"/>
        <v>53.633082000000741</v>
      </c>
      <c r="L23" s="73"/>
      <c r="M23" s="131"/>
      <c r="N23" s="131"/>
      <c r="O23" s="131"/>
      <c r="P23" s="131"/>
      <c r="Q23" s="131"/>
      <c r="R23" s="131"/>
      <c r="S23" s="131"/>
      <c r="T23" s="131"/>
      <c r="U23" s="131"/>
      <c r="V23" s="131"/>
      <c r="W23" s="131"/>
      <c r="X23" s="131"/>
      <c r="Y23" s="131"/>
    </row>
    <row r="24" spans="1:25" ht="18" customHeight="1">
      <c r="A24" s="82"/>
      <c r="B24" s="370"/>
      <c r="C24" s="13"/>
      <c r="D24" s="13"/>
      <c r="E24" s="13"/>
      <c r="F24" s="13"/>
      <c r="G24" s="13"/>
      <c r="H24" s="13"/>
      <c r="I24" s="13"/>
      <c r="J24" s="13"/>
      <c r="K24" s="13"/>
      <c r="L24" s="13"/>
    </row>
    <row r="25" spans="1:25" ht="18" customHeight="1">
      <c r="A25" s="82"/>
      <c r="B25" s="712"/>
      <c r="C25" s="267"/>
      <c r="D25" s="267"/>
      <c r="E25" s="267"/>
      <c r="F25" s="267"/>
      <c r="G25" s="267"/>
      <c r="H25" s="267"/>
      <c r="I25" s="267"/>
      <c r="J25" s="267"/>
      <c r="K25" s="267"/>
      <c r="L25" s="39"/>
    </row>
    <row r="26" spans="1:25" s="41" customFormat="1" ht="18" customHeight="1">
      <c r="A26" s="40"/>
      <c r="B26" s="216" t="s">
        <v>827</v>
      </c>
      <c r="K26" s="39"/>
    </row>
    <row r="27" spans="1:25" s="41" customFormat="1" ht="18" customHeight="1">
      <c r="A27" s="40"/>
      <c r="B27" s="474" t="s">
        <v>176</v>
      </c>
      <c r="C27" s="2">
        <f>C13</f>
        <v>317.22877600000083</v>
      </c>
      <c r="D27" s="2">
        <f t="shared" ref="D27:E27" si="7">D13</f>
        <v>-53.930551999999807</v>
      </c>
      <c r="E27" s="2">
        <f t="shared" si="7"/>
        <v>-466.87835100000029</v>
      </c>
      <c r="K27" s="39"/>
    </row>
    <row r="28" spans="1:25" s="41" customFormat="1" ht="18" customHeight="1">
      <c r="A28" s="40"/>
      <c r="B28" s="708" t="s">
        <v>828</v>
      </c>
      <c r="C28" s="475"/>
      <c r="D28" s="475"/>
      <c r="E28" s="475"/>
      <c r="K28" s="39"/>
    </row>
    <row r="29" spans="1:25" s="41" customFormat="1" ht="18" customHeight="1">
      <c r="A29" s="40"/>
      <c r="B29" s="708" t="s">
        <v>829</v>
      </c>
      <c r="C29" s="475"/>
      <c r="D29" s="475"/>
      <c r="E29" s="475"/>
      <c r="K29" s="39"/>
    </row>
    <row r="30" spans="1:25" s="41" customFormat="1" ht="18" customHeight="1">
      <c r="A30" s="40"/>
      <c r="B30" s="559" t="s">
        <v>830</v>
      </c>
      <c r="C30" s="475"/>
      <c r="D30" s="475"/>
      <c r="E30" s="475"/>
      <c r="K30" s="39"/>
    </row>
    <row r="31" spans="1:25" s="41" customFormat="1" ht="18" customHeight="1">
      <c r="A31" s="40"/>
      <c r="B31" s="559" t="s">
        <v>831</v>
      </c>
      <c r="C31" s="475"/>
      <c r="D31" s="475"/>
      <c r="E31" s="475"/>
      <c r="K31" s="39"/>
    </row>
    <row r="32" spans="1:25" s="41" customFormat="1" ht="18" customHeight="1">
      <c r="A32" s="40"/>
      <c r="B32" s="710" t="s">
        <v>832</v>
      </c>
      <c r="C32" s="8">
        <f>C27-C28-C29-C30+C31</f>
        <v>317.22877600000083</v>
      </c>
      <c r="D32" s="8">
        <f t="shared" ref="D32:E32" si="8">D27-D28-D29-D30+D31</f>
        <v>-53.930551999999807</v>
      </c>
      <c r="E32" s="8">
        <f t="shared" si="8"/>
        <v>-466.87835100000029</v>
      </c>
      <c r="K32" s="39"/>
    </row>
    <row r="33" spans="1:11" s="41" customFormat="1" ht="18" customHeight="1">
      <c r="A33" s="40"/>
      <c r="B33" s="711" t="s">
        <v>640</v>
      </c>
      <c r="C33" s="476">
        <v>0.25</v>
      </c>
      <c r="D33" s="476">
        <v>0.25</v>
      </c>
      <c r="E33" s="476">
        <v>0.25</v>
      </c>
      <c r="K33" s="39"/>
    </row>
    <row r="34" spans="1:11" s="41" customFormat="1" ht="18" customHeight="1">
      <c r="A34" s="40"/>
      <c r="B34" s="200" t="s">
        <v>494</v>
      </c>
      <c r="C34" s="2">
        <f>IF(C32&lt;0,0,C32*C33)</f>
        <v>79.307194000000209</v>
      </c>
      <c r="D34" s="2">
        <f t="shared" ref="D34:E34" si="9">IF(D32&lt;0,0,D32*D33)</f>
        <v>0</v>
      </c>
      <c r="E34" s="2">
        <f t="shared" si="9"/>
        <v>0</v>
      </c>
      <c r="K34" s="39"/>
    </row>
    <row r="35" spans="1:11" s="41" customFormat="1" ht="18" customHeight="1">
      <c r="A35" s="40"/>
      <c r="K35" s="212"/>
    </row>
    <row r="36" spans="1:11" s="41" customFormat="1" ht="18" customHeight="1">
      <c r="A36" s="40"/>
    </row>
    <row r="37" spans="1:11" s="41" customFormat="1" ht="18" customHeight="1">
      <c r="A37" s="40"/>
    </row>
    <row r="38" spans="1:11" s="41" customFormat="1" ht="18" customHeight="1">
      <c r="A38" s="40"/>
    </row>
    <row r="39" spans="1:11" s="41" customFormat="1" ht="18" customHeight="1">
      <c r="A39" s="40"/>
    </row>
    <row r="40" spans="1:11" s="41" customFormat="1" ht="18" customHeight="1">
      <c r="A40" s="40"/>
    </row>
    <row r="41" spans="1:11" s="41" customFormat="1" ht="18" customHeight="1">
      <c r="A41" s="40"/>
    </row>
    <row r="42" spans="1:11" s="41" customFormat="1" ht="18" customHeight="1">
      <c r="A42" s="40"/>
    </row>
    <row r="43" spans="1:11" s="41" customFormat="1" ht="18" customHeight="1">
      <c r="A43" s="40"/>
    </row>
    <row r="44" spans="1:11" s="41" customFormat="1" ht="18" customHeight="1">
      <c r="A44" s="40"/>
    </row>
    <row r="45" spans="1:11" s="41" customFormat="1" ht="18" customHeight="1">
      <c r="A45" s="40"/>
    </row>
    <row r="46" spans="1:11" s="41" customFormat="1" ht="18" customHeight="1">
      <c r="A46" s="40"/>
    </row>
    <row r="47" spans="1:11" s="41" customFormat="1" ht="18" customHeight="1">
      <c r="A47" s="40"/>
    </row>
    <row r="48" spans="1:11" s="41" customFormat="1" ht="18" customHeight="1">
      <c r="A48" s="40"/>
    </row>
    <row r="49" spans="1:1" s="41" customFormat="1" ht="18" customHeight="1">
      <c r="A49" s="40"/>
    </row>
    <row r="50" spans="1:1" s="41" customFormat="1" ht="18" customHeight="1">
      <c r="A50" s="40"/>
    </row>
    <row r="51" spans="1:1" s="41" customFormat="1" ht="18" customHeight="1">
      <c r="A51" s="40"/>
    </row>
    <row r="52" spans="1:1" s="41" customFormat="1" ht="18" customHeight="1">
      <c r="A52" s="40"/>
    </row>
    <row r="53" spans="1:1" s="41" customFormat="1" ht="18" customHeight="1">
      <c r="A53" s="40"/>
    </row>
    <row r="54" spans="1:1" s="41" customFormat="1" ht="18" customHeight="1">
      <c r="A54" s="40"/>
    </row>
    <row r="55" spans="1:1" s="41" customFormat="1" ht="18" customHeight="1">
      <c r="A55" s="40"/>
    </row>
    <row r="56" spans="1:1" s="41" customFormat="1" ht="18" customHeight="1">
      <c r="A56" s="40"/>
    </row>
    <row r="57" spans="1:1" s="41" customFormat="1" ht="18" customHeight="1">
      <c r="A57" s="40"/>
    </row>
    <row r="58" spans="1:1" s="41" customFormat="1" ht="18" customHeight="1">
      <c r="A58" s="40"/>
    </row>
    <row r="59" spans="1:1" s="41" customFormat="1" ht="18" customHeight="1">
      <c r="A59" s="40"/>
    </row>
    <row r="60" spans="1:1" s="41" customFormat="1" ht="18" customHeight="1">
      <c r="A60" s="40"/>
    </row>
    <row r="61" spans="1:1" s="41" customFormat="1" ht="18" customHeight="1">
      <c r="A61" s="40"/>
    </row>
    <row r="62" spans="1:1" s="41" customFormat="1" ht="18" customHeight="1">
      <c r="A62" s="40"/>
    </row>
    <row r="63" spans="1:1" s="41" customFormat="1" ht="18" customHeight="1">
      <c r="A63" s="40"/>
    </row>
    <row r="64" spans="1:1" s="41" customFormat="1" ht="18" customHeight="1">
      <c r="A64" s="40"/>
    </row>
    <row r="65" spans="1:1" s="41" customFormat="1" ht="18" customHeight="1">
      <c r="A65" s="40"/>
    </row>
    <row r="66" spans="1:1" s="41" customFormat="1" ht="18" customHeight="1">
      <c r="A66" s="40"/>
    </row>
    <row r="67" spans="1:1" s="41" customFormat="1" ht="18" customHeight="1">
      <c r="A67" s="40"/>
    </row>
    <row r="68" spans="1:1" s="41" customFormat="1" ht="18" customHeight="1">
      <c r="A68" s="40"/>
    </row>
    <row r="69" spans="1:1" s="41" customFormat="1" ht="18" customHeight="1">
      <c r="A69" s="40"/>
    </row>
    <row r="70" spans="1:1" s="41" customFormat="1" ht="18" customHeight="1">
      <c r="A70" s="40"/>
    </row>
    <row r="71" spans="1:1" s="41" customFormat="1" ht="18" customHeight="1">
      <c r="A71" s="40"/>
    </row>
    <row r="72" spans="1:1" s="41" customFormat="1" ht="18" customHeight="1">
      <c r="A72" s="40"/>
    </row>
    <row r="73" spans="1:1" s="41" customFormat="1" ht="18" customHeight="1">
      <c r="A73" s="40"/>
    </row>
    <row r="74" spans="1:1" s="41" customFormat="1" ht="18" customHeight="1">
      <c r="A74" s="40"/>
    </row>
    <row r="75" spans="1:1" s="41" customFormat="1" ht="18" customHeight="1">
      <c r="A75" s="40"/>
    </row>
    <row r="76" spans="1:1" s="41" customFormat="1" ht="18" customHeight="1">
      <c r="A76" s="40"/>
    </row>
    <row r="77" spans="1:1" s="41" customFormat="1" ht="18" customHeight="1">
      <c r="A77" s="40"/>
    </row>
    <row r="78" spans="1:1" s="41" customFormat="1" ht="18" customHeight="1">
      <c r="A78" s="40"/>
    </row>
    <row r="79" spans="1:1" s="41" customFormat="1" ht="18" customHeight="1">
      <c r="A79" s="40"/>
    </row>
    <row r="80" spans="1:1" s="41" customFormat="1" ht="18" customHeight="1">
      <c r="A80" s="40"/>
    </row>
    <row r="81" spans="1:1" s="41" customFormat="1" ht="18" customHeight="1">
      <c r="A81" s="40"/>
    </row>
    <row r="82" spans="1:1" s="41" customFormat="1" ht="18" customHeight="1">
      <c r="A82" s="40"/>
    </row>
    <row r="83" spans="1:1" s="41" customFormat="1" ht="18" customHeight="1">
      <c r="A83" s="40"/>
    </row>
    <row r="84" spans="1:1" s="41" customFormat="1" ht="18" customHeight="1">
      <c r="A84" s="40"/>
    </row>
    <row r="85" spans="1:1" s="41" customFormat="1" ht="18" customHeight="1">
      <c r="A85" s="40"/>
    </row>
    <row r="86" spans="1:1" s="41" customFormat="1" ht="18" customHeight="1">
      <c r="A86" s="40"/>
    </row>
    <row r="87" spans="1:1" s="41" customFormat="1" ht="18" customHeight="1">
      <c r="A87" s="40"/>
    </row>
    <row r="88" spans="1:1" s="41" customFormat="1" ht="18" customHeight="1">
      <c r="A88" s="40"/>
    </row>
    <row r="89" spans="1:1" s="41" customFormat="1" ht="18" customHeight="1">
      <c r="A89" s="40"/>
    </row>
    <row r="90" spans="1:1" s="41" customFormat="1" ht="18" customHeight="1">
      <c r="A90" s="40"/>
    </row>
    <row r="91" spans="1:1" s="41" customFormat="1" ht="18" customHeight="1">
      <c r="A91" s="40"/>
    </row>
    <row r="92" spans="1:1" s="41" customFormat="1" ht="18" customHeight="1">
      <c r="A92" s="40"/>
    </row>
    <row r="93" spans="1:1" s="41" customFormat="1" ht="18" customHeight="1">
      <c r="A93" s="40"/>
    </row>
    <row r="94" spans="1:1" s="41" customFormat="1" ht="18" customHeight="1">
      <c r="A94" s="40"/>
    </row>
    <row r="95" spans="1:1" s="41" customFormat="1" ht="18" customHeight="1">
      <c r="A95" s="40"/>
    </row>
    <row r="96" spans="1:1" s="41" customFormat="1" ht="18" customHeight="1">
      <c r="A96" s="40"/>
    </row>
    <row r="97" spans="1:1" s="41" customFormat="1" ht="18" customHeight="1">
      <c r="A97" s="40"/>
    </row>
    <row r="98" spans="1:1" s="41" customFormat="1" ht="18" customHeight="1">
      <c r="A98" s="40"/>
    </row>
    <row r="99" spans="1:1" s="41" customFormat="1" ht="18" customHeight="1">
      <c r="A99" s="40"/>
    </row>
    <row r="100" spans="1:1" s="41" customFormat="1" ht="18" customHeight="1">
      <c r="A100" s="40"/>
    </row>
    <row r="101" spans="1:1" s="41" customFormat="1" ht="18" customHeight="1">
      <c r="A101" s="40"/>
    </row>
    <row r="102" spans="1:1" s="41" customFormat="1" ht="18" customHeight="1">
      <c r="A102" s="40"/>
    </row>
    <row r="103" spans="1:1" s="41" customFormat="1" ht="18" customHeight="1">
      <c r="A103" s="40"/>
    </row>
    <row r="104" spans="1:1" s="41" customFormat="1" ht="18" customHeight="1">
      <c r="A104" s="40"/>
    </row>
    <row r="105" spans="1:1" s="41" customFormat="1" ht="18" customHeight="1">
      <c r="A105" s="40"/>
    </row>
    <row r="106" spans="1:1" s="41" customFormat="1" ht="18" customHeight="1">
      <c r="A106" s="40"/>
    </row>
    <row r="107" spans="1:1" s="41" customFormat="1" ht="18" customHeight="1">
      <c r="A107" s="40"/>
    </row>
    <row r="108" spans="1:1" s="41" customFormat="1" ht="18" customHeight="1">
      <c r="A108" s="40"/>
    </row>
    <row r="109" spans="1:1" s="41" customFormat="1" ht="18" customHeight="1">
      <c r="A109" s="40"/>
    </row>
    <row r="110" spans="1:1" s="41" customFormat="1" ht="18" customHeight="1">
      <c r="A110" s="40"/>
    </row>
    <row r="111" spans="1:1" s="41" customFormat="1" ht="18" customHeight="1">
      <c r="A111" s="40"/>
    </row>
    <row r="112" spans="1:1" s="41" customFormat="1" ht="18" customHeight="1">
      <c r="A112" s="40"/>
    </row>
    <row r="113" spans="1:1" s="41" customFormat="1" ht="18" customHeight="1">
      <c r="A113" s="40"/>
    </row>
    <row r="114" spans="1:1" s="41" customFormat="1" ht="18" customHeight="1">
      <c r="A114" s="40"/>
    </row>
    <row r="115" spans="1:1" s="41" customFormat="1" ht="18" customHeight="1">
      <c r="A115" s="40"/>
    </row>
    <row r="116" spans="1:1" s="41" customFormat="1" ht="18" customHeight="1">
      <c r="A116" s="40"/>
    </row>
    <row r="117" spans="1:1" s="41" customFormat="1" ht="18" customHeight="1">
      <c r="A117" s="40"/>
    </row>
    <row r="118" spans="1:1" s="41" customFormat="1" ht="18" customHeight="1">
      <c r="A118" s="40"/>
    </row>
    <row r="119" spans="1:1" s="41" customFormat="1" ht="18" customHeight="1">
      <c r="A119" s="40"/>
    </row>
    <row r="120" spans="1:1" s="41" customFormat="1" ht="18" customHeight="1">
      <c r="A120" s="40"/>
    </row>
    <row r="121" spans="1:1" s="41" customFormat="1" ht="18" customHeight="1">
      <c r="A121" s="40"/>
    </row>
    <row r="122" spans="1:1" s="41" customFormat="1" ht="18" customHeight="1">
      <c r="A122" s="40"/>
    </row>
    <row r="123" spans="1:1" s="41" customFormat="1" ht="18" customHeight="1">
      <c r="A123" s="40"/>
    </row>
    <row r="124" spans="1:1" s="41" customFormat="1" ht="18" customHeight="1">
      <c r="A124" s="40"/>
    </row>
    <row r="125" spans="1:1" s="41" customFormat="1" ht="18" customHeight="1">
      <c r="A125" s="40"/>
    </row>
    <row r="126" spans="1:1" s="41" customFormat="1" ht="18" customHeight="1">
      <c r="A126" s="40"/>
    </row>
    <row r="127" spans="1:1" s="41" customFormat="1" ht="18" customHeight="1">
      <c r="A127" s="40"/>
    </row>
    <row r="128" spans="1:1" s="41" customFormat="1" ht="18" customHeight="1">
      <c r="A128" s="40"/>
    </row>
    <row r="129" spans="1:1" s="41" customFormat="1" ht="18" customHeight="1">
      <c r="A129" s="40"/>
    </row>
    <row r="130" spans="1:1" s="41" customFormat="1" ht="18" customHeight="1">
      <c r="A130" s="40"/>
    </row>
    <row r="131" spans="1:1" s="41" customFormat="1" ht="18" customHeight="1">
      <c r="A131" s="40"/>
    </row>
    <row r="132" spans="1:1" s="41" customFormat="1" ht="18" customHeight="1">
      <c r="A132" s="40"/>
    </row>
    <row r="133" spans="1:1" s="41" customFormat="1" ht="18" customHeight="1">
      <c r="A133" s="40"/>
    </row>
    <row r="134" spans="1:1" s="41" customFormat="1" ht="18" customHeight="1">
      <c r="A134" s="40"/>
    </row>
    <row r="135" spans="1:1" s="41" customFormat="1" ht="18" customHeight="1">
      <c r="A135" s="40"/>
    </row>
    <row r="136" spans="1:1" s="41" customFormat="1" ht="18" customHeight="1">
      <c r="A136" s="40"/>
    </row>
    <row r="137" spans="1:1" s="41" customFormat="1" ht="18" customHeight="1">
      <c r="A137" s="40"/>
    </row>
    <row r="138" spans="1:1" s="41" customFormat="1" ht="18" customHeight="1">
      <c r="A138" s="40"/>
    </row>
    <row r="139" spans="1:1" s="41" customFormat="1" ht="18" customHeight="1">
      <c r="A139" s="40"/>
    </row>
    <row r="140" spans="1:1" s="41" customFormat="1" ht="18" customHeight="1">
      <c r="A140" s="40"/>
    </row>
    <row r="141" spans="1:1" s="41" customFormat="1" ht="18" customHeight="1">
      <c r="A141" s="40"/>
    </row>
    <row r="142" spans="1:1" s="41" customFormat="1" ht="18" customHeight="1">
      <c r="A142" s="40"/>
    </row>
    <row r="143" spans="1:1" s="41" customFormat="1" ht="18" customHeight="1">
      <c r="A143" s="40"/>
    </row>
    <row r="144" spans="1:1" s="41" customFormat="1" ht="18" customHeight="1">
      <c r="A144" s="40"/>
    </row>
    <row r="145" spans="1:1" s="41" customFormat="1" ht="18" customHeight="1">
      <c r="A145" s="40"/>
    </row>
    <row r="146" spans="1:1" s="41" customFormat="1" ht="18" customHeight="1">
      <c r="A146" s="40"/>
    </row>
    <row r="147" spans="1:1" s="41" customFormat="1" ht="18" customHeight="1">
      <c r="A147" s="40"/>
    </row>
  </sheetData>
  <mergeCells count="1">
    <mergeCell ref="B1:K1"/>
  </mergeCells>
  <phoneticPr fontId="6" type="noConversion"/>
  <pageMargins left="0.75" right="0.75" top="1" bottom="1" header="0.5" footer="0.5"/>
  <pageSetup paperSize="9" orientation="landscape"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00B050"/>
  </sheetPr>
  <dimension ref="A1:R1350"/>
  <sheetViews>
    <sheetView topLeftCell="B37" zoomScaleNormal="100" workbookViewId="0">
      <selection activeCell="K50" sqref="K50"/>
    </sheetView>
  </sheetViews>
  <sheetFormatPr defaultColWidth="9" defaultRowHeight="18" customHeight="1" outlineLevelCol="1"/>
  <cols>
    <col min="1" max="1" width="3.08203125" style="128" customWidth="1"/>
    <col min="2" max="2" width="24.25" style="11" customWidth="1"/>
    <col min="3" max="3" width="1.83203125" style="11" hidden="1" customWidth="1" outlineLevel="1"/>
    <col min="4" max="4" width="2.75" style="11" hidden="1" customWidth="1" outlineLevel="1"/>
    <col min="5" max="5" width="2.33203125" style="11" hidden="1" customWidth="1" outlineLevel="1"/>
    <col min="6" max="6" width="9" style="11" customWidth="1" collapsed="1"/>
    <col min="7" max="11" width="9" style="11"/>
    <col min="12" max="12" width="11" style="11" customWidth="1"/>
    <col min="13" max="13" width="8.58203125" style="237" customWidth="1"/>
    <col min="14" max="16384" width="9" style="11"/>
  </cols>
  <sheetData>
    <row r="1" spans="1:13" s="3" customFormat="1" ht="30" customHeight="1">
      <c r="A1" s="206"/>
      <c r="B1" s="743" t="s">
        <v>316</v>
      </c>
      <c r="C1" s="750"/>
      <c r="D1" s="750"/>
      <c r="E1" s="750"/>
      <c r="F1" s="750"/>
      <c r="G1" s="750"/>
      <c r="H1" s="750"/>
      <c r="I1" s="750"/>
      <c r="J1" s="750"/>
      <c r="K1" s="750"/>
      <c r="L1" s="750"/>
      <c r="M1" s="11"/>
    </row>
    <row r="2" spans="1:13" s="3" customFormat="1" ht="18" customHeight="1">
      <c r="A2" s="206"/>
      <c r="B2" s="229" t="str">
        <f>'1报表'!B11</f>
        <v>评估基准日：2018/6/30</v>
      </c>
      <c r="C2" s="325"/>
      <c r="D2" s="325"/>
      <c r="E2" s="11"/>
      <c r="G2" s="174"/>
      <c r="H2" s="342"/>
      <c r="I2" s="174"/>
      <c r="J2" s="174"/>
      <c r="K2" s="174"/>
      <c r="L2" s="174"/>
      <c r="M2" s="11"/>
    </row>
    <row r="3" spans="1:13" s="3" customFormat="1" ht="18" customHeight="1">
      <c r="A3" s="206"/>
      <c r="B3" s="229" t="str">
        <f>'1报表'!B12</f>
        <v>被评估单位：YLSJ公司</v>
      </c>
      <c r="L3" s="15" t="s">
        <v>52</v>
      </c>
    </row>
    <row r="4" spans="1:13" ht="18" customHeight="1">
      <c r="A4" s="206"/>
      <c r="B4" s="127" t="s">
        <v>195</v>
      </c>
      <c r="C4" s="48"/>
      <c r="D4" s="48"/>
      <c r="E4" s="48"/>
      <c r="F4" s="25" t="str">
        <f>'7折旧'!E4</f>
        <v>2018年7-12</v>
      </c>
      <c r="G4" s="25" t="str">
        <f>'3收入'!G4</f>
        <v>2019年</v>
      </c>
      <c r="H4" s="25" t="str">
        <f>'3收入'!H4</f>
        <v>2020年</v>
      </c>
      <c r="I4" s="25" t="str">
        <f>'3收入'!I4</f>
        <v>2021年</v>
      </c>
      <c r="J4" s="25" t="str">
        <f>'3收入'!J4</f>
        <v>2022年</v>
      </c>
      <c r="K4" s="25" t="str">
        <f>'3收入'!K4</f>
        <v>2023年</v>
      </c>
      <c r="L4" s="183" t="s">
        <v>272</v>
      </c>
      <c r="M4" s="11"/>
    </row>
    <row r="5" spans="1:13" ht="18" customHeight="1">
      <c r="A5" s="206"/>
      <c r="B5" s="56" t="s">
        <v>60</v>
      </c>
      <c r="C5" s="48"/>
      <c r="D5" s="48"/>
      <c r="E5" s="48"/>
      <c r="F5" s="8">
        <f>'12收益表'!F5-'12收益表'!E5</f>
        <v>2431.0111780000002</v>
      </c>
      <c r="G5" s="8">
        <f>'12收益表'!G5</f>
        <v>4950</v>
      </c>
      <c r="H5" s="8">
        <f>预测财报!H20</f>
        <v>5346</v>
      </c>
      <c r="I5" s="8">
        <f>预测财报!I20</f>
        <v>5613.3</v>
      </c>
      <c r="J5" s="8">
        <f>预测财报!J20</f>
        <v>5781.6990000000005</v>
      </c>
      <c r="K5" s="8">
        <f>预测财报!K20</f>
        <v>5781.6990000000005</v>
      </c>
      <c r="L5" s="8">
        <f>K5</f>
        <v>5781.6990000000005</v>
      </c>
      <c r="M5" s="11"/>
    </row>
    <row r="6" spans="1:13" ht="18" customHeight="1">
      <c r="A6" s="206"/>
      <c r="B6" s="45" t="s">
        <v>274</v>
      </c>
      <c r="C6" s="48"/>
      <c r="D6" s="48"/>
      <c r="E6" s="48"/>
      <c r="F6" s="2">
        <f>'12收益表'!F6-'12收益表'!E6</f>
        <v>1710.477633</v>
      </c>
      <c r="G6" s="2">
        <f>'12收益表'!G6</f>
        <v>4362.54</v>
      </c>
      <c r="H6" s="2">
        <f>'12收益表'!H6</f>
        <v>4708.1747320000004</v>
      </c>
      <c r="I6" s="2">
        <f>'12收益表'!I6</f>
        <v>4917.8710000000001</v>
      </c>
      <c r="J6" s="2">
        <f>'12收益表'!J6</f>
        <v>5074.1781300000002</v>
      </c>
      <c r="K6" s="2">
        <f>'12收益表'!K6</f>
        <v>5081.3281299999999</v>
      </c>
      <c r="L6" s="2">
        <f t="shared" ref="L6:L10" si="0">K6</f>
        <v>5081.3281299999999</v>
      </c>
      <c r="M6" s="11"/>
    </row>
    <row r="7" spans="1:13" ht="18" customHeight="1">
      <c r="A7" s="206"/>
      <c r="B7" s="45" t="s">
        <v>275</v>
      </c>
      <c r="C7" s="48"/>
      <c r="D7" s="48"/>
      <c r="E7" s="48"/>
      <c r="F7" s="2">
        <f>'12收益表'!F7-'12收益表'!E7</f>
        <v>2.8615209999999998</v>
      </c>
      <c r="G7" s="2">
        <f>'12收益表'!G7</f>
        <v>24.75</v>
      </c>
      <c r="H7" s="2">
        <f>'12收益表'!H7</f>
        <v>26.73</v>
      </c>
      <c r="I7" s="2">
        <f>'12收益表'!I7</f>
        <v>28.066500000000001</v>
      </c>
      <c r="J7" s="2">
        <f>'12收益表'!J7</f>
        <v>28.908495000000002</v>
      </c>
      <c r="K7" s="2">
        <f>'12收益表'!K7</f>
        <v>28.908495000000002</v>
      </c>
      <c r="L7" s="2">
        <f t="shared" si="0"/>
        <v>28.908495000000002</v>
      </c>
      <c r="M7" s="11"/>
    </row>
    <row r="8" spans="1:13" ht="18" customHeight="1">
      <c r="A8" s="206"/>
      <c r="B8" s="45" t="s">
        <v>276</v>
      </c>
      <c r="C8" s="48"/>
      <c r="D8" s="48"/>
      <c r="E8" s="48"/>
      <c r="F8" s="2">
        <f>'12收益表'!F8-'12收益表'!E8</f>
        <v>0</v>
      </c>
      <c r="G8" s="2">
        <f>'12收益表'!G8</f>
        <v>0</v>
      </c>
      <c r="H8" s="2">
        <f>'12收益表'!H8</f>
        <v>0</v>
      </c>
      <c r="I8" s="2">
        <f>'12收益表'!I8</f>
        <v>0</v>
      </c>
      <c r="J8" s="2">
        <f>'12收益表'!J8</f>
        <v>0</v>
      </c>
      <c r="K8" s="2">
        <f>'12收益表'!K8</f>
        <v>0</v>
      </c>
      <c r="L8" s="2">
        <f t="shared" si="0"/>
        <v>0</v>
      </c>
      <c r="M8" s="11"/>
    </row>
    <row r="9" spans="1:13" ht="18" customHeight="1">
      <c r="A9" s="206"/>
      <c r="B9" s="45" t="s">
        <v>277</v>
      </c>
      <c r="C9" s="48"/>
      <c r="D9" s="48"/>
      <c r="E9" s="48"/>
      <c r="F9" s="2">
        <f>'12收益表'!F9-'12收益表'!E9</f>
        <v>206.5082700000001</v>
      </c>
      <c r="G9" s="2">
        <f>'12收益表'!G9</f>
        <v>512.95000000000005</v>
      </c>
      <c r="H9" s="2">
        <f>'12收益表'!H9</f>
        <v>554.94600000000003</v>
      </c>
      <c r="I9" s="2">
        <f>'12收益表'!I9</f>
        <v>583.44330000000002</v>
      </c>
      <c r="J9" s="2">
        <f>'12收益表'!J9</f>
        <v>599.9515990000001</v>
      </c>
      <c r="K9" s="2">
        <f>'12收益表'!K9</f>
        <v>599.9515990000001</v>
      </c>
      <c r="L9" s="2">
        <f t="shared" si="0"/>
        <v>599.9515990000001</v>
      </c>
      <c r="M9" s="11"/>
    </row>
    <row r="10" spans="1:13" ht="18" customHeight="1">
      <c r="A10" s="206"/>
      <c r="B10" s="45" t="s">
        <v>387</v>
      </c>
      <c r="C10" s="48"/>
      <c r="D10" s="48"/>
      <c r="E10" s="48"/>
      <c r="F10" s="2">
        <f>'12收益表'!F10-'12收益表'!E10</f>
        <v>0</v>
      </c>
      <c r="G10" s="2">
        <f>'12收益表'!G10</f>
        <v>0</v>
      </c>
      <c r="H10" s="2">
        <f>'12收益表'!H10</f>
        <v>0</v>
      </c>
      <c r="I10" s="2">
        <f>'12收益表'!I10</f>
        <v>0</v>
      </c>
      <c r="J10" s="2">
        <f>'12收益表'!J10</f>
        <v>0</v>
      </c>
      <c r="K10" s="2">
        <f>'12收益表'!K10</f>
        <v>0</v>
      </c>
      <c r="L10" s="2">
        <f t="shared" si="0"/>
        <v>0</v>
      </c>
      <c r="M10" s="11"/>
    </row>
    <row r="11" spans="1:13" ht="18" customHeight="1">
      <c r="A11" s="206"/>
      <c r="B11" s="45" t="s">
        <v>278</v>
      </c>
      <c r="C11" s="48"/>
      <c r="D11" s="48"/>
      <c r="E11" s="48"/>
      <c r="F11" s="2">
        <f>'12收益表'!F11-'12收益表'!E11</f>
        <v>0</v>
      </c>
      <c r="G11" s="2">
        <f>'12收益表'!G11</f>
        <v>0</v>
      </c>
      <c r="H11" s="2">
        <f>'12收益表'!H11</f>
        <v>0</v>
      </c>
      <c r="I11" s="2">
        <f>'12收益表'!I11</f>
        <v>0</v>
      </c>
      <c r="J11" s="2">
        <f>'12收益表'!J11</f>
        <v>0</v>
      </c>
      <c r="K11" s="2">
        <f>'12收益表'!K11</f>
        <v>0</v>
      </c>
      <c r="L11" s="516">
        <f>IF('11财务费用'!K10,SUMPRODUCT('11财务费用'!C5:C9,'11财务费用'!K5:K9)+'11财务费用'!K20,0)</f>
        <v>0</v>
      </c>
      <c r="M11" s="11"/>
    </row>
    <row r="12" spans="1:13" ht="18" customHeight="1">
      <c r="A12" s="206"/>
      <c r="B12" s="56" t="s">
        <v>244</v>
      </c>
      <c r="C12" s="48"/>
      <c r="D12" s="48"/>
      <c r="E12" s="48"/>
      <c r="F12" s="8">
        <f>F5-SUM(F6:F11)</f>
        <v>511.16375400000015</v>
      </c>
      <c r="G12" s="8">
        <f t="shared" ref="G12:L12" si="1">G5-SUM(G6:G11)</f>
        <v>49.760000000000218</v>
      </c>
      <c r="H12" s="8">
        <f t="shared" si="1"/>
        <v>56.14926800000012</v>
      </c>
      <c r="I12" s="8">
        <f t="shared" si="1"/>
        <v>83.919200000000274</v>
      </c>
      <c r="J12" s="8">
        <f t="shared" si="1"/>
        <v>78.660776000000624</v>
      </c>
      <c r="K12" s="8">
        <f t="shared" si="1"/>
        <v>71.510776000000988</v>
      </c>
      <c r="L12" s="8">
        <f t="shared" si="1"/>
        <v>71.510776000000988</v>
      </c>
      <c r="M12" s="11"/>
    </row>
    <row r="13" spans="1:13" ht="18" customHeight="1">
      <c r="A13" s="206"/>
      <c r="B13" s="56" t="s">
        <v>271</v>
      </c>
      <c r="C13" s="48"/>
      <c r="D13" s="48"/>
      <c r="E13" s="48"/>
      <c r="F13" s="8">
        <f>F12</f>
        <v>511.16375400000015</v>
      </c>
      <c r="G13" s="8">
        <f t="shared" ref="G13:L13" si="2">G12</f>
        <v>49.760000000000218</v>
      </c>
      <c r="H13" s="8">
        <f t="shared" si="2"/>
        <v>56.14926800000012</v>
      </c>
      <c r="I13" s="8">
        <f t="shared" si="2"/>
        <v>83.919200000000274</v>
      </c>
      <c r="J13" s="8">
        <f t="shared" si="2"/>
        <v>78.660776000000624</v>
      </c>
      <c r="K13" s="8">
        <f t="shared" si="2"/>
        <v>71.510776000000988</v>
      </c>
      <c r="L13" s="8">
        <f t="shared" si="2"/>
        <v>71.510776000000988</v>
      </c>
      <c r="M13" s="11"/>
    </row>
    <row r="14" spans="1:13" ht="18" customHeight="1">
      <c r="A14" s="206"/>
      <c r="B14" s="45" t="s">
        <v>279</v>
      </c>
      <c r="C14" s="48"/>
      <c r="D14" s="48"/>
      <c r="E14" s="48"/>
      <c r="F14" s="2">
        <f>'12收益表'!F20-'12收益表'!E20</f>
        <v>0</v>
      </c>
      <c r="G14" s="2">
        <f>'12收益表'!G20</f>
        <v>10.028712750000068</v>
      </c>
      <c r="H14" s="2">
        <f>'12收益表'!H20</f>
        <v>14.03731700000003</v>
      </c>
      <c r="I14" s="2">
        <f>'12收益表'!I20</f>
        <v>20.979800000000068</v>
      </c>
      <c r="J14" s="2">
        <f>'12收益表'!J20</f>
        <v>19.665194000000156</v>
      </c>
      <c r="K14" s="2">
        <f>'12收益表'!K20</f>
        <v>17.877694000000247</v>
      </c>
      <c r="L14" s="2">
        <f>L13*L32</f>
        <v>17.877694000000247</v>
      </c>
      <c r="M14" s="11"/>
    </row>
    <row r="15" spans="1:13" ht="18" customHeight="1">
      <c r="A15" s="206"/>
      <c r="B15" s="56" t="s">
        <v>280</v>
      </c>
      <c r="C15" s="48"/>
      <c r="D15" s="48"/>
      <c r="E15" s="48"/>
      <c r="F15" s="8">
        <f>F13-F14</f>
        <v>511.16375400000015</v>
      </c>
      <c r="G15" s="8">
        <f t="shared" ref="G15:L15" si="3">G13-G14</f>
        <v>39.73128725000015</v>
      </c>
      <c r="H15" s="8">
        <f t="shared" si="3"/>
        <v>42.11195100000009</v>
      </c>
      <c r="I15" s="8">
        <f t="shared" si="3"/>
        <v>62.939400000000205</v>
      </c>
      <c r="J15" s="8">
        <f t="shared" si="3"/>
        <v>58.995582000000468</v>
      </c>
      <c r="K15" s="8">
        <f t="shared" si="3"/>
        <v>53.633082000000741</v>
      </c>
      <c r="L15" s="8">
        <f t="shared" si="3"/>
        <v>53.633082000000741</v>
      </c>
      <c r="M15" s="11"/>
    </row>
    <row r="16" spans="1:13" ht="18" customHeight="1">
      <c r="A16" s="206"/>
      <c r="B16" s="480" t="s">
        <v>418</v>
      </c>
      <c r="C16" s="48"/>
      <c r="D16" s="48"/>
      <c r="E16" s="48"/>
      <c r="F16" s="2">
        <f>(1-F32)*'11财务费用'!F18</f>
        <v>0</v>
      </c>
      <c r="G16" s="2">
        <f>(1-G32)*'11财务费用'!G18</f>
        <v>0</v>
      </c>
      <c r="H16" s="2">
        <f>(1-H32)*'11财务费用'!H18</f>
        <v>0</v>
      </c>
      <c r="I16" s="2">
        <f>(1-I32)*'11财务费用'!I18</f>
        <v>0</v>
      </c>
      <c r="J16" s="2">
        <f>(1-J32)*'11财务费用'!J18</f>
        <v>0</v>
      </c>
      <c r="K16" s="2">
        <f>(1-K32)*'11财务费用'!K18</f>
        <v>0</v>
      </c>
      <c r="L16" s="427">
        <f>(1-L32)*SUMPRODUCT('11财务费用'!C5:C9,'11财务费用'!K5:K9)</f>
        <v>0</v>
      </c>
      <c r="M16" s="11"/>
    </row>
    <row r="17" spans="1:13" ht="18" customHeight="1">
      <c r="A17" s="206"/>
      <c r="B17" s="45" t="s">
        <v>132</v>
      </c>
      <c r="C17" s="48"/>
      <c r="D17" s="48"/>
      <c r="E17" s="48"/>
      <c r="F17" s="2">
        <f>'7折旧'!E9+'8摊销'!E7</f>
        <v>29.536019000000007</v>
      </c>
      <c r="G17" s="2">
        <f>'7折旧'!G9+'8摊销'!G7</f>
        <v>59.040000000000006</v>
      </c>
      <c r="H17" s="2">
        <f>'7折旧'!H9+'8摊销'!H7</f>
        <v>62.154731999999981</v>
      </c>
      <c r="I17" s="2">
        <f>'7折旧'!I9+'8摊销'!I7</f>
        <v>40.799999999999997</v>
      </c>
      <c r="J17" s="2">
        <f>'7折旧'!J9+'8摊销'!J7</f>
        <v>50.1</v>
      </c>
      <c r="K17" s="2">
        <f>'7折旧'!K9+'8摊销'!K7</f>
        <v>57.25</v>
      </c>
      <c r="L17" s="2">
        <f>K17</f>
        <v>57.25</v>
      </c>
      <c r="M17" s="11"/>
    </row>
    <row r="18" spans="1:13" ht="18" customHeight="1">
      <c r="A18" s="206"/>
      <c r="B18" s="49" t="s">
        <v>133</v>
      </c>
      <c r="C18" s="47"/>
      <c r="D18" s="48"/>
      <c r="E18" s="48"/>
      <c r="F18" s="2">
        <f>'7折旧'!E10+'8摊销'!E10</f>
        <v>55</v>
      </c>
      <c r="G18" s="2">
        <f>'7折旧'!G10+'8摊销'!G10</f>
        <v>55</v>
      </c>
      <c r="H18" s="2">
        <f>'7折旧'!H10+'8摊销'!H10</f>
        <v>55</v>
      </c>
      <c r="I18" s="2">
        <f>'7折旧'!I10+'8摊销'!I10</f>
        <v>55</v>
      </c>
      <c r="J18" s="2">
        <f>'7折旧'!J10+'8摊销'!J10</f>
        <v>55</v>
      </c>
      <c r="K18" s="2">
        <f>'7折旧'!K10+'8摊销'!K10</f>
        <v>53</v>
      </c>
      <c r="L18" s="427">
        <f>L17</f>
        <v>57.25</v>
      </c>
      <c r="M18" s="11"/>
    </row>
    <row r="19" spans="1:13" ht="18" customHeight="1">
      <c r="A19" s="206"/>
      <c r="B19" s="45" t="s">
        <v>134</v>
      </c>
      <c r="C19" s="48"/>
      <c r="D19" s="48"/>
      <c r="E19" s="48"/>
      <c r="F19" s="2">
        <f>'10营运'!F40</f>
        <v>56.345234555555407</v>
      </c>
      <c r="G19" s="2">
        <f>'10营运'!G40</f>
        <v>22.919444444444594</v>
      </c>
      <c r="H19" s="2">
        <f>'10营运'!H40</f>
        <v>21.672597244444432</v>
      </c>
      <c r="I19" s="2">
        <f>'10营运'!I40</f>
        <v>18.30123053333341</v>
      </c>
      <c r="J19" s="2">
        <f>'10营运'!J40</f>
        <v>7.7655670555556071</v>
      </c>
      <c r="K19" s="2">
        <f>'10营运'!K40</f>
        <v>-1.1122222222221581</v>
      </c>
      <c r="L19" s="426">
        <v>0</v>
      </c>
      <c r="M19" s="11"/>
    </row>
    <row r="20" spans="1:13" ht="18" customHeight="1">
      <c r="A20" s="206"/>
      <c r="B20" s="56" t="s">
        <v>281</v>
      </c>
      <c r="C20" s="48"/>
      <c r="D20" s="48"/>
      <c r="E20" s="48"/>
      <c r="F20" s="8">
        <f t="shared" ref="F20:L20" si="4">F15+F16+F17-F18-F19</f>
        <v>429.35453844444476</v>
      </c>
      <c r="G20" s="8">
        <f t="shared" si="4"/>
        <v>20.851842805555563</v>
      </c>
      <c r="H20" s="8">
        <f t="shared" si="4"/>
        <v>27.594085755555639</v>
      </c>
      <c r="I20" s="8">
        <f t="shared" si="4"/>
        <v>30.438169466666793</v>
      </c>
      <c r="J20" s="8">
        <f t="shared" si="4"/>
        <v>46.330014944444855</v>
      </c>
      <c r="K20" s="8">
        <f t="shared" si="4"/>
        <v>58.995304222222899</v>
      </c>
      <c r="L20" s="8">
        <f t="shared" si="4"/>
        <v>53.633082000000741</v>
      </c>
      <c r="M20" s="11"/>
    </row>
    <row r="21" spans="1:13" ht="18" customHeight="1">
      <c r="A21" s="206"/>
      <c r="B21" s="45" t="s">
        <v>137</v>
      </c>
      <c r="C21" s="48"/>
      <c r="D21" s="232"/>
      <c r="E21" s="89"/>
      <c r="F21" s="83">
        <f>1-MONTH('1报表'!E5)/12</f>
        <v>0.5</v>
      </c>
      <c r="G21" s="83">
        <f>1+F21</f>
        <v>1.5</v>
      </c>
      <c r="H21" s="83">
        <f>1+G21</f>
        <v>2.5</v>
      </c>
      <c r="I21" s="83">
        <f t="shared" ref="I21:K21" si="5">1+H21</f>
        <v>3.5</v>
      </c>
      <c r="J21" s="83">
        <f t="shared" si="5"/>
        <v>4.5</v>
      </c>
      <c r="K21" s="83">
        <f t="shared" si="5"/>
        <v>5.5</v>
      </c>
      <c r="L21" s="65"/>
      <c r="M21" s="11"/>
    </row>
    <row r="22" spans="1:13" ht="18" customHeight="1">
      <c r="A22" s="206"/>
      <c r="B22" s="55" t="s">
        <v>69</v>
      </c>
      <c r="C22" s="47"/>
      <c r="D22" s="232"/>
      <c r="E22" s="87"/>
      <c r="F22" s="69">
        <f>F48</f>
        <v>0.12703038</v>
      </c>
      <c r="G22" s="69">
        <f>F22</f>
        <v>0.12703038</v>
      </c>
      <c r="H22" s="69">
        <f t="shared" ref="H22:L22" si="6">G22</f>
        <v>0.12703038</v>
      </c>
      <c r="I22" s="69">
        <f t="shared" si="6"/>
        <v>0.12703038</v>
      </c>
      <c r="J22" s="69">
        <f t="shared" si="6"/>
        <v>0.12703038</v>
      </c>
      <c r="K22" s="69">
        <f t="shared" si="6"/>
        <v>0.12703038</v>
      </c>
      <c r="L22" s="69">
        <f t="shared" si="6"/>
        <v>0.12703038</v>
      </c>
      <c r="M22" s="11"/>
    </row>
    <row r="23" spans="1:13" ht="18" customHeight="1">
      <c r="A23" s="206"/>
      <c r="B23" s="46" t="s">
        <v>70</v>
      </c>
      <c r="C23" s="48"/>
      <c r="D23" s="232"/>
      <c r="E23" s="88"/>
      <c r="F23" s="425">
        <f>1/(1+F22)^F21</f>
        <v>0.94195940896204045</v>
      </c>
      <c r="G23" s="14">
        <f>F23/(1+G22)</f>
        <v>0.83578883557871841</v>
      </c>
      <c r="H23" s="14">
        <f>G23/(1+H22)</f>
        <v>0.74158500996106114</v>
      </c>
      <c r="I23" s="14">
        <f>H23/(1+I22)</f>
        <v>0.65799913038818103</v>
      </c>
      <c r="J23" s="14">
        <f t="shared" ref="J23:K23" si="7">I23/(1+J22)</f>
        <v>0.58383442191521151</v>
      </c>
      <c r="K23" s="14">
        <f t="shared" si="7"/>
        <v>0.51802900105959127</v>
      </c>
      <c r="L23" s="14">
        <f>K23/L22</f>
        <v>4.0779930049771655</v>
      </c>
      <c r="M23" s="11"/>
    </row>
    <row r="24" spans="1:13" ht="18" customHeight="1">
      <c r="A24" s="206"/>
      <c r="B24" s="613" t="s">
        <v>727</v>
      </c>
      <c r="C24" s="48"/>
      <c r="D24" s="340"/>
      <c r="E24" s="57"/>
      <c r="F24" s="8">
        <f>F20*F23</f>
        <v>404.43454726829884</v>
      </c>
      <c r="G24" s="8">
        <f t="shared" ref="G24:K24" si="8">G20*G23</f>
        <v>17.427737418125762</v>
      </c>
      <c r="H24" s="8">
        <f t="shared" si="8"/>
        <v>20.463360359900104</v>
      </c>
      <c r="I24" s="8">
        <f t="shared" si="8"/>
        <v>20.028289039674835</v>
      </c>
      <c r="J24" s="8">
        <f t="shared" si="8"/>
        <v>27.049057492413073</v>
      </c>
      <c r="K24" s="8">
        <f t="shared" si="8"/>
        <v>30.561278513444815</v>
      </c>
      <c r="L24" s="8">
        <f>L20*L23</f>
        <v>218.71533323136975</v>
      </c>
      <c r="M24" s="11"/>
    </row>
    <row r="25" spans="1:13" ht="18" customHeight="1">
      <c r="A25" s="206"/>
      <c r="B25" s="45" t="s">
        <v>728</v>
      </c>
      <c r="C25" s="614"/>
      <c r="D25" s="232"/>
      <c r="E25" s="89"/>
      <c r="F25" s="69">
        <f>F48</f>
        <v>0.12703038</v>
      </c>
      <c r="G25" s="672">
        <f>I48</f>
        <v>0.12703038</v>
      </c>
      <c r="H25" s="672">
        <f>I48</f>
        <v>0.12703038</v>
      </c>
      <c r="I25" s="672">
        <f>I48</f>
        <v>0.12703038</v>
      </c>
      <c r="J25" s="673">
        <f>L48</f>
        <v>0.12703038</v>
      </c>
      <c r="K25" s="673">
        <f>L48</f>
        <v>0.12703038</v>
      </c>
      <c r="L25" s="673">
        <f>L48</f>
        <v>0.12703038</v>
      </c>
      <c r="M25" s="536" t="s">
        <v>754</v>
      </c>
    </row>
    <row r="26" spans="1:13" ht="18" customHeight="1">
      <c r="A26" s="206"/>
      <c r="B26" s="45" t="s">
        <v>729</v>
      </c>
      <c r="C26" s="48"/>
      <c r="D26" s="340"/>
      <c r="E26" s="57"/>
      <c r="F26" s="425">
        <f>1/(1+F25)^F21</f>
        <v>0.94195940896204045</v>
      </c>
      <c r="G26" s="14">
        <f>F26/(1+G25)</f>
        <v>0.83578883557871841</v>
      </c>
      <c r="H26" s="14">
        <f>G26/(1+H25)</f>
        <v>0.74158500996106114</v>
      </c>
      <c r="I26" s="14">
        <f>H26/(1+I25)</f>
        <v>0.65799913038818103</v>
      </c>
      <c r="J26" s="14">
        <f t="shared" ref="J26" si="9">I26/(1+J25)</f>
        <v>0.58383442191521151</v>
      </c>
      <c r="K26" s="14">
        <f>J26/(1+K25)</f>
        <v>0.51802900105959127</v>
      </c>
      <c r="L26" s="14">
        <f>K26/L25</f>
        <v>4.0779930049771655</v>
      </c>
      <c r="M26" s="11"/>
    </row>
    <row r="27" spans="1:13" ht="18" customHeight="1">
      <c r="A27" s="206"/>
      <c r="B27" s="615" t="s">
        <v>730</v>
      </c>
      <c r="C27" s="48"/>
      <c r="D27" s="340"/>
      <c r="E27" s="57"/>
      <c r="F27" s="8">
        <f>F20*F26</f>
        <v>404.43454726829884</v>
      </c>
      <c r="G27" s="8">
        <f t="shared" ref="G27:L27" si="10">G20*G26</f>
        <v>17.427737418125762</v>
      </c>
      <c r="H27" s="8">
        <f t="shared" si="10"/>
        <v>20.463360359900104</v>
      </c>
      <c r="I27" s="8">
        <f t="shared" si="10"/>
        <v>20.028289039674835</v>
      </c>
      <c r="J27" s="8">
        <f t="shared" si="10"/>
        <v>27.049057492413073</v>
      </c>
      <c r="K27" s="8">
        <f t="shared" si="10"/>
        <v>30.561278513444815</v>
      </c>
      <c r="L27" s="8">
        <f t="shared" si="10"/>
        <v>218.71533323136975</v>
      </c>
      <c r="M27" s="11"/>
    </row>
    <row r="28" spans="1:13" ht="18" customHeight="1">
      <c r="A28" s="206"/>
      <c r="B28" s="56" t="s">
        <v>282</v>
      </c>
      <c r="C28" s="48"/>
      <c r="D28" s="232"/>
      <c r="E28" s="57"/>
      <c r="F28" s="8">
        <f>SUM(F27:L27)</f>
        <v>738.67960332322718</v>
      </c>
      <c r="L28" s="22"/>
      <c r="M28" s="11"/>
    </row>
    <row r="29" spans="1:13" ht="18" customHeight="1">
      <c r="A29" s="206"/>
      <c r="B29" s="56" t="s">
        <v>734</v>
      </c>
      <c r="C29" s="48"/>
      <c r="D29" s="232"/>
      <c r="E29" s="57"/>
      <c r="F29" s="8">
        <f>F28*J29</f>
        <v>738.67960332322718</v>
      </c>
      <c r="H29" s="339" t="s">
        <v>731</v>
      </c>
      <c r="J29" s="63">
        <f>IF(K29="年末",1,(1+F22)^0.5)</f>
        <v>1</v>
      </c>
      <c r="K29" s="81" t="s">
        <v>269</v>
      </c>
      <c r="L29" s="234" t="s">
        <v>732</v>
      </c>
      <c r="M29" s="147" t="s">
        <v>733</v>
      </c>
    </row>
    <row r="30" spans="1:13" ht="18" customHeight="1">
      <c r="A30" s="206"/>
      <c r="B30" s="339"/>
      <c r="C30" s="13"/>
      <c r="D30" s="13"/>
      <c r="E30" s="13"/>
      <c r="H30" s="235"/>
      <c r="I30" s="90"/>
      <c r="J30" s="90"/>
      <c r="K30" s="90"/>
      <c r="L30" s="22"/>
      <c r="M30" s="11"/>
    </row>
    <row r="31" spans="1:13" ht="18" customHeight="1">
      <c r="A31" s="206"/>
      <c r="B31" s="127" t="s">
        <v>735</v>
      </c>
      <c r="C31" s="48"/>
      <c r="D31" s="48"/>
      <c r="E31" s="92"/>
      <c r="F31" s="25" t="str">
        <f t="shared" ref="F31:L31" si="11">F4</f>
        <v>2018年7-12</v>
      </c>
      <c r="G31" s="92" t="str">
        <f t="shared" si="11"/>
        <v>2019年</v>
      </c>
      <c r="H31" s="92" t="str">
        <f t="shared" si="11"/>
        <v>2020年</v>
      </c>
      <c r="I31" s="92" t="str">
        <f t="shared" si="11"/>
        <v>2021年</v>
      </c>
      <c r="J31" s="92" t="str">
        <f t="shared" si="11"/>
        <v>2022年</v>
      </c>
      <c r="K31" s="92" t="str">
        <f t="shared" si="11"/>
        <v>2023年</v>
      </c>
      <c r="L31" s="92" t="str">
        <f t="shared" si="11"/>
        <v>永续期</v>
      </c>
      <c r="M31" s="11"/>
    </row>
    <row r="32" spans="1:13" ht="18" customHeight="1" thickBot="1">
      <c r="A32" s="206"/>
      <c r="B32" s="62" t="s">
        <v>736</v>
      </c>
      <c r="C32" s="48"/>
      <c r="D32" s="48"/>
      <c r="E32" s="616"/>
      <c r="F32" s="10">
        <f>'12收益表'!F19</f>
        <v>0.25</v>
      </c>
      <c r="G32" s="10">
        <f>'12收益表'!G19</f>
        <v>0.25</v>
      </c>
      <c r="H32" s="10">
        <f>'12收益表'!H19</f>
        <v>0.25</v>
      </c>
      <c r="I32" s="10">
        <f>'12收益表'!I19</f>
        <v>0.25</v>
      </c>
      <c r="J32" s="10">
        <f>'12收益表'!J19</f>
        <v>0.25</v>
      </c>
      <c r="K32" s="10">
        <f>'12收益表'!K19</f>
        <v>0.25</v>
      </c>
      <c r="L32" s="10">
        <f>K32</f>
        <v>0.25</v>
      </c>
      <c r="M32" s="11"/>
    </row>
    <row r="33" spans="1:18" ht="18" customHeight="1">
      <c r="A33" s="206"/>
      <c r="B33" s="617" t="s">
        <v>737</v>
      </c>
      <c r="C33" s="618"/>
      <c r="D33" s="619"/>
      <c r="E33" s="620"/>
      <c r="F33" s="621"/>
      <c r="G33" s="622"/>
      <c r="H33" s="623"/>
      <c r="I33" s="617" t="s">
        <v>738</v>
      </c>
      <c r="J33" s="622"/>
      <c r="K33" s="623"/>
      <c r="L33" s="617" t="s">
        <v>739</v>
      </c>
      <c r="M33" s="622"/>
      <c r="N33" s="623"/>
      <c r="O33" s="624"/>
      <c r="P33" s="624"/>
      <c r="Q33" s="624"/>
      <c r="R33" s="624"/>
    </row>
    <row r="34" spans="1:18" ht="18" customHeight="1">
      <c r="A34" s="206"/>
      <c r="B34" s="625" t="s">
        <v>740</v>
      </c>
      <c r="C34" s="626"/>
      <c r="D34" s="627"/>
      <c r="E34" s="628"/>
      <c r="F34" s="674">
        <f>'11财务费用'!E10</f>
        <v>0</v>
      </c>
      <c r="G34" s="629"/>
      <c r="H34" s="630"/>
      <c r="I34" s="631"/>
      <c r="J34" s="629"/>
      <c r="K34" s="630"/>
      <c r="L34" s="632"/>
      <c r="M34" s="13"/>
      <c r="N34" s="633"/>
      <c r="O34" s="13"/>
      <c r="P34" s="13"/>
      <c r="Q34" s="13"/>
      <c r="R34" s="13"/>
    </row>
    <row r="35" spans="1:18" ht="18" customHeight="1">
      <c r="A35" s="206"/>
      <c r="B35" s="634" t="s">
        <v>741</v>
      </c>
      <c r="C35" s="626"/>
      <c r="D35" s="627"/>
      <c r="E35" s="628"/>
      <c r="F35" s="635">
        <f>F32</f>
        <v>0.25</v>
      </c>
      <c r="G35" s="13"/>
      <c r="H35" s="630"/>
      <c r="I35" s="636">
        <f>G32</f>
        <v>0.25</v>
      </c>
      <c r="J35" s="629"/>
      <c r="K35" s="630"/>
      <c r="L35" s="636">
        <f>J32</f>
        <v>0.25</v>
      </c>
      <c r="M35" s="629"/>
      <c r="N35" s="630"/>
      <c r="O35" s="13"/>
      <c r="P35" s="624"/>
      <c r="Q35" s="624"/>
      <c r="R35" s="624"/>
    </row>
    <row r="36" spans="1:18" ht="18" customHeight="1">
      <c r="A36" s="206"/>
      <c r="B36" s="634" t="s">
        <v>742</v>
      </c>
      <c r="C36" s="626"/>
      <c r="D36" s="627"/>
      <c r="E36" s="628"/>
      <c r="F36" s="637">
        <v>3.9699999999999999E-2</v>
      </c>
      <c r="G36" s="629"/>
      <c r="H36" s="630"/>
      <c r="I36" s="638">
        <f>F36</f>
        <v>3.9699999999999999E-2</v>
      </c>
      <c r="J36" s="639"/>
      <c r="K36" s="640"/>
      <c r="L36" s="638">
        <f>I36</f>
        <v>3.9699999999999999E-2</v>
      </c>
      <c r="M36" s="629"/>
      <c r="N36" s="630"/>
      <c r="O36" s="13"/>
      <c r="P36" s="624"/>
      <c r="Q36" s="624"/>
      <c r="R36" s="624"/>
    </row>
    <row r="37" spans="1:18" ht="18" customHeight="1">
      <c r="A37" s="206"/>
      <c r="B37" s="641" t="s">
        <v>743</v>
      </c>
      <c r="C37" s="626"/>
      <c r="D37" s="627"/>
      <c r="E37" s="628"/>
      <c r="F37" s="637">
        <v>7.3899999999999993E-2</v>
      </c>
      <c r="G37" s="629"/>
      <c r="H37" s="630"/>
      <c r="I37" s="638">
        <f>F37</f>
        <v>7.3899999999999993E-2</v>
      </c>
      <c r="J37" s="639"/>
      <c r="K37" s="640"/>
      <c r="L37" s="638">
        <f>I37</f>
        <v>7.3899999999999993E-2</v>
      </c>
      <c r="M37" s="629"/>
      <c r="N37" s="630"/>
      <c r="O37" s="13"/>
      <c r="P37" s="624"/>
      <c r="Q37" s="624"/>
      <c r="R37" s="624"/>
    </row>
    <row r="38" spans="1:18" ht="18" customHeight="1">
      <c r="A38" s="206"/>
      <c r="B38" s="634" t="s">
        <v>744</v>
      </c>
      <c r="C38" s="626"/>
      <c r="D38" s="627"/>
      <c r="E38" s="628"/>
      <c r="F38" s="637">
        <v>2.7900000000000001E-2</v>
      </c>
      <c r="G38" s="13"/>
      <c r="H38" s="630"/>
      <c r="I38" s="638">
        <f>F38</f>
        <v>2.7900000000000001E-2</v>
      </c>
      <c r="J38" s="639"/>
      <c r="K38" s="640"/>
      <c r="L38" s="638">
        <f>I38</f>
        <v>2.7900000000000001E-2</v>
      </c>
      <c r="M38" s="629"/>
      <c r="N38" s="630"/>
      <c r="O38" s="13"/>
      <c r="P38" s="624"/>
      <c r="Q38" s="624"/>
      <c r="R38" s="624"/>
    </row>
    <row r="39" spans="1:18" ht="18" customHeight="1">
      <c r="A39" s="206"/>
      <c r="B39" s="641" t="s">
        <v>745</v>
      </c>
      <c r="C39" s="626"/>
      <c r="D39" s="627"/>
      <c r="E39" s="628"/>
      <c r="F39" s="642">
        <v>0.80420000000000003</v>
      </c>
      <c r="G39" s="13"/>
      <c r="H39" s="630"/>
      <c r="I39" s="643">
        <f>F39</f>
        <v>0.80420000000000003</v>
      </c>
      <c r="J39" s="639"/>
      <c r="K39" s="640"/>
      <c r="L39" s="643">
        <f>I39</f>
        <v>0.80420000000000003</v>
      </c>
      <c r="M39" s="629"/>
      <c r="N39" s="630"/>
      <c r="O39" s="13"/>
      <c r="P39" s="624"/>
      <c r="Q39" s="624"/>
      <c r="R39" s="624"/>
    </row>
    <row r="40" spans="1:18" ht="18" customHeight="1">
      <c r="A40" s="206"/>
      <c r="B40" s="644" t="s">
        <v>746</v>
      </c>
      <c r="C40" s="626"/>
      <c r="D40" s="627"/>
      <c r="E40" s="628"/>
      <c r="F40" s="637">
        <v>5.3999999999999999E-2</v>
      </c>
      <c r="G40" s="13"/>
      <c r="H40" s="630"/>
      <c r="I40" s="645">
        <f>F40</f>
        <v>5.3999999999999999E-2</v>
      </c>
      <c r="J40" s="639"/>
      <c r="K40" s="640"/>
      <c r="L40" s="645">
        <f>I40</f>
        <v>5.3999999999999999E-2</v>
      </c>
      <c r="M40" s="629"/>
      <c r="N40" s="630"/>
      <c r="O40" s="624"/>
      <c r="P40" s="13"/>
      <c r="Q40" s="624"/>
      <c r="R40" s="624"/>
    </row>
    <row r="41" spans="1:18" ht="18" customHeight="1">
      <c r="A41" s="206"/>
      <c r="B41" s="634" t="s">
        <v>747</v>
      </c>
      <c r="C41" s="626"/>
      <c r="D41" s="627"/>
      <c r="E41" s="628"/>
      <c r="F41" s="646">
        <f>F39*(1+(1-F35)*F44)</f>
        <v>0.80420000000000003</v>
      </c>
      <c r="G41" s="13"/>
      <c r="H41" s="630"/>
      <c r="I41" s="647">
        <f>I39*(1+(1-I35)*I44)</f>
        <v>0.80420000000000003</v>
      </c>
      <c r="J41" s="648"/>
      <c r="K41" s="640"/>
      <c r="L41" s="647">
        <f>L39*(1+(1-L35)*L44)</f>
        <v>0.80420000000000003</v>
      </c>
      <c r="M41" s="649"/>
      <c r="N41" s="630"/>
      <c r="O41" s="13"/>
      <c r="P41" s="624"/>
      <c r="Q41" s="624"/>
      <c r="R41" s="624"/>
    </row>
    <row r="42" spans="1:18" ht="18" customHeight="1">
      <c r="A42" s="206"/>
      <c r="B42" s="650" t="s">
        <v>748</v>
      </c>
      <c r="C42" s="626"/>
      <c r="D42" s="627"/>
      <c r="E42" s="628"/>
      <c r="F42" s="651">
        <f>F36+F41*F37+F38</f>
        <v>0.12703038</v>
      </c>
      <c r="G42" s="639"/>
      <c r="H42" s="640"/>
      <c r="I42" s="652">
        <f>I36+I41*I37+I38</f>
        <v>0.12703038</v>
      </c>
      <c r="J42" s="639"/>
      <c r="K42" s="640"/>
      <c r="L42" s="652">
        <f>L36+L41*L37+L38</f>
        <v>0.12703038</v>
      </c>
      <c r="M42" s="639"/>
      <c r="N42" s="640"/>
      <c r="O42" s="653"/>
      <c r="P42" s="168"/>
      <c r="Q42" s="654"/>
      <c r="R42" s="624"/>
    </row>
    <row r="43" spans="1:18" ht="18" customHeight="1">
      <c r="A43" s="206"/>
      <c r="B43" s="655"/>
      <c r="C43" s="626"/>
      <c r="D43" s="627"/>
      <c r="E43" s="628"/>
      <c r="F43" s="639"/>
      <c r="G43" s="656"/>
      <c r="H43" s="640"/>
      <c r="I43" s="632"/>
      <c r="J43" s="656"/>
      <c r="K43" s="640"/>
      <c r="L43" s="632"/>
      <c r="M43" s="656"/>
      <c r="N43" s="640"/>
      <c r="O43" s="657"/>
      <c r="P43" s="658"/>
      <c r="Q43" s="654"/>
      <c r="R43" s="654"/>
    </row>
    <row r="44" spans="1:18" ht="18" customHeight="1">
      <c r="A44" s="206"/>
      <c r="B44" s="625" t="s">
        <v>749</v>
      </c>
      <c r="C44" s="626"/>
      <c r="D44" s="627"/>
      <c r="E44" s="628"/>
      <c r="F44" s="659">
        <v>0</v>
      </c>
      <c r="G44" s="719">
        <f>F34/(SUM(F27:L27)-F34)</f>
        <v>0</v>
      </c>
      <c r="H44" s="660">
        <f>F44-G44</f>
        <v>0</v>
      </c>
      <c r="I44" s="661">
        <v>0</v>
      </c>
      <c r="J44" s="719">
        <f>F34/(SUM(F27:L27)-F34)</f>
        <v>0</v>
      </c>
      <c r="K44" s="660">
        <f>I44-J44</f>
        <v>0</v>
      </c>
      <c r="L44" s="661">
        <v>0</v>
      </c>
      <c r="M44" s="719">
        <f>F34/(SUM(F27:L27)-F34)</f>
        <v>0</v>
      </c>
      <c r="N44" s="660">
        <f>L44-M44</f>
        <v>0</v>
      </c>
      <c r="O44" s="657"/>
      <c r="P44" s="13"/>
      <c r="Q44" s="13"/>
      <c r="R44" s="13"/>
    </row>
    <row r="45" spans="1:18" ht="18" customHeight="1">
      <c r="A45" s="206"/>
      <c r="B45" s="644" t="s">
        <v>750</v>
      </c>
      <c r="C45" s="626"/>
      <c r="D45" s="627"/>
      <c r="E45" s="628"/>
      <c r="F45" s="646">
        <f>G45</f>
        <v>1</v>
      </c>
      <c r="G45" s="646">
        <f>1/(F44+1)</f>
        <v>1</v>
      </c>
      <c r="H45" s="660">
        <f>F45-G45</f>
        <v>0</v>
      </c>
      <c r="I45" s="647">
        <f>J45</f>
        <v>1</v>
      </c>
      <c r="J45" s="646">
        <f>1/(I44+1)</f>
        <v>1</v>
      </c>
      <c r="K45" s="660">
        <f>I45-J45</f>
        <v>0</v>
      </c>
      <c r="L45" s="647">
        <f>M45</f>
        <v>1</v>
      </c>
      <c r="M45" s="646">
        <f>1/(L44+1)</f>
        <v>1</v>
      </c>
      <c r="N45" s="660">
        <f>L45-M45</f>
        <v>0</v>
      </c>
      <c r="O45" s="657"/>
      <c r="P45" s="13"/>
      <c r="Q45" s="13"/>
      <c r="R45" s="13"/>
    </row>
    <row r="46" spans="1:18" ht="18" customHeight="1">
      <c r="A46" s="206"/>
      <c r="B46" s="644" t="s">
        <v>751</v>
      </c>
      <c r="C46" s="626"/>
      <c r="D46" s="627"/>
      <c r="E46" s="628"/>
      <c r="F46" s="646">
        <f>G46</f>
        <v>0</v>
      </c>
      <c r="G46" s="646">
        <f>1-F45</f>
        <v>0</v>
      </c>
      <c r="H46" s="660">
        <f>F46-G46</f>
        <v>0</v>
      </c>
      <c r="I46" s="647">
        <f>J46</f>
        <v>0</v>
      </c>
      <c r="J46" s="646">
        <f>1-I45</f>
        <v>0</v>
      </c>
      <c r="K46" s="660">
        <f>I46-J46</f>
        <v>0</v>
      </c>
      <c r="L46" s="647">
        <f>M46</f>
        <v>0</v>
      </c>
      <c r="M46" s="646">
        <f>1-L45</f>
        <v>0</v>
      </c>
      <c r="N46" s="660">
        <f>L46-M46</f>
        <v>0</v>
      </c>
      <c r="O46" s="657"/>
      <c r="P46" s="13"/>
      <c r="Q46" s="13"/>
      <c r="R46" s="13"/>
    </row>
    <row r="47" spans="1:18" ht="18" customHeight="1">
      <c r="A47" s="206"/>
      <c r="B47" s="655"/>
      <c r="C47" s="626"/>
      <c r="D47" s="627"/>
      <c r="E47" s="628"/>
      <c r="F47" s="629"/>
      <c r="G47" s="629"/>
      <c r="H47" s="630"/>
      <c r="I47" s="631"/>
      <c r="J47" s="629"/>
      <c r="K47" s="630"/>
      <c r="L47" s="632"/>
      <c r="M47" s="629"/>
      <c r="N47" s="630"/>
      <c r="O47" s="657"/>
      <c r="P47" s="13"/>
      <c r="Q47" s="13"/>
      <c r="R47" s="13"/>
    </row>
    <row r="48" spans="1:18" ht="18" customHeight="1" thickBot="1">
      <c r="A48" s="206"/>
      <c r="B48" s="662" t="s">
        <v>752</v>
      </c>
      <c r="C48" s="663"/>
      <c r="D48" s="664"/>
      <c r="E48" s="665"/>
      <c r="F48" s="666">
        <f>F42*F45+(1-F35)*F40*F46</f>
        <v>0.12703038</v>
      </c>
      <c r="G48" s="667"/>
      <c r="H48" s="668"/>
      <c r="I48" s="669">
        <f>I42*I45+(1-I35)*I40*I46</f>
        <v>0.12703038</v>
      </c>
      <c r="J48" s="667"/>
      <c r="K48" s="668"/>
      <c r="L48" s="669">
        <f>L42*L45+(1-L35)*L40*L46</f>
        <v>0.12703038</v>
      </c>
      <c r="M48" s="670"/>
      <c r="N48" s="671"/>
      <c r="O48" s="654"/>
      <c r="P48" s="653"/>
      <c r="Q48" s="13"/>
      <c r="R48" s="624"/>
    </row>
    <row r="49" spans="1:13" ht="18" customHeight="1">
      <c r="A49" s="206"/>
      <c r="C49" s="13"/>
      <c r="D49" s="13"/>
      <c r="E49" s="13"/>
      <c r="G49" s="63"/>
      <c r="H49" s="235"/>
      <c r="I49" s="90"/>
      <c r="J49" s="90"/>
      <c r="K49" s="90"/>
      <c r="L49" s="22"/>
      <c r="M49" s="11"/>
    </row>
    <row r="50" spans="1:13" ht="18" customHeight="1">
      <c r="A50" s="206"/>
      <c r="G50" s="22"/>
      <c r="H50" s="235"/>
      <c r="I50" s="22"/>
      <c r="J50" s="22"/>
      <c r="K50" s="22"/>
      <c r="L50" s="22"/>
      <c r="M50" s="11"/>
    </row>
    <row r="51" spans="1:13" ht="18" customHeight="1">
      <c r="A51" s="206"/>
      <c r="B51" s="32" t="s">
        <v>197</v>
      </c>
      <c r="M51" s="11"/>
    </row>
    <row r="52" spans="1:13" ht="18" customHeight="1">
      <c r="A52" s="206"/>
      <c r="B52" s="141" t="s">
        <v>196</v>
      </c>
      <c r="C52" s="48"/>
      <c r="D52" s="48"/>
      <c r="E52" s="48"/>
      <c r="F52" s="142" t="s">
        <v>72</v>
      </c>
      <c r="G52" s="142" t="s">
        <v>73</v>
      </c>
      <c r="M52" s="11"/>
    </row>
    <row r="53" spans="1:13" ht="18" customHeight="1">
      <c r="A53" s="206"/>
      <c r="B53" s="59" t="s">
        <v>284</v>
      </c>
      <c r="C53" s="48"/>
      <c r="D53" s="48"/>
      <c r="E53" s="48"/>
      <c r="F53" s="2">
        <f>F29</f>
        <v>738.67960332322718</v>
      </c>
      <c r="G53" s="2"/>
      <c r="M53" s="11"/>
    </row>
    <row r="54" spans="1:13" ht="18" customHeight="1">
      <c r="A54" s="206"/>
      <c r="B54" s="59" t="s">
        <v>116</v>
      </c>
      <c r="C54" s="48"/>
      <c r="D54" s="48"/>
      <c r="E54" s="48"/>
      <c r="F54" s="91">
        <f>'2报表调整'!F80</f>
        <v>0</v>
      </c>
      <c r="G54" s="2"/>
      <c r="H54" s="17"/>
      <c r="M54" s="11"/>
    </row>
    <row r="55" spans="1:13" ht="18" customHeight="1">
      <c r="A55" s="206"/>
      <c r="B55" s="59" t="s">
        <v>117</v>
      </c>
      <c r="C55" s="48"/>
      <c r="D55" s="48"/>
      <c r="E55" s="48"/>
      <c r="F55" s="75">
        <f>'2报表调整'!N43</f>
        <v>904.59485199999995</v>
      </c>
      <c r="G55" s="2"/>
      <c r="M55" s="11"/>
    </row>
    <row r="56" spans="1:13" ht="18" customHeight="1">
      <c r="A56" s="206"/>
      <c r="B56" s="59" t="s">
        <v>118</v>
      </c>
      <c r="C56" s="48"/>
      <c r="D56" s="48"/>
      <c r="E56" s="48"/>
      <c r="F56" s="75">
        <f>'2报表调整'!N70</f>
        <v>688.11776700000007</v>
      </c>
      <c r="G56" s="2"/>
      <c r="M56" s="11"/>
    </row>
    <row r="57" spans="1:13" ht="18" customHeight="1">
      <c r="A57" s="206"/>
      <c r="B57" s="60" t="s">
        <v>119</v>
      </c>
      <c r="C57" s="48"/>
      <c r="D57" s="48"/>
      <c r="E57" s="48"/>
      <c r="F57" s="8">
        <f>F53+F54+F55-F56</f>
        <v>955.15668832322706</v>
      </c>
      <c r="G57" s="2"/>
      <c r="M57" s="11"/>
    </row>
    <row r="58" spans="1:13" ht="18" customHeight="1">
      <c r="A58" s="206"/>
      <c r="B58" s="59" t="s">
        <v>120</v>
      </c>
      <c r="C58" s="48"/>
      <c r="D58" s="48"/>
      <c r="E58" s="48"/>
      <c r="F58" s="75">
        <f>'11财务费用'!E10</f>
        <v>0</v>
      </c>
      <c r="G58" s="2"/>
      <c r="I58" s="182"/>
      <c r="M58" s="11"/>
    </row>
    <row r="59" spans="1:13" ht="18" customHeight="1">
      <c r="A59" s="206"/>
      <c r="B59" s="59" t="s">
        <v>121</v>
      </c>
      <c r="C59" s="48"/>
      <c r="D59" s="48"/>
      <c r="E59" s="48"/>
      <c r="F59" s="2"/>
      <c r="G59" s="2"/>
      <c r="M59" s="11"/>
    </row>
    <row r="60" spans="1:13" ht="18" customHeight="1">
      <c r="A60" s="206"/>
      <c r="B60" s="59" t="s">
        <v>122</v>
      </c>
      <c r="C60" s="48"/>
      <c r="D60" s="48"/>
      <c r="E60" s="48"/>
      <c r="F60" s="2"/>
      <c r="G60" s="2"/>
      <c r="M60" s="11"/>
    </row>
    <row r="61" spans="1:13" ht="18" customHeight="1">
      <c r="A61" s="206"/>
      <c r="B61" s="59" t="s">
        <v>123</v>
      </c>
      <c r="C61" s="48"/>
      <c r="D61" s="48"/>
      <c r="E61" s="48"/>
      <c r="F61" s="2"/>
      <c r="G61" s="2"/>
      <c r="M61" s="11"/>
    </row>
    <row r="62" spans="1:13" ht="18" customHeight="1">
      <c r="A62" s="206"/>
      <c r="B62" s="59" t="s">
        <v>124</v>
      </c>
      <c r="C62" s="48"/>
      <c r="D62" s="48"/>
      <c r="E62" s="48"/>
      <c r="F62" s="2">
        <f>F57-SUM(F58:F61)</f>
        <v>955.15668832322706</v>
      </c>
      <c r="G62" s="2"/>
      <c r="I62" s="11">
        <f>'14FCFE'!F46</f>
        <v>955.15668832322706</v>
      </c>
      <c r="J62" s="11">
        <f>F62-I62</f>
        <v>0</v>
      </c>
      <c r="K62" s="182" t="s">
        <v>753</v>
      </c>
      <c r="M62" s="11"/>
    </row>
    <row r="63" spans="1:13" ht="18" customHeight="1">
      <c r="A63" s="206"/>
      <c r="B63" s="60" t="s">
        <v>125</v>
      </c>
      <c r="C63" s="48"/>
      <c r="D63" s="48"/>
      <c r="E63" s="48"/>
      <c r="F63" s="8">
        <f>ROUND(F62,-1)</f>
        <v>960</v>
      </c>
      <c r="G63" s="2"/>
      <c r="M63" s="11"/>
    </row>
    <row r="64" spans="1:13" ht="18" customHeight="1">
      <c r="A64" s="206"/>
      <c r="B64" s="59" t="s">
        <v>126</v>
      </c>
      <c r="C64" s="48"/>
      <c r="D64" s="48"/>
      <c r="E64" s="48"/>
      <c r="F64" s="2"/>
      <c r="G64" s="6" t="s">
        <v>74</v>
      </c>
      <c r="M64" s="11"/>
    </row>
    <row r="65" spans="1:13" ht="18" customHeight="1">
      <c r="A65" s="206"/>
      <c r="B65" s="59" t="s">
        <v>127</v>
      </c>
      <c r="C65" s="48"/>
      <c r="D65" s="48"/>
      <c r="E65" s="48"/>
      <c r="F65" s="2"/>
      <c r="G65" s="6" t="s">
        <v>74</v>
      </c>
      <c r="M65" s="11"/>
    </row>
    <row r="66" spans="1:13" ht="18" customHeight="1">
      <c r="A66" s="206"/>
      <c r="B66" s="59" t="s">
        <v>128</v>
      </c>
      <c r="C66" s="48"/>
      <c r="D66" s="48"/>
      <c r="E66" s="48"/>
      <c r="F66" s="236"/>
      <c r="G66" s="2"/>
      <c r="M66" s="11"/>
    </row>
    <row r="67" spans="1:13" ht="18" customHeight="1">
      <c r="A67" s="206"/>
      <c r="B67" s="59" t="s">
        <v>129</v>
      </c>
      <c r="C67" s="48"/>
      <c r="D67" s="48"/>
      <c r="E67" s="48"/>
      <c r="F67" s="2">
        <f>F63*F66</f>
        <v>0</v>
      </c>
      <c r="G67" s="2"/>
      <c r="M67" s="11"/>
    </row>
    <row r="68" spans="1:13" ht="18" customHeight="1">
      <c r="A68" s="206"/>
      <c r="M68" s="11"/>
    </row>
    <row r="69" spans="1:13" ht="18" customHeight="1">
      <c r="A69" s="206"/>
      <c r="M69" s="11"/>
    </row>
    <row r="70" spans="1:13" ht="18" customHeight="1">
      <c r="A70" s="206"/>
      <c r="M70" s="11"/>
    </row>
    <row r="71" spans="1:13" ht="18" customHeight="1">
      <c r="A71" s="206"/>
      <c r="M71" s="11"/>
    </row>
    <row r="72" spans="1:13" ht="18" customHeight="1">
      <c r="A72" s="206"/>
      <c r="M72" s="11"/>
    </row>
    <row r="73" spans="1:13" ht="18" customHeight="1">
      <c r="A73" s="206"/>
      <c r="M73" s="11"/>
    </row>
    <row r="74" spans="1:13" ht="18" customHeight="1">
      <c r="A74" s="206"/>
      <c r="M74" s="11"/>
    </row>
    <row r="82" spans="13:13" ht="18" customHeight="1">
      <c r="M82" s="11"/>
    </row>
    <row r="83" spans="13:13" ht="18" customHeight="1">
      <c r="M83" s="11"/>
    </row>
    <row r="84" spans="13:13" ht="18" customHeight="1">
      <c r="M84" s="11"/>
    </row>
    <row r="85" spans="13:13" ht="18" customHeight="1">
      <c r="M85" s="11"/>
    </row>
    <row r="86" spans="13:13" ht="18" customHeight="1">
      <c r="M86" s="11"/>
    </row>
    <row r="87" spans="13:13" ht="18" customHeight="1">
      <c r="M87" s="11"/>
    </row>
    <row r="88" spans="13:13" ht="18" customHeight="1">
      <c r="M88" s="11"/>
    </row>
    <row r="89" spans="13:13" ht="18" customHeight="1">
      <c r="M89" s="11"/>
    </row>
    <row r="90" spans="13:13" ht="18" customHeight="1">
      <c r="M90" s="11"/>
    </row>
    <row r="91" spans="13:13" ht="18" customHeight="1">
      <c r="M91" s="11"/>
    </row>
    <row r="92" spans="13:13" ht="18" customHeight="1">
      <c r="M92" s="11"/>
    </row>
    <row r="93" spans="13:13" ht="18" customHeight="1">
      <c r="M93" s="11"/>
    </row>
    <row r="94" spans="13:13" ht="18" customHeight="1">
      <c r="M94" s="11"/>
    </row>
    <row r="95" spans="13:13" ht="18" customHeight="1">
      <c r="M95" s="11"/>
    </row>
    <row r="96" spans="13:13" ht="18" customHeight="1">
      <c r="M96" s="11"/>
    </row>
    <row r="97" spans="13:13" ht="18" customHeight="1">
      <c r="M97" s="11"/>
    </row>
    <row r="98" spans="13:13" ht="18" customHeight="1">
      <c r="M98" s="11"/>
    </row>
    <row r="99" spans="13:13" ht="18" customHeight="1">
      <c r="M99" s="11"/>
    </row>
    <row r="100" spans="13:13" ht="18" customHeight="1">
      <c r="M100" s="11"/>
    </row>
    <row r="101" spans="13:13" ht="18" customHeight="1">
      <c r="M101" s="11"/>
    </row>
    <row r="102" spans="13:13" ht="18" customHeight="1">
      <c r="M102" s="11"/>
    </row>
    <row r="103" spans="13:13" ht="18" customHeight="1">
      <c r="M103" s="11"/>
    </row>
    <row r="104" spans="13:13" ht="18" customHeight="1">
      <c r="M104" s="11"/>
    </row>
    <row r="105" spans="13:13" ht="18" customHeight="1">
      <c r="M105" s="11"/>
    </row>
    <row r="106" spans="13:13" ht="18" customHeight="1">
      <c r="M106" s="11"/>
    </row>
    <row r="107" spans="13:13" ht="18" customHeight="1">
      <c r="M107" s="11"/>
    </row>
    <row r="108" spans="13:13" ht="18" customHeight="1">
      <c r="M108" s="11"/>
    </row>
    <row r="109" spans="13:13" ht="18" customHeight="1">
      <c r="M109" s="11"/>
    </row>
    <row r="110" spans="13:13" ht="18" customHeight="1">
      <c r="M110" s="11"/>
    </row>
    <row r="111" spans="13:13" ht="18" customHeight="1">
      <c r="M111" s="11"/>
    </row>
    <row r="112" spans="13:13" ht="18" customHeight="1">
      <c r="M112" s="11"/>
    </row>
    <row r="113" spans="13:13" ht="18" customHeight="1">
      <c r="M113" s="11"/>
    </row>
    <row r="114" spans="13:13" ht="18" customHeight="1">
      <c r="M114" s="11"/>
    </row>
    <row r="115" spans="13:13" ht="18" customHeight="1">
      <c r="M115" s="11"/>
    </row>
    <row r="116" spans="13:13" ht="18" customHeight="1">
      <c r="M116" s="11"/>
    </row>
    <row r="117" spans="13:13" ht="18" customHeight="1">
      <c r="M117" s="11"/>
    </row>
    <row r="118" spans="13:13" ht="18" customHeight="1">
      <c r="M118" s="11"/>
    </row>
    <row r="119" spans="13:13" ht="18" customHeight="1">
      <c r="M119" s="11"/>
    </row>
    <row r="120" spans="13:13" ht="18" customHeight="1">
      <c r="M120" s="11"/>
    </row>
    <row r="121" spans="13:13" ht="18" customHeight="1">
      <c r="M121" s="11"/>
    </row>
    <row r="122" spans="13:13" ht="18" customHeight="1">
      <c r="M122" s="11"/>
    </row>
    <row r="123" spans="13:13" ht="18" customHeight="1">
      <c r="M123" s="11"/>
    </row>
    <row r="124" spans="13:13" ht="18" customHeight="1">
      <c r="M124" s="11"/>
    </row>
    <row r="125" spans="13:13" ht="18" customHeight="1">
      <c r="M125" s="11"/>
    </row>
    <row r="126" spans="13:13" ht="18" customHeight="1">
      <c r="M126" s="11"/>
    </row>
    <row r="127" spans="13:13" ht="18" customHeight="1">
      <c r="M127" s="11"/>
    </row>
    <row r="128" spans="13:13" ht="18" customHeight="1">
      <c r="M128" s="11"/>
    </row>
    <row r="129" spans="13:13" ht="18" customHeight="1">
      <c r="M129" s="11"/>
    </row>
    <row r="130" spans="13:13" ht="18" customHeight="1">
      <c r="M130" s="11"/>
    </row>
    <row r="131" spans="13:13" ht="18" customHeight="1">
      <c r="M131" s="11"/>
    </row>
    <row r="132" spans="13:13" ht="18" customHeight="1">
      <c r="M132" s="11"/>
    </row>
    <row r="133" spans="13:13" ht="18" customHeight="1">
      <c r="M133" s="11"/>
    </row>
    <row r="134" spans="13:13" ht="18" customHeight="1">
      <c r="M134" s="11"/>
    </row>
    <row r="135" spans="13:13" ht="18" customHeight="1">
      <c r="M135" s="11"/>
    </row>
    <row r="136" spans="13:13" ht="18" customHeight="1">
      <c r="M136" s="11"/>
    </row>
    <row r="137" spans="13:13" ht="18" customHeight="1">
      <c r="M137" s="11"/>
    </row>
    <row r="138" spans="13:13" ht="18" customHeight="1">
      <c r="M138" s="11"/>
    </row>
    <row r="139" spans="13:13" ht="18" customHeight="1">
      <c r="M139" s="11"/>
    </row>
    <row r="140" spans="13:13" ht="18" customHeight="1">
      <c r="M140" s="11"/>
    </row>
    <row r="141" spans="13:13" ht="18" customHeight="1">
      <c r="M141" s="11"/>
    </row>
    <row r="142" spans="13:13" ht="18" customHeight="1">
      <c r="M142" s="11"/>
    </row>
    <row r="143" spans="13:13" ht="18" customHeight="1">
      <c r="M143" s="11"/>
    </row>
    <row r="144" spans="13:13" ht="18" customHeight="1">
      <c r="M144" s="11"/>
    </row>
    <row r="145" spans="13:13" ht="18" customHeight="1">
      <c r="M145" s="11"/>
    </row>
    <row r="146" spans="13:13" ht="18" customHeight="1">
      <c r="M146" s="11"/>
    </row>
    <row r="147" spans="13:13" ht="18" customHeight="1">
      <c r="M147" s="11"/>
    </row>
    <row r="148" spans="13:13" ht="18" customHeight="1">
      <c r="M148" s="11"/>
    </row>
    <row r="149" spans="13:13" ht="18" customHeight="1">
      <c r="M149" s="11"/>
    </row>
    <row r="150" spans="13:13" ht="18" customHeight="1">
      <c r="M150" s="11"/>
    </row>
    <row r="151" spans="13:13" ht="18" customHeight="1">
      <c r="M151" s="11"/>
    </row>
    <row r="152" spans="13:13" ht="18" customHeight="1">
      <c r="M152" s="11"/>
    </row>
    <row r="153" spans="13:13" ht="18" customHeight="1">
      <c r="M153" s="11"/>
    </row>
    <row r="154" spans="13:13" ht="18" customHeight="1">
      <c r="M154" s="11"/>
    </row>
    <row r="155" spans="13:13" ht="18" customHeight="1">
      <c r="M155" s="11"/>
    </row>
    <row r="156" spans="13:13" ht="18" customHeight="1">
      <c r="M156" s="11"/>
    </row>
    <row r="157" spans="13:13" ht="18" customHeight="1">
      <c r="M157" s="11"/>
    </row>
    <row r="158" spans="13:13" ht="18" customHeight="1">
      <c r="M158" s="11"/>
    </row>
    <row r="159" spans="13:13" ht="18" customHeight="1">
      <c r="M159" s="11"/>
    </row>
    <row r="160" spans="13:13" ht="18" customHeight="1">
      <c r="M160" s="11"/>
    </row>
    <row r="161" spans="13:13" ht="18" customHeight="1">
      <c r="M161" s="11"/>
    </row>
    <row r="162" spans="13:13" ht="18" customHeight="1">
      <c r="M162" s="11"/>
    </row>
    <row r="163" spans="13:13" ht="18" customHeight="1">
      <c r="M163" s="11"/>
    </row>
    <row r="164" spans="13:13" ht="18" customHeight="1">
      <c r="M164" s="11"/>
    </row>
    <row r="165" spans="13:13" ht="18" customHeight="1">
      <c r="M165" s="11"/>
    </row>
    <row r="166" spans="13:13" ht="18" customHeight="1">
      <c r="M166" s="11"/>
    </row>
    <row r="167" spans="13:13" ht="18" customHeight="1">
      <c r="M167" s="11"/>
    </row>
    <row r="168" spans="13:13" ht="18" customHeight="1">
      <c r="M168" s="11"/>
    </row>
    <row r="169" spans="13:13" ht="18" customHeight="1">
      <c r="M169" s="11"/>
    </row>
    <row r="170" spans="13:13" ht="18" customHeight="1">
      <c r="M170" s="11"/>
    </row>
    <row r="171" spans="13:13" ht="18" customHeight="1">
      <c r="M171" s="11"/>
    </row>
    <row r="172" spans="13:13" ht="18" customHeight="1">
      <c r="M172" s="11"/>
    </row>
    <row r="173" spans="13:13" ht="18" customHeight="1">
      <c r="M173" s="11"/>
    </row>
    <row r="174" spans="13:13" ht="18" customHeight="1">
      <c r="M174" s="11"/>
    </row>
    <row r="175" spans="13:13" ht="18" customHeight="1">
      <c r="M175" s="11"/>
    </row>
    <row r="176" spans="13:13" ht="18" customHeight="1">
      <c r="M176" s="11"/>
    </row>
    <row r="177" spans="13:13" ht="18" customHeight="1">
      <c r="M177" s="11"/>
    </row>
    <row r="178" spans="13:13" ht="18" customHeight="1">
      <c r="M178" s="11"/>
    </row>
    <row r="179" spans="13:13" ht="18" customHeight="1">
      <c r="M179" s="11"/>
    </row>
    <row r="180" spans="13:13" ht="18" customHeight="1">
      <c r="M180" s="11"/>
    </row>
    <row r="181" spans="13:13" ht="18" customHeight="1">
      <c r="M181" s="11"/>
    </row>
    <row r="182" spans="13:13" ht="18" customHeight="1">
      <c r="M182" s="11"/>
    </row>
    <row r="183" spans="13:13" ht="18" customHeight="1">
      <c r="M183" s="11"/>
    </row>
    <row r="184" spans="13:13" ht="18" customHeight="1">
      <c r="M184" s="11"/>
    </row>
    <row r="185" spans="13:13" ht="18" customHeight="1">
      <c r="M185" s="11"/>
    </row>
    <row r="186" spans="13:13" ht="18" customHeight="1">
      <c r="M186" s="11"/>
    </row>
    <row r="187" spans="13:13" ht="18" customHeight="1">
      <c r="M187" s="11"/>
    </row>
    <row r="188" spans="13:13" ht="18" customHeight="1">
      <c r="M188" s="11"/>
    </row>
    <row r="189" spans="13:13" ht="18" customHeight="1">
      <c r="M189" s="11"/>
    </row>
    <row r="190" spans="13:13" ht="18" customHeight="1">
      <c r="M190" s="11"/>
    </row>
    <row r="191" spans="13:13" ht="18" customHeight="1">
      <c r="M191" s="11"/>
    </row>
    <row r="192" spans="13:13" ht="18" customHeight="1">
      <c r="M192" s="11"/>
    </row>
    <row r="193" spans="13:13" ht="18" customHeight="1">
      <c r="M193" s="11"/>
    </row>
    <row r="194" spans="13:13" ht="18" customHeight="1">
      <c r="M194" s="11"/>
    </row>
    <row r="195" spans="13:13" ht="18" customHeight="1">
      <c r="M195" s="11"/>
    </row>
    <row r="196" spans="13:13" ht="18" customHeight="1">
      <c r="M196" s="11"/>
    </row>
    <row r="197" spans="13:13" ht="18" customHeight="1">
      <c r="M197" s="11"/>
    </row>
    <row r="198" spans="13:13" ht="18" customHeight="1">
      <c r="M198" s="11"/>
    </row>
    <row r="199" spans="13:13" ht="18" customHeight="1">
      <c r="M199" s="11"/>
    </row>
    <row r="200" spans="13:13" ht="18" customHeight="1">
      <c r="M200" s="11"/>
    </row>
    <row r="201" spans="13:13" ht="18" customHeight="1">
      <c r="M201" s="11"/>
    </row>
    <row r="202" spans="13:13" ht="18" customHeight="1">
      <c r="M202" s="11"/>
    </row>
    <row r="203" spans="13:13" ht="18" customHeight="1">
      <c r="M203" s="11"/>
    </row>
    <row r="204" spans="13:13" ht="18" customHeight="1">
      <c r="M204" s="11"/>
    </row>
    <row r="205" spans="13:13" ht="18" customHeight="1">
      <c r="M205" s="11"/>
    </row>
    <row r="206" spans="13:13" ht="18" customHeight="1">
      <c r="M206" s="11"/>
    </row>
    <row r="207" spans="13:13" ht="18" customHeight="1">
      <c r="M207" s="11"/>
    </row>
    <row r="208" spans="13:13" ht="18" customHeight="1">
      <c r="M208" s="11"/>
    </row>
    <row r="209" spans="13:13" ht="18" customHeight="1">
      <c r="M209" s="11"/>
    </row>
    <row r="210" spans="13:13" ht="18" customHeight="1">
      <c r="M210" s="11"/>
    </row>
    <row r="211" spans="13:13" ht="18" customHeight="1">
      <c r="M211" s="11"/>
    </row>
    <row r="212" spans="13:13" ht="18" customHeight="1">
      <c r="M212" s="11"/>
    </row>
    <row r="213" spans="13:13" ht="18" customHeight="1">
      <c r="M213" s="11"/>
    </row>
    <row r="214" spans="13:13" ht="18" customHeight="1">
      <c r="M214" s="11"/>
    </row>
    <row r="215" spans="13:13" ht="18" customHeight="1">
      <c r="M215" s="11"/>
    </row>
    <row r="216" spans="13:13" ht="18" customHeight="1">
      <c r="M216" s="11"/>
    </row>
    <row r="217" spans="13:13" ht="18" customHeight="1">
      <c r="M217" s="11"/>
    </row>
    <row r="218" spans="13:13" ht="18" customHeight="1">
      <c r="M218" s="11"/>
    </row>
    <row r="219" spans="13:13" ht="18" customHeight="1">
      <c r="M219" s="11"/>
    </row>
    <row r="220" spans="13:13" ht="18" customHeight="1">
      <c r="M220" s="11"/>
    </row>
    <row r="221" spans="13:13" ht="18" customHeight="1">
      <c r="M221" s="11"/>
    </row>
    <row r="222" spans="13:13" ht="18" customHeight="1">
      <c r="M222" s="11"/>
    </row>
    <row r="223" spans="13:13" ht="18" customHeight="1">
      <c r="M223" s="11"/>
    </row>
    <row r="224" spans="13:13" ht="18" customHeight="1">
      <c r="M224" s="11"/>
    </row>
    <row r="225" spans="13:13" ht="18" customHeight="1">
      <c r="M225" s="11"/>
    </row>
    <row r="226" spans="13:13" ht="18" customHeight="1">
      <c r="M226" s="11"/>
    </row>
    <row r="227" spans="13:13" ht="18" customHeight="1">
      <c r="M227" s="11"/>
    </row>
    <row r="228" spans="13:13" ht="18" customHeight="1">
      <c r="M228" s="11"/>
    </row>
    <row r="229" spans="13:13" ht="18" customHeight="1">
      <c r="M229" s="11"/>
    </row>
    <row r="230" spans="13:13" ht="18" customHeight="1">
      <c r="M230" s="11"/>
    </row>
    <row r="231" spans="13:13" ht="18" customHeight="1">
      <c r="M231" s="11"/>
    </row>
    <row r="232" spans="13:13" ht="18" customHeight="1">
      <c r="M232" s="11"/>
    </row>
    <row r="233" spans="13:13" ht="18" customHeight="1">
      <c r="M233" s="11"/>
    </row>
    <row r="234" spans="13:13" ht="18" customHeight="1">
      <c r="M234" s="11"/>
    </row>
    <row r="235" spans="13:13" ht="18" customHeight="1">
      <c r="M235" s="11"/>
    </row>
    <row r="236" spans="13:13" ht="18" customHeight="1">
      <c r="M236" s="11"/>
    </row>
    <row r="237" spans="13:13" ht="18" customHeight="1">
      <c r="M237" s="11"/>
    </row>
    <row r="238" spans="13:13" ht="18" customHeight="1">
      <c r="M238" s="11"/>
    </row>
    <row r="239" spans="13:13" ht="18" customHeight="1">
      <c r="M239" s="11"/>
    </row>
    <row r="240" spans="13:13" ht="18" customHeight="1">
      <c r="M240" s="11"/>
    </row>
    <row r="241" spans="13:13" ht="18" customHeight="1">
      <c r="M241" s="11"/>
    </row>
    <row r="242" spans="13:13" ht="18" customHeight="1">
      <c r="M242" s="11"/>
    </row>
    <row r="243" spans="13:13" ht="18" customHeight="1">
      <c r="M243" s="11"/>
    </row>
    <row r="244" spans="13:13" ht="18" customHeight="1">
      <c r="M244" s="11"/>
    </row>
    <row r="245" spans="13:13" ht="18" customHeight="1">
      <c r="M245" s="11"/>
    </row>
    <row r="246" spans="13:13" ht="18" customHeight="1">
      <c r="M246" s="11"/>
    </row>
    <row r="247" spans="13:13" ht="18" customHeight="1">
      <c r="M247" s="11"/>
    </row>
    <row r="248" spans="13:13" ht="18" customHeight="1">
      <c r="M248" s="11"/>
    </row>
    <row r="249" spans="13:13" ht="18" customHeight="1">
      <c r="M249" s="11"/>
    </row>
    <row r="250" spans="13:13" ht="18" customHeight="1">
      <c r="M250" s="11"/>
    </row>
    <row r="251" spans="13:13" ht="18" customHeight="1">
      <c r="M251" s="11"/>
    </row>
    <row r="252" spans="13:13" ht="18" customHeight="1">
      <c r="M252" s="11"/>
    </row>
    <row r="253" spans="13:13" ht="18" customHeight="1">
      <c r="M253" s="11"/>
    </row>
    <row r="254" spans="13:13" ht="18" customHeight="1">
      <c r="M254" s="11"/>
    </row>
    <row r="255" spans="13:13" ht="18" customHeight="1">
      <c r="M255" s="11"/>
    </row>
    <row r="256" spans="13:13" ht="18" customHeight="1">
      <c r="M256" s="11"/>
    </row>
    <row r="257" spans="13:13" ht="18" customHeight="1">
      <c r="M257" s="11"/>
    </row>
    <row r="258" spans="13:13" ht="18" customHeight="1">
      <c r="M258" s="11"/>
    </row>
    <row r="259" spans="13:13" ht="18" customHeight="1">
      <c r="M259" s="11"/>
    </row>
    <row r="260" spans="13:13" ht="18" customHeight="1">
      <c r="M260" s="11"/>
    </row>
    <row r="261" spans="13:13" ht="18" customHeight="1">
      <c r="M261" s="11"/>
    </row>
    <row r="262" spans="13:13" ht="18" customHeight="1">
      <c r="M262" s="11"/>
    </row>
    <row r="263" spans="13:13" ht="18" customHeight="1">
      <c r="M263" s="11"/>
    </row>
    <row r="264" spans="13:13" ht="18" customHeight="1">
      <c r="M264" s="11"/>
    </row>
    <row r="265" spans="13:13" ht="18" customHeight="1">
      <c r="M265" s="11"/>
    </row>
    <row r="266" spans="13:13" ht="18" customHeight="1">
      <c r="M266" s="11"/>
    </row>
    <row r="267" spans="13:13" ht="18" customHeight="1">
      <c r="M267" s="11"/>
    </row>
    <row r="268" spans="13:13" ht="18" customHeight="1">
      <c r="M268" s="11"/>
    </row>
    <row r="269" spans="13:13" ht="18" customHeight="1">
      <c r="M269" s="11"/>
    </row>
    <row r="270" spans="13:13" ht="18" customHeight="1">
      <c r="M270" s="11"/>
    </row>
    <row r="271" spans="13:13" ht="18" customHeight="1">
      <c r="M271" s="11"/>
    </row>
    <row r="272" spans="13:13" ht="18" customHeight="1">
      <c r="M272" s="11"/>
    </row>
    <row r="273" spans="13:13" ht="18" customHeight="1">
      <c r="M273" s="11"/>
    </row>
    <row r="274" spans="13:13" ht="18" customHeight="1">
      <c r="M274" s="11"/>
    </row>
    <row r="275" spans="13:13" ht="18" customHeight="1">
      <c r="M275" s="11"/>
    </row>
    <row r="276" spans="13:13" ht="18" customHeight="1">
      <c r="M276" s="11"/>
    </row>
    <row r="277" spans="13:13" ht="18" customHeight="1">
      <c r="M277" s="11"/>
    </row>
    <row r="278" spans="13:13" ht="18" customHeight="1">
      <c r="M278" s="11"/>
    </row>
    <row r="279" spans="13:13" ht="18" customHeight="1">
      <c r="M279" s="11"/>
    </row>
    <row r="280" spans="13:13" ht="18" customHeight="1">
      <c r="M280" s="11"/>
    </row>
    <row r="281" spans="13:13" ht="18" customHeight="1">
      <c r="M281" s="11"/>
    </row>
    <row r="282" spans="13:13" ht="18" customHeight="1">
      <c r="M282" s="11"/>
    </row>
    <row r="283" spans="13:13" ht="18" customHeight="1">
      <c r="M283" s="11"/>
    </row>
    <row r="284" spans="13:13" ht="18" customHeight="1">
      <c r="M284" s="11"/>
    </row>
    <row r="285" spans="13:13" ht="18" customHeight="1">
      <c r="M285" s="11"/>
    </row>
    <row r="286" spans="13:13" ht="18" customHeight="1">
      <c r="M286" s="11"/>
    </row>
    <row r="287" spans="13:13" ht="18" customHeight="1">
      <c r="M287" s="11"/>
    </row>
    <row r="288" spans="13:13" ht="18" customHeight="1">
      <c r="M288" s="11"/>
    </row>
    <row r="289" spans="13:13" ht="18" customHeight="1">
      <c r="M289" s="11"/>
    </row>
    <row r="290" spans="13:13" ht="18" customHeight="1">
      <c r="M290" s="11"/>
    </row>
    <row r="291" spans="13:13" ht="18" customHeight="1">
      <c r="M291" s="11"/>
    </row>
    <row r="292" spans="13:13" ht="18" customHeight="1">
      <c r="M292" s="11"/>
    </row>
    <row r="293" spans="13:13" ht="18" customHeight="1">
      <c r="M293" s="11"/>
    </row>
    <row r="294" spans="13:13" ht="18" customHeight="1">
      <c r="M294" s="11"/>
    </row>
    <row r="295" spans="13:13" ht="18" customHeight="1">
      <c r="M295" s="11"/>
    </row>
    <row r="296" spans="13:13" ht="18" customHeight="1">
      <c r="M296" s="11"/>
    </row>
    <row r="297" spans="13:13" ht="18" customHeight="1">
      <c r="M297" s="11"/>
    </row>
    <row r="298" spans="13:13" ht="18" customHeight="1">
      <c r="M298" s="11"/>
    </row>
    <row r="299" spans="13:13" ht="18" customHeight="1">
      <c r="M299" s="11"/>
    </row>
    <row r="300" spans="13:13" ht="18" customHeight="1">
      <c r="M300" s="11"/>
    </row>
    <row r="301" spans="13:13" ht="18" customHeight="1">
      <c r="M301" s="11"/>
    </row>
    <row r="302" spans="13:13" ht="18" customHeight="1">
      <c r="M302" s="11"/>
    </row>
    <row r="303" spans="13:13" ht="18" customHeight="1">
      <c r="M303" s="11"/>
    </row>
    <row r="304" spans="13:13" ht="18" customHeight="1">
      <c r="M304" s="11"/>
    </row>
    <row r="305" spans="13:13" ht="18" customHeight="1">
      <c r="M305" s="11"/>
    </row>
    <row r="306" spans="13:13" ht="18" customHeight="1">
      <c r="M306" s="11"/>
    </row>
    <row r="307" spans="13:13" ht="18" customHeight="1">
      <c r="M307" s="11"/>
    </row>
    <row r="308" spans="13:13" ht="18" customHeight="1">
      <c r="M308" s="11"/>
    </row>
    <row r="309" spans="13:13" ht="18" customHeight="1">
      <c r="M309" s="11"/>
    </row>
    <row r="310" spans="13:13" ht="18" customHeight="1">
      <c r="M310" s="11"/>
    </row>
    <row r="311" spans="13:13" ht="18" customHeight="1">
      <c r="M311" s="11"/>
    </row>
    <row r="312" spans="13:13" ht="18" customHeight="1">
      <c r="M312" s="11"/>
    </row>
    <row r="313" spans="13:13" ht="18" customHeight="1">
      <c r="M313" s="11"/>
    </row>
    <row r="314" spans="13:13" ht="18" customHeight="1">
      <c r="M314" s="11"/>
    </row>
    <row r="315" spans="13:13" ht="18" customHeight="1">
      <c r="M315" s="11"/>
    </row>
    <row r="316" spans="13:13" ht="18" customHeight="1">
      <c r="M316" s="11"/>
    </row>
    <row r="317" spans="13:13" ht="18" customHeight="1">
      <c r="M317" s="11"/>
    </row>
    <row r="318" spans="13:13" ht="18" customHeight="1">
      <c r="M318" s="11"/>
    </row>
    <row r="319" spans="13:13" ht="18" customHeight="1">
      <c r="M319" s="11"/>
    </row>
    <row r="320" spans="13:13" ht="18" customHeight="1">
      <c r="M320" s="11"/>
    </row>
    <row r="321" spans="13:13" ht="18" customHeight="1">
      <c r="M321" s="11"/>
    </row>
    <row r="322" spans="13:13" ht="18" customHeight="1">
      <c r="M322" s="11"/>
    </row>
    <row r="323" spans="13:13" ht="18" customHeight="1">
      <c r="M323" s="11"/>
    </row>
    <row r="324" spans="13:13" ht="18" customHeight="1">
      <c r="M324" s="11"/>
    </row>
    <row r="325" spans="13:13" ht="18" customHeight="1">
      <c r="M325" s="11"/>
    </row>
    <row r="326" spans="13:13" ht="18" customHeight="1">
      <c r="M326" s="11"/>
    </row>
    <row r="327" spans="13:13" ht="18" customHeight="1">
      <c r="M327" s="11"/>
    </row>
    <row r="328" spans="13:13" ht="18" customHeight="1">
      <c r="M328" s="11"/>
    </row>
    <row r="329" spans="13:13" ht="18" customHeight="1">
      <c r="M329" s="11"/>
    </row>
    <row r="330" spans="13:13" ht="18" customHeight="1">
      <c r="M330" s="11"/>
    </row>
    <row r="331" spans="13:13" ht="18" customHeight="1">
      <c r="M331" s="11"/>
    </row>
    <row r="332" spans="13:13" ht="18" customHeight="1">
      <c r="M332" s="11"/>
    </row>
    <row r="333" spans="13:13" ht="18" customHeight="1">
      <c r="M333" s="11"/>
    </row>
    <row r="334" spans="13:13" ht="18" customHeight="1">
      <c r="M334" s="11"/>
    </row>
    <row r="335" spans="13:13" ht="18" customHeight="1">
      <c r="M335" s="11"/>
    </row>
    <row r="336" spans="13:13" ht="18" customHeight="1">
      <c r="M336" s="11"/>
    </row>
    <row r="337" spans="13:13" ht="18" customHeight="1">
      <c r="M337" s="11"/>
    </row>
    <row r="338" spans="13:13" ht="18" customHeight="1">
      <c r="M338" s="11"/>
    </row>
    <row r="339" spans="13:13" ht="18" customHeight="1">
      <c r="M339" s="11"/>
    </row>
    <row r="340" spans="13:13" ht="18" customHeight="1">
      <c r="M340" s="11"/>
    </row>
    <row r="341" spans="13:13" ht="18" customHeight="1">
      <c r="M341" s="11"/>
    </row>
    <row r="342" spans="13:13" ht="18" customHeight="1">
      <c r="M342" s="11"/>
    </row>
    <row r="343" spans="13:13" ht="18" customHeight="1">
      <c r="M343" s="11"/>
    </row>
    <row r="344" spans="13:13" ht="18" customHeight="1">
      <c r="M344" s="11"/>
    </row>
    <row r="345" spans="13:13" ht="18" customHeight="1">
      <c r="M345" s="11"/>
    </row>
    <row r="346" spans="13:13" ht="18" customHeight="1">
      <c r="M346" s="11"/>
    </row>
    <row r="347" spans="13:13" ht="18" customHeight="1">
      <c r="M347" s="11"/>
    </row>
    <row r="348" spans="13:13" ht="18" customHeight="1">
      <c r="M348" s="11"/>
    </row>
    <row r="349" spans="13:13" ht="18" customHeight="1">
      <c r="M349" s="11"/>
    </row>
    <row r="350" spans="13:13" ht="18" customHeight="1">
      <c r="M350" s="11"/>
    </row>
    <row r="351" spans="13:13" ht="18" customHeight="1">
      <c r="M351" s="11"/>
    </row>
    <row r="352" spans="13:13" ht="18" customHeight="1">
      <c r="M352" s="11"/>
    </row>
    <row r="353" spans="13:13" ht="18" customHeight="1">
      <c r="M353" s="11"/>
    </row>
    <row r="354" spans="13:13" ht="18" customHeight="1">
      <c r="M354" s="11"/>
    </row>
    <row r="355" spans="13:13" ht="18" customHeight="1">
      <c r="M355" s="11"/>
    </row>
    <row r="356" spans="13:13" ht="18" customHeight="1">
      <c r="M356" s="11"/>
    </row>
    <row r="357" spans="13:13" ht="18" customHeight="1">
      <c r="M357" s="11"/>
    </row>
    <row r="358" spans="13:13" ht="18" customHeight="1">
      <c r="M358" s="11"/>
    </row>
    <row r="359" spans="13:13" ht="18" customHeight="1">
      <c r="M359" s="11"/>
    </row>
    <row r="360" spans="13:13" ht="18" customHeight="1">
      <c r="M360" s="11"/>
    </row>
    <row r="361" spans="13:13" ht="18" customHeight="1">
      <c r="M361" s="11"/>
    </row>
    <row r="362" spans="13:13" ht="18" customHeight="1">
      <c r="M362" s="11"/>
    </row>
    <row r="363" spans="13:13" ht="18" customHeight="1">
      <c r="M363" s="11"/>
    </row>
    <row r="364" spans="13:13" ht="18" customHeight="1">
      <c r="M364" s="11"/>
    </row>
    <row r="365" spans="13:13" ht="18" customHeight="1">
      <c r="M365" s="11"/>
    </row>
    <row r="366" spans="13:13" ht="18" customHeight="1">
      <c r="M366" s="11"/>
    </row>
    <row r="367" spans="13:13" ht="18" customHeight="1">
      <c r="M367" s="11"/>
    </row>
    <row r="368" spans="13:13" ht="18" customHeight="1">
      <c r="M368" s="11"/>
    </row>
    <row r="369" spans="13:13" ht="18" customHeight="1">
      <c r="M369" s="11"/>
    </row>
    <row r="370" spans="13:13" ht="18" customHeight="1">
      <c r="M370" s="11"/>
    </row>
    <row r="371" spans="13:13" ht="18" customHeight="1">
      <c r="M371" s="11"/>
    </row>
    <row r="372" spans="13:13" ht="18" customHeight="1">
      <c r="M372" s="11"/>
    </row>
    <row r="373" spans="13:13" ht="18" customHeight="1">
      <c r="M373" s="11"/>
    </row>
    <row r="374" spans="13:13" ht="18" customHeight="1">
      <c r="M374" s="11"/>
    </row>
    <row r="375" spans="13:13" ht="18" customHeight="1">
      <c r="M375" s="11"/>
    </row>
    <row r="376" spans="13:13" ht="18" customHeight="1">
      <c r="M376" s="11"/>
    </row>
    <row r="377" spans="13:13" ht="18" customHeight="1">
      <c r="M377" s="11"/>
    </row>
    <row r="378" spans="13:13" ht="18" customHeight="1">
      <c r="M378" s="11"/>
    </row>
    <row r="379" spans="13:13" ht="18" customHeight="1">
      <c r="M379" s="11"/>
    </row>
    <row r="380" spans="13:13" ht="18" customHeight="1">
      <c r="M380" s="11"/>
    </row>
    <row r="381" spans="13:13" ht="18" customHeight="1">
      <c r="M381" s="11"/>
    </row>
    <row r="382" spans="13:13" ht="18" customHeight="1">
      <c r="M382" s="11"/>
    </row>
    <row r="383" spans="13:13" ht="18" customHeight="1">
      <c r="M383" s="11"/>
    </row>
    <row r="384" spans="13:13" ht="18" customHeight="1">
      <c r="M384" s="11"/>
    </row>
    <row r="385" spans="13:13" ht="18" customHeight="1">
      <c r="M385" s="11"/>
    </row>
    <row r="386" spans="13:13" ht="18" customHeight="1">
      <c r="M386" s="11"/>
    </row>
    <row r="387" spans="13:13" ht="18" customHeight="1">
      <c r="M387" s="11"/>
    </row>
    <row r="388" spans="13:13" ht="18" customHeight="1">
      <c r="M388" s="11"/>
    </row>
    <row r="389" spans="13:13" ht="18" customHeight="1">
      <c r="M389" s="11"/>
    </row>
    <row r="390" spans="13:13" ht="18" customHeight="1">
      <c r="M390" s="11"/>
    </row>
    <row r="391" spans="13:13" ht="18" customHeight="1">
      <c r="M391" s="11"/>
    </row>
    <row r="392" spans="13:13" ht="18" customHeight="1">
      <c r="M392" s="11"/>
    </row>
    <row r="393" spans="13:13" ht="18" customHeight="1">
      <c r="M393" s="11"/>
    </row>
    <row r="394" spans="13:13" ht="18" customHeight="1">
      <c r="M394" s="11"/>
    </row>
    <row r="395" spans="13:13" ht="18" customHeight="1">
      <c r="M395" s="11"/>
    </row>
    <row r="396" spans="13:13" ht="18" customHeight="1">
      <c r="M396" s="11"/>
    </row>
    <row r="397" spans="13:13" ht="18" customHeight="1">
      <c r="M397" s="11"/>
    </row>
    <row r="398" spans="13:13" ht="18" customHeight="1">
      <c r="M398" s="11"/>
    </row>
    <row r="399" spans="13:13" ht="18" customHeight="1">
      <c r="M399" s="11"/>
    </row>
    <row r="400" spans="13:13" ht="18" customHeight="1">
      <c r="M400" s="11"/>
    </row>
    <row r="401" spans="13:13" ht="18" customHeight="1">
      <c r="M401" s="11"/>
    </row>
    <row r="402" spans="13:13" ht="18" customHeight="1">
      <c r="M402" s="11"/>
    </row>
    <row r="403" spans="13:13" ht="18" customHeight="1">
      <c r="M403" s="11"/>
    </row>
    <row r="404" spans="13:13" ht="18" customHeight="1">
      <c r="M404" s="11"/>
    </row>
    <row r="405" spans="13:13" ht="18" customHeight="1">
      <c r="M405" s="11"/>
    </row>
    <row r="406" spans="13:13" ht="18" customHeight="1">
      <c r="M406" s="11"/>
    </row>
    <row r="407" spans="13:13" ht="18" customHeight="1">
      <c r="M407" s="11"/>
    </row>
    <row r="408" spans="13:13" ht="18" customHeight="1">
      <c r="M408" s="11"/>
    </row>
    <row r="409" spans="13:13" ht="18" customHeight="1">
      <c r="M409" s="11"/>
    </row>
    <row r="410" spans="13:13" ht="18" customHeight="1">
      <c r="M410" s="11"/>
    </row>
    <row r="411" spans="13:13" ht="18" customHeight="1">
      <c r="M411" s="11"/>
    </row>
    <row r="412" spans="13:13" ht="18" customHeight="1">
      <c r="M412" s="11"/>
    </row>
    <row r="413" spans="13:13" ht="18" customHeight="1">
      <c r="M413" s="11"/>
    </row>
    <row r="414" spans="13:13" ht="18" customHeight="1">
      <c r="M414" s="11"/>
    </row>
    <row r="415" spans="13:13" ht="18" customHeight="1">
      <c r="M415" s="11"/>
    </row>
    <row r="416" spans="13:13" ht="18" customHeight="1">
      <c r="M416" s="11"/>
    </row>
    <row r="417" spans="13:13" ht="18" customHeight="1">
      <c r="M417" s="11"/>
    </row>
    <row r="418" spans="13:13" ht="18" customHeight="1">
      <c r="M418" s="11"/>
    </row>
    <row r="419" spans="13:13" ht="18" customHeight="1">
      <c r="M419" s="11"/>
    </row>
    <row r="420" spans="13:13" ht="18" customHeight="1">
      <c r="M420" s="11"/>
    </row>
    <row r="421" spans="13:13" ht="18" customHeight="1">
      <c r="M421" s="11"/>
    </row>
    <row r="422" spans="13:13" ht="18" customHeight="1">
      <c r="M422" s="11"/>
    </row>
    <row r="423" spans="13:13" ht="18" customHeight="1">
      <c r="M423" s="11"/>
    </row>
    <row r="424" spans="13:13" ht="18" customHeight="1">
      <c r="M424" s="11"/>
    </row>
    <row r="425" spans="13:13" ht="18" customHeight="1">
      <c r="M425" s="11"/>
    </row>
    <row r="426" spans="13:13" ht="18" customHeight="1">
      <c r="M426" s="11"/>
    </row>
    <row r="427" spans="13:13" ht="18" customHeight="1">
      <c r="M427" s="11"/>
    </row>
    <row r="428" spans="13:13" ht="18" customHeight="1">
      <c r="M428" s="11"/>
    </row>
    <row r="429" spans="13:13" ht="18" customHeight="1">
      <c r="M429" s="11"/>
    </row>
    <row r="430" spans="13:13" ht="18" customHeight="1">
      <c r="M430" s="11"/>
    </row>
    <row r="431" spans="13:13" ht="18" customHeight="1">
      <c r="M431" s="11"/>
    </row>
    <row r="432" spans="13:13" ht="18" customHeight="1">
      <c r="M432" s="11"/>
    </row>
    <row r="433" spans="13:13" ht="18" customHeight="1">
      <c r="M433" s="11"/>
    </row>
    <row r="434" spans="13:13" ht="18" customHeight="1">
      <c r="M434" s="11"/>
    </row>
    <row r="435" spans="13:13" ht="18" customHeight="1">
      <c r="M435" s="11"/>
    </row>
    <row r="436" spans="13:13" ht="18" customHeight="1">
      <c r="M436" s="11"/>
    </row>
    <row r="437" spans="13:13" ht="18" customHeight="1">
      <c r="M437" s="11"/>
    </row>
    <row r="438" spans="13:13" ht="18" customHeight="1">
      <c r="M438" s="11"/>
    </row>
    <row r="439" spans="13:13" ht="18" customHeight="1">
      <c r="M439" s="11"/>
    </row>
    <row r="440" spans="13:13" ht="18" customHeight="1">
      <c r="M440" s="11"/>
    </row>
    <row r="441" spans="13:13" ht="18" customHeight="1">
      <c r="M441" s="11"/>
    </row>
    <row r="442" spans="13:13" ht="18" customHeight="1">
      <c r="M442" s="11"/>
    </row>
    <row r="443" spans="13:13" ht="18" customHeight="1">
      <c r="M443" s="11"/>
    </row>
    <row r="444" spans="13:13" ht="18" customHeight="1">
      <c r="M444" s="11"/>
    </row>
    <row r="445" spans="13:13" ht="18" customHeight="1">
      <c r="M445" s="11"/>
    </row>
    <row r="446" spans="13:13" ht="18" customHeight="1">
      <c r="M446" s="11"/>
    </row>
    <row r="447" spans="13:13" ht="18" customHeight="1">
      <c r="M447" s="11"/>
    </row>
    <row r="448" spans="13:13" ht="18" customHeight="1">
      <c r="M448" s="11"/>
    </row>
    <row r="449" spans="13:13" ht="18" customHeight="1">
      <c r="M449" s="11"/>
    </row>
    <row r="450" spans="13:13" ht="18" customHeight="1">
      <c r="M450" s="11"/>
    </row>
    <row r="451" spans="13:13" ht="18" customHeight="1">
      <c r="M451" s="11"/>
    </row>
    <row r="452" spans="13:13" ht="18" customHeight="1">
      <c r="M452" s="11"/>
    </row>
    <row r="453" spans="13:13" ht="18" customHeight="1">
      <c r="M453" s="11"/>
    </row>
    <row r="454" spans="13:13" ht="18" customHeight="1">
      <c r="M454" s="11"/>
    </row>
    <row r="455" spans="13:13" ht="18" customHeight="1">
      <c r="M455" s="11"/>
    </row>
    <row r="456" spans="13:13" ht="18" customHeight="1">
      <c r="M456" s="11"/>
    </row>
    <row r="457" spans="13:13" ht="18" customHeight="1">
      <c r="M457" s="11"/>
    </row>
    <row r="458" spans="13:13" ht="18" customHeight="1">
      <c r="M458" s="11"/>
    </row>
    <row r="459" spans="13:13" ht="18" customHeight="1">
      <c r="M459" s="11"/>
    </row>
    <row r="460" spans="13:13" ht="18" customHeight="1">
      <c r="M460" s="11"/>
    </row>
    <row r="461" spans="13:13" ht="18" customHeight="1">
      <c r="M461" s="11"/>
    </row>
    <row r="462" spans="13:13" ht="18" customHeight="1">
      <c r="M462" s="11"/>
    </row>
    <row r="463" spans="13:13" ht="18" customHeight="1">
      <c r="M463" s="11"/>
    </row>
    <row r="464" spans="13:13" ht="18" customHeight="1">
      <c r="M464" s="11"/>
    </row>
    <row r="465" spans="13:13" ht="18" customHeight="1">
      <c r="M465" s="11"/>
    </row>
    <row r="466" spans="13:13" ht="18" customHeight="1">
      <c r="M466" s="11"/>
    </row>
    <row r="467" spans="13:13" ht="18" customHeight="1">
      <c r="M467" s="11"/>
    </row>
    <row r="468" spans="13:13" ht="18" customHeight="1">
      <c r="M468" s="11"/>
    </row>
    <row r="469" spans="13:13" ht="18" customHeight="1">
      <c r="M469" s="11"/>
    </row>
    <row r="470" spans="13:13" ht="18" customHeight="1">
      <c r="M470" s="11"/>
    </row>
    <row r="471" spans="13:13" ht="18" customHeight="1">
      <c r="M471" s="11"/>
    </row>
    <row r="472" spans="13:13" ht="18" customHeight="1">
      <c r="M472" s="11"/>
    </row>
    <row r="473" spans="13:13" ht="18" customHeight="1">
      <c r="M473" s="11"/>
    </row>
    <row r="474" spans="13:13" ht="18" customHeight="1">
      <c r="M474" s="11"/>
    </row>
    <row r="475" spans="13:13" ht="18" customHeight="1">
      <c r="M475" s="11"/>
    </row>
    <row r="476" spans="13:13" ht="18" customHeight="1">
      <c r="M476" s="11"/>
    </row>
    <row r="477" spans="13:13" ht="18" customHeight="1">
      <c r="M477" s="11"/>
    </row>
    <row r="478" spans="13:13" ht="18" customHeight="1">
      <c r="M478" s="11"/>
    </row>
    <row r="479" spans="13:13" ht="18" customHeight="1">
      <c r="M479" s="11"/>
    </row>
    <row r="480" spans="13:13" ht="18" customHeight="1">
      <c r="M480" s="11"/>
    </row>
    <row r="481" spans="13:13" ht="18" customHeight="1">
      <c r="M481" s="11"/>
    </row>
    <row r="482" spans="13:13" ht="18" customHeight="1">
      <c r="M482" s="11"/>
    </row>
    <row r="483" spans="13:13" ht="18" customHeight="1">
      <c r="M483" s="11"/>
    </row>
    <row r="484" spans="13:13" ht="18" customHeight="1">
      <c r="M484" s="11"/>
    </row>
    <row r="485" spans="13:13" ht="18" customHeight="1">
      <c r="M485" s="11"/>
    </row>
    <row r="486" spans="13:13" ht="18" customHeight="1">
      <c r="M486" s="11"/>
    </row>
    <row r="487" spans="13:13" ht="18" customHeight="1">
      <c r="M487" s="11"/>
    </row>
    <row r="488" spans="13:13" ht="18" customHeight="1">
      <c r="M488" s="11"/>
    </row>
    <row r="489" spans="13:13" ht="18" customHeight="1">
      <c r="M489" s="11"/>
    </row>
    <row r="490" spans="13:13" ht="18" customHeight="1">
      <c r="M490" s="11"/>
    </row>
    <row r="491" spans="13:13" ht="18" customHeight="1">
      <c r="M491" s="11"/>
    </row>
    <row r="492" spans="13:13" ht="18" customHeight="1">
      <c r="M492" s="11"/>
    </row>
    <row r="493" spans="13:13" ht="18" customHeight="1">
      <c r="M493" s="11"/>
    </row>
    <row r="494" spans="13:13" ht="18" customHeight="1">
      <c r="M494" s="11"/>
    </row>
    <row r="495" spans="13:13" ht="18" customHeight="1">
      <c r="M495" s="11"/>
    </row>
    <row r="496" spans="13:13" ht="18" customHeight="1">
      <c r="M496" s="11"/>
    </row>
    <row r="497" spans="13:13" ht="18" customHeight="1">
      <c r="M497" s="11"/>
    </row>
    <row r="498" spans="13:13" ht="18" customHeight="1">
      <c r="M498" s="11"/>
    </row>
    <row r="499" spans="13:13" ht="18" customHeight="1">
      <c r="M499" s="11"/>
    </row>
    <row r="500" spans="13:13" ht="18" customHeight="1">
      <c r="M500" s="11"/>
    </row>
    <row r="501" spans="13:13" ht="18" customHeight="1">
      <c r="M501" s="11"/>
    </row>
    <row r="502" spans="13:13" ht="18" customHeight="1">
      <c r="M502" s="11"/>
    </row>
    <row r="503" spans="13:13" ht="18" customHeight="1">
      <c r="M503" s="11"/>
    </row>
    <row r="504" spans="13:13" ht="18" customHeight="1">
      <c r="M504" s="11"/>
    </row>
    <row r="505" spans="13:13" ht="18" customHeight="1">
      <c r="M505" s="11"/>
    </row>
    <row r="506" spans="13:13" ht="18" customHeight="1">
      <c r="M506" s="11"/>
    </row>
    <row r="507" spans="13:13" ht="18" customHeight="1">
      <c r="M507" s="11"/>
    </row>
    <row r="508" spans="13:13" ht="18" customHeight="1">
      <c r="M508" s="11"/>
    </row>
    <row r="509" spans="13:13" ht="18" customHeight="1">
      <c r="M509" s="11"/>
    </row>
    <row r="510" spans="13:13" ht="18" customHeight="1">
      <c r="M510" s="11"/>
    </row>
    <row r="511" spans="13:13" ht="18" customHeight="1">
      <c r="M511" s="11"/>
    </row>
    <row r="512" spans="13:13" ht="18" customHeight="1">
      <c r="M512" s="11"/>
    </row>
    <row r="513" spans="13:13" ht="18" customHeight="1">
      <c r="M513" s="11"/>
    </row>
    <row r="514" spans="13:13" ht="18" customHeight="1">
      <c r="M514" s="11"/>
    </row>
    <row r="515" spans="13:13" ht="18" customHeight="1">
      <c r="M515" s="11"/>
    </row>
    <row r="516" spans="13:13" ht="18" customHeight="1">
      <c r="M516" s="11"/>
    </row>
    <row r="517" spans="13:13" ht="18" customHeight="1">
      <c r="M517" s="11"/>
    </row>
    <row r="518" spans="13:13" ht="18" customHeight="1">
      <c r="M518" s="11"/>
    </row>
    <row r="519" spans="13:13" ht="18" customHeight="1">
      <c r="M519" s="11"/>
    </row>
    <row r="520" spans="13:13" ht="18" customHeight="1">
      <c r="M520" s="11"/>
    </row>
    <row r="521" spans="13:13" ht="18" customHeight="1">
      <c r="M521" s="11"/>
    </row>
    <row r="522" spans="13:13" ht="18" customHeight="1">
      <c r="M522" s="11"/>
    </row>
    <row r="523" spans="13:13" ht="18" customHeight="1">
      <c r="M523" s="11"/>
    </row>
    <row r="524" spans="13:13" ht="18" customHeight="1">
      <c r="M524" s="11"/>
    </row>
    <row r="525" spans="13:13" ht="18" customHeight="1">
      <c r="M525" s="11"/>
    </row>
    <row r="526" spans="13:13" ht="18" customHeight="1">
      <c r="M526" s="11"/>
    </row>
    <row r="527" spans="13:13" ht="18" customHeight="1">
      <c r="M527" s="11"/>
    </row>
    <row r="528" spans="13:13" ht="18" customHeight="1">
      <c r="M528" s="11"/>
    </row>
    <row r="529" spans="13:13" ht="18" customHeight="1">
      <c r="M529" s="11"/>
    </row>
    <row r="530" spans="13:13" ht="18" customHeight="1">
      <c r="M530" s="11"/>
    </row>
    <row r="531" spans="13:13" ht="18" customHeight="1">
      <c r="M531" s="11"/>
    </row>
    <row r="532" spans="13:13" ht="18" customHeight="1">
      <c r="M532" s="11"/>
    </row>
    <row r="533" spans="13:13" ht="18" customHeight="1">
      <c r="M533" s="11"/>
    </row>
    <row r="534" spans="13:13" ht="18" customHeight="1">
      <c r="M534" s="11"/>
    </row>
    <row r="535" spans="13:13" ht="18" customHeight="1">
      <c r="M535" s="11"/>
    </row>
    <row r="536" spans="13:13" ht="18" customHeight="1">
      <c r="M536" s="11"/>
    </row>
    <row r="537" spans="13:13" ht="18" customHeight="1">
      <c r="M537" s="11"/>
    </row>
    <row r="538" spans="13:13" ht="18" customHeight="1">
      <c r="M538" s="11"/>
    </row>
    <row r="539" spans="13:13" ht="18" customHeight="1">
      <c r="M539" s="11"/>
    </row>
    <row r="540" spans="13:13" ht="18" customHeight="1">
      <c r="M540" s="11"/>
    </row>
    <row r="541" spans="13:13" ht="18" customHeight="1">
      <c r="M541" s="11"/>
    </row>
    <row r="542" spans="13:13" ht="18" customHeight="1">
      <c r="M542" s="11"/>
    </row>
    <row r="543" spans="13:13" ht="18" customHeight="1">
      <c r="M543" s="11"/>
    </row>
    <row r="544" spans="13:13" ht="18" customHeight="1">
      <c r="M544" s="11"/>
    </row>
    <row r="545" spans="13:13" ht="18" customHeight="1">
      <c r="M545" s="11"/>
    </row>
    <row r="546" spans="13:13" ht="18" customHeight="1">
      <c r="M546" s="11"/>
    </row>
    <row r="547" spans="13:13" ht="18" customHeight="1">
      <c r="M547" s="11"/>
    </row>
    <row r="548" spans="13:13" ht="18" customHeight="1">
      <c r="M548" s="11"/>
    </row>
    <row r="549" spans="13:13" ht="18" customHeight="1">
      <c r="M549" s="11"/>
    </row>
    <row r="550" spans="13:13" ht="18" customHeight="1">
      <c r="M550" s="11"/>
    </row>
    <row r="551" spans="13:13" ht="18" customHeight="1">
      <c r="M551" s="11"/>
    </row>
    <row r="552" spans="13:13" ht="18" customHeight="1">
      <c r="M552" s="11"/>
    </row>
    <row r="553" spans="13:13" ht="18" customHeight="1">
      <c r="M553" s="11"/>
    </row>
    <row r="554" spans="13:13" ht="18" customHeight="1">
      <c r="M554" s="11"/>
    </row>
    <row r="555" spans="13:13" ht="18" customHeight="1">
      <c r="M555" s="11"/>
    </row>
    <row r="556" spans="13:13" ht="18" customHeight="1">
      <c r="M556" s="11"/>
    </row>
    <row r="557" spans="13:13" ht="18" customHeight="1">
      <c r="M557" s="11"/>
    </row>
    <row r="558" spans="13:13" ht="18" customHeight="1">
      <c r="M558" s="11"/>
    </row>
    <row r="559" spans="13:13" ht="18" customHeight="1">
      <c r="M559" s="11"/>
    </row>
    <row r="560" spans="13:13" ht="18" customHeight="1">
      <c r="M560" s="11"/>
    </row>
    <row r="561" spans="13:13" ht="18" customHeight="1">
      <c r="M561" s="11"/>
    </row>
    <row r="562" spans="13:13" ht="18" customHeight="1">
      <c r="M562" s="11"/>
    </row>
    <row r="563" spans="13:13" ht="18" customHeight="1">
      <c r="M563" s="11"/>
    </row>
    <row r="564" spans="13:13" ht="18" customHeight="1">
      <c r="M564" s="11"/>
    </row>
    <row r="565" spans="13:13" ht="18" customHeight="1">
      <c r="M565" s="11"/>
    </row>
    <row r="566" spans="13:13" ht="18" customHeight="1">
      <c r="M566" s="11"/>
    </row>
    <row r="567" spans="13:13" ht="18" customHeight="1">
      <c r="M567" s="11"/>
    </row>
    <row r="568" spans="13:13" ht="18" customHeight="1">
      <c r="M568" s="11"/>
    </row>
    <row r="569" spans="13:13" ht="18" customHeight="1">
      <c r="M569" s="11"/>
    </row>
    <row r="570" spans="13:13" ht="18" customHeight="1">
      <c r="M570" s="11"/>
    </row>
    <row r="571" spans="13:13" ht="18" customHeight="1">
      <c r="M571" s="11"/>
    </row>
    <row r="572" spans="13:13" ht="18" customHeight="1">
      <c r="M572" s="11"/>
    </row>
    <row r="573" spans="13:13" ht="18" customHeight="1">
      <c r="M573" s="11"/>
    </row>
    <row r="574" spans="13:13" ht="18" customHeight="1">
      <c r="M574" s="11"/>
    </row>
    <row r="575" spans="13:13" ht="18" customHeight="1">
      <c r="M575" s="11"/>
    </row>
    <row r="576" spans="13:13" ht="18" customHeight="1">
      <c r="M576" s="11"/>
    </row>
    <row r="577" spans="13:13" ht="18" customHeight="1">
      <c r="M577" s="11"/>
    </row>
    <row r="578" spans="13:13" ht="18" customHeight="1">
      <c r="M578" s="11"/>
    </row>
    <row r="579" spans="13:13" ht="18" customHeight="1">
      <c r="M579" s="11"/>
    </row>
    <row r="580" spans="13:13" ht="18" customHeight="1">
      <c r="M580" s="11"/>
    </row>
    <row r="581" spans="13:13" ht="18" customHeight="1">
      <c r="M581" s="11"/>
    </row>
    <row r="582" spans="13:13" ht="18" customHeight="1">
      <c r="M582" s="11"/>
    </row>
    <row r="583" spans="13:13" ht="18" customHeight="1">
      <c r="M583" s="11"/>
    </row>
    <row r="584" spans="13:13" ht="18" customHeight="1">
      <c r="M584" s="11"/>
    </row>
    <row r="585" spans="13:13" ht="18" customHeight="1">
      <c r="M585" s="11"/>
    </row>
    <row r="586" spans="13:13" ht="18" customHeight="1">
      <c r="M586" s="11"/>
    </row>
    <row r="587" spans="13:13" ht="18" customHeight="1">
      <c r="M587" s="11"/>
    </row>
    <row r="588" spans="13:13" ht="18" customHeight="1">
      <c r="M588" s="11"/>
    </row>
    <row r="589" spans="13:13" ht="18" customHeight="1">
      <c r="M589" s="11"/>
    </row>
    <row r="590" spans="13:13" ht="18" customHeight="1">
      <c r="M590" s="11"/>
    </row>
    <row r="591" spans="13:13" ht="18" customHeight="1">
      <c r="M591" s="11"/>
    </row>
    <row r="592" spans="13:13" ht="18" customHeight="1">
      <c r="M592" s="11"/>
    </row>
    <row r="593" spans="13:13" ht="18" customHeight="1">
      <c r="M593" s="11"/>
    </row>
    <row r="594" spans="13:13" ht="18" customHeight="1">
      <c r="M594" s="11"/>
    </row>
    <row r="595" spans="13:13" ht="18" customHeight="1">
      <c r="M595" s="11"/>
    </row>
    <row r="596" spans="13:13" ht="18" customHeight="1">
      <c r="M596" s="11"/>
    </row>
    <row r="597" spans="13:13" ht="18" customHeight="1">
      <c r="M597" s="11"/>
    </row>
    <row r="598" spans="13:13" ht="18" customHeight="1">
      <c r="M598" s="11"/>
    </row>
    <row r="599" spans="13:13" ht="18" customHeight="1">
      <c r="M599" s="11"/>
    </row>
    <row r="600" spans="13:13" ht="18" customHeight="1">
      <c r="M600" s="11"/>
    </row>
    <row r="601" spans="13:13" ht="18" customHeight="1">
      <c r="M601" s="11"/>
    </row>
    <row r="602" spans="13:13" ht="18" customHeight="1">
      <c r="M602" s="11"/>
    </row>
    <row r="603" spans="13:13" ht="18" customHeight="1">
      <c r="M603" s="11"/>
    </row>
    <row r="604" spans="13:13" ht="18" customHeight="1">
      <c r="M604" s="11"/>
    </row>
    <row r="605" spans="13:13" ht="18" customHeight="1">
      <c r="M605" s="11"/>
    </row>
    <row r="606" spans="13:13" ht="18" customHeight="1">
      <c r="M606" s="11"/>
    </row>
    <row r="607" spans="13:13" ht="18" customHeight="1">
      <c r="M607" s="11"/>
    </row>
    <row r="608" spans="13:13" ht="18" customHeight="1">
      <c r="M608" s="11"/>
    </row>
    <row r="609" spans="13:13" ht="18" customHeight="1">
      <c r="M609" s="11"/>
    </row>
    <row r="610" spans="13:13" ht="18" customHeight="1">
      <c r="M610" s="11"/>
    </row>
    <row r="611" spans="13:13" ht="18" customHeight="1">
      <c r="M611" s="11"/>
    </row>
    <row r="612" spans="13:13" ht="18" customHeight="1">
      <c r="M612" s="11"/>
    </row>
    <row r="613" spans="13:13" ht="18" customHeight="1">
      <c r="M613" s="11"/>
    </row>
    <row r="614" spans="13:13" ht="18" customHeight="1">
      <c r="M614" s="11"/>
    </row>
    <row r="615" spans="13:13" ht="18" customHeight="1">
      <c r="M615" s="11"/>
    </row>
    <row r="616" spans="13:13" ht="18" customHeight="1">
      <c r="M616" s="11"/>
    </row>
    <row r="617" spans="13:13" ht="18" customHeight="1">
      <c r="M617" s="11"/>
    </row>
    <row r="618" spans="13:13" ht="18" customHeight="1">
      <c r="M618" s="11"/>
    </row>
    <row r="619" spans="13:13" ht="18" customHeight="1">
      <c r="M619" s="11"/>
    </row>
    <row r="620" spans="13:13" ht="18" customHeight="1">
      <c r="M620" s="11"/>
    </row>
    <row r="621" spans="13:13" ht="18" customHeight="1">
      <c r="M621" s="11"/>
    </row>
    <row r="622" spans="13:13" ht="18" customHeight="1">
      <c r="M622" s="11"/>
    </row>
    <row r="623" spans="13:13" ht="18" customHeight="1">
      <c r="M623" s="11"/>
    </row>
    <row r="624" spans="13:13" ht="18" customHeight="1">
      <c r="M624" s="11"/>
    </row>
    <row r="625" spans="13:13" ht="18" customHeight="1">
      <c r="M625" s="11"/>
    </row>
    <row r="626" spans="13:13" ht="18" customHeight="1">
      <c r="M626" s="11"/>
    </row>
    <row r="627" spans="13:13" ht="18" customHeight="1">
      <c r="M627" s="11"/>
    </row>
    <row r="628" spans="13:13" ht="18" customHeight="1">
      <c r="M628" s="11"/>
    </row>
    <row r="629" spans="13:13" ht="18" customHeight="1">
      <c r="M629" s="11"/>
    </row>
    <row r="630" spans="13:13" ht="18" customHeight="1">
      <c r="M630" s="11"/>
    </row>
    <row r="631" spans="13:13" ht="18" customHeight="1">
      <c r="M631" s="11"/>
    </row>
    <row r="632" spans="13:13" ht="18" customHeight="1">
      <c r="M632" s="11"/>
    </row>
    <row r="633" spans="13:13" ht="18" customHeight="1">
      <c r="M633" s="11"/>
    </row>
    <row r="634" spans="13:13" ht="18" customHeight="1">
      <c r="M634" s="11"/>
    </row>
    <row r="635" spans="13:13" ht="18" customHeight="1">
      <c r="M635" s="11"/>
    </row>
    <row r="636" spans="13:13" ht="18" customHeight="1">
      <c r="M636" s="11"/>
    </row>
    <row r="637" spans="13:13" ht="18" customHeight="1">
      <c r="M637" s="11"/>
    </row>
    <row r="638" spans="13:13" ht="18" customHeight="1">
      <c r="M638" s="11"/>
    </row>
    <row r="639" spans="13:13" ht="18" customHeight="1">
      <c r="M639" s="11"/>
    </row>
    <row r="640" spans="13:13" ht="18" customHeight="1">
      <c r="M640" s="11"/>
    </row>
    <row r="641" spans="13:13" ht="18" customHeight="1">
      <c r="M641" s="11"/>
    </row>
    <row r="642" spans="13:13" ht="18" customHeight="1">
      <c r="M642" s="11"/>
    </row>
    <row r="643" spans="13:13" ht="18" customHeight="1">
      <c r="M643" s="11"/>
    </row>
    <row r="644" spans="13:13" ht="18" customHeight="1">
      <c r="M644" s="11"/>
    </row>
    <row r="645" spans="13:13" ht="18" customHeight="1">
      <c r="M645" s="11"/>
    </row>
    <row r="646" spans="13:13" ht="18" customHeight="1">
      <c r="M646" s="11"/>
    </row>
    <row r="647" spans="13:13" ht="18" customHeight="1">
      <c r="M647" s="11"/>
    </row>
    <row r="648" spans="13:13" ht="18" customHeight="1">
      <c r="M648" s="11"/>
    </row>
    <row r="649" spans="13:13" ht="18" customHeight="1">
      <c r="M649" s="11"/>
    </row>
    <row r="650" spans="13:13" ht="18" customHeight="1">
      <c r="M650" s="11"/>
    </row>
    <row r="651" spans="13:13" ht="18" customHeight="1">
      <c r="M651" s="11"/>
    </row>
    <row r="652" spans="13:13" ht="18" customHeight="1">
      <c r="M652" s="11"/>
    </row>
    <row r="653" spans="13:13" ht="18" customHeight="1">
      <c r="M653" s="11"/>
    </row>
    <row r="654" spans="13:13" ht="18" customHeight="1">
      <c r="M654" s="11"/>
    </row>
    <row r="655" spans="13:13" ht="18" customHeight="1">
      <c r="M655" s="11"/>
    </row>
    <row r="656" spans="13:13" ht="18" customHeight="1">
      <c r="M656" s="11"/>
    </row>
    <row r="657" spans="13:13" ht="18" customHeight="1">
      <c r="M657" s="11"/>
    </row>
    <row r="658" spans="13:13" ht="18" customHeight="1">
      <c r="M658" s="11"/>
    </row>
    <row r="659" spans="13:13" ht="18" customHeight="1">
      <c r="M659" s="11"/>
    </row>
    <row r="660" spans="13:13" ht="18" customHeight="1">
      <c r="M660" s="11"/>
    </row>
    <row r="661" spans="13:13" ht="18" customHeight="1">
      <c r="M661" s="11"/>
    </row>
    <row r="662" spans="13:13" ht="18" customHeight="1">
      <c r="M662" s="11"/>
    </row>
    <row r="663" spans="13:13" ht="18" customHeight="1">
      <c r="M663" s="11"/>
    </row>
    <row r="664" spans="13:13" ht="18" customHeight="1">
      <c r="M664" s="11"/>
    </row>
    <row r="665" spans="13:13" ht="18" customHeight="1">
      <c r="M665" s="11"/>
    </row>
    <row r="666" spans="13:13" ht="18" customHeight="1">
      <c r="M666" s="11"/>
    </row>
    <row r="667" spans="13:13" ht="18" customHeight="1">
      <c r="M667" s="11"/>
    </row>
    <row r="668" spans="13:13" ht="18" customHeight="1">
      <c r="M668" s="11"/>
    </row>
    <row r="669" spans="13:13" ht="18" customHeight="1">
      <c r="M669" s="11"/>
    </row>
    <row r="670" spans="13:13" ht="18" customHeight="1">
      <c r="M670" s="11"/>
    </row>
    <row r="671" spans="13:13" ht="18" customHeight="1">
      <c r="M671" s="11"/>
    </row>
    <row r="672" spans="13:13" ht="18" customHeight="1">
      <c r="M672" s="11"/>
    </row>
    <row r="673" spans="13:13" ht="18" customHeight="1">
      <c r="M673" s="11"/>
    </row>
    <row r="674" spans="13:13" ht="18" customHeight="1">
      <c r="M674" s="11"/>
    </row>
    <row r="675" spans="13:13" ht="18" customHeight="1">
      <c r="M675" s="11"/>
    </row>
    <row r="676" spans="13:13" ht="18" customHeight="1">
      <c r="M676" s="11"/>
    </row>
    <row r="677" spans="13:13" ht="18" customHeight="1">
      <c r="M677" s="11"/>
    </row>
    <row r="678" spans="13:13" ht="18" customHeight="1">
      <c r="M678" s="11"/>
    </row>
    <row r="679" spans="13:13" ht="18" customHeight="1">
      <c r="M679" s="11"/>
    </row>
    <row r="680" spans="13:13" ht="18" customHeight="1">
      <c r="M680" s="11"/>
    </row>
    <row r="681" spans="13:13" ht="18" customHeight="1">
      <c r="M681" s="11"/>
    </row>
    <row r="682" spans="13:13" ht="18" customHeight="1">
      <c r="M682" s="11"/>
    </row>
    <row r="683" spans="13:13" ht="18" customHeight="1">
      <c r="M683" s="11"/>
    </row>
    <row r="684" spans="13:13" ht="18" customHeight="1">
      <c r="M684" s="11"/>
    </row>
    <row r="685" spans="13:13" ht="18" customHeight="1">
      <c r="M685" s="11"/>
    </row>
    <row r="686" spans="13:13" ht="18" customHeight="1">
      <c r="M686" s="11"/>
    </row>
    <row r="687" spans="13:13" ht="18" customHeight="1">
      <c r="M687" s="11"/>
    </row>
    <row r="688" spans="13:13" ht="18" customHeight="1">
      <c r="M688" s="11"/>
    </row>
    <row r="689" spans="13:13" ht="18" customHeight="1">
      <c r="M689" s="11"/>
    </row>
    <row r="690" spans="13:13" ht="18" customHeight="1">
      <c r="M690" s="11"/>
    </row>
    <row r="691" spans="13:13" ht="18" customHeight="1">
      <c r="M691" s="11"/>
    </row>
    <row r="692" spans="13:13" ht="18" customHeight="1">
      <c r="M692" s="11"/>
    </row>
    <row r="693" spans="13:13" ht="18" customHeight="1">
      <c r="M693" s="11"/>
    </row>
    <row r="694" spans="13:13" ht="18" customHeight="1">
      <c r="M694" s="11"/>
    </row>
    <row r="695" spans="13:13" ht="18" customHeight="1">
      <c r="M695" s="11"/>
    </row>
    <row r="696" spans="13:13" ht="18" customHeight="1">
      <c r="M696" s="11"/>
    </row>
    <row r="697" spans="13:13" ht="18" customHeight="1">
      <c r="M697" s="11"/>
    </row>
    <row r="698" spans="13:13" ht="18" customHeight="1">
      <c r="M698" s="11"/>
    </row>
    <row r="699" spans="13:13" ht="18" customHeight="1">
      <c r="M699" s="11"/>
    </row>
    <row r="700" spans="13:13" ht="18" customHeight="1">
      <c r="M700" s="11"/>
    </row>
    <row r="701" spans="13:13" ht="18" customHeight="1">
      <c r="M701" s="11"/>
    </row>
    <row r="702" spans="13:13" ht="18" customHeight="1">
      <c r="M702" s="11"/>
    </row>
    <row r="703" spans="13:13" ht="18" customHeight="1">
      <c r="M703" s="11"/>
    </row>
    <row r="704" spans="13:13" ht="18" customHeight="1">
      <c r="M704" s="11"/>
    </row>
    <row r="705" spans="13:13" ht="18" customHeight="1">
      <c r="M705" s="11"/>
    </row>
    <row r="706" spans="13:13" ht="18" customHeight="1">
      <c r="M706" s="11"/>
    </row>
    <row r="707" spans="13:13" ht="18" customHeight="1">
      <c r="M707" s="11"/>
    </row>
    <row r="708" spans="13:13" ht="18" customHeight="1">
      <c r="M708" s="11"/>
    </row>
    <row r="709" spans="13:13" ht="18" customHeight="1">
      <c r="M709" s="11"/>
    </row>
    <row r="710" spans="13:13" ht="18" customHeight="1">
      <c r="M710" s="11"/>
    </row>
    <row r="711" spans="13:13" ht="18" customHeight="1">
      <c r="M711" s="11"/>
    </row>
    <row r="712" spans="13:13" ht="18" customHeight="1">
      <c r="M712" s="11"/>
    </row>
    <row r="713" spans="13:13" ht="18" customHeight="1">
      <c r="M713" s="11"/>
    </row>
    <row r="714" spans="13:13" ht="18" customHeight="1">
      <c r="M714" s="11"/>
    </row>
    <row r="715" spans="13:13" ht="18" customHeight="1">
      <c r="M715" s="11"/>
    </row>
    <row r="716" spans="13:13" ht="18" customHeight="1">
      <c r="M716" s="11"/>
    </row>
    <row r="717" spans="13:13" ht="18" customHeight="1">
      <c r="M717" s="11"/>
    </row>
    <row r="718" spans="13:13" ht="18" customHeight="1">
      <c r="M718" s="11"/>
    </row>
    <row r="719" spans="13:13" ht="18" customHeight="1">
      <c r="M719" s="11"/>
    </row>
    <row r="720" spans="13:13" ht="18" customHeight="1">
      <c r="M720" s="11"/>
    </row>
    <row r="721" spans="13:13" ht="18" customHeight="1">
      <c r="M721" s="11"/>
    </row>
    <row r="722" spans="13:13" ht="18" customHeight="1">
      <c r="M722" s="11"/>
    </row>
    <row r="723" spans="13:13" ht="18" customHeight="1">
      <c r="M723" s="11"/>
    </row>
    <row r="724" spans="13:13" ht="18" customHeight="1">
      <c r="M724" s="11"/>
    </row>
    <row r="725" spans="13:13" ht="18" customHeight="1">
      <c r="M725" s="11"/>
    </row>
    <row r="726" spans="13:13" ht="18" customHeight="1">
      <c r="M726" s="11"/>
    </row>
    <row r="727" spans="13:13" ht="18" customHeight="1">
      <c r="M727" s="11"/>
    </row>
    <row r="728" spans="13:13" ht="18" customHeight="1">
      <c r="M728" s="11"/>
    </row>
    <row r="729" spans="13:13" ht="18" customHeight="1">
      <c r="M729" s="11"/>
    </row>
    <row r="730" spans="13:13" ht="18" customHeight="1">
      <c r="M730" s="11"/>
    </row>
    <row r="731" spans="13:13" ht="18" customHeight="1">
      <c r="M731" s="11"/>
    </row>
    <row r="732" spans="13:13" ht="18" customHeight="1">
      <c r="M732" s="11"/>
    </row>
    <row r="733" spans="13:13" ht="18" customHeight="1">
      <c r="M733" s="11"/>
    </row>
    <row r="734" spans="13:13" ht="18" customHeight="1">
      <c r="M734" s="11"/>
    </row>
    <row r="735" spans="13:13" ht="18" customHeight="1">
      <c r="M735" s="11"/>
    </row>
    <row r="736" spans="13:13" ht="18" customHeight="1">
      <c r="M736" s="11"/>
    </row>
    <row r="737" spans="13:13" ht="18" customHeight="1">
      <c r="M737" s="11"/>
    </row>
    <row r="738" spans="13:13" ht="18" customHeight="1">
      <c r="M738" s="11"/>
    </row>
    <row r="739" spans="13:13" ht="18" customHeight="1">
      <c r="M739" s="11"/>
    </row>
    <row r="740" spans="13:13" ht="18" customHeight="1">
      <c r="M740" s="11"/>
    </row>
    <row r="741" spans="13:13" ht="18" customHeight="1">
      <c r="M741" s="11"/>
    </row>
    <row r="742" spans="13:13" ht="18" customHeight="1">
      <c r="M742" s="11"/>
    </row>
    <row r="743" spans="13:13" ht="18" customHeight="1">
      <c r="M743" s="11"/>
    </row>
    <row r="744" spans="13:13" ht="18" customHeight="1">
      <c r="M744" s="11"/>
    </row>
    <row r="745" spans="13:13" ht="18" customHeight="1">
      <c r="M745" s="11"/>
    </row>
    <row r="746" spans="13:13" ht="18" customHeight="1">
      <c r="M746" s="11"/>
    </row>
    <row r="747" spans="13:13" ht="18" customHeight="1">
      <c r="M747" s="11"/>
    </row>
    <row r="748" spans="13:13" ht="18" customHeight="1">
      <c r="M748" s="11"/>
    </row>
    <row r="749" spans="13:13" ht="18" customHeight="1">
      <c r="M749" s="11"/>
    </row>
    <row r="750" spans="13:13" ht="18" customHeight="1">
      <c r="M750" s="11"/>
    </row>
    <row r="751" spans="13:13" ht="18" customHeight="1">
      <c r="M751" s="11"/>
    </row>
    <row r="752" spans="13:13" ht="18" customHeight="1">
      <c r="M752" s="11"/>
    </row>
    <row r="753" spans="13:13" ht="18" customHeight="1">
      <c r="M753" s="11"/>
    </row>
    <row r="754" spans="13:13" ht="18" customHeight="1">
      <c r="M754" s="11"/>
    </row>
    <row r="755" spans="13:13" ht="18" customHeight="1">
      <c r="M755" s="11"/>
    </row>
    <row r="756" spans="13:13" ht="18" customHeight="1">
      <c r="M756" s="11"/>
    </row>
    <row r="757" spans="13:13" ht="18" customHeight="1">
      <c r="M757" s="11"/>
    </row>
    <row r="758" spans="13:13" ht="18" customHeight="1">
      <c r="M758" s="11"/>
    </row>
    <row r="759" spans="13:13" ht="18" customHeight="1">
      <c r="M759" s="11"/>
    </row>
    <row r="760" spans="13:13" ht="18" customHeight="1">
      <c r="M760" s="11"/>
    </row>
    <row r="761" spans="13:13" ht="18" customHeight="1">
      <c r="M761" s="11"/>
    </row>
    <row r="762" spans="13:13" ht="18" customHeight="1">
      <c r="M762" s="11"/>
    </row>
    <row r="763" spans="13:13" ht="18" customHeight="1">
      <c r="M763" s="11"/>
    </row>
    <row r="764" spans="13:13" ht="18" customHeight="1">
      <c r="M764" s="11"/>
    </row>
    <row r="765" spans="13:13" ht="18" customHeight="1">
      <c r="M765" s="11"/>
    </row>
    <row r="766" spans="13:13" ht="18" customHeight="1">
      <c r="M766" s="11"/>
    </row>
    <row r="767" spans="13:13" ht="18" customHeight="1">
      <c r="M767" s="11"/>
    </row>
    <row r="768" spans="13:13" ht="18" customHeight="1">
      <c r="M768" s="11"/>
    </row>
    <row r="769" spans="13:13" ht="18" customHeight="1">
      <c r="M769" s="11"/>
    </row>
    <row r="770" spans="13:13" ht="18" customHeight="1">
      <c r="M770" s="11"/>
    </row>
    <row r="771" spans="13:13" ht="18" customHeight="1">
      <c r="M771" s="11"/>
    </row>
    <row r="772" spans="13:13" ht="18" customHeight="1">
      <c r="M772" s="11"/>
    </row>
    <row r="773" spans="13:13" ht="18" customHeight="1">
      <c r="M773" s="11"/>
    </row>
    <row r="774" spans="13:13" ht="18" customHeight="1">
      <c r="M774" s="11"/>
    </row>
    <row r="775" spans="13:13" ht="18" customHeight="1">
      <c r="M775" s="11"/>
    </row>
    <row r="776" spans="13:13" ht="18" customHeight="1">
      <c r="M776" s="11"/>
    </row>
    <row r="777" spans="13:13" ht="18" customHeight="1">
      <c r="M777" s="11"/>
    </row>
    <row r="778" spans="13:13" ht="18" customHeight="1">
      <c r="M778" s="11"/>
    </row>
    <row r="779" spans="13:13" ht="18" customHeight="1">
      <c r="M779" s="11"/>
    </row>
    <row r="780" spans="13:13" ht="18" customHeight="1">
      <c r="M780" s="11"/>
    </row>
    <row r="781" spans="13:13" ht="18" customHeight="1">
      <c r="M781" s="11"/>
    </row>
    <row r="782" spans="13:13" ht="18" customHeight="1">
      <c r="M782" s="11"/>
    </row>
    <row r="783" spans="13:13" ht="18" customHeight="1">
      <c r="M783" s="11"/>
    </row>
    <row r="784" spans="13:13" ht="18" customHeight="1">
      <c r="M784" s="11"/>
    </row>
    <row r="785" spans="13:13" ht="18" customHeight="1">
      <c r="M785" s="11"/>
    </row>
    <row r="786" spans="13:13" ht="18" customHeight="1">
      <c r="M786" s="11"/>
    </row>
    <row r="787" spans="13:13" ht="18" customHeight="1">
      <c r="M787" s="11"/>
    </row>
    <row r="788" spans="13:13" ht="18" customHeight="1">
      <c r="M788" s="11"/>
    </row>
    <row r="789" spans="13:13" ht="18" customHeight="1">
      <c r="M789" s="11"/>
    </row>
    <row r="790" spans="13:13" ht="18" customHeight="1">
      <c r="M790" s="11"/>
    </row>
    <row r="791" spans="13:13" ht="18" customHeight="1">
      <c r="M791" s="11"/>
    </row>
    <row r="792" spans="13:13" ht="18" customHeight="1">
      <c r="M792" s="11"/>
    </row>
    <row r="793" spans="13:13" ht="18" customHeight="1">
      <c r="M793" s="11"/>
    </row>
    <row r="794" spans="13:13" ht="18" customHeight="1">
      <c r="M794" s="11"/>
    </row>
    <row r="795" spans="13:13" ht="18" customHeight="1">
      <c r="M795" s="11"/>
    </row>
    <row r="796" spans="13:13" ht="18" customHeight="1">
      <c r="M796" s="11"/>
    </row>
    <row r="797" spans="13:13" ht="18" customHeight="1">
      <c r="M797" s="11"/>
    </row>
    <row r="798" spans="13:13" ht="18" customHeight="1">
      <c r="M798" s="11"/>
    </row>
    <row r="799" spans="13:13" ht="18" customHeight="1">
      <c r="M799" s="11"/>
    </row>
    <row r="800" spans="13:13" ht="18" customHeight="1">
      <c r="M800" s="11"/>
    </row>
    <row r="801" spans="13:13" ht="18" customHeight="1">
      <c r="M801" s="11"/>
    </row>
    <row r="802" spans="13:13" ht="18" customHeight="1">
      <c r="M802" s="11"/>
    </row>
    <row r="803" spans="13:13" ht="18" customHeight="1">
      <c r="M803" s="11"/>
    </row>
    <row r="804" spans="13:13" ht="18" customHeight="1">
      <c r="M804" s="11"/>
    </row>
    <row r="805" spans="13:13" ht="18" customHeight="1">
      <c r="M805" s="11"/>
    </row>
    <row r="806" spans="13:13" ht="18" customHeight="1">
      <c r="M806" s="11"/>
    </row>
    <row r="807" spans="13:13" ht="18" customHeight="1">
      <c r="M807" s="11"/>
    </row>
    <row r="808" spans="13:13" ht="18" customHeight="1">
      <c r="M808" s="11"/>
    </row>
    <row r="809" spans="13:13" ht="18" customHeight="1">
      <c r="M809" s="11"/>
    </row>
    <row r="810" spans="13:13" ht="18" customHeight="1">
      <c r="M810" s="11"/>
    </row>
    <row r="811" spans="13:13" ht="18" customHeight="1">
      <c r="M811" s="11"/>
    </row>
    <row r="812" spans="13:13" ht="18" customHeight="1">
      <c r="M812" s="11"/>
    </row>
    <row r="813" spans="13:13" ht="18" customHeight="1">
      <c r="M813" s="11"/>
    </row>
    <row r="814" spans="13:13" ht="18" customHeight="1">
      <c r="M814" s="11"/>
    </row>
    <row r="815" spans="13:13" ht="18" customHeight="1">
      <c r="M815" s="11"/>
    </row>
    <row r="816" spans="13:13" ht="18" customHeight="1">
      <c r="M816" s="11"/>
    </row>
    <row r="817" spans="13:13" ht="18" customHeight="1">
      <c r="M817" s="11"/>
    </row>
    <row r="818" spans="13:13" ht="18" customHeight="1">
      <c r="M818" s="11"/>
    </row>
    <row r="819" spans="13:13" ht="18" customHeight="1">
      <c r="M819" s="11"/>
    </row>
    <row r="820" spans="13:13" ht="18" customHeight="1">
      <c r="M820" s="11"/>
    </row>
    <row r="821" spans="13:13" ht="18" customHeight="1">
      <c r="M821" s="11"/>
    </row>
    <row r="822" spans="13:13" ht="18" customHeight="1">
      <c r="M822" s="11"/>
    </row>
    <row r="823" spans="13:13" ht="18" customHeight="1">
      <c r="M823" s="11"/>
    </row>
    <row r="824" spans="13:13" ht="18" customHeight="1">
      <c r="M824" s="11"/>
    </row>
    <row r="825" spans="13:13" ht="18" customHeight="1">
      <c r="M825" s="11"/>
    </row>
    <row r="826" spans="13:13" ht="18" customHeight="1">
      <c r="M826" s="11"/>
    </row>
    <row r="827" spans="13:13" ht="18" customHeight="1">
      <c r="M827" s="11"/>
    </row>
    <row r="828" spans="13:13" ht="18" customHeight="1">
      <c r="M828" s="11"/>
    </row>
    <row r="829" spans="13:13" ht="18" customHeight="1">
      <c r="M829" s="11"/>
    </row>
    <row r="830" spans="13:13" ht="18" customHeight="1">
      <c r="M830" s="11"/>
    </row>
    <row r="831" spans="13:13" ht="18" customHeight="1">
      <c r="M831" s="11"/>
    </row>
    <row r="832" spans="13:13" ht="18" customHeight="1">
      <c r="M832" s="11"/>
    </row>
    <row r="833" spans="13:13" ht="18" customHeight="1">
      <c r="M833" s="11"/>
    </row>
    <row r="834" spans="13:13" ht="18" customHeight="1">
      <c r="M834" s="11"/>
    </row>
    <row r="835" spans="13:13" ht="18" customHeight="1">
      <c r="M835" s="11"/>
    </row>
    <row r="836" spans="13:13" ht="18" customHeight="1">
      <c r="M836" s="11"/>
    </row>
    <row r="837" spans="13:13" ht="18" customHeight="1">
      <c r="M837" s="11"/>
    </row>
    <row r="838" spans="13:13" ht="18" customHeight="1">
      <c r="M838" s="11"/>
    </row>
    <row r="839" spans="13:13" ht="18" customHeight="1">
      <c r="M839" s="11"/>
    </row>
    <row r="840" spans="13:13" ht="18" customHeight="1">
      <c r="M840" s="11"/>
    </row>
    <row r="841" spans="13:13" ht="18" customHeight="1">
      <c r="M841" s="11"/>
    </row>
    <row r="842" spans="13:13" ht="18" customHeight="1">
      <c r="M842" s="11"/>
    </row>
    <row r="843" spans="13:13" ht="18" customHeight="1">
      <c r="M843" s="11"/>
    </row>
    <row r="844" spans="13:13" ht="18" customHeight="1">
      <c r="M844" s="11"/>
    </row>
    <row r="845" spans="13:13" ht="18" customHeight="1">
      <c r="M845" s="11"/>
    </row>
    <row r="846" spans="13:13" ht="18" customHeight="1">
      <c r="M846" s="11"/>
    </row>
    <row r="847" spans="13:13" ht="18" customHeight="1">
      <c r="M847" s="11"/>
    </row>
    <row r="848" spans="13:13" ht="18" customHeight="1">
      <c r="M848" s="11"/>
    </row>
    <row r="849" spans="13:13" ht="18" customHeight="1">
      <c r="M849" s="11"/>
    </row>
    <row r="850" spans="13:13" ht="18" customHeight="1">
      <c r="M850" s="11"/>
    </row>
    <row r="851" spans="13:13" ht="18" customHeight="1">
      <c r="M851" s="11"/>
    </row>
    <row r="852" spans="13:13" ht="18" customHeight="1">
      <c r="M852" s="11"/>
    </row>
    <row r="853" spans="13:13" ht="18" customHeight="1">
      <c r="M853" s="11"/>
    </row>
    <row r="854" spans="13:13" ht="18" customHeight="1">
      <c r="M854" s="11"/>
    </row>
    <row r="855" spans="13:13" ht="18" customHeight="1">
      <c r="M855" s="11"/>
    </row>
    <row r="856" spans="13:13" ht="18" customHeight="1">
      <c r="M856" s="11"/>
    </row>
    <row r="857" spans="13:13" ht="18" customHeight="1">
      <c r="M857" s="11"/>
    </row>
    <row r="858" spans="13:13" ht="18" customHeight="1">
      <c r="M858" s="11"/>
    </row>
    <row r="859" spans="13:13" ht="18" customHeight="1">
      <c r="M859" s="11"/>
    </row>
    <row r="860" spans="13:13" ht="18" customHeight="1">
      <c r="M860" s="11"/>
    </row>
    <row r="861" spans="13:13" ht="18" customHeight="1">
      <c r="M861" s="11"/>
    </row>
    <row r="862" spans="13:13" ht="18" customHeight="1">
      <c r="M862" s="11"/>
    </row>
    <row r="863" spans="13:13" ht="18" customHeight="1">
      <c r="M863" s="11"/>
    </row>
    <row r="864" spans="13:13" ht="18" customHeight="1">
      <c r="M864" s="11"/>
    </row>
    <row r="865" spans="13:13" ht="18" customHeight="1">
      <c r="M865" s="11"/>
    </row>
    <row r="866" spans="13:13" ht="18" customHeight="1">
      <c r="M866" s="11"/>
    </row>
    <row r="867" spans="13:13" ht="18" customHeight="1">
      <c r="M867" s="11"/>
    </row>
    <row r="868" spans="13:13" ht="18" customHeight="1">
      <c r="M868" s="11"/>
    </row>
    <row r="869" spans="13:13" ht="18" customHeight="1">
      <c r="M869" s="11"/>
    </row>
    <row r="870" spans="13:13" ht="18" customHeight="1">
      <c r="M870" s="11"/>
    </row>
    <row r="871" spans="13:13" ht="18" customHeight="1">
      <c r="M871" s="11"/>
    </row>
    <row r="872" spans="13:13" ht="18" customHeight="1">
      <c r="M872" s="11"/>
    </row>
    <row r="873" spans="13:13" ht="18" customHeight="1">
      <c r="M873" s="11"/>
    </row>
    <row r="874" spans="13:13" ht="18" customHeight="1">
      <c r="M874" s="11"/>
    </row>
    <row r="875" spans="13:13" ht="18" customHeight="1">
      <c r="M875" s="11"/>
    </row>
    <row r="876" spans="13:13" ht="18" customHeight="1">
      <c r="M876" s="11"/>
    </row>
    <row r="877" spans="13:13" ht="18" customHeight="1">
      <c r="M877" s="11"/>
    </row>
    <row r="878" spans="13:13" ht="18" customHeight="1">
      <c r="M878" s="11"/>
    </row>
    <row r="879" spans="13:13" ht="18" customHeight="1">
      <c r="M879" s="11"/>
    </row>
    <row r="880" spans="13:13" ht="18" customHeight="1">
      <c r="M880" s="11"/>
    </row>
    <row r="881" spans="13:13" ht="18" customHeight="1">
      <c r="M881" s="11"/>
    </row>
    <row r="882" spans="13:13" ht="18" customHeight="1">
      <c r="M882" s="11"/>
    </row>
    <row r="883" spans="13:13" ht="18" customHeight="1">
      <c r="M883" s="11"/>
    </row>
    <row r="884" spans="13:13" ht="18" customHeight="1">
      <c r="M884" s="11"/>
    </row>
    <row r="885" spans="13:13" ht="18" customHeight="1">
      <c r="M885" s="11"/>
    </row>
    <row r="886" spans="13:13" ht="18" customHeight="1">
      <c r="M886" s="11"/>
    </row>
    <row r="887" spans="13:13" ht="18" customHeight="1">
      <c r="M887" s="11"/>
    </row>
    <row r="888" spans="13:13" ht="18" customHeight="1">
      <c r="M888" s="11"/>
    </row>
    <row r="889" spans="13:13" ht="18" customHeight="1">
      <c r="M889" s="11"/>
    </row>
    <row r="890" spans="13:13" ht="18" customHeight="1">
      <c r="M890" s="11"/>
    </row>
    <row r="891" spans="13:13" ht="18" customHeight="1">
      <c r="M891" s="11"/>
    </row>
    <row r="892" spans="13:13" ht="18" customHeight="1">
      <c r="M892" s="11"/>
    </row>
    <row r="893" spans="13:13" ht="18" customHeight="1">
      <c r="M893" s="11"/>
    </row>
    <row r="894" spans="13:13" ht="18" customHeight="1">
      <c r="M894" s="11"/>
    </row>
    <row r="895" spans="13:13" ht="18" customHeight="1">
      <c r="M895" s="11"/>
    </row>
    <row r="896" spans="13:13" ht="18" customHeight="1">
      <c r="M896" s="11"/>
    </row>
    <row r="897" spans="13:13" ht="18" customHeight="1">
      <c r="M897" s="11"/>
    </row>
    <row r="898" spans="13:13" ht="18" customHeight="1">
      <c r="M898" s="11"/>
    </row>
    <row r="899" spans="13:13" ht="18" customHeight="1">
      <c r="M899" s="11"/>
    </row>
    <row r="900" spans="13:13" ht="18" customHeight="1">
      <c r="M900" s="11"/>
    </row>
    <row r="901" spans="13:13" ht="18" customHeight="1">
      <c r="M901" s="11"/>
    </row>
    <row r="902" spans="13:13" ht="18" customHeight="1">
      <c r="M902" s="11"/>
    </row>
    <row r="903" spans="13:13" ht="18" customHeight="1">
      <c r="M903" s="11"/>
    </row>
    <row r="904" spans="13:13" ht="18" customHeight="1">
      <c r="M904" s="11"/>
    </row>
    <row r="905" spans="13:13" ht="18" customHeight="1">
      <c r="M905" s="11"/>
    </row>
    <row r="906" spans="13:13" ht="18" customHeight="1">
      <c r="M906" s="11"/>
    </row>
    <row r="907" spans="13:13" ht="18" customHeight="1">
      <c r="M907" s="11"/>
    </row>
    <row r="908" spans="13:13" ht="18" customHeight="1">
      <c r="M908" s="11"/>
    </row>
    <row r="909" spans="13:13" ht="18" customHeight="1">
      <c r="M909" s="11"/>
    </row>
    <row r="910" spans="13:13" ht="18" customHeight="1">
      <c r="M910" s="11"/>
    </row>
    <row r="911" spans="13:13" ht="18" customHeight="1">
      <c r="M911" s="11"/>
    </row>
    <row r="912" spans="13:13" ht="18" customHeight="1">
      <c r="M912" s="11"/>
    </row>
    <row r="913" spans="13:13" ht="18" customHeight="1">
      <c r="M913" s="11"/>
    </row>
    <row r="914" spans="13:13" ht="18" customHeight="1">
      <c r="M914" s="11"/>
    </row>
    <row r="915" spans="13:13" ht="18" customHeight="1">
      <c r="M915" s="11"/>
    </row>
    <row r="916" spans="13:13" ht="18" customHeight="1">
      <c r="M916" s="11"/>
    </row>
    <row r="917" spans="13:13" ht="18" customHeight="1">
      <c r="M917" s="11"/>
    </row>
    <row r="918" spans="13:13" ht="18" customHeight="1">
      <c r="M918" s="11"/>
    </row>
    <row r="919" spans="13:13" ht="18" customHeight="1">
      <c r="M919" s="11"/>
    </row>
    <row r="920" spans="13:13" ht="18" customHeight="1">
      <c r="M920" s="11"/>
    </row>
    <row r="921" spans="13:13" ht="18" customHeight="1">
      <c r="M921" s="11"/>
    </row>
    <row r="922" spans="13:13" ht="18" customHeight="1">
      <c r="M922" s="11"/>
    </row>
    <row r="923" spans="13:13" ht="18" customHeight="1">
      <c r="M923" s="11"/>
    </row>
    <row r="924" spans="13:13" ht="18" customHeight="1">
      <c r="M924" s="11"/>
    </row>
    <row r="925" spans="13:13" ht="18" customHeight="1">
      <c r="M925" s="11"/>
    </row>
    <row r="926" spans="13:13" ht="18" customHeight="1">
      <c r="M926" s="11"/>
    </row>
    <row r="927" spans="13:13" ht="18" customHeight="1">
      <c r="M927" s="11"/>
    </row>
    <row r="928" spans="13:13" ht="18" customHeight="1">
      <c r="M928" s="11"/>
    </row>
    <row r="929" spans="13:13" ht="18" customHeight="1">
      <c r="M929" s="11"/>
    </row>
    <row r="930" spans="13:13" ht="18" customHeight="1">
      <c r="M930" s="11"/>
    </row>
    <row r="931" spans="13:13" ht="18" customHeight="1">
      <c r="M931" s="11"/>
    </row>
    <row r="932" spans="13:13" ht="18" customHeight="1">
      <c r="M932" s="11"/>
    </row>
    <row r="933" spans="13:13" ht="18" customHeight="1">
      <c r="M933" s="11"/>
    </row>
    <row r="934" spans="13:13" ht="18" customHeight="1">
      <c r="M934" s="11"/>
    </row>
    <row r="935" spans="13:13" ht="18" customHeight="1">
      <c r="M935" s="11"/>
    </row>
    <row r="936" spans="13:13" ht="18" customHeight="1">
      <c r="M936" s="11"/>
    </row>
    <row r="937" spans="13:13" ht="18" customHeight="1">
      <c r="M937" s="11"/>
    </row>
    <row r="938" spans="13:13" ht="18" customHeight="1">
      <c r="M938" s="11"/>
    </row>
    <row r="939" spans="13:13" ht="18" customHeight="1">
      <c r="M939" s="11"/>
    </row>
    <row r="940" spans="13:13" ht="18" customHeight="1">
      <c r="M940" s="11"/>
    </row>
    <row r="941" spans="13:13" ht="18" customHeight="1">
      <c r="M941" s="11"/>
    </row>
    <row r="942" spans="13:13" ht="18" customHeight="1">
      <c r="M942" s="11"/>
    </row>
    <row r="943" spans="13:13" ht="18" customHeight="1">
      <c r="M943" s="11"/>
    </row>
    <row r="944" spans="13:13" ht="18" customHeight="1">
      <c r="M944" s="11"/>
    </row>
    <row r="945" spans="13:13" ht="18" customHeight="1">
      <c r="M945" s="11"/>
    </row>
    <row r="946" spans="13:13" ht="18" customHeight="1">
      <c r="M946" s="11"/>
    </row>
    <row r="947" spans="13:13" ht="18" customHeight="1">
      <c r="M947" s="11"/>
    </row>
    <row r="948" spans="13:13" ht="18" customHeight="1">
      <c r="M948" s="11"/>
    </row>
    <row r="949" spans="13:13" ht="18" customHeight="1">
      <c r="M949" s="11"/>
    </row>
    <row r="950" spans="13:13" ht="18" customHeight="1">
      <c r="M950" s="11"/>
    </row>
    <row r="951" spans="13:13" ht="18" customHeight="1">
      <c r="M951" s="11"/>
    </row>
    <row r="952" spans="13:13" ht="18" customHeight="1">
      <c r="M952" s="11"/>
    </row>
    <row r="953" spans="13:13" ht="18" customHeight="1">
      <c r="M953" s="11"/>
    </row>
    <row r="954" spans="13:13" ht="18" customHeight="1">
      <c r="M954" s="11"/>
    </row>
    <row r="955" spans="13:13" ht="18" customHeight="1">
      <c r="M955" s="11"/>
    </row>
    <row r="956" spans="13:13" ht="18" customHeight="1">
      <c r="M956" s="11"/>
    </row>
    <row r="957" spans="13:13" ht="18" customHeight="1">
      <c r="M957" s="11"/>
    </row>
    <row r="958" spans="13:13" ht="18" customHeight="1">
      <c r="M958" s="11"/>
    </row>
    <row r="959" spans="13:13" ht="18" customHeight="1">
      <c r="M959" s="11"/>
    </row>
    <row r="960" spans="13:13" ht="18" customHeight="1">
      <c r="M960" s="11"/>
    </row>
    <row r="961" spans="13:13" ht="18" customHeight="1">
      <c r="M961" s="11"/>
    </row>
    <row r="962" spans="13:13" ht="18" customHeight="1">
      <c r="M962" s="11"/>
    </row>
    <row r="963" spans="13:13" ht="18" customHeight="1">
      <c r="M963" s="11"/>
    </row>
    <row r="964" spans="13:13" ht="18" customHeight="1">
      <c r="M964" s="11"/>
    </row>
    <row r="965" spans="13:13" ht="18" customHeight="1">
      <c r="M965" s="11"/>
    </row>
    <row r="966" spans="13:13" ht="18" customHeight="1">
      <c r="M966" s="11"/>
    </row>
    <row r="967" spans="13:13" ht="18" customHeight="1">
      <c r="M967" s="11"/>
    </row>
    <row r="968" spans="13:13" ht="18" customHeight="1">
      <c r="M968" s="11"/>
    </row>
    <row r="969" spans="13:13" ht="18" customHeight="1">
      <c r="M969" s="11"/>
    </row>
    <row r="970" spans="13:13" ht="18" customHeight="1">
      <c r="M970" s="11"/>
    </row>
    <row r="971" spans="13:13" ht="18" customHeight="1">
      <c r="M971" s="11"/>
    </row>
    <row r="972" spans="13:13" ht="18" customHeight="1">
      <c r="M972" s="11"/>
    </row>
    <row r="973" spans="13:13" ht="18" customHeight="1">
      <c r="M973" s="11"/>
    </row>
    <row r="974" spans="13:13" ht="18" customHeight="1">
      <c r="M974" s="11"/>
    </row>
    <row r="975" spans="13:13" ht="18" customHeight="1">
      <c r="M975" s="11"/>
    </row>
    <row r="976" spans="13:13" ht="18" customHeight="1">
      <c r="M976" s="11"/>
    </row>
    <row r="977" spans="13:13" ht="18" customHeight="1">
      <c r="M977" s="11"/>
    </row>
    <row r="978" spans="13:13" ht="18" customHeight="1">
      <c r="M978" s="11"/>
    </row>
    <row r="979" spans="13:13" ht="18" customHeight="1">
      <c r="M979" s="11"/>
    </row>
    <row r="980" spans="13:13" ht="18" customHeight="1">
      <c r="M980" s="11"/>
    </row>
    <row r="981" spans="13:13" ht="18" customHeight="1">
      <c r="M981" s="11"/>
    </row>
    <row r="982" spans="13:13" ht="18" customHeight="1">
      <c r="M982" s="11"/>
    </row>
    <row r="983" spans="13:13" ht="18" customHeight="1">
      <c r="M983" s="11"/>
    </row>
    <row r="984" spans="13:13" ht="18" customHeight="1">
      <c r="M984" s="11"/>
    </row>
    <row r="985" spans="13:13" ht="18" customHeight="1">
      <c r="M985" s="11"/>
    </row>
    <row r="986" spans="13:13" ht="18" customHeight="1">
      <c r="M986" s="11"/>
    </row>
    <row r="987" spans="13:13" ht="18" customHeight="1">
      <c r="M987" s="11"/>
    </row>
    <row r="988" spans="13:13" ht="18" customHeight="1">
      <c r="M988" s="11"/>
    </row>
    <row r="989" spans="13:13" ht="18" customHeight="1">
      <c r="M989" s="11"/>
    </row>
    <row r="990" spans="13:13" ht="18" customHeight="1">
      <c r="M990" s="11"/>
    </row>
    <row r="991" spans="13:13" ht="18" customHeight="1">
      <c r="M991" s="11"/>
    </row>
    <row r="992" spans="13:13" ht="18" customHeight="1">
      <c r="M992" s="11"/>
    </row>
    <row r="993" spans="13:13" ht="18" customHeight="1">
      <c r="M993" s="11"/>
    </row>
    <row r="994" spans="13:13" ht="18" customHeight="1">
      <c r="M994" s="11"/>
    </row>
    <row r="995" spans="13:13" ht="18" customHeight="1">
      <c r="M995" s="11"/>
    </row>
    <row r="996" spans="13:13" ht="18" customHeight="1">
      <c r="M996" s="11"/>
    </row>
    <row r="997" spans="13:13" ht="18" customHeight="1">
      <c r="M997" s="11"/>
    </row>
    <row r="998" spans="13:13" ht="18" customHeight="1">
      <c r="M998" s="11"/>
    </row>
    <row r="999" spans="13:13" ht="18" customHeight="1">
      <c r="M999" s="11"/>
    </row>
    <row r="1000" spans="13:13" ht="18" customHeight="1">
      <c r="M1000" s="11"/>
    </row>
    <row r="1001" spans="13:13" ht="18" customHeight="1">
      <c r="M1001" s="11"/>
    </row>
    <row r="1002" spans="13:13" ht="18" customHeight="1">
      <c r="M1002" s="11"/>
    </row>
    <row r="1003" spans="13:13" ht="18" customHeight="1">
      <c r="M1003" s="11"/>
    </row>
    <row r="1004" spans="13:13" ht="18" customHeight="1">
      <c r="M1004" s="11"/>
    </row>
    <row r="1005" spans="13:13" ht="18" customHeight="1">
      <c r="M1005" s="11"/>
    </row>
    <row r="1006" spans="13:13" ht="18" customHeight="1">
      <c r="M1006" s="11"/>
    </row>
    <row r="1007" spans="13:13" ht="18" customHeight="1">
      <c r="M1007" s="11"/>
    </row>
    <row r="1008" spans="13:13" ht="18" customHeight="1">
      <c r="M1008" s="11"/>
    </row>
    <row r="1009" spans="13:13" ht="18" customHeight="1">
      <c r="M1009" s="11"/>
    </row>
    <row r="1010" spans="13:13" ht="18" customHeight="1">
      <c r="M1010" s="11"/>
    </row>
    <row r="1011" spans="13:13" ht="18" customHeight="1">
      <c r="M1011" s="11"/>
    </row>
    <row r="1012" spans="13:13" ht="18" customHeight="1">
      <c r="M1012" s="11"/>
    </row>
    <row r="1013" spans="13:13" ht="18" customHeight="1">
      <c r="M1013" s="11"/>
    </row>
    <row r="1014" spans="13:13" ht="18" customHeight="1">
      <c r="M1014" s="11"/>
    </row>
    <row r="1015" spans="13:13" ht="18" customHeight="1">
      <c r="M1015" s="11"/>
    </row>
    <row r="1016" spans="13:13" ht="18" customHeight="1">
      <c r="M1016" s="11"/>
    </row>
    <row r="1017" spans="13:13" ht="18" customHeight="1">
      <c r="M1017" s="11"/>
    </row>
    <row r="1018" spans="13:13" ht="18" customHeight="1">
      <c r="M1018" s="11"/>
    </row>
    <row r="1019" spans="13:13" ht="18" customHeight="1">
      <c r="M1019" s="11"/>
    </row>
    <row r="1020" spans="13:13" ht="18" customHeight="1">
      <c r="M1020" s="11"/>
    </row>
    <row r="1021" spans="13:13" ht="18" customHeight="1">
      <c r="M1021" s="11"/>
    </row>
    <row r="1022" spans="13:13" ht="18" customHeight="1">
      <c r="M1022" s="11"/>
    </row>
    <row r="1023" spans="13:13" ht="18" customHeight="1">
      <c r="M1023" s="11"/>
    </row>
    <row r="1024" spans="13:13" ht="18" customHeight="1">
      <c r="M1024" s="11"/>
    </row>
    <row r="1025" spans="13:13" ht="18" customHeight="1">
      <c r="M1025" s="11"/>
    </row>
    <row r="1026" spans="13:13" ht="18" customHeight="1">
      <c r="M1026" s="11"/>
    </row>
    <row r="1027" spans="13:13" ht="18" customHeight="1">
      <c r="M1027" s="11"/>
    </row>
    <row r="1028" spans="13:13" ht="18" customHeight="1">
      <c r="M1028" s="11"/>
    </row>
    <row r="1029" spans="13:13" ht="18" customHeight="1">
      <c r="M1029" s="11"/>
    </row>
    <row r="1030" spans="13:13" ht="18" customHeight="1">
      <c r="M1030" s="11"/>
    </row>
    <row r="1031" spans="13:13" ht="18" customHeight="1">
      <c r="M1031" s="11"/>
    </row>
    <row r="1032" spans="13:13" ht="18" customHeight="1">
      <c r="M1032" s="11"/>
    </row>
    <row r="1033" spans="13:13" ht="18" customHeight="1">
      <c r="M1033" s="11"/>
    </row>
    <row r="1034" spans="13:13" ht="18" customHeight="1">
      <c r="M1034" s="11"/>
    </row>
    <row r="1035" spans="13:13" ht="18" customHeight="1">
      <c r="M1035" s="11"/>
    </row>
    <row r="1036" spans="13:13" ht="18" customHeight="1">
      <c r="M1036" s="11"/>
    </row>
    <row r="1037" spans="13:13" ht="18" customHeight="1">
      <c r="M1037" s="11"/>
    </row>
    <row r="1038" spans="13:13" ht="18" customHeight="1">
      <c r="M1038" s="11"/>
    </row>
    <row r="1039" spans="13:13" ht="18" customHeight="1">
      <c r="M1039" s="11"/>
    </row>
    <row r="1040" spans="13:13" ht="18" customHeight="1">
      <c r="M1040" s="11"/>
    </row>
    <row r="1041" spans="13:13" ht="18" customHeight="1">
      <c r="M1041" s="11"/>
    </row>
    <row r="1042" spans="13:13" ht="18" customHeight="1">
      <c r="M1042" s="11"/>
    </row>
    <row r="1043" spans="13:13" ht="18" customHeight="1">
      <c r="M1043" s="11"/>
    </row>
    <row r="1044" spans="13:13" ht="18" customHeight="1">
      <c r="M1044" s="11"/>
    </row>
    <row r="1045" spans="13:13" ht="18" customHeight="1">
      <c r="M1045" s="11"/>
    </row>
    <row r="1046" spans="13:13" ht="18" customHeight="1">
      <c r="M1046" s="11"/>
    </row>
    <row r="1047" spans="13:13" ht="18" customHeight="1">
      <c r="M1047" s="11"/>
    </row>
    <row r="1048" spans="13:13" ht="18" customHeight="1">
      <c r="M1048" s="11"/>
    </row>
    <row r="1049" spans="13:13" ht="18" customHeight="1">
      <c r="M1049" s="11"/>
    </row>
    <row r="1050" spans="13:13" ht="18" customHeight="1">
      <c r="M1050" s="11"/>
    </row>
    <row r="1051" spans="13:13" ht="18" customHeight="1">
      <c r="M1051" s="11"/>
    </row>
    <row r="1052" spans="13:13" ht="18" customHeight="1">
      <c r="M1052" s="11"/>
    </row>
    <row r="1053" spans="13:13" ht="18" customHeight="1">
      <c r="M1053" s="11"/>
    </row>
    <row r="1054" spans="13:13" ht="18" customHeight="1">
      <c r="M1054" s="11"/>
    </row>
    <row r="1055" spans="13:13" ht="18" customHeight="1">
      <c r="M1055" s="11"/>
    </row>
    <row r="1056" spans="13:13" ht="18" customHeight="1">
      <c r="M1056" s="11"/>
    </row>
    <row r="1057" spans="13:13" ht="18" customHeight="1">
      <c r="M1057" s="11"/>
    </row>
    <row r="1058" spans="13:13" ht="18" customHeight="1">
      <c r="M1058" s="11"/>
    </row>
    <row r="1059" spans="13:13" ht="18" customHeight="1">
      <c r="M1059" s="11"/>
    </row>
    <row r="1060" spans="13:13" ht="18" customHeight="1">
      <c r="M1060" s="11"/>
    </row>
    <row r="1061" spans="13:13" ht="18" customHeight="1">
      <c r="M1061" s="11"/>
    </row>
    <row r="1062" spans="13:13" ht="18" customHeight="1">
      <c r="M1062" s="11"/>
    </row>
    <row r="1063" spans="13:13" ht="18" customHeight="1">
      <c r="M1063" s="11"/>
    </row>
    <row r="1064" spans="13:13" ht="18" customHeight="1">
      <c r="M1064" s="11"/>
    </row>
    <row r="1065" spans="13:13" ht="18" customHeight="1">
      <c r="M1065" s="11"/>
    </row>
    <row r="1066" spans="13:13" ht="18" customHeight="1">
      <c r="M1066" s="11"/>
    </row>
    <row r="1067" spans="13:13" ht="18" customHeight="1">
      <c r="M1067" s="11"/>
    </row>
    <row r="1068" spans="13:13" ht="18" customHeight="1">
      <c r="M1068" s="11"/>
    </row>
    <row r="1069" spans="13:13" ht="18" customHeight="1">
      <c r="M1069" s="11"/>
    </row>
    <row r="1070" spans="13:13" ht="18" customHeight="1">
      <c r="M1070" s="11"/>
    </row>
    <row r="1071" spans="13:13" ht="18" customHeight="1">
      <c r="M1071" s="11"/>
    </row>
    <row r="1072" spans="13:13" ht="18" customHeight="1">
      <c r="M1072" s="11"/>
    </row>
    <row r="1073" spans="13:13" ht="18" customHeight="1">
      <c r="M1073" s="11"/>
    </row>
    <row r="1074" spans="13:13" ht="18" customHeight="1">
      <c r="M1074" s="11"/>
    </row>
    <row r="1075" spans="13:13" ht="18" customHeight="1">
      <c r="M1075" s="11"/>
    </row>
    <row r="1076" spans="13:13" ht="18" customHeight="1">
      <c r="M1076" s="11"/>
    </row>
    <row r="1077" spans="13:13" ht="18" customHeight="1">
      <c r="M1077" s="11"/>
    </row>
    <row r="1078" spans="13:13" ht="18" customHeight="1">
      <c r="M1078" s="11"/>
    </row>
    <row r="1079" spans="13:13" ht="18" customHeight="1">
      <c r="M1079" s="11"/>
    </row>
    <row r="1080" spans="13:13" ht="18" customHeight="1">
      <c r="M1080" s="11"/>
    </row>
    <row r="1081" spans="13:13" ht="18" customHeight="1">
      <c r="M1081" s="11"/>
    </row>
    <row r="1082" spans="13:13" ht="18" customHeight="1">
      <c r="M1082" s="11"/>
    </row>
    <row r="1083" spans="13:13" ht="18" customHeight="1">
      <c r="M1083" s="11"/>
    </row>
    <row r="1084" spans="13:13" ht="18" customHeight="1">
      <c r="M1084" s="11"/>
    </row>
    <row r="1085" spans="13:13" ht="18" customHeight="1">
      <c r="M1085" s="11"/>
    </row>
    <row r="1086" spans="13:13" ht="18" customHeight="1">
      <c r="M1086" s="11"/>
    </row>
    <row r="1087" spans="13:13" ht="18" customHeight="1">
      <c r="M1087" s="11"/>
    </row>
    <row r="1088" spans="13:13" ht="18" customHeight="1">
      <c r="M1088" s="11"/>
    </row>
    <row r="1089" spans="13:13" ht="18" customHeight="1">
      <c r="M1089" s="11"/>
    </row>
    <row r="1090" spans="13:13" ht="18" customHeight="1">
      <c r="M1090" s="11"/>
    </row>
    <row r="1091" spans="13:13" ht="18" customHeight="1">
      <c r="M1091" s="11"/>
    </row>
    <row r="1092" spans="13:13" ht="18" customHeight="1">
      <c r="M1092" s="11"/>
    </row>
    <row r="1093" spans="13:13" ht="18" customHeight="1">
      <c r="M1093" s="11"/>
    </row>
    <row r="1094" spans="13:13" ht="18" customHeight="1">
      <c r="M1094" s="11"/>
    </row>
    <row r="1095" spans="13:13" ht="18" customHeight="1">
      <c r="M1095" s="11"/>
    </row>
    <row r="1096" spans="13:13" ht="18" customHeight="1">
      <c r="M1096" s="11"/>
    </row>
    <row r="1097" spans="13:13" ht="18" customHeight="1">
      <c r="M1097" s="11"/>
    </row>
    <row r="1098" spans="13:13" ht="18" customHeight="1">
      <c r="M1098" s="11"/>
    </row>
    <row r="1099" spans="13:13" ht="18" customHeight="1">
      <c r="M1099" s="11"/>
    </row>
    <row r="1100" spans="13:13" ht="18" customHeight="1">
      <c r="M1100" s="11"/>
    </row>
    <row r="1101" spans="13:13" ht="18" customHeight="1">
      <c r="M1101" s="11"/>
    </row>
    <row r="1102" spans="13:13" ht="18" customHeight="1">
      <c r="M1102" s="11"/>
    </row>
    <row r="1103" spans="13:13" ht="18" customHeight="1">
      <c r="M1103" s="11"/>
    </row>
    <row r="1104" spans="13:13" ht="18" customHeight="1">
      <c r="M1104" s="11"/>
    </row>
    <row r="1105" spans="13:13" ht="18" customHeight="1">
      <c r="M1105" s="11"/>
    </row>
    <row r="1106" spans="13:13" ht="18" customHeight="1">
      <c r="M1106" s="11"/>
    </row>
    <row r="1107" spans="13:13" ht="18" customHeight="1">
      <c r="M1107" s="11"/>
    </row>
    <row r="1108" spans="13:13" ht="18" customHeight="1">
      <c r="M1108" s="11"/>
    </row>
    <row r="1109" spans="13:13" ht="18" customHeight="1">
      <c r="M1109" s="11"/>
    </row>
    <row r="1110" spans="13:13" ht="18" customHeight="1">
      <c r="M1110" s="11"/>
    </row>
    <row r="1111" spans="13:13" ht="18" customHeight="1">
      <c r="M1111" s="11"/>
    </row>
    <row r="1112" spans="13:13" ht="18" customHeight="1">
      <c r="M1112" s="11"/>
    </row>
    <row r="1113" spans="13:13" ht="18" customHeight="1">
      <c r="M1113" s="11"/>
    </row>
    <row r="1114" spans="13:13" ht="18" customHeight="1">
      <c r="M1114" s="11"/>
    </row>
    <row r="1115" spans="13:13" ht="18" customHeight="1">
      <c r="M1115" s="11"/>
    </row>
    <row r="1116" spans="13:13" ht="18" customHeight="1">
      <c r="M1116" s="11"/>
    </row>
    <row r="1117" spans="13:13" ht="18" customHeight="1">
      <c r="M1117" s="11"/>
    </row>
    <row r="1118" spans="13:13" ht="18" customHeight="1">
      <c r="M1118" s="11"/>
    </row>
    <row r="1119" spans="13:13" ht="18" customHeight="1">
      <c r="M1119" s="11"/>
    </row>
    <row r="1120" spans="13:13" ht="18" customHeight="1">
      <c r="M1120" s="11"/>
    </row>
    <row r="1121" spans="13:13" ht="18" customHeight="1">
      <c r="M1121" s="11"/>
    </row>
    <row r="1122" spans="13:13" ht="18" customHeight="1">
      <c r="M1122" s="11"/>
    </row>
    <row r="1123" spans="13:13" ht="18" customHeight="1">
      <c r="M1123" s="11"/>
    </row>
    <row r="1124" spans="13:13" ht="18" customHeight="1">
      <c r="M1124" s="11"/>
    </row>
    <row r="1125" spans="13:13" ht="18" customHeight="1">
      <c r="M1125" s="11"/>
    </row>
    <row r="1126" spans="13:13" ht="18" customHeight="1">
      <c r="M1126" s="11"/>
    </row>
    <row r="1127" spans="13:13" ht="18" customHeight="1">
      <c r="M1127" s="11"/>
    </row>
    <row r="1128" spans="13:13" ht="18" customHeight="1">
      <c r="M1128" s="11"/>
    </row>
    <row r="1129" spans="13:13" ht="18" customHeight="1">
      <c r="M1129" s="11"/>
    </row>
    <row r="1130" spans="13:13" ht="18" customHeight="1">
      <c r="M1130" s="11"/>
    </row>
    <row r="1131" spans="13:13" ht="18" customHeight="1">
      <c r="M1131" s="11"/>
    </row>
    <row r="1132" spans="13:13" ht="18" customHeight="1">
      <c r="M1132" s="11"/>
    </row>
    <row r="1133" spans="13:13" ht="18" customHeight="1">
      <c r="M1133" s="11"/>
    </row>
    <row r="1134" spans="13:13" ht="18" customHeight="1">
      <c r="M1134" s="11"/>
    </row>
    <row r="1135" spans="13:13" ht="18" customHeight="1">
      <c r="M1135" s="11"/>
    </row>
    <row r="1136" spans="13:13" ht="18" customHeight="1">
      <c r="M1136" s="11"/>
    </row>
    <row r="1137" spans="13:13" ht="18" customHeight="1">
      <c r="M1137" s="11"/>
    </row>
    <row r="1138" spans="13:13" ht="18" customHeight="1">
      <c r="M1138" s="11"/>
    </row>
    <row r="1139" spans="13:13" ht="18" customHeight="1">
      <c r="M1139" s="11"/>
    </row>
    <row r="1140" spans="13:13" ht="18" customHeight="1">
      <c r="M1140" s="11"/>
    </row>
    <row r="1141" spans="13:13" ht="18" customHeight="1">
      <c r="M1141" s="11"/>
    </row>
    <row r="1142" spans="13:13" ht="18" customHeight="1">
      <c r="M1142" s="11"/>
    </row>
    <row r="1143" spans="13:13" ht="18" customHeight="1">
      <c r="M1143" s="11"/>
    </row>
    <row r="1144" spans="13:13" ht="18" customHeight="1">
      <c r="M1144" s="11"/>
    </row>
    <row r="1145" spans="13:13" ht="18" customHeight="1">
      <c r="M1145" s="11"/>
    </row>
    <row r="1146" spans="13:13" ht="18" customHeight="1">
      <c r="M1146" s="11"/>
    </row>
    <row r="1147" spans="13:13" ht="18" customHeight="1">
      <c r="M1147" s="11"/>
    </row>
    <row r="1148" spans="13:13" ht="18" customHeight="1">
      <c r="M1148" s="11"/>
    </row>
    <row r="1149" spans="13:13" ht="18" customHeight="1">
      <c r="M1149" s="11"/>
    </row>
    <row r="1150" spans="13:13" ht="18" customHeight="1">
      <c r="M1150" s="11"/>
    </row>
    <row r="1151" spans="13:13" ht="18" customHeight="1">
      <c r="M1151" s="11"/>
    </row>
    <row r="1152" spans="13:13" ht="18" customHeight="1">
      <c r="M1152" s="11"/>
    </row>
    <row r="1153" spans="13:13" ht="18" customHeight="1">
      <c r="M1153" s="11"/>
    </row>
    <row r="1154" spans="13:13" ht="18" customHeight="1">
      <c r="M1154" s="11"/>
    </row>
    <row r="1155" spans="13:13" ht="18" customHeight="1">
      <c r="M1155" s="11"/>
    </row>
    <row r="1156" spans="13:13" ht="18" customHeight="1">
      <c r="M1156" s="11"/>
    </row>
    <row r="1157" spans="13:13" ht="18" customHeight="1">
      <c r="M1157" s="11"/>
    </row>
    <row r="1158" spans="13:13" ht="18" customHeight="1">
      <c r="M1158" s="11"/>
    </row>
    <row r="1159" spans="13:13" ht="18" customHeight="1">
      <c r="M1159" s="11"/>
    </row>
    <row r="1160" spans="13:13" ht="18" customHeight="1">
      <c r="M1160" s="11"/>
    </row>
    <row r="1161" spans="13:13" ht="18" customHeight="1">
      <c r="M1161" s="11"/>
    </row>
    <row r="1162" spans="13:13" ht="18" customHeight="1">
      <c r="M1162" s="11"/>
    </row>
    <row r="1163" spans="13:13" ht="18" customHeight="1">
      <c r="M1163" s="11"/>
    </row>
    <row r="1164" spans="13:13" ht="18" customHeight="1">
      <c r="M1164" s="11"/>
    </row>
    <row r="1165" spans="13:13" ht="18" customHeight="1">
      <c r="M1165" s="11"/>
    </row>
    <row r="1166" spans="13:13" ht="18" customHeight="1">
      <c r="M1166" s="11"/>
    </row>
    <row r="1167" spans="13:13" ht="18" customHeight="1">
      <c r="M1167" s="11"/>
    </row>
    <row r="1168" spans="13:13" ht="18" customHeight="1">
      <c r="M1168" s="11"/>
    </row>
    <row r="1169" spans="13:13" ht="18" customHeight="1">
      <c r="M1169" s="11"/>
    </row>
    <row r="1170" spans="13:13" ht="18" customHeight="1">
      <c r="M1170" s="11"/>
    </row>
    <row r="1171" spans="13:13" ht="18" customHeight="1">
      <c r="M1171" s="11"/>
    </row>
    <row r="1172" spans="13:13" ht="18" customHeight="1">
      <c r="M1172" s="11"/>
    </row>
    <row r="1173" spans="13:13" ht="18" customHeight="1">
      <c r="M1173" s="11"/>
    </row>
    <row r="1174" spans="13:13" ht="18" customHeight="1">
      <c r="M1174" s="11"/>
    </row>
    <row r="1175" spans="13:13" ht="18" customHeight="1">
      <c r="M1175" s="11"/>
    </row>
    <row r="1176" spans="13:13" ht="18" customHeight="1">
      <c r="M1176" s="11"/>
    </row>
    <row r="1177" spans="13:13" ht="18" customHeight="1">
      <c r="M1177" s="11"/>
    </row>
    <row r="1178" spans="13:13" ht="18" customHeight="1">
      <c r="M1178" s="11"/>
    </row>
    <row r="1179" spans="13:13" ht="18" customHeight="1">
      <c r="M1179" s="11"/>
    </row>
    <row r="1180" spans="13:13" ht="18" customHeight="1">
      <c r="M1180" s="11"/>
    </row>
    <row r="1181" spans="13:13" ht="18" customHeight="1">
      <c r="M1181" s="11"/>
    </row>
    <row r="1182" spans="13:13" ht="18" customHeight="1">
      <c r="M1182" s="11"/>
    </row>
    <row r="1183" spans="13:13" ht="18" customHeight="1">
      <c r="M1183" s="11"/>
    </row>
    <row r="1184" spans="13:13" ht="18" customHeight="1">
      <c r="M1184" s="11"/>
    </row>
    <row r="1185" spans="13:13" ht="18" customHeight="1">
      <c r="M1185" s="11"/>
    </row>
    <row r="1186" spans="13:13" ht="18" customHeight="1">
      <c r="M1186" s="11"/>
    </row>
    <row r="1187" spans="13:13" ht="18" customHeight="1">
      <c r="M1187" s="11"/>
    </row>
    <row r="1188" spans="13:13" ht="18" customHeight="1">
      <c r="M1188" s="11"/>
    </row>
    <row r="1189" spans="13:13" ht="18" customHeight="1">
      <c r="M1189" s="11"/>
    </row>
    <row r="1190" spans="13:13" ht="18" customHeight="1">
      <c r="M1190" s="11"/>
    </row>
    <row r="1191" spans="13:13" ht="18" customHeight="1">
      <c r="M1191" s="11"/>
    </row>
    <row r="1192" spans="13:13" ht="18" customHeight="1">
      <c r="M1192" s="11"/>
    </row>
    <row r="1193" spans="13:13" ht="18" customHeight="1">
      <c r="M1193" s="11"/>
    </row>
    <row r="1194" spans="13:13" ht="18" customHeight="1">
      <c r="M1194" s="11"/>
    </row>
    <row r="1195" spans="13:13" ht="18" customHeight="1">
      <c r="M1195" s="11"/>
    </row>
    <row r="1196" spans="13:13" ht="18" customHeight="1">
      <c r="M1196" s="11"/>
    </row>
    <row r="1197" spans="13:13" ht="18" customHeight="1">
      <c r="M1197" s="11"/>
    </row>
    <row r="1198" spans="13:13" ht="18" customHeight="1">
      <c r="M1198" s="11"/>
    </row>
    <row r="1199" spans="13:13" ht="18" customHeight="1">
      <c r="M1199" s="11"/>
    </row>
    <row r="1200" spans="13:13" ht="18" customHeight="1">
      <c r="M1200" s="11"/>
    </row>
    <row r="1201" spans="13:13" ht="18" customHeight="1">
      <c r="M1201" s="11"/>
    </row>
    <row r="1202" spans="13:13" ht="18" customHeight="1">
      <c r="M1202" s="11"/>
    </row>
    <row r="1203" spans="13:13" ht="18" customHeight="1">
      <c r="M1203" s="11"/>
    </row>
    <row r="1204" spans="13:13" ht="18" customHeight="1">
      <c r="M1204" s="11"/>
    </row>
    <row r="1205" spans="13:13" ht="18" customHeight="1">
      <c r="M1205" s="11"/>
    </row>
    <row r="1206" spans="13:13" ht="18" customHeight="1">
      <c r="M1206" s="11"/>
    </row>
    <row r="1207" spans="13:13" ht="18" customHeight="1">
      <c r="M1207" s="11"/>
    </row>
    <row r="1208" spans="13:13" ht="18" customHeight="1">
      <c r="M1208" s="11"/>
    </row>
    <row r="1209" spans="13:13" ht="18" customHeight="1">
      <c r="M1209" s="11"/>
    </row>
    <row r="1210" spans="13:13" ht="18" customHeight="1">
      <c r="M1210" s="11"/>
    </row>
    <row r="1211" spans="13:13" ht="18" customHeight="1">
      <c r="M1211" s="11"/>
    </row>
    <row r="1212" spans="13:13" ht="18" customHeight="1">
      <c r="M1212" s="11"/>
    </row>
    <row r="1213" spans="13:13" ht="18" customHeight="1">
      <c r="M1213" s="11"/>
    </row>
    <row r="1214" spans="13:13" ht="18" customHeight="1">
      <c r="M1214" s="11"/>
    </row>
    <row r="1215" spans="13:13" ht="18" customHeight="1">
      <c r="M1215" s="11"/>
    </row>
    <row r="1216" spans="13:13" ht="18" customHeight="1">
      <c r="M1216" s="11"/>
    </row>
    <row r="1217" spans="13:13" ht="18" customHeight="1">
      <c r="M1217" s="11"/>
    </row>
    <row r="1218" spans="13:13" ht="18" customHeight="1">
      <c r="M1218" s="11"/>
    </row>
    <row r="1219" spans="13:13" ht="18" customHeight="1">
      <c r="M1219" s="11"/>
    </row>
    <row r="1220" spans="13:13" ht="18" customHeight="1">
      <c r="M1220" s="11"/>
    </row>
    <row r="1221" spans="13:13" ht="18" customHeight="1">
      <c r="M1221" s="11"/>
    </row>
    <row r="1222" spans="13:13" ht="18" customHeight="1">
      <c r="M1222" s="11"/>
    </row>
    <row r="1223" spans="13:13" ht="18" customHeight="1">
      <c r="M1223" s="11"/>
    </row>
    <row r="1224" spans="13:13" ht="18" customHeight="1">
      <c r="M1224" s="11"/>
    </row>
    <row r="1225" spans="13:13" ht="18" customHeight="1">
      <c r="M1225" s="11"/>
    </row>
    <row r="1226" spans="13:13" ht="18" customHeight="1">
      <c r="M1226" s="11"/>
    </row>
    <row r="1227" spans="13:13" ht="18" customHeight="1">
      <c r="M1227" s="11"/>
    </row>
    <row r="1228" spans="13:13" ht="18" customHeight="1">
      <c r="M1228" s="11"/>
    </row>
    <row r="1229" spans="13:13" ht="18" customHeight="1">
      <c r="M1229" s="11"/>
    </row>
    <row r="1230" spans="13:13" ht="18" customHeight="1">
      <c r="M1230" s="11"/>
    </row>
    <row r="1231" spans="13:13" ht="18" customHeight="1">
      <c r="M1231" s="11"/>
    </row>
    <row r="1232" spans="13:13" ht="18" customHeight="1">
      <c r="M1232" s="11"/>
    </row>
    <row r="1233" spans="13:13" ht="18" customHeight="1">
      <c r="M1233" s="11"/>
    </row>
    <row r="1234" spans="13:13" ht="18" customHeight="1">
      <c r="M1234" s="11"/>
    </row>
    <row r="1235" spans="13:13" ht="18" customHeight="1">
      <c r="M1235" s="11"/>
    </row>
    <row r="1236" spans="13:13" ht="18" customHeight="1">
      <c r="M1236" s="11"/>
    </row>
    <row r="1237" spans="13:13" ht="18" customHeight="1">
      <c r="M1237" s="11"/>
    </row>
    <row r="1238" spans="13:13" ht="18" customHeight="1">
      <c r="M1238" s="11"/>
    </row>
    <row r="1239" spans="13:13" ht="18" customHeight="1">
      <c r="M1239" s="11"/>
    </row>
    <row r="1240" spans="13:13" ht="18" customHeight="1">
      <c r="M1240" s="11"/>
    </row>
    <row r="1241" spans="13:13" ht="18" customHeight="1">
      <c r="M1241" s="11"/>
    </row>
    <row r="1242" spans="13:13" ht="18" customHeight="1">
      <c r="M1242" s="11"/>
    </row>
    <row r="1243" spans="13:13" ht="18" customHeight="1">
      <c r="M1243" s="11"/>
    </row>
    <row r="1244" spans="13:13" ht="18" customHeight="1">
      <c r="M1244" s="11"/>
    </row>
    <row r="1245" spans="13:13" ht="18" customHeight="1">
      <c r="M1245" s="11"/>
    </row>
    <row r="1246" spans="13:13" ht="18" customHeight="1">
      <c r="M1246" s="11"/>
    </row>
    <row r="1247" spans="13:13" ht="18" customHeight="1">
      <c r="M1247" s="11"/>
    </row>
    <row r="1248" spans="13:13" ht="18" customHeight="1">
      <c r="M1248" s="11"/>
    </row>
    <row r="1249" spans="13:13" ht="18" customHeight="1">
      <c r="M1249" s="11"/>
    </row>
    <row r="1250" spans="13:13" ht="18" customHeight="1">
      <c r="M1250" s="11"/>
    </row>
    <row r="1251" spans="13:13" ht="18" customHeight="1">
      <c r="M1251" s="11"/>
    </row>
    <row r="1252" spans="13:13" ht="18" customHeight="1">
      <c r="M1252" s="11"/>
    </row>
    <row r="1253" spans="13:13" ht="18" customHeight="1">
      <c r="M1253" s="11"/>
    </row>
    <row r="1254" spans="13:13" ht="18" customHeight="1">
      <c r="M1254" s="11"/>
    </row>
    <row r="1255" spans="13:13" ht="18" customHeight="1">
      <c r="M1255" s="11"/>
    </row>
    <row r="1256" spans="13:13" ht="18" customHeight="1">
      <c r="M1256" s="11"/>
    </row>
    <row r="1257" spans="13:13" ht="18" customHeight="1">
      <c r="M1257" s="11"/>
    </row>
    <row r="1258" spans="13:13" ht="18" customHeight="1">
      <c r="M1258" s="11"/>
    </row>
    <row r="1259" spans="13:13" ht="18" customHeight="1">
      <c r="M1259" s="11"/>
    </row>
    <row r="1260" spans="13:13" ht="18" customHeight="1">
      <c r="M1260" s="11"/>
    </row>
    <row r="1261" spans="13:13" ht="18" customHeight="1">
      <c r="M1261" s="11"/>
    </row>
    <row r="1262" spans="13:13" ht="18" customHeight="1">
      <c r="M1262" s="11"/>
    </row>
    <row r="1263" spans="13:13" ht="18" customHeight="1">
      <c r="M1263" s="11"/>
    </row>
    <row r="1264" spans="13:13" ht="18" customHeight="1">
      <c r="M1264" s="11"/>
    </row>
    <row r="1265" spans="13:13" ht="18" customHeight="1">
      <c r="M1265" s="11"/>
    </row>
    <row r="1266" spans="13:13" ht="18" customHeight="1">
      <c r="M1266" s="11"/>
    </row>
    <row r="1267" spans="13:13" ht="18" customHeight="1">
      <c r="M1267" s="11"/>
    </row>
    <row r="1268" spans="13:13" ht="18" customHeight="1">
      <c r="M1268" s="11"/>
    </row>
    <row r="1269" spans="13:13" ht="18" customHeight="1">
      <c r="M1269" s="11"/>
    </row>
    <row r="1270" spans="13:13" ht="18" customHeight="1">
      <c r="M1270" s="11"/>
    </row>
    <row r="1271" spans="13:13" ht="18" customHeight="1">
      <c r="M1271" s="11"/>
    </row>
    <row r="1272" spans="13:13" ht="18" customHeight="1">
      <c r="M1272" s="11"/>
    </row>
    <row r="1273" spans="13:13" ht="18" customHeight="1">
      <c r="M1273" s="11"/>
    </row>
    <row r="1274" spans="13:13" ht="18" customHeight="1">
      <c r="M1274" s="11"/>
    </row>
    <row r="1275" spans="13:13" ht="18" customHeight="1">
      <c r="M1275" s="11"/>
    </row>
    <row r="1276" spans="13:13" ht="18" customHeight="1">
      <c r="M1276" s="11"/>
    </row>
    <row r="1277" spans="13:13" ht="18" customHeight="1">
      <c r="M1277" s="11"/>
    </row>
    <row r="1278" spans="13:13" ht="18" customHeight="1">
      <c r="M1278" s="11"/>
    </row>
    <row r="1279" spans="13:13" ht="18" customHeight="1">
      <c r="M1279" s="11"/>
    </row>
    <row r="1280" spans="13:13" ht="18" customHeight="1">
      <c r="M1280" s="11"/>
    </row>
    <row r="1281" spans="13:13" ht="18" customHeight="1">
      <c r="M1281" s="11"/>
    </row>
    <row r="1282" spans="13:13" ht="18" customHeight="1">
      <c r="M1282" s="11"/>
    </row>
    <row r="1283" spans="13:13" ht="18" customHeight="1">
      <c r="M1283" s="11"/>
    </row>
    <row r="1284" spans="13:13" ht="18" customHeight="1">
      <c r="M1284" s="11"/>
    </row>
    <row r="1285" spans="13:13" ht="18" customHeight="1">
      <c r="M1285" s="11"/>
    </row>
    <row r="1286" spans="13:13" ht="18" customHeight="1">
      <c r="M1286" s="11"/>
    </row>
    <row r="1287" spans="13:13" ht="18" customHeight="1">
      <c r="M1287" s="11"/>
    </row>
    <row r="1288" spans="13:13" ht="18" customHeight="1">
      <c r="M1288" s="11"/>
    </row>
    <row r="1289" spans="13:13" ht="18" customHeight="1">
      <c r="M1289" s="11"/>
    </row>
    <row r="1290" spans="13:13" ht="18" customHeight="1">
      <c r="M1290" s="11"/>
    </row>
    <row r="1291" spans="13:13" ht="18" customHeight="1">
      <c r="M1291" s="11"/>
    </row>
    <row r="1292" spans="13:13" ht="18" customHeight="1">
      <c r="M1292" s="11"/>
    </row>
    <row r="1293" spans="13:13" ht="18" customHeight="1">
      <c r="M1293" s="11"/>
    </row>
    <row r="1294" spans="13:13" ht="18" customHeight="1">
      <c r="M1294" s="11"/>
    </row>
    <row r="1295" spans="13:13" ht="18" customHeight="1">
      <c r="M1295" s="11"/>
    </row>
    <row r="1296" spans="13:13" ht="18" customHeight="1">
      <c r="M1296" s="11"/>
    </row>
    <row r="1297" spans="13:13" ht="18" customHeight="1">
      <c r="M1297" s="11"/>
    </row>
    <row r="1298" spans="13:13" ht="18" customHeight="1">
      <c r="M1298" s="11"/>
    </row>
    <row r="1299" spans="13:13" ht="18" customHeight="1">
      <c r="M1299" s="11"/>
    </row>
    <row r="1300" spans="13:13" ht="18" customHeight="1">
      <c r="M1300" s="11"/>
    </row>
    <row r="1301" spans="13:13" ht="18" customHeight="1">
      <c r="M1301" s="11"/>
    </row>
    <row r="1302" spans="13:13" ht="18" customHeight="1">
      <c r="M1302" s="11"/>
    </row>
    <row r="1303" spans="13:13" ht="18" customHeight="1">
      <c r="M1303" s="11"/>
    </row>
    <row r="1304" spans="13:13" ht="18" customHeight="1">
      <c r="M1304" s="11"/>
    </row>
    <row r="1305" spans="13:13" ht="18" customHeight="1">
      <c r="M1305" s="11"/>
    </row>
    <row r="1306" spans="13:13" ht="18" customHeight="1">
      <c r="M1306" s="11"/>
    </row>
    <row r="1307" spans="13:13" ht="18" customHeight="1">
      <c r="M1307" s="11"/>
    </row>
    <row r="1308" spans="13:13" ht="18" customHeight="1">
      <c r="M1308" s="11"/>
    </row>
    <row r="1309" spans="13:13" ht="18" customHeight="1">
      <c r="M1309" s="11"/>
    </row>
    <row r="1310" spans="13:13" ht="18" customHeight="1">
      <c r="M1310" s="11"/>
    </row>
    <row r="1311" spans="13:13" ht="18" customHeight="1">
      <c r="M1311" s="11"/>
    </row>
    <row r="1312" spans="13:13" ht="18" customHeight="1">
      <c r="M1312" s="11"/>
    </row>
    <row r="1313" spans="13:13" ht="18" customHeight="1">
      <c r="M1313" s="11"/>
    </row>
    <row r="1314" spans="13:13" ht="18" customHeight="1">
      <c r="M1314" s="11"/>
    </row>
    <row r="1315" spans="13:13" ht="18" customHeight="1">
      <c r="M1315" s="11"/>
    </row>
    <row r="1316" spans="13:13" ht="18" customHeight="1">
      <c r="M1316" s="11"/>
    </row>
    <row r="1317" spans="13:13" ht="18" customHeight="1">
      <c r="M1317" s="11"/>
    </row>
    <row r="1318" spans="13:13" ht="18" customHeight="1">
      <c r="M1318" s="11"/>
    </row>
    <row r="1319" spans="13:13" ht="18" customHeight="1">
      <c r="M1319" s="11"/>
    </row>
    <row r="1320" spans="13:13" ht="18" customHeight="1">
      <c r="M1320" s="11"/>
    </row>
    <row r="1321" spans="13:13" ht="18" customHeight="1">
      <c r="M1321" s="11"/>
    </row>
    <row r="1322" spans="13:13" ht="18" customHeight="1">
      <c r="M1322" s="11"/>
    </row>
    <row r="1323" spans="13:13" ht="18" customHeight="1">
      <c r="M1323" s="11"/>
    </row>
    <row r="1324" spans="13:13" ht="18" customHeight="1">
      <c r="M1324" s="11"/>
    </row>
    <row r="1325" spans="13:13" ht="18" customHeight="1">
      <c r="M1325" s="11"/>
    </row>
    <row r="1326" spans="13:13" ht="18" customHeight="1">
      <c r="M1326" s="11"/>
    </row>
    <row r="1327" spans="13:13" ht="18" customHeight="1">
      <c r="M1327" s="11"/>
    </row>
    <row r="1328" spans="13:13" ht="18" customHeight="1">
      <c r="M1328" s="11"/>
    </row>
    <row r="1329" spans="13:13" ht="18" customHeight="1">
      <c r="M1329" s="11"/>
    </row>
    <row r="1330" spans="13:13" ht="18" customHeight="1">
      <c r="M1330" s="11"/>
    </row>
    <row r="1331" spans="13:13" ht="18" customHeight="1">
      <c r="M1331" s="11"/>
    </row>
    <row r="1332" spans="13:13" ht="18" customHeight="1">
      <c r="M1332" s="11"/>
    </row>
    <row r="1333" spans="13:13" ht="18" customHeight="1">
      <c r="M1333" s="11"/>
    </row>
    <row r="1334" spans="13:13" ht="18" customHeight="1">
      <c r="M1334" s="11"/>
    </row>
    <row r="1335" spans="13:13" ht="18" customHeight="1">
      <c r="M1335" s="11"/>
    </row>
    <row r="1336" spans="13:13" ht="18" customHeight="1">
      <c r="M1336" s="11"/>
    </row>
    <row r="1337" spans="13:13" ht="18" customHeight="1">
      <c r="M1337" s="11"/>
    </row>
    <row r="1338" spans="13:13" ht="18" customHeight="1">
      <c r="M1338" s="11"/>
    </row>
    <row r="1339" spans="13:13" ht="18" customHeight="1">
      <c r="M1339" s="11"/>
    </row>
    <row r="1340" spans="13:13" ht="18" customHeight="1">
      <c r="M1340" s="11"/>
    </row>
    <row r="1341" spans="13:13" ht="18" customHeight="1">
      <c r="M1341" s="11"/>
    </row>
    <row r="1342" spans="13:13" ht="18" customHeight="1">
      <c r="M1342" s="11"/>
    </row>
    <row r="1343" spans="13:13" ht="18" customHeight="1">
      <c r="M1343" s="11"/>
    </row>
    <row r="1344" spans="13:13" ht="18" customHeight="1">
      <c r="M1344" s="11"/>
    </row>
    <row r="1345" spans="13:13" ht="18" customHeight="1">
      <c r="M1345" s="11"/>
    </row>
    <row r="1346" spans="13:13" ht="18" customHeight="1">
      <c r="M1346" s="11"/>
    </row>
    <row r="1347" spans="13:13" ht="18" customHeight="1">
      <c r="M1347" s="11"/>
    </row>
    <row r="1348" spans="13:13" ht="18" customHeight="1">
      <c r="M1348" s="11"/>
    </row>
    <row r="1349" spans="13:13" ht="18" customHeight="1">
      <c r="M1349" s="11"/>
    </row>
    <row r="1350" spans="13:13" ht="18" customHeight="1">
      <c r="M1350" s="11"/>
    </row>
  </sheetData>
  <sheetProtection formatCells="0" formatColumns="0" formatRows="0" autoFilter="0"/>
  <mergeCells count="1">
    <mergeCell ref="B1:L1"/>
  </mergeCells>
  <phoneticPr fontId="6" type="noConversion"/>
  <pageMargins left="0.75" right="0.75" top="1" bottom="1" header="0.5" footer="0.5"/>
  <pageSetup paperSize="9"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O1324"/>
  <sheetViews>
    <sheetView topLeftCell="A25" zoomScaleNormal="100" workbookViewId="0">
      <selection activeCell="K38" sqref="K38"/>
    </sheetView>
  </sheetViews>
  <sheetFormatPr defaultColWidth="10" defaultRowHeight="18" customHeight="1" outlineLevelCol="1"/>
  <cols>
    <col min="1" max="1" width="4" style="338" customWidth="1"/>
    <col min="2" max="2" width="22.25" style="338" customWidth="1"/>
    <col min="3" max="4" width="2.08203125" style="338" hidden="1" customWidth="1" outlineLevel="1"/>
    <col min="5" max="5" width="8.75" style="338" hidden="1" customWidth="1" outlineLevel="1"/>
    <col min="6" max="6" width="10" style="338" customWidth="1" collapsed="1"/>
    <col min="7" max="12" width="10" style="338" customWidth="1"/>
    <col min="13" max="13" width="8.33203125" style="347" customWidth="1"/>
    <col min="14" max="14" width="10" style="347"/>
    <col min="15" max="15" width="10" style="347" customWidth="1"/>
    <col min="16" max="16384" width="10" style="338"/>
  </cols>
  <sheetData>
    <row r="1" spans="2:15" s="345" customFormat="1" ht="30.75" customHeight="1">
      <c r="B1" s="751" t="s">
        <v>419</v>
      </c>
      <c r="C1" s="752"/>
      <c r="D1" s="752"/>
      <c r="E1" s="752"/>
      <c r="F1" s="752"/>
      <c r="G1" s="752"/>
      <c r="H1" s="752"/>
      <c r="I1" s="752"/>
      <c r="J1" s="752"/>
      <c r="K1" s="752"/>
      <c r="L1" s="752"/>
      <c r="M1" s="338"/>
    </row>
    <row r="2" spans="2:15" s="345" customFormat="1" ht="19.5" customHeight="1">
      <c r="B2" s="229" t="str">
        <f>'1报表'!B11</f>
        <v>评估基准日：2018/6/30</v>
      </c>
      <c r="C2" s="341"/>
      <c r="D2" s="341"/>
      <c r="H2" s="342"/>
      <c r="I2" s="341"/>
      <c r="J2" s="341"/>
      <c r="K2" s="341"/>
      <c r="L2" s="341"/>
      <c r="M2" s="338"/>
    </row>
    <row r="3" spans="2:15" s="345" customFormat="1" ht="18" customHeight="1">
      <c r="B3" s="229" t="str">
        <f>'1报表'!B12</f>
        <v>被评估单位：YLSJ公司</v>
      </c>
      <c r="C3" s="326"/>
      <c r="D3" s="326"/>
      <c r="L3" s="327" t="s">
        <v>52</v>
      </c>
      <c r="M3" s="338"/>
    </row>
    <row r="4" spans="2:15" ht="18" customHeight="1">
      <c r="B4" s="127" t="s">
        <v>564</v>
      </c>
      <c r="C4" s="48"/>
      <c r="D4" s="48"/>
      <c r="E4" s="48"/>
      <c r="F4" s="328" t="str">
        <f>'7折旧'!E4</f>
        <v>2018年7-12</v>
      </c>
      <c r="G4" s="328" t="str">
        <f>'3收入'!G4</f>
        <v>2019年</v>
      </c>
      <c r="H4" s="328" t="str">
        <f>'3收入'!H4</f>
        <v>2020年</v>
      </c>
      <c r="I4" s="328" t="str">
        <f>'3收入'!I4</f>
        <v>2021年</v>
      </c>
      <c r="J4" s="328" t="str">
        <f>'3收入'!J4</f>
        <v>2022年</v>
      </c>
      <c r="K4" s="328" t="str">
        <f>'3收入'!K4</f>
        <v>2023年</v>
      </c>
      <c r="L4" s="328" t="s">
        <v>270</v>
      </c>
      <c r="M4" s="338"/>
      <c r="N4" s="338"/>
      <c r="O4" s="338"/>
    </row>
    <row r="5" spans="2:15" ht="18" customHeight="1">
      <c r="B5" s="56" t="s">
        <v>548</v>
      </c>
      <c r="C5" s="48"/>
      <c r="D5" s="48"/>
      <c r="E5" s="48"/>
      <c r="F5" s="329">
        <f>'12收益表'!F5-'12收益表'!E5</f>
        <v>2431.0111780000002</v>
      </c>
      <c r="G5" s="329">
        <f>'12收益表'!G5</f>
        <v>4950</v>
      </c>
      <c r="H5" s="329">
        <f>'12收益表'!H5</f>
        <v>5346</v>
      </c>
      <c r="I5" s="329">
        <f>'12收益表'!I5</f>
        <v>5613.3</v>
      </c>
      <c r="J5" s="329">
        <f>'12收益表'!J5</f>
        <v>5781.6990000000005</v>
      </c>
      <c r="K5" s="329">
        <f>'12收益表'!K5</f>
        <v>5781.6990000000005</v>
      </c>
      <c r="L5" s="329">
        <f>K5</f>
        <v>5781.6990000000005</v>
      </c>
      <c r="M5" s="338"/>
      <c r="N5" s="338"/>
      <c r="O5" s="338"/>
    </row>
    <row r="6" spans="2:15" ht="18" customHeight="1">
      <c r="B6" s="45" t="s">
        <v>549</v>
      </c>
      <c r="C6" s="48"/>
      <c r="D6" s="48"/>
      <c r="E6" s="48"/>
      <c r="F6" s="330">
        <f>'12收益表'!F6-'12收益表'!E6</f>
        <v>1710.477633</v>
      </c>
      <c r="G6" s="330">
        <f>'12收益表'!G6</f>
        <v>4362.54</v>
      </c>
      <c r="H6" s="330">
        <f>'12收益表'!H6</f>
        <v>4708.1747320000004</v>
      </c>
      <c r="I6" s="330">
        <f>'12收益表'!I6</f>
        <v>4917.8710000000001</v>
      </c>
      <c r="J6" s="330">
        <f>'12收益表'!J6</f>
        <v>5074.1781300000002</v>
      </c>
      <c r="K6" s="330">
        <f>'12收益表'!K6</f>
        <v>5081.3281299999999</v>
      </c>
      <c r="L6" s="330">
        <f>K6</f>
        <v>5081.3281299999999</v>
      </c>
      <c r="M6" s="338"/>
      <c r="N6" s="338"/>
      <c r="O6" s="338"/>
    </row>
    <row r="7" spans="2:15" ht="18" customHeight="1">
      <c r="B7" s="45" t="s">
        <v>550</v>
      </c>
      <c r="C7" s="48"/>
      <c r="D7" s="48"/>
      <c r="E7" s="48"/>
      <c r="F7" s="330">
        <f>'12收益表'!F7-'12收益表'!E7</f>
        <v>2.8615209999999998</v>
      </c>
      <c r="G7" s="330">
        <f>'12收益表'!G7</f>
        <v>24.75</v>
      </c>
      <c r="H7" s="330">
        <f>'12收益表'!H7</f>
        <v>26.73</v>
      </c>
      <c r="I7" s="330">
        <f>'12收益表'!I7</f>
        <v>28.066500000000001</v>
      </c>
      <c r="J7" s="330">
        <f>'12收益表'!J7</f>
        <v>28.908495000000002</v>
      </c>
      <c r="K7" s="330">
        <f>'12收益表'!K7</f>
        <v>28.908495000000002</v>
      </c>
      <c r="L7" s="330">
        <f t="shared" ref="L7:L10" si="0">K7</f>
        <v>28.908495000000002</v>
      </c>
      <c r="M7" s="338"/>
      <c r="N7" s="338"/>
      <c r="O7" s="338"/>
    </row>
    <row r="8" spans="2:15" ht="18" customHeight="1">
      <c r="B8" s="45" t="s">
        <v>551</v>
      </c>
      <c r="C8" s="48"/>
      <c r="D8" s="48"/>
      <c r="E8" s="48"/>
      <c r="F8" s="330">
        <f>'12收益表'!F8-'12收益表'!E8</f>
        <v>0</v>
      </c>
      <c r="G8" s="330">
        <f>'12收益表'!G8</f>
        <v>0</v>
      </c>
      <c r="H8" s="330">
        <f>'12收益表'!H8</f>
        <v>0</v>
      </c>
      <c r="I8" s="330">
        <f>'12收益表'!I8</f>
        <v>0</v>
      </c>
      <c r="J8" s="330">
        <f>'12收益表'!J8</f>
        <v>0</v>
      </c>
      <c r="K8" s="330">
        <f>'12收益表'!K8</f>
        <v>0</v>
      </c>
      <c r="L8" s="330">
        <f t="shared" si="0"/>
        <v>0</v>
      </c>
      <c r="M8" s="338"/>
      <c r="N8" s="338"/>
      <c r="O8" s="338"/>
    </row>
    <row r="9" spans="2:15" ht="18" customHeight="1">
      <c r="B9" s="45" t="s">
        <v>552</v>
      </c>
      <c r="C9" s="48"/>
      <c r="D9" s="48"/>
      <c r="E9" s="48"/>
      <c r="F9" s="330">
        <f>'12收益表'!F9-'12收益表'!E9</f>
        <v>206.5082700000001</v>
      </c>
      <c r="G9" s="330">
        <f>'12收益表'!G9</f>
        <v>512.95000000000005</v>
      </c>
      <c r="H9" s="330">
        <f>'12收益表'!H9</f>
        <v>554.94600000000003</v>
      </c>
      <c r="I9" s="330">
        <f>'12收益表'!I9</f>
        <v>583.44330000000002</v>
      </c>
      <c r="J9" s="330">
        <f>'12收益表'!J9</f>
        <v>599.9515990000001</v>
      </c>
      <c r="K9" s="330">
        <f>'12收益表'!K9</f>
        <v>599.9515990000001</v>
      </c>
      <c r="L9" s="330">
        <f t="shared" si="0"/>
        <v>599.9515990000001</v>
      </c>
      <c r="M9" s="338"/>
      <c r="N9" s="338"/>
      <c r="O9" s="338"/>
    </row>
    <row r="10" spans="2:15" ht="18" customHeight="1">
      <c r="B10" s="45" t="s">
        <v>553</v>
      </c>
      <c r="C10" s="48"/>
      <c r="D10" s="48"/>
      <c r="E10" s="48"/>
      <c r="F10" s="330">
        <f>'12收益表'!F10-'12收益表'!E10</f>
        <v>0</v>
      </c>
      <c r="G10" s="330">
        <f>'12收益表'!G10</f>
        <v>0</v>
      </c>
      <c r="H10" s="330">
        <f>'12收益表'!H10</f>
        <v>0</v>
      </c>
      <c r="I10" s="330">
        <f>'12收益表'!I10</f>
        <v>0</v>
      </c>
      <c r="J10" s="330">
        <f>'12收益表'!J10</f>
        <v>0</v>
      </c>
      <c r="K10" s="330">
        <f>'12收益表'!K10</f>
        <v>0</v>
      </c>
      <c r="L10" s="330">
        <f t="shared" si="0"/>
        <v>0</v>
      </c>
      <c r="M10" s="338"/>
      <c r="N10" s="338"/>
      <c r="O10" s="338"/>
    </row>
    <row r="11" spans="2:15" ht="18" customHeight="1">
      <c r="B11" s="45" t="s">
        <v>554</v>
      </c>
      <c r="C11" s="48"/>
      <c r="D11" s="48"/>
      <c r="E11" s="48"/>
      <c r="F11" s="330">
        <f>IF('11财务费用'!E10,"模型不适用",'11财务费用'!F21)</f>
        <v>0</v>
      </c>
      <c r="G11" s="330">
        <f>IF('11财务费用'!F10,"模型不适用",'11财务费用'!G21)</f>
        <v>0</v>
      </c>
      <c r="H11" s="330">
        <f>IF('11财务费用'!G10,"模型不适用",'11财务费用'!H21)</f>
        <v>0</v>
      </c>
      <c r="I11" s="330">
        <f>IF('11财务费用'!H10,"模型不适用",'11财务费用'!I21)</f>
        <v>0</v>
      </c>
      <c r="J11" s="330">
        <f>IF('11财务费用'!I10,"模型不适用",'11财务费用'!J21)</f>
        <v>0</v>
      </c>
      <c r="K11" s="330">
        <f>IF('11财务费用'!J10,"模型不适用",'11财务费用'!K21)</f>
        <v>0</v>
      </c>
      <c r="L11" s="330">
        <f>IF('11财务费用'!K10,"模型不适用",'11财务费用'!L21)</f>
        <v>0</v>
      </c>
      <c r="M11" s="414"/>
      <c r="N11" s="338"/>
      <c r="O11" s="338"/>
    </row>
    <row r="12" spans="2:15" ht="18" customHeight="1">
      <c r="B12" s="56" t="s">
        <v>555</v>
      </c>
      <c r="C12" s="48"/>
      <c r="D12" s="48"/>
      <c r="E12" s="48"/>
      <c r="F12" s="329">
        <f>F5-SUM(F6:F11)</f>
        <v>511.16375400000015</v>
      </c>
      <c r="G12" s="329">
        <f t="shared" ref="G12:K12" si="1">G5-SUM(G6:G11)</f>
        <v>49.760000000000218</v>
      </c>
      <c r="H12" s="329">
        <f t="shared" si="1"/>
        <v>56.14926800000012</v>
      </c>
      <c r="I12" s="329">
        <f t="shared" si="1"/>
        <v>83.919200000000274</v>
      </c>
      <c r="J12" s="329">
        <f t="shared" si="1"/>
        <v>78.660776000000624</v>
      </c>
      <c r="K12" s="329">
        <f t="shared" si="1"/>
        <v>71.510776000000988</v>
      </c>
      <c r="L12" s="329">
        <f>L5-SUM(L6:L11)</f>
        <v>71.510776000000988</v>
      </c>
      <c r="M12" s="338"/>
      <c r="N12" s="338"/>
      <c r="O12" s="338"/>
    </row>
    <row r="13" spans="2:15" ht="18" customHeight="1">
      <c r="B13" s="56" t="s">
        <v>556</v>
      </c>
      <c r="C13" s="48"/>
      <c r="D13" s="48"/>
      <c r="E13" s="48"/>
      <c r="F13" s="329">
        <f>F12</f>
        <v>511.16375400000015</v>
      </c>
      <c r="G13" s="329">
        <f t="shared" ref="G13:K13" si="2">G12</f>
        <v>49.760000000000218</v>
      </c>
      <c r="H13" s="329">
        <f t="shared" si="2"/>
        <v>56.14926800000012</v>
      </c>
      <c r="I13" s="329">
        <f t="shared" si="2"/>
        <v>83.919200000000274</v>
      </c>
      <c r="J13" s="329">
        <f t="shared" si="2"/>
        <v>78.660776000000624</v>
      </c>
      <c r="K13" s="329">
        <f t="shared" si="2"/>
        <v>71.510776000000988</v>
      </c>
      <c r="L13" s="329">
        <f>L12</f>
        <v>71.510776000000988</v>
      </c>
      <c r="M13" s="338"/>
      <c r="N13" s="338"/>
      <c r="O13" s="338"/>
    </row>
    <row r="14" spans="2:15" ht="18" customHeight="1">
      <c r="B14" s="45" t="s">
        <v>557</v>
      </c>
      <c r="C14" s="48"/>
      <c r="D14" s="48"/>
      <c r="E14" s="48"/>
      <c r="F14" s="75">
        <f>'12收益表'!F20-'12收益表'!E20</f>
        <v>0</v>
      </c>
      <c r="G14" s="2">
        <f>'12收益表'!G20</f>
        <v>10.028712750000068</v>
      </c>
      <c r="H14" s="2">
        <f>'12收益表'!H20</f>
        <v>14.03731700000003</v>
      </c>
      <c r="I14" s="2">
        <f>'12收益表'!I20</f>
        <v>20.979800000000068</v>
      </c>
      <c r="J14" s="2">
        <f>'12收益表'!J20</f>
        <v>19.665194000000156</v>
      </c>
      <c r="K14" s="2">
        <f>'12收益表'!K20</f>
        <v>17.877694000000247</v>
      </c>
      <c r="L14" s="427">
        <f>L13*'12收益表'!K19</f>
        <v>17.877694000000247</v>
      </c>
      <c r="M14" s="338"/>
      <c r="N14" s="338"/>
      <c r="O14" s="338"/>
    </row>
    <row r="15" spans="2:15" ht="18" customHeight="1">
      <c r="B15" s="56" t="s">
        <v>558</v>
      </c>
      <c r="C15" s="48"/>
      <c r="D15" s="48"/>
      <c r="E15" s="48"/>
      <c r="F15" s="331">
        <f t="shared" ref="F15:K15" si="3">F13-F14</f>
        <v>511.16375400000015</v>
      </c>
      <c r="G15" s="331">
        <f t="shared" si="3"/>
        <v>39.73128725000015</v>
      </c>
      <c r="H15" s="331">
        <f t="shared" si="3"/>
        <v>42.11195100000009</v>
      </c>
      <c r="I15" s="331">
        <f t="shared" si="3"/>
        <v>62.939400000000205</v>
      </c>
      <c r="J15" s="331">
        <f t="shared" si="3"/>
        <v>58.995582000000468</v>
      </c>
      <c r="K15" s="331">
        <f t="shared" si="3"/>
        <v>53.633082000000741</v>
      </c>
      <c r="L15" s="331">
        <f>L13-L14</f>
        <v>53.633082000000741</v>
      </c>
      <c r="M15" s="338"/>
      <c r="N15" s="338"/>
      <c r="O15" s="338"/>
    </row>
    <row r="16" spans="2:15" ht="18" customHeight="1">
      <c r="B16" s="45" t="s">
        <v>559</v>
      </c>
      <c r="C16" s="48"/>
      <c r="D16" s="48"/>
      <c r="E16" s="48"/>
      <c r="F16" s="332">
        <f>'7折旧'!E9+'8摊销'!E7</f>
        <v>29.536019000000007</v>
      </c>
      <c r="G16" s="332">
        <f>'7折旧'!G9+'8摊销'!G7</f>
        <v>59.040000000000006</v>
      </c>
      <c r="H16" s="332">
        <f>'7折旧'!H9+'8摊销'!H7</f>
        <v>62.154731999999981</v>
      </c>
      <c r="I16" s="332">
        <f>'7折旧'!I9+'8摊销'!I7</f>
        <v>40.799999999999997</v>
      </c>
      <c r="J16" s="332">
        <f>'7折旧'!J9+'8摊销'!J7</f>
        <v>50.1</v>
      </c>
      <c r="K16" s="332">
        <f>'7折旧'!K9+'8摊销'!K7</f>
        <v>57.25</v>
      </c>
      <c r="L16" s="332">
        <f t="shared" ref="L16" si="4">K16</f>
        <v>57.25</v>
      </c>
      <c r="M16" s="338"/>
      <c r="N16" s="338"/>
      <c r="O16" s="338"/>
    </row>
    <row r="17" spans="1:15" ht="18" customHeight="1">
      <c r="B17" s="45" t="s">
        <v>560</v>
      </c>
      <c r="C17" s="48"/>
      <c r="D17" s="48"/>
      <c r="E17" s="48"/>
      <c r="F17" s="332">
        <f>'7折旧'!E10+'8摊销'!E10</f>
        <v>55</v>
      </c>
      <c r="G17" s="332">
        <f>'7折旧'!G10+'8摊销'!G10</f>
        <v>55</v>
      </c>
      <c r="H17" s="332">
        <f>'7折旧'!H10+'8摊销'!H10</f>
        <v>55</v>
      </c>
      <c r="I17" s="332">
        <f>'7折旧'!I10+'8摊销'!I10</f>
        <v>55</v>
      </c>
      <c r="J17" s="332">
        <f>'7折旧'!J10+'8摊销'!J10</f>
        <v>55</v>
      </c>
      <c r="K17" s="332">
        <f>'7折旧'!K10+'8摊销'!K10</f>
        <v>53</v>
      </c>
      <c r="L17" s="517">
        <f>L16</f>
        <v>57.25</v>
      </c>
      <c r="M17" s="338"/>
      <c r="N17" s="338"/>
      <c r="O17" s="338"/>
    </row>
    <row r="18" spans="1:15" ht="18" customHeight="1">
      <c r="B18" s="49" t="s">
        <v>561</v>
      </c>
      <c r="C18" s="47"/>
      <c r="D18" s="48"/>
      <c r="E18" s="48"/>
      <c r="F18" s="332">
        <f>'10营运'!F40</f>
        <v>56.345234555555407</v>
      </c>
      <c r="G18" s="332">
        <f>'10营运'!G40</f>
        <v>22.919444444444594</v>
      </c>
      <c r="H18" s="332">
        <f>'10营运'!H40</f>
        <v>21.672597244444432</v>
      </c>
      <c r="I18" s="332">
        <f>'10营运'!I40</f>
        <v>18.30123053333341</v>
      </c>
      <c r="J18" s="332">
        <f>'10营运'!J40</f>
        <v>7.7655670555556071</v>
      </c>
      <c r="K18" s="332">
        <f>'10营运'!K40</f>
        <v>-1.1122222222221581</v>
      </c>
      <c r="L18" s="426">
        <v>0</v>
      </c>
      <c r="M18" s="338"/>
      <c r="N18" s="338"/>
      <c r="O18" s="338"/>
    </row>
    <row r="19" spans="1:15" ht="18" customHeight="1">
      <c r="B19" s="45" t="s">
        <v>562</v>
      </c>
      <c r="C19" s="48"/>
      <c r="D19" s="48"/>
      <c r="E19" s="48"/>
      <c r="F19" s="506">
        <f>IF('11财务费用'!E10,"模型不适用",0)</f>
        <v>0</v>
      </c>
      <c r="G19" s="506">
        <f>IF('11财务费用'!F10,"模型不适用",0)</f>
        <v>0</v>
      </c>
      <c r="H19" s="506">
        <f>IF('11财务费用'!G10,"模型不适用",0)</f>
        <v>0</v>
      </c>
      <c r="I19" s="506">
        <f>IF('11财务费用'!H10,"模型不适用",0)</f>
        <v>0</v>
      </c>
      <c r="J19" s="506">
        <f>IF('11财务费用'!I10,"模型不适用",0)</f>
        <v>0</v>
      </c>
      <c r="K19" s="506">
        <f>IF('11财务费用'!J10,"模型不适用",0)</f>
        <v>0</v>
      </c>
      <c r="L19" s="426">
        <v>0</v>
      </c>
      <c r="M19" s="338"/>
      <c r="N19" s="338"/>
      <c r="O19" s="338"/>
    </row>
    <row r="20" spans="1:15" ht="18" customHeight="1">
      <c r="B20" s="56" t="s">
        <v>563</v>
      </c>
      <c r="C20" s="48"/>
      <c r="D20" s="48"/>
      <c r="E20" s="48"/>
      <c r="F20" s="507">
        <f>F15+F16-F17-F18+F19</f>
        <v>429.35453844444476</v>
      </c>
      <c r="G20" s="507">
        <f t="shared" ref="G20:K20" si="5">G15+G16-G17-G18+G19</f>
        <v>20.851842805555563</v>
      </c>
      <c r="H20" s="507">
        <f t="shared" si="5"/>
        <v>27.594085755555639</v>
      </c>
      <c r="I20" s="507">
        <f t="shared" si="5"/>
        <v>30.438169466666793</v>
      </c>
      <c r="J20" s="507">
        <f t="shared" si="5"/>
        <v>46.330014944444855</v>
      </c>
      <c r="K20" s="507">
        <f t="shared" si="5"/>
        <v>58.995304222222899</v>
      </c>
      <c r="L20" s="507">
        <f>L15+L16-L17-L18+L19</f>
        <v>53.633082000000741</v>
      </c>
      <c r="M20" s="338"/>
      <c r="N20" s="338"/>
      <c r="O20" s="338"/>
    </row>
    <row r="21" spans="1:15" s="11" customFormat="1" ht="18" customHeight="1">
      <c r="A21" s="206"/>
      <c r="B21" s="45" t="s">
        <v>545</v>
      </c>
      <c r="C21" s="48"/>
      <c r="D21" s="232"/>
      <c r="E21" s="89"/>
      <c r="F21" s="333">
        <f>1-MONTH('1报表'!E5)/12</f>
        <v>0.5</v>
      </c>
      <c r="G21" s="83">
        <f>1+F21</f>
        <v>1.5</v>
      </c>
      <c r="H21" s="83">
        <f>1+G21</f>
        <v>2.5</v>
      </c>
      <c r="I21" s="83">
        <f t="shared" ref="I21:K21" si="6">1+H21</f>
        <v>3.5</v>
      </c>
      <c r="J21" s="83">
        <f t="shared" si="6"/>
        <v>4.5</v>
      </c>
      <c r="K21" s="83">
        <f t="shared" si="6"/>
        <v>5.5</v>
      </c>
      <c r="L21" s="65"/>
    </row>
    <row r="22" spans="1:15" s="11" customFormat="1" ht="18" customHeight="1">
      <c r="A22" s="206"/>
      <c r="B22" s="55" t="s">
        <v>69</v>
      </c>
      <c r="C22" s="47"/>
      <c r="D22" s="232"/>
      <c r="E22" s="87"/>
      <c r="F22" s="69">
        <f>F33</f>
        <v>0.12703038</v>
      </c>
      <c r="G22" s="69">
        <f>F22</f>
        <v>0.12703038</v>
      </c>
      <c r="H22" s="69">
        <f t="shared" ref="H22:K22" si="7">G22</f>
        <v>0.12703038</v>
      </c>
      <c r="I22" s="69">
        <f t="shared" si="7"/>
        <v>0.12703038</v>
      </c>
      <c r="J22" s="69">
        <f t="shared" si="7"/>
        <v>0.12703038</v>
      </c>
      <c r="K22" s="69">
        <f t="shared" si="7"/>
        <v>0.12703038</v>
      </c>
      <c r="L22" s="69">
        <f>K22</f>
        <v>0.12703038</v>
      </c>
    </row>
    <row r="23" spans="1:15" s="11" customFormat="1" ht="18" customHeight="1">
      <c r="A23" s="206"/>
      <c r="B23" s="46" t="s">
        <v>70</v>
      </c>
      <c r="C23" s="48"/>
      <c r="D23" s="232"/>
      <c r="E23" s="88"/>
      <c r="F23" s="14">
        <f>1/(1+F22)^F21</f>
        <v>0.94195940896204045</v>
      </c>
      <c r="G23" s="14">
        <f>F23/(1+G22)</f>
        <v>0.83578883557871841</v>
      </c>
      <c r="H23" s="14">
        <f>G23/(1+H22)</f>
        <v>0.74158500996106114</v>
      </c>
      <c r="I23" s="14">
        <f>H23/(1+I22)</f>
        <v>0.65799913038818103</v>
      </c>
      <c r="J23" s="14">
        <f t="shared" ref="J23:K23" si="8">I23/(1+J22)</f>
        <v>0.58383442191521151</v>
      </c>
      <c r="K23" s="14">
        <f t="shared" si="8"/>
        <v>0.51802900105959127</v>
      </c>
      <c r="L23" s="14">
        <f>K23/L22</f>
        <v>4.0779930049771655</v>
      </c>
    </row>
    <row r="24" spans="1:15" s="11" customFormat="1" ht="18" customHeight="1">
      <c r="A24" s="206"/>
      <c r="B24" s="56" t="s">
        <v>546</v>
      </c>
      <c r="C24" s="48"/>
      <c r="D24" s="340"/>
      <c r="E24" s="57"/>
      <c r="F24" s="8">
        <f>F20*F23</f>
        <v>404.43454726829884</v>
      </c>
      <c r="G24" s="8">
        <f t="shared" ref="G24:J24" si="9">G20*G23</f>
        <v>17.427737418125762</v>
      </c>
      <c r="H24" s="8">
        <f t="shared" si="9"/>
        <v>20.463360359900104</v>
      </c>
      <c r="I24" s="8">
        <f t="shared" si="9"/>
        <v>20.028289039674835</v>
      </c>
      <c r="J24" s="8">
        <f t="shared" si="9"/>
        <v>27.049057492413073</v>
      </c>
      <c r="K24" s="8">
        <f>K20*K23</f>
        <v>30.561278513444815</v>
      </c>
      <c r="L24" s="8">
        <f>L20*L23</f>
        <v>218.71533323136975</v>
      </c>
    </row>
    <row r="25" spans="1:15" s="11" customFormat="1" ht="18" customHeight="1">
      <c r="A25" s="206"/>
      <c r="B25" s="56" t="s">
        <v>547</v>
      </c>
      <c r="C25" s="48"/>
      <c r="D25" s="232"/>
      <c r="E25" s="57"/>
      <c r="F25" s="8">
        <f>SUM(F24:L24)</f>
        <v>738.67960332322718</v>
      </c>
      <c r="L25" s="22"/>
      <c r="M25" s="233"/>
    </row>
    <row r="26" spans="1:15" ht="18" customHeight="1">
      <c r="B26" s="481"/>
      <c r="C26" s="482"/>
      <c r="D26" s="337"/>
      <c r="E26" s="337"/>
      <c r="F26" s="337"/>
      <c r="G26" s="337"/>
      <c r="H26" s="337"/>
      <c r="I26" s="337"/>
      <c r="J26" s="337"/>
      <c r="K26" s="337"/>
      <c r="L26" s="337"/>
      <c r="M26" s="338"/>
      <c r="N26" s="338"/>
      <c r="O26" s="338"/>
    </row>
    <row r="27" spans="1:15" ht="18" customHeight="1">
      <c r="B27" s="32" t="s">
        <v>317</v>
      </c>
      <c r="E27" s="344"/>
      <c r="F27" s="343"/>
      <c r="G27" s="337"/>
      <c r="H27" s="337"/>
      <c r="I27" s="337"/>
      <c r="J27" s="337"/>
      <c r="K27" s="337"/>
      <c r="L27" s="337"/>
      <c r="M27" s="338"/>
      <c r="N27" s="338"/>
      <c r="O27" s="338"/>
    </row>
    <row r="28" spans="1:15" s="11" customFormat="1" ht="18" customHeight="1">
      <c r="A28" s="206"/>
      <c r="B28" s="127" t="s">
        <v>564</v>
      </c>
      <c r="C28" s="48"/>
      <c r="D28" s="48"/>
      <c r="E28" s="92"/>
      <c r="F28" s="25" t="s">
        <v>586</v>
      </c>
      <c r="G28" s="337"/>
      <c r="H28" s="337"/>
      <c r="I28" s="337"/>
      <c r="J28" s="337"/>
      <c r="K28" s="337"/>
      <c r="L28" s="337"/>
      <c r="M28" s="338"/>
    </row>
    <row r="29" spans="1:15" ht="18" customHeight="1">
      <c r="B29" s="62" t="s">
        <v>565</v>
      </c>
      <c r="C29" s="48"/>
      <c r="D29" s="93"/>
      <c r="E29" s="93"/>
      <c r="F29" s="424">
        <v>3.9699999999999999E-2</v>
      </c>
      <c r="G29" s="337"/>
      <c r="H29" s="337"/>
      <c r="I29" s="337"/>
      <c r="J29" s="337"/>
      <c r="K29" s="337"/>
      <c r="L29" s="337"/>
      <c r="M29" s="338"/>
      <c r="N29" s="11"/>
      <c r="O29" s="11"/>
    </row>
    <row r="30" spans="1:15" ht="18" customHeight="1">
      <c r="B30" s="62" t="s">
        <v>566</v>
      </c>
      <c r="C30" s="48"/>
      <c r="D30" s="93"/>
      <c r="E30" s="93"/>
      <c r="F30" s="424">
        <v>7.3899999999999993E-2</v>
      </c>
      <c r="G30" s="337"/>
      <c r="H30" s="337"/>
      <c r="I30" s="337"/>
      <c r="J30" s="337"/>
      <c r="K30" s="337"/>
      <c r="L30" s="337"/>
      <c r="M30" s="338"/>
      <c r="N30" s="11"/>
      <c r="O30" s="11"/>
    </row>
    <row r="31" spans="1:15" ht="18" customHeight="1">
      <c r="B31" s="62" t="s">
        <v>582</v>
      </c>
      <c r="C31" s="48"/>
      <c r="D31" s="93"/>
      <c r="E31" s="93"/>
      <c r="F31" s="346">
        <v>0.80420000000000003</v>
      </c>
      <c r="G31" s="337"/>
      <c r="H31" s="337"/>
      <c r="I31" s="337"/>
      <c r="J31" s="337"/>
      <c r="K31" s="337"/>
      <c r="L31" s="337"/>
      <c r="M31" s="338"/>
      <c r="N31" s="11"/>
      <c r="O31" s="11"/>
    </row>
    <row r="32" spans="1:15" ht="18" customHeight="1">
      <c r="B32" s="62" t="s">
        <v>567</v>
      </c>
      <c r="C32" s="48"/>
      <c r="D32" s="93"/>
      <c r="E32" s="93"/>
      <c r="F32" s="424">
        <v>2.7900000000000001E-2</v>
      </c>
      <c r="G32" s="337"/>
      <c r="H32" s="337"/>
      <c r="I32" s="337"/>
      <c r="J32" s="337"/>
      <c r="K32" s="337"/>
      <c r="L32" s="337"/>
      <c r="M32" s="338"/>
      <c r="N32" s="11"/>
      <c r="O32" s="11"/>
    </row>
    <row r="33" spans="2:15" ht="18" customHeight="1">
      <c r="B33" s="62" t="s">
        <v>583</v>
      </c>
      <c r="C33" s="48"/>
      <c r="D33" s="93"/>
      <c r="E33" s="93"/>
      <c r="F33" s="335">
        <f>F29+F31*F30+F32</f>
        <v>0.12703038</v>
      </c>
      <c r="G33" s="337"/>
      <c r="H33" s="337"/>
      <c r="I33" s="337"/>
      <c r="J33" s="337"/>
      <c r="K33" s="337"/>
      <c r="L33" s="337"/>
      <c r="M33" s="338"/>
      <c r="N33" s="11"/>
      <c r="O33" s="11"/>
    </row>
    <row r="34" spans="2:15" ht="18" customHeight="1">
      <c r="B34" s="336" t="s">
        <v>459</v>
      </c>
      <c r="C34" s="336"/>
      <c r="D34" s="336"/>
      <c r="F34" s="334"/>
      <c r="G34" s="337"/>
      <c r="H34" s="337"/>
      <c r="I34" s="337"/>
      <c r="J34" s="337"/>
      <c r="K34" s="337"/>
      <c r="L34" s="337"/>
      <c r="M34" s="338"/>
      <c r="N34" s="11"/>
      <c r="O34" s="11"/>
    </row>
    <row r="35" spans="2:15" ht="18" customHeight="1">
      <c r="G35" s="337"/>
      <c r="H35" s="337"/>
      <c r="I35" s="337"/>
      <c r="J35" s="337"/>
      <c r="K35" s="337"/>
      <c r="L35" s="337"/>
      <c r="M35" s="338"/>
      <c r="N35" s="11"/>
      <c r="O35" s="11"/>
    </row>
    <row r="36" spans="2:15" ht="18" customHeight="1">
      <c r="B36" s="32" t="s">
        <v>197</v>
      </c>
      <c r="C36" s="11"/>
      <c r="D36" s="11"/>
      <c r="E36" s="11"/>
      <c r="F36" s="11"/>
      <c r="G36" s="337"/>
      <c r="H36" s="337"/>
      <c r="I36" s="337"/>
      <c r="J36" s="337"/>
      <c r="K36" s="337"/>
      <c r="L36" s="337"/>
      <c r="M36" s="338"/>
      <c r="N36" s="338"/>
      <c r="O36" s="338"/>
    </row>
    <row r="37" spans="2:15" ht="18" customHeight="1">
      <c r="B37" s="141" t="s">
        <v>64</v>
      </c>
      <c r="C37" s="48"/>
      <c r="D37" s="518"/>
      <c r="E37" s="48"/>
      <c r="F37" s="142" t="s">
        <v>72</v>
      </c>
      <c r="G37" s="142" t="s">
        <v>73</v>
      </c>
      <c r="I37" s="337"/>
      <c r="M37" s="338"/>
      <c r="N37" s="338"/>
      <c r="O37" s="338"/>
    </row>
    <row r="38" spans="2:15" ht="18" customHeight="1">
      <c r="B38" s="59" t="s">
        <v>283</v>
      </c>
      <c r="C38" s="48"/>
      <c r="D38" s="518"/>
      <c r="E38" s="48"/>
      <c r="F38" s="2">
        <f>F25</f>
        <v>738.67960332322718</v>
      </c>
      <c r="G38" s="2"/>
      <c r="I38" s="337"/>
      <c r="M38" s="338"/>
      <c r="N38" s="338"/>
      <c r="O38" s="338"/>
    </row>
    <row r="39" spans="2:15" ht="18" customHeight="1">
      <c r="B39" s="59" t="s">
        <v>116</v>
      </c>
      <c r="C39" s="48"/>
      <c r="D39" s="518"/>
      <c r="E39" s="48"/>
      <c r="F39" s="91">
        <f>'2报表调整'!F80</f>
        <v>0</v>
      </c>
      <c r="G39" s="2"/>
      <c r="I39" s="337"/>
      <c r="M39" s="338"/>
      <c r="N39" s="338"/>
      <c r="O39" s="338"/>
    </row>
    <row r="40" spans="2:15" ht="18" customHeight="1">
      <c r="B40" s="59" t="s">
        <v>117</v>
      </c>
      <c r="C40" s="48"/>
      <c r="D40" s="518"/>
      <c r="E40" s="48"/>
      <c r="F40" s="75">
        <f>'2报表调整'!N43</f>
        <v>904.59485199999995</v>
      </c>
      <c r="G40" s="2"/>
      <c r="I40" s="337"/>
      <c r="M40" s="338"/>
      <c r="N40" s="338"/>
      <c r="O40" s="338"/>
    </row>
    <row r="41" spans="2:15" ht="18" customHeight="1">
      <c r="B41" s="59" t="s">
        <v>118</v>
      </c>
      <c r="C41" s="48"/>
      <c r="D41" s="518"/>
      <c r="E41" s="48"/>
      <c r="F41" s="75">
        <f>'2报表调整'!N70</f>
        <v>688.11776700000007</v>
      </c>
      <c r="G41" s="2"/>
      <c r="I41" s="337"/>
      <c r="M41" s="338"/>
      <c r="N41" s="338"/>
      <c r="O41" s="338"/>
    </row>
    <row r="42" spans="2:15" ht="18" customHeight="1">
      <c r="B42" s="60" t="s">
        <v>285</v>
      </c>
      <c r="C42" s="48"/>
      <c r="D42" s="518"/>
      <c r="E42" s="48"/>
      <c r="F42" s="8">
        <f>F38+F39+F40-F41</f>
        <v>955.15668832322706</v>
      </c>
      <c r="G42" s="2"/>
      <c r="I42" s="337"/>
      <c r="M42" s="338"/>
      <c r="N42" s="338"/>
      <c r="O42" s="338"/>
    </row>
    <row r="43" spans="2:15" ht="18" customHeight="1">
      <c r="B43" s="59" t="s">
        <v>121</v>
      </c>
      <c r="C43" s="48"/>
      <c r="D43" s="518"/>
      <c r="E43" s="48"/>
      <c r="F43" s="2"/>
      <c r="G43" s="2"/>
      <c r="I43" s="337"/>
      <c r="M43" s="338"/>
      <c r="N43" s="338"/>
      <c r="O43" s="338"/>
    </row>
    <row r="44" spans="2:15" ht="18" customHeight="1">
      <c r="B44" s="59" t="s">
        <v>122</v>
      </c>
      <c r="C44" s="48"/>
      <c r="D44" s="518"/>
      <c r="E44" s="48"/>
      <c r="F44" s="2"/>
      <c r="G44" s="2"/>
      <c r="I44" s="337"/>
      <c r="M44" s="338"/>
      <c r="N44" s="338"/>
      <c r="O44" s="338"/>
    </row>
    <row r="45" spans="2:15" ht="18" customHeight="1">
      <c r="B45" s="59" t="s">
        <v>123</v>
      </c>
      <c r="C45" s="48"/>
      <c r="D45" s="518"/>
      <c r="E45" s="48"/>
      <c r="F45" s="2"/>
      <c r="G45" s="2"/>
      <c r="I45" s="337"/>
      <c r="M45" s="338"/>
      <c r="N45" s="338"/>
      <c r="O45" s="338"/>
    </row>
    <row r="46" spans="2:15" ht="18" customHeight="1">
      <c r="B46" s="59" t="s">
        <v>286</v>
      </c>
      <c r="C46" s="48"/>
      <c r="D46" s="518"/>
      <c r="E46" s="48"/>
      <c r="F46" s="2">
        <f>F42-SUM(F43:F45)</f>
        <v>955.15668832322706</v>
      </c>
      <c r="G46" s="2"/>
      <c r="I46" s="337"/>
      <c r="M46" s="338"/>
      <c r="N46" s="338"/>
      <c r="O46" s="338"/>
    </row>
    <row r="47" spans="2:15" ht="18" customHeight="1">
      <c r="B47" s="60" t="s">
        <v>125</v>
      </c>
      <c r="C47" s="48"/>
      <c r="D47" s="518"/>
      <c r="E47" s="48"/>
      <c r="F47" s="8">
        <f>ROUND(F46,-1)</f>
        <v>960</v>
      </c>
      <c r="G47" s="2"/>
      <c r="I47" s="337"/>
      <c r="M47" s="338"/>
      <c r="N47" s="338"/>
      <c r="O47" s="338"/>
    </row>
    <row r="48" spans="2:15" ht="18" customHeight="1">
      <c r="B48" s="59" t="s">
        <v>126</v>
      </c>
      <c r="C48" s="48"/>
      <c r="D48" s="518"/>
      <c r="E48" s="48"/>
      <c r="F48" s="2"/>
      <c r="G48" s="6" t="s">
        <v>74</v>
      </c>
      <c r="I48" s="337"/>
      <c r="M48" s="338"/>
      <c r="N48" s="338"/>
      <c r="O48" s="338"/>
    </row>
    <row r="49" spans="2:15" ht="18" customHeight="1">
      <c r="B49" s="59" t="s">
        <v>127</v>
      </c>
      <c r="C49" s="48"/>
      <c r="D49" s="518"/>
      <c r="E49" s="48"/>
      <c r="F49" s="2"/>
      <c r="G49" s="6" t="s">
        <v>74</v>
      </c>
      <c r="I49" s="337"/>
      <c r="M49" s="338"/>
      <c r="N49" s="338"/>
      <c r="O49" s="338"/>
    </row>
    <row r="50" spans="2:15" ht="18" customHeight="1">
      <c r="B50" s="59" t="s">
        <v>128</v>
      </c>
      <c r="C50" s="48"/>
      <c r="D50" s="518"/>
      <c r="E50" s="48"/>
      <c r="F50" s="236"/>
      <c r="G50" s="2"/>
      <c r="I50" s="337"/>
      <c r="M50" s="338"/>
      <c r="N50" s="338"/>
      <c r="O50" s="338"/>
    </row>
    <row r="51" spans="2:15" ht="18" customHeight="1">
      <c r="B51" s="59" t="s">
        <v>129</v>
      </c>
      <c r="C51" s="48"/>
      <c r="D51" s="518"/>
      <c r="E51" s="48"/>
      <c r="F51" s="2">
        <f>F47*F50</f>
        <v>0</v>
      </c>
      <c r="G51" s="2"/>
      <c r="I51" s="337"/>
      <c r="M51" s="338"/>
      <c r="N51" s="338"/>
      <c r="O51" s="338"/>
    </row>
    <row r="52" spans="2:15" ht="18" customHeight="1">
      <c r="M52" s="338"/>
      <c r="N52" s="338"/>
      <c r="O52" s="338"/>
    </row>
    <row r="53" spans="2:15" ht="18" customHeight="1">
      <c r="B53" s="415" t="s">
        <v>584</v>
      </c>
      <c r="M53" s="338"/>
      <c r="N53" s="338"/>
      <c r="O53" s="338"/>
    </row>
    <row r="54" spans="2:15" ht="18" customHeight="1">
      <c r="B54" s="539" t="s">
        <v>585</v>
      </c>
      <c r="M54" s="338"/>
      <c r="N54" s="338"/>
      <c r="O54" s="338"/>
    </row>
    <row r="55" spans="2:15" ht="18" customHeight="1">
      <c r="M55" s="338"/>
      <c r="N55" s="338"/>
      <c r="O55" s="338"/>
    </row>
    <row r="56" spans="2:15" ht="18" customHeight="1">
      <c r="M56" s="338"/>
      <c r="N56" s="338"/>
      <c r="O56" s="338"/>
    </row>
    <row r="57" spans="2:15" ht="18" customHeight="1">
      <c r="M57" s="338"/>
      <c r="N57" s="338"/>
      <c r="O57" s="338"/>
    </row>
    <row r="58" spans="2:15" ht="18" customHeight="1">
      <c r="M58" s="338"/>
      <c r="N58" s="338"/>
      <c r="O58" s="338"/>
    </row>
    <row r="59" spans="2:15" ht="18" customHeight="1">
      <c r="M59" s="338"/>
      <c r="N59" s="338"/>
      <c r="O59" s="338"/>
    </row>
    <row r="60" spans="2:15" ht="18" customHeight="1">
      <c r="M60" s="338"/>
      <c r="N60" s="338"/>
      <c r="O60" s="338"/>
    </row>
    <row r="61" spans="2:15" ht="18" customHeight="1">
      <c r="M61" s="338"/>
      <c r="N61" s="338"/>
      <c r="O61" s="338"/>
    </row>
    <row r="62" spans="2:15" ht="18" customHeight="1">
      <c r="M62" s="338"/>
      <c r="N62" s="338"/>
      <c r="O62" s="338"/>
    </row>
    <row r="63" spans="2:15" ht="18" customHeight="1">
      <c r="M63" s="338"/>
      <c r="N63" s="338"/>
      <c r="O63" s="338"/>
    </row>
    <row r="64" spans="2:15" ht="18" customHeight="1">
      <c r="M64" s="338"/>
      <c r="N64" s="338"/>
      <c r="O64" s="338"/>
    </row>
    <row r="65" spans="13:15" ht="18" customHeight="1">
      <c r="M65" s="338"/>
      <c r="N65" s="338"/>
      <c r="O65" s="338"/>
    </row>
    <row r="66" spans="13:15" ht="18" customHeight="1">
      <c r="M66" s="338"/>
      <c r="N66" s="338"/>
      <c r="O66" s="338"/>
    </row>
    <row r="67" spans="13:15" ht="18" customHeight="1">
      <c r="M67" s="338"/>
      <c r="N67" s="338"/>
      <c r="O67" s="338"/>
    </row>
    <row r="68" spans="13:15" ht="18" customHeight="1">
      <c r="M68" s="338"/>
      <c r="N68" s="338"/>
      <c r="O68" s="338"/>
    </row>
    <row r="69" spans="13:15" ht="18" customHeight="1">
      <c r="M69" s="338"/>
      <c r="N69" s="338"/>
      <c r="O69" s="338"/>
    </row>
    <row r="70" spans="13:15" ht="18" customHeight="1">
      <c r="M70" s="338"/>
      <c r="N70" s="338"/>
      <c r="O70" s="338"/>
    </row>
    <row r="71" spans="13:15" ht="18" customHeight="1">
      <c r="M71" s="338"/>
      <c r="N71" s="338"/>
      <c r="O71" s="338"/>
    </row>
    <row r="72" spans="13:15" ht="18" customHeight="1">
      <c r="M72" s="338"/>
      <c r="N72" s="338"/>
      <c r="O72" s="338"/>
    </row>
    <row r="73" spans="13:15" ht="18" customHeight="1">
      <c r="M73" s="338"/>
      <c r="N73" s="338"/>
      <c r="O73" s="338"/>
    </row>
    <row r="74" spans="13:15" ht="18" customHeight="1">
      <c r="M74" s="338"/>
      <c r="N74" s="338"/>
      <c r="O74" s="338"/>
    </row>
    <row r="75" spans="13:15" ht="18" customHeight="1">
      <c r="M75" s="338"/>
      <c r="N75" s="338"/>
      <c r="O75" s="338"/>
    </row>
    <row r="76" spans="13:15" ht="18" customHeight="1">
      <c r="M76" s="338"/>
      <c r="N76" s="338"/>
      <c r="O76" s="338"/>
    </row>
    <row r="77" spans="13:15" ht="18" customHeight="1">
      <c r="M77" s="338"/>
      <c r="N77" s="338"/>
      <c r="O77" s="338"/>
    </row>
    <row r="78" spans="13:15" ht="18" customHeight="1">
      <c r="M78" s="338"/>
      <c r="N78" s="338"/>
      <c r="O78" s="338"/>
    </row>
    <row r="79" spans="13:15" ht="18" customHeight="1">
      <c r="M79" s="338"/>
      <c r="N79" s="338"/>
      <c r="O79" s="338"/>
    </row>
    <row r="80" spans="13:15" ht="18" customHeight="1">
      <c r="M80" s="338"/>
      <c r="N80" s="338"/>
      <c r="O80" s="338"/>
    </row>
    <row r="81" spans="13:15" ht="18" customHeight="1">
      <c r="M81" s="338"/>
      <c r="N81" s="338"/>
      <c r="O81" s="338"/>
    </row>
    <row r="82" spans="13:15" ht="18" customHeight="1">
      <c r="M82" s="338"/>
      <c r="N82" s="338"/>
      <c r="O82" s="338"/>
    </row>
    <row r="83" spans="13:15" ht="18" customHeight="1">
      <c r="M83" s="338"/>
      <c r="N83" s="338"/>
      <c r="O83" s="338"/>
    </row>
    <row r="84" spans="13:15" ht="18" customHeight="1">
      <c r="M84" s="338"/>
      <c r="N84" s="338"/>
      <c r="O84" s="338"/>
    </row>
    <row r="85" spans="13:15" ht="18" customHeight="1">
      <c r="M85" s="338"/>
      <c r="N85" s="338"/>
      <c r="O85" s="338"/>
    </row>
    <row r="86" spans="13:15" ht="18" customHeight="1">
      <c r="M86" s="338"/>
      <c r="N86" s="338"/>
      <c r="O86" s="338"/>
    </row>
    <row r="87" spans="13:15" ht="18" customHeight="1">
      <c r="M87" s="338"/>
      <c r="N87" s="338"/>
      <c r="O87" s="338"/>
    </row>
    <row r="88" spans="13:15" ht="18" customHeight="1">
      <c r="M88" s="338"/>
      <c r="N88" s="338"/>
      <c r="O88" s="338"/>
    </row>
    <row r="89" spans="13:15" ht="18" customHeight="1">
      <c r="M89" s="338"/>
      <c r="N89" s="338"/>
      <c r="O89" s="338"/>
    </row>
    <row r="90" spans="13:15" ht="18" customHeight="1">
      <c r="M90" s="338"/>
      <c r="N90" s="338"/>
      <c r="O90" s="338"/>
    </row>
    <row r="91" spans="13:15" ht="18" customHeight="1">
      <c r="M91" s="338"/>
      <c r="N91" s="338"/>
      <c r="O91" s="338"/>
    </row>
    <row r="92" spans="13:15" ht="18" customHeight="1">
      <c r="M92" s="338"/>
      <c r="N92" s="338"/>
      <c r="O92" s="338"/>
    </row>
    <row r="93" spans="13:15" ht="18" customHeight="1">
      <c r="M93" s="338"/>
      <c r="N93" s="338"/>
      <c r="O93" s="338"/>
    </row>
    <row r="94" spans="13:15" ht="18" customHeight="1">
      <c r="M94" s="338"/>
      <c r="N94" s="338"/>
      <c r="O94" s="338"/>
    </row>
    <row r="95" spans="13:15" ht="18" customHeight="1">
      <c r="M95" s="338"/>
      <c r="N95" s="338"/>
      <c r="O95" s="338"/>
    </row>
    <row r="96" spans="13:15" ht="18" customHeight="1">
      <c r="M96" s="338"/>
      <c r="N96" s="338"/>
      <c r="O96" s="338"/>
    </row>
    <row r="97" spans="13:15" ht="18" customHeight="1">
      <c r="M97" s="338"/>
      <c r="N97" s="338"/>
      <c r="O97" s="338"/>
    </row>
    <row r="98" spans="13:15" ht="18" customHeight="1">
      <c r="M98" s="338"/>
      <c r="N98" s="338"/>
      <c r="O98" s="338"/>
    </row>
    <row r="99" spans="13:15" ht="18" customHeight="1">
      <c r="M99" s="338"/>
      <c r="N99" s="338"/>
      <c r="O99" s="338"/>
    </row>
    <row r="100" spans="13:15" ht="18" customHeight="1">
      <c r="M100" s="338"/>
      <c r="N100" s="338"/>
      <c r="O100" s="338"/>
    </row>
    <row r="101" spans="13:15" ht="18" customHeight="1">
      <c r="M101" s="338"/>
      <c r="N101" s="338"/>
      <c r="O101" s="338"/>
    </row>
    <row r="102" spans="13:15" ht="18" customHeight="1">
      <c r="M102" s="338"/>
      <c r="N102" s="338"/>
      <c r="O102" s="338"/>
    </row>
    <row r="103" spans="13:15" ht="18" customHeight="1">
      <c r="M103" s="338"/>
      <c r="N103" s="338"/>
      <c r="O103" s="338"/>
    </row>
    <row r="104" spans="13:15" ht="18" customHeight="1">
      <c r="M104" s="338"/>
      <c r="N104" s="338"/>
      <c r="O104" s="338"/>
    </row>
    <row r="105" spans="13:15" ht="18" customHeight="1">
      <c r="M105" s="338"/>
      <c r="N105" s="338"/>
      <c r="O105" s="338"/>
    </row>
    <row r="106" spans="13:15" ht="18" customHeight="1">
      <c r="M106" s="338"/>
      <c r="N106" s="338"/>
      <c r="O106" s="338"/>
    </row>
    <row r="107" spans="13:15" ht="18" customHeight="1">
      <c r="M107" s="338"/>
      <c r="N107" s="338"/>
      <c r="O107" s="338"/>
    </row>
    <row r="108" spans="13:15" ht="18" customHeight="1">
      <c r="M108" s="338"/>
      <c r="N108" s="338"/>
      <c r="O108" s="338"/>
    </row>
    <row r="109" spans="13:15" ht="18" customHeight="1">
      <c r="M109" s="338"/>
      <c r="N109" s="338"/>
      <c r="O109" s="338"/>
    </row>
    <row r="110" spans="13:15" ht="18" customHeight="1">
      <c r="M110" s="338"/>
      <c r="N110" s="338"/>
      <c r="O110" s="338"/>
    </row>
    <row r="111" spans="13:15" ht="18" customHeight="1">
      <c r="M111" s="338"/>
      <c r="N111" s="338"/>
      <c r="O111" s="338"/>
    </row>
    <row r="112" spans="13:15" ht="18" customHeight="1">
      <c r="M112" s="338"/>
      <c r="N112" s="338"/>
      <c r="O112" s="338"/>
    </row>
    <row r="113" spans="13:15" ht="18" customHeight="1">
      <c r="M113" s="338"/>
      <c r="N113" s="338"/>
      <c r="O113" s="338"/>
    </row>
    <row r="114" spans="13:15" ht="18" customHeight="1">
      <c r="M114" s="338"/>
      <c r="N114" s="338"/>
      <c r="O114" s="338"/>
    </row>
    <row r="115" spans="13:15" ht="18" customHeight="1">
      <c r="M115" s="338"/>
      <c r="N115" s="338"/>
      <c r="O115" s="338"/>
    </row>
    <row r="116" spans="13:15" ht="18" customHeight="1">
      <c r="M116" s="338"/>
      <c r="N116" s="338"/>
      <c r="O116" s="338"/>
    </row>
    <row r="117" spans="13:15" ht="18" customHeight="1">
      <c r="M117" s="338"/>
      <c r="N117" s="338"/>
      <c r="O117" s="338"/>
    </row>
    <row r="118" spans="13:15" ht="18" customHeight="1">
      <c r="M118" s="338"/>
      <c r="N118" s="338"/>
      <c r="O118" s="338"/>
    </row>
    <row r="119" spans="13:15" ht="18" customHeight="1">
      <c r="M119" s="338"/>
      <c r="N119" s="338"/>
      <c r="O119" s="338"/>
    </row>
    <row r="120" spans="13:15" ht="18" customHeight="1">
      <c r="M120" s="338"/>
      <c r="N120" s="338"/>
      <c r="O120" s="338"/>
    </row>
    <row r="121" spans="13:15" ht="18" customHeight="1">
      <c r="M121" s="338"/>
      <c r="N121" s="338"/>
      <c r="O121" s="338"/>
    </row>
    <row r="122" spans="13:15" ht="18" customHeight="1">
      <c r="M122" s="338"/>
      <c r="N122" s="338"/>
      <c r="O122" s="338"/>
    </row>
    <row r="123" spans="13:15" ht="18" customHeight="1">
      <c r="M123" s="338"/>
      <c r="N123" s="338"/>
      <c r="O123" s="338"/>
    </row>
    <row r="124" spans="13:15" ht="18" customHeight="1">
      <c r="M124" s="338"/>
      <c r="N124" s="338"/>
      <c r="O124" s="338"/>
    </row>
    <row r="125" spans="13:15" ht="18" customHeight="1">
      <c r="M125" s="338"/>
      <c r="N125" s="338"/>
      <c r="O125" s="338"/>
    </row>
    <row r="126" spans="13:15" ht="18" customHeight="1">
      <c r="M126" s="338"/>
      <c r="N126" s="338"/>
      <c r="O126" s="338"/>
    </row>
    <row r="127" spans="13:15" ht="18" customHeight="1">
      <c r="M127" s="338"/>
      <c r="N127" s="338"/>
      <c r="O127" s="338"/>
    </row>
    <row r="128" spans="13:15" ht="18" customHeight="1">
      <c r="M128" s="338"/>
      <c r="N128" s="338"/>
      <c r="O128" s="338"/>
    </row>
    <row r="129" spans="13:15" ht="18" customHeight="1">
      <c r="M129" s="338"/>
      <c r="N129" s="338"/>
      <c r="O129" s="338"/>
    </row>
    <row r="130" spans="13:15" ht="18" customHeight="1">
      <c r="M130" s="338"/>
      <c r="N130" s="338"/>
      <c r="O130" s="338"/>
    </row>
    <row r="131" spans="13:15" ht="18" customHeight="1">
      <c r="M131" s="338"/>
      <c r="N131" s="338"/>
      <c r="O131" s="338"/>
    </row>
    <row r="132" spans="13:15" ht="18" customHeight="1">
      <c r="M132" s="338"/>
      <c r="N132" s="338"/>
      <c r="O132" s="338"/>
    </row>
    <row r="133" spans="13:15" ht="18" customHeight="1">
      <c r="M133" s="338"/>
      <c r="N133" s="338"/>
      <c r="O133" s="338"/>
    </row>
    <row r="134" spans="13:15" ht="18" customHeight="1">
      <c r="M134" s="338"/>
      <c r="N134" s="338"/>
      <c r="O134" s="338"/>
    </row>
    <row r="135" spans="13:15" ht="18" customHeight="1">
      <c r="M135" s="338"/>
      <c r="N135" s="338"/>
      <c r="O135" s="338"/>
    </row>
    <row r="136" spans="13:15" ht="18" customHeight="1">
      <c r="M136" s="338"/>
      <c r="N136" s="338"/>
      <c r="O136" s="338"/>
    </row>
    <row r="137" spans="13:15" ht="18" customHeight="1">
      <c r="M137" s="338"/>
      <c r="N137" s="338"/>
      <c r="O137" s="338"/>
    </row>
    <row r="138" spans="13:15" ht="18" customHeight="1">
      <c r="M138" s="338"/>
      <c r="N138" s="338"/>
      <c r="O138" s="338"/>
    </row>
    <row r="139" spans="13:15" ht="18" customHeight="1">
      <c r="M139" s="338"/>
      <c r="N139" s="338"/>
      <c r="O139" s="338"/>
    </row>
    <row r="140" spans="13:15" ht="18" customHeight="1">
      <c r="M140" s="338"/>
      <c r="N140" s="338"/>
      <c r="O140" s="338"/>
    </row>
    <row r="141" spans="13:15" ht="18" customHeight="1">
      <c r="M141" s="338"/>
      <c r="N141" s="338"/>
      <c r="O141" s="338"/>
    </row>
    <row r="142" spans="13:15" ht="18" customHeight="1">
      <c r="M142" s="338"/>
      <c r="N142" s="338"/>
      <c r="O142" s="338"/>
    </row>
    <row r="143" spans="13:15" ht="18" customHeight="1">
      <c r="M143" s="338"/>
      <c r="N143" s="338"/>
      <c r="O143" s="338"/>
    </row>
    <row r="144" spans="13:15" ht="18" customHeight="1">
      <c r="M144" s="338"/>
      <c r="N144" s="338"/>
      <c r="O144" s="338"/>
    </row>
    <row r="145" spans="13:15" ht="18" customHeight="1">
      <c r="M145" s="338"/>
      <c r="N145" s="338"/>
      <c r="O145" s="338"/>
    </row>
    <row r="146" spans="13:15" ht="18" customHeight="1">
      <c r="M146" s="338"/>
      <c r="N146" s="338"/>
      <c r="O146" s="338"/>
    </row>
    <row r="147" spans="13:15" ht="18" customHeight="1">
      <c r="M147" s="338"/>
      <c r="N147" s="338"/>
      <c r="O147" s="338"/>
    </row>
    <row r="148" spans="13:15" ht="18" customHeight="1">
      <c r="M148" s="338"/>
      <c r="N148" s="338"/>
      <c r="O148" s="338"/>
    </row>
    <row r="149" spans="13:15" ht="18" customHeight="1">
      <c r="M149" s="338"/>
      <c r="N149" s="338"/>
      <c r="O149" s="338"/>
    </row>
    <row r="150" spans="13:15" ht="18" customHeight="1">
      <c r="M150" s="338"/>
      <c r="N150" s="338"/>
      <c r="O150" s="338"/>
    </row>
    <row r="151" spans="13:15" ht="18" customHeight="1">
      <c r="M151" s="338"/>
      <c r="N151" s="338"/>
      <c r="O151" s="338"/>
    </row>
    <row r="152" spans="13:15" ht="18" customHeight="1">
      <c r="M152" s="338"/>
      <c r="N152" s="338"/>
      <c r="O152" s="338"/>
    </row>
    <row r="153" spans="13:15" ht="18" customHeight="1">
      <c r="M153" s="338"/>
      <c r="N153" s="338"/>
      <c r="O153" s="338"/>
    </row>
    <row r="154" spans="13:15" ht="18" customHeight="1">
      <c r="M154" s="338"/>
      <c r="N154" s="338"/>
      <c r="O154" s="338"/>
    </row>
    <row r="155" spans="13:15" ht="18" customHeight="1">
      <c r="M155" s="338"/>
      <c r="N155" s="338"/>
      <c r="O155" s="338"/>
    </row>
    <row r="156" spans="13:15" ht="18" customHeight="1">
      <c r="M156" s="338"/>
      <c r="N156" s="338"/>
      <c r="O156" s="338"/>
    </row>
    <row r="157" spans="13:15" ht="18" customHeight="1">
      <c r="M157" s="338"/>
      <c r="N157" s="338"/>
      <c r="O157" s="338"/>
    </row>
    <row r="158" spans="13:15" ht="18" customHeight="1">
      <c r="M158" s="338"/>
      <c r="N158" s="338"/>
      <c r="O158" s="338"/>
    </row>
    <row r="159" spans="13:15" ht="18" customHeight="1">
      <c r="M159" s="338"/>
      <c r="N159" s="338"/>
      <c r="O159" s="338"/>
    </row>
    <row r="160" spans="13:15" ht="18" customHeight="1">
      <c r="M160" s="338"/>
      <c r="N160" s="338"/>
      <c r="O160" s="338"/>
    </row>
    <row r="161" spans="13:15" ht="18" customHeight="1">
      <c r="M161" s="338"/>
      <c r="N161" s="338"/>
      <c r="O161" s="338"/>
    </row>
    <row r="162" spans="13:15" ht="18" customHeight="1">
      <c r="M162" s="338"/>
      <c r="N162" s="338"/>
      <c r="O162" s="338"/>
    </row>
    <row r="163" spans="13:15" ht="18" customHeight="1">
      <c r="M163" s="338"/>
      <c r="N163" s="338"/>
      <c r="O163" s="338"/>
    </row>
    <row r="164" spans="13:15" ht="18" customHeight="1">
      <c r="M164" s="338"/>
      <c r="N164" s="338"/>
      <c r="O164" s="338"/>
    </row>
    <row r="165" spans="13:15" ht="18" customHeight="1">
      <c r="M165" s="338"/>
      <c r="N165" s="338"/>
      <c r="O165" s="338"/>
    </row>
    <row r="166" spans="13:15" ht="18" customHeight="1">
      <c r="M166" s="338"/>
      <c r="N166" s="338"/>
      <c r="O166" s="338"/>
    </row>
    <row r="167" spans="13:15" ht="18" customHeight="1">
      <c r="M167" s="338"/>
      <c r="N167" s="338"/>
      <c r="O167" s="338"/>
    </row>
    <row r="168" spans="13:15" ht="18" customHeight="1">
      <c r="M168" s="338"/>
      <c r="N168" s="338"/>
      <c r="O168" s="338"/>
    </row>
    <row r="169" spans="13:15" ht="18" customHeight="1">
      <c r="M169" s="338"/>
      <c r="N169" s="338"/>
      <c r="O169" s="338"/>
    </row>
    <row r="170" spans="13:15" ht="18" customHeight="1">
      <c r="M170" s="338"/>
      <c r="N170" s="338"/>
      <c r="O170" s="338"/>
    </row>
    <row r="171" spans="13:15" ht="18" customHeight="1">
      <c r="M171" s="338"/>
      <c r="N171" s="338"/>
      <c r="O171" s="338"/>
    </row>
    <row r="172" spans="13:15" ht="18" customHeight="1">
      <c r="M172" s="338"/>
      <c r="N172" s="338"/>
      <c r="O172" s="338"/>
    </row>
    <row r="173" spans="13:15" ht="18" customHeight="1">
      <c r="M173" s="338"/>
      <c r="N173" s="338"/>
      <c r="O173" s="338"/>
    </row>
    <row r="174" spans="13:15" ht="18" customHeight="1">
      <c r="M174" s="338"/>
      <c r="N174" s="338"/>
      <c r="O174" s="338"/>
    </row>
    <row r="175" spans="13:15" ht="18" customHeight="1">
      <c r="M175" s="338"/>
      <c r="N175" s="338"/>
      <c r="O175" s="338"/>
    </row>
    <row r="176" spans="13:15" ht="18" customHeight="1">
      <c r="M176" s="338"/>
      <c r="N176" s="338"/>
      <c r="O176" s="338"/>
    </row>
    <row r="177" spans="13:15" ht="18" customHeight="1">
      <c r="M177" s="338"/>
      <c r="N177" s="338"/>
      <c r="O177" s="338"/>
    </row>
    <row r="178" spans="13:15" ht="18" customHeight="1">
      <c r="M178" s="338"/>
      <c r="N178" s="338"/>
      <c r="O178" s="338"/>
    </row>
    <row r="179" spans="13:15" ht="18" customHeight="1">
      <c r="M179" s="338"/>
      <c r="N179" s="338"/>
      <c r="O179" s="338"/>
    </row>
    <row r="180" spans="13:15" ht="18" customHeight="1">
      <c r="M180" s="338"/>
      <c r="N180" s="338"/>
      <c r="O180" s="338"/>
    </row>
    <row r="181" spans="13:15" ht="18" customHeight="1">
      <c r="M181" s="338"/>
      <c r="N181" s="338"/>
      <c r="O181" s="338"/>
    </row>
    <row r="182" spans="13:15" ht="18" customHeight="1">
      <c r="M182" s="338"/>
      <c r="N182" s="338"/>
      <c r="O182" s="338"/>
    </row>
    <row r="183" spans="13:15" ht="18" customHeight="1">
      <c r="M183" s="338"/>
      <c r="N183" s="338"/>
      <c r="O183" s="338"/>
    </row>
    <row r="184" spans="13:15" ht="18" customHeight="1">
      <c r="M184" s="338"/>
      <c r="N184" s="338"/>
      <c r="O184" s="338"/>
    </row>
    <row r="185" spans="13:15" ht="18" customHeight="1">
      <c r="M185" s="338"/>
      <c r="N185" s="338"/>
      <c r="O185" s="338"/>
    </row>
    <row r="186" spans="13:15" ht="18" customHeight="1">
      <c r="M186" s="338"/>
      <c r="N186" s="338"/>
      <c r="O186" s="338"/>
    </row>
    <row r="187" spans="13:15" ht="18" customHeight="1">
      <c r="M187" s="338"/>
      <c r="N187" s="338"/>
      <c r="O187" s="338"/>
    </row>
    <row r="188" spans="13:15" ht="18" customHeight="1">
      <c r="M188" s="338"/>
      <c r="N188" s="338"/>
      <c r="O188" s="338"/>
    </row>
    <row r="189" spans="13:15" ht="18" customHeight="1">
      <c r="M189" s="338"/>
      <c r="N189" s="338"/>
      <c r="O189" s="338"/>
    </row>
    <row r="190" spans="13:15" ht="18" customHeight="1">
      <c r="M190" s="338"/>
      <c r="N190" s="338"/>
      <c r="O190" s="338"/>
    </row>
    <row r="191" spans="13:15" ht="18" customHeight="1">
      <c r="M191" s="338"/>
      <c r="N191" s="338"/>
      <c r="O191" s="338"/>
    </row>
    <row r="192" spans="13:15" ht="18" customHeight="1">
      <c r="M192" s="338"/>
      <c r="N192" s="338"/>
      <c r="O192" s="338"/>
    </row>
    <row r="193" spans="13:15" ht="18" customHeight="1">
      <c r="M193" s="338"/>
      <c r="N193" s="338"/>
      <c r="O193" s="338"/>
    </row>
    <row r="194" spans="13:15" ht="18" customHeight="1">
      <c r="M194" s="338"/>
      <c r="N194" s="338"/>
      <c r="O194" s="338"/>
    </row>
    <row r="195" spans="13:15" ht="18" customHeight="1">
      <c r="M195" s="338"/>
      <c r="N195" s="338"/>
      <c r="O195" s="338"/>
    </row>
    <row r="196" spans="13:15" ht="18" customHeight="1">
      <c r="M196" s="338"/>
      <c r="N196" s="338"/>
      <c r="O196" s="338"/>
    </row>
    <row r="197" spans="13:15" ht="18" customHeight="1">
      <c r="M197" s="338"/>
      <c r="N197" s="338"/>
      <c r="O197" s="338"/>
    </row>
    <row r="198" spans="13:15" ht="18" customHeight="1">
      <c r="M198" s="338"/>
      <c r="N198" s="338"/>
      <c r="O198" s="338"/>
    </row>
    <row r="199" spans="13:15" ht="18" customHeight="1">
      <c r="M199" s="338"/>
      <c r="N199" s="338"/>
      <c r="O199" s="338"/>
    </row>
    <row r="200" spans="13:15" ht="18" customHeight="1">
      <c r="M200" s="338"/>
      <c r="N200" s="338"/>
      <c r="O200" s="338"/>
    </row>
    <row r="201" spans="13:15" ht="18" customHeight="1">
      <c r="M201" s="338"/>
      <c r="N201" s="338"/>
      <c r="O201" s="338"/>
    </row>
    <row r="202" spans="13:15" ht="18" customHeight="1">
      <c r="M202" s="338"/>
      <c r="N202" s="338"/>
      <c r="O202" s="338"/>
    </row>
    <row r="203" spans="13:15" ht="18" customHeight="1">
      <c r="M203" s="338"/>
      <c r="N203" s="338"/>
      <c r="O203" s="338"/>
    </row>
    <row r="204" spans="13:15" ht="18" customHeight="1">
      <c r="M204" s="338"/>
      <c r="N204" s="338"/>
      <c r="O204" s="338"/>
    </row>
    <row r="205" spans="13:15" ht="18" customHeight="1">
      <c r="M205" s="338"/>
      <c r="N205" s="338"/>
      <c r="O205" s="338"/>
    </row>
    <row r="206" spans="13:15" ht="18" customHeight="1">
      <c r="M206" s="338"/>
      <c r="N206" s="338"/>
      <c r="O206" s="338"/>
    </row>
    <row r="207" spans="13:15" ht="18" customHeight="1">
      <c r="M207" s="338"/>
      <c r="N207" s="338"/>
      <c r="O207" s="338"/>
    </row>
    <row r="208" spans="13:15" ht="18" customHeight="1">
      <c r="M208" s="338"/>
      <c r="N208" s="338"/>
      <c r="O208" s="338"/>
    </row>
    <row r="209" spans="13:15" ht="18" customHeight="1">
      <c r="M209" s="338"/>
      <c r="N209" s="338"/>
      <c r="O209" s="338"/>
    </row>
    <row r="210" spans="13:15" ht="18" customHeight="1">
      <c r="M210" s="338"/>
      <c r="N210" s="338"/>
      <c r="O210" s="338"/>
    </row>
    <row r="211" spans="13:15" ht="18" customHeight="1">
      <c r="M211" s="338"/>
      <c r="N211" s="338"/>
      <c r="O211" s="338"/>
    </row>
    <row r="212" spans="13:15" ht="18" customHeight="1">
      <c r="M212" s="338"/>
      <c r="N212" s="338"/>
      <c r="O212" s="338"/>
    </row>
    <row r="213" spans="13:15" ht="18" customHeight="1">
      <c r="M213" s="338"/>
      <c r="N213" s="338"/>
      <c r="O213" s="338"/>
    </row>
    <row r="214" spans="13:15" ht="18" customHeight="1">
      <c r="M214" s="338"/>
      <c r="N214" s="338"/>
      <c r="O214" s="338"/>
    </row>
    <row r="215" spans="13:15" ht="18" customHeight="1">
      <c r="M215" s="338"/>
      <c r="N215" s="338"/>
      <c r="O215" s="338"/>
    </row>
    <row r="216" spans="13:15" ht="18" customHeight="1">
      <c r="M216" s="338"/>
      <c r="N216" s="338"/>
      <c r="O216" s="338"/>
    </row>
    <row r="217" spans="13:15" ht="18" customHeight="1">
      <c r="M217" s="338"/>
      <c r="N217" s="338"/>
      <c r="O217" s="338"/>
    </row>
    <row r="218" spans="13:15" ht="18" customHeight="1">
      <c r="M218" s="338"/>
      <c r="N218" s="338"/>
      <c r="O218" s="338"/>
    </row>
    <row r="219" spans="13:15" ht="18" customHeight="1">
      <c r="M219" s="338"/>
      <c r="N219" s="338"/>
      <c r="O219" s="338"/>
    </row>
    <row r="220" spans="13:15" ht="18" customHeight="1">
      <c r="M220" s="338"/>
      <c r="N220" s="338"/>
      <c r="O220" s="338"/>
    </row>
    <row r="221" spans="13:15" ht="18" customHeight="1">
      <c r="M221" s="338"/>
      <c r="N221" s="338"/>
      <c r="O221" s="338"/>
    </row>
    <row r="222" spans="13:15" ht="18" customHeight="1">
      <c r="M222" s="338"/>
      <c r="N222" s="338"/>
      <c r="O222" s="338"/>
    </row>
    <row r="223" spans="13:15" ht="18" customHeight="1">
      <c r="M223" s="338"/>
      <c r="N223" s="338"/>
      <c r="O223" s="338"/>
    </row>
    <row r="224" spans="13:15" ht="18" customHeight="1">
      <c r="M224" s="338"/>
      <c r="N224" s="338"/>
      <c r="O224" s="338"/>
    </row>
    <row r="225" spans="13:15" ht="18" customHeight="1">
      <c r="M225" s="338"/>
      <c r="N225" s="338"/>
      <c r="O225" s="338"/>
    </row>
    <row r="226" spans="13:15" ht="18" customHeight="1">
      <c r="M226" s="338"/>
      <c r="N226" s="338"/>
      <c r="O226" s="338"/>
    </row>
    <row r="227" spans="13:15" ht="18" customHeight="1">
      <c r="M227" s="338"/>
      <c r="N227" s="338"/>
      <c r="O227" s="338"/>
    </row>
    <row r="228" spans="13:15" ht="18" customHeight="1">
      <c r="M228" s="338"/>
      <c r="N228" s="338"/>
      <c r="O228" s="338"/>
    </row>
    <row r="229" spans="13:15" ht="18" customHeight="1">
      <c r="M229" s="338"/>
      <c r="N229" s="338"/>
      <c r="O229" s="338"/>
    </row>
    <row r="230" spans="13:15" ht="18" customHeight="1">
      <c r="M230" s="338"/>
      <c r="N230" s="338"/>
      <c r="O230" s="338"/>
    </row>
    <row r="231" spans="13:15" ht="18" customHeight="1">
      <c r="M231" s="338"/>
      <c r="N231" s="338"/>
      <c r="O231" s="338"/>
    </row>
    <row r="232" spans="13:15" ht="18" customHeight="1">
      <c r="M232" s="338"/>
      <c r="N232" s="338"/>
      <c r="O232" s="338"/>
    </row>
    <row r="233" spans="13:15" ht="18" customHeight="1">
      <c r="M233" s="338"/>
      <c r="N233" s="338"/>
      <c r="O233" s="338"/>
    </row>
    <row r="234" spans="13:15" ht="18" customHeight="1">
      <c r="M234" s="338"/>
      <c r="N234" s="338"/>
      <c r="O234" s="338"/>
    </row>
    <row r="235" spans="13:15" ht="18" customHeight="1">
      <c r="M235" s="338"/>
      <c r="N235" s="338"/>
      <c r="O235" s="338"/>
    </row>
    <row r="236" spans="13:15" ht="18" customHeight="1">
      <c r="M236" s="338"/>
      <c r="N236" s="338"/>
      <c r="O236" s="338"/>
    </row>
    <row r="237" spans="13:15" ht="18" customHeight="1">
      <c r="M237" s="338"/>
      <c r="N237" s="338"/>
      <c r="O237" s="338"/>
    </row>
    <row r="238" spans="13:15" ht="18" customHeight="1">
      <c r="M238" s="338"/>
      <c r="N238" s="338"/>
      <c r="O238" s="338"/>
    </row>
    <row r="239" spans="13:15" ht="18" customHeight="1">
      <c r="M239" s="338"/>
      <c r="N239" s="338"/>
      <c r="O239" s="338"/>
    </row>
    <row r="240" spans="13:15" ht="18" customHeight="1">
      <c r="M240" s="338"/>
      <c r="N240" s="338"/>
      <c r="O240" s="338"/>
    </row>
    <row r="241" spans="13:15" ht="18" customHeight="1">
      <c r="M241" s="338"/>
      <c r="N241" s="338"/>
      <c r="O241" s="338"/>
    </row>
    <row r="242" spans="13:15" ht="18" customHeight="1">
      <c r="M242" s="338"/>
      <c r="N242" s="338"/>
      <c r="O242" s="338"/>
    </row>
    <row r="243" spans="13:15" ht="18" customHeight="1">
      <c r="M243" s="338"/>
      <c r="N243" s="338"/>
      <c r="O243" s="338"/>
    </row>
    <row r="244" spans="13:15" ht="18" customHeight="1">
      <c r="M244" s="338"/>
      <c r="N244" s="338"/>
      <c r="O244" s="338"/>
    </row>
    <row r="245" spans="13:15" ht="18" customHeight="1">
      <c r="M245" s="338"/>
      <c r="N245" s="338"/>
      <c r="O245" s="338"/>
    </row>
    <row r="246" spans="13:15" ht="18" customHeight="1">
      <c r="M246" s="338"/>
      <c r="N246" s="338"/>
      <c r="O246" s="338"/>
    </row>
    <row r="247" spans="13:15" ht="18" customHeight="1">
      <c r="M247" s="338"/>
      <c r="N247" s="338"/>
      <c r="O247" s="338"/>
    </row>
    <row r="248" spans="13:15" ht="18" customHeight="1">
      <c r="M248" s="338"/>
      <c r="N248" s="338"/>
      <c r="O248" s="338"/>
    </row>
    <row r="249" spans="13:15" ht="18" customHeight="1">
      <c r="M249" s="338"/>
      <c r="N249" s="338"/>
      <c r="O249" s="338"/>
    </row>
    <row r="250" spans="13:15" ht="18" customHeight="1">
      <c r="M250" s="338"/>
      <c r="N250" s="338"/>
      <c r="O250" s="338"/>
    </row>
    <row r="251" spans="13:15" ht="18" customHeight="1">
      <c r="M251" s="338"/>
      <c r="N251" s="338"/>
      <c r="O251" s="338"/>
    </row>
    <row r="252" spans="13:15" ht="18" customHeight="1">
      <c r="M252" s="338"/>
      <c r="N252" s="338"/>
      <c r="O252" s="338"/>
    </row>
    <row r="253" spans="13:15" ht="18" customHeight="1">
      <c r="M253" s="338"/>
      <c r="N253" s="338"/>
      <c r="O253" s="338"/>
    </row>
    <row r="254" spans="13:15" ht="18" customHeight="1">
      <c r="M254" s="338"/>
      <c r="N254" s="338"/>
      <c r="O254" s="338"/>
    </row>
    <row r="255" spans="13:15" ht="18" customHeight="1">
      <c r="M255" s="338"/>
      <c r="N255" s="338"/>
      <c r="O255" s="338"/>
    </row>
    <row r="256" spans="13:15" ht="18" customHeight="1">
      <c r="M256" s="338"/>
      <c r="N256" s="338"/>
      <c r="O256" s="338"/>
    </row>
    <row r="257" spans="13:15" ht="18" customHeight="1">
      <c r="M257" s="338"/>
      <c r="N257" s="338"/>
      <c r="O257" s="338"/>
    </row>
    <row r="258" spans="13:15" ht="18" customHeight="1">
      <c r="M258" s="338"/>
      <c r="N258" s="338"/>
      <c r="O258" s="338"/>
    </row>
    <row r="259" spans="13:15" ht="18" customHeight="1">
      <c r="M259" s="338"/>
      <c r="N259" s="338"/>
      <c r="O259" s="338"/>
    </row>
    <row r="260" spans="13:15" ht="18" customHeight="1">
      <c r="M260" s="338"/>
      <c r="N260" s="338"/>
      <c r="O260" s="338"/>
    </row>
    <row r="261" spans="13:15" ht="18" customHeight="1">
      <c r="M261" s="338"/>
      <c r="N261" s="338"/>
      <c r="O261" s="338"/>
    </row>
    <row r="262" spans="13:15" ht="18" customHeight="1">
      <c r="M262" s="338"/>
      <c r="N262" s="338"/>
      <c r="O262" s="338"/>
    </row>
    <row r="263" spans="13:15" ht="18" customHeight="1">
      <c r="M263" s="338"/>
      <c r="N263" s="338"/>
      <c r="O263" s="338"/>
    </row>
    <row r="264" spans="13:15" ht="18" customHeight="1">
      <c r="M264" s="338"/>
      <c r="N264" s="338"/>
      <c r="O264" s="338"/>
    </row>
    <row r="265" spans="13:15" ht="18" customHeight="1">
      <c r="M265" s="338"/>
      <c r="N265" s="338"/>
      <c r="O265" s="338"/>
    </row>
    <row r="266" spans="13:15" ht="18" customHeight="1">
      <c r="M266" s="338"/>
      <c r="N266" s="338"/>
      <c r="O266" s="338"/>
    </row>
    <row r="267" spans="13:15" ht="18" customHeight="1">
      <c r="M267" s="338"/>
      <c r="N267" s="338"/>
      <c r="O267" s="338"/>
    </row>
    <row r="268" spans="13:15" ht="18" customHeight="1">
      <c r="M268" s="338"/>
      <c r="N268" s="338"/>
      <c r="O268" s="338"/>
    </row>
    <row r="269" spans="13:15" ht="18" customHeight="1">
      <c r="M269" s="338"/>
      <c r="N269" s="338"/>
      <c r="O269" s="338"/>
    </row>
    <row r="270" spans="13:15" ht="18" customHeight="1">
      <c r="M270" s="338"/>
      <c r="N270" s="338"/>
      <c r="O270" s="338"/>
    </row>
    <row r="271" spans="13:15" ht="18" customHeight="1">
      <c r="M271" s="338"/>
      <c r="N271" s="338"/>
      <c r="O271" s="338"/>
    </row>
    <row r="272" spans="13:15" ht="18" customHeight="1">
      <c r="M272" s="338"/>
      <c r="N272" s="338"/>
      <c r="O272" s="338"/>
    </row>
    <row r="273" spans="13:15" ht="18" customHeight="1">
      <c r="M273" s="338"/>
      <c r="N273" s="338"/>
      <c r="O273" s="338"/>
    </row>
    <row r="274" spans="13:15" ht="18" customHeight="1">
      <c r="M274" s="338"/>
      <c r="N274" s="338"/>
      <c r="O274" s="338"/>
    </row>
    <row r="275" spans="13:15" ht="18" customHeight="1">
      <c r="M275" s="338"/>
      <c r="N275" s="338"/>
      <c r="O275" s="338"/>
    </row>
    <row r="276" spans="13:15" ht="18" customHeight="1">
      <c r="M276" s="338"/>
      <c r="N276" s="338"/>
      <c r="O276" s="338"/>
    </row>
    <row r="277" spans="13:15" ht="18" customHeight="1">
      <c r="M277" s="338"/>
      <c r="N277" s="338"/>
      <c r="O277" s="338"/>
    </row>
    <row r="278" spans="13:15" ht="18" customHeight="1">
      <c r="M278" s="338"/>
      <c r="N278" s="338"/>
      <c r="O278" s="338"/>
    </row>
    <row r="279" spans="13:15" ht="18" customHeight="1">
      <c r="M279" s="338"/>
      <c r="N279" s="338"/>
      <c r="O279" s="338"/>
    </row>
    <row r="280" spans="13:15" ht="18" customHeight="1">
      <c r="M280" s="338"/>
      <c r="N280" s="338"/>
      <c r="O280" s="338"/>
    </row>
    <row r="281" spans="13:15" ht="18" customHeight="1">
      <c r="M281" s="338"/>
      <c r="N281" s="338"/>
      <c r="O281" s="338"/>
    </row>
    <row r="282" spans="13:15" ht="18" customHeight="1">
      <c r="M282" s="338"/>
      <c r="N282" s="338"/>
      <c r="O282" s="338"/>
    </row>
    <row r="283" spans="13:15" ht="18" customHeight="1">
      <c r="M283" s="338"/>
      <c r="N283" s="338"/>
      <c r="O283" s="338"/>
    </row>
    <row r="284" spans="13:15" ht="18" customHeight="1">
      <c r="M284" s="338"/>
      <c r="N284" s="338"/>
      <c r="O284" s="338"/>
    </row>
    <row r="285" spans="13:15" ht="18" customHeight="1">
      <c r="M285" s="338"/>
      <c r="N285" s="338"/>
      <c r="O285" s="338"/>
    </row>
    <row r="286" spans="13:15" ht="18" customHeight="1">
      <c r="M286" s="338"/>
      <c r="N286" s="338"/>
      <c r="O286" s="338"/>
    </row>
    <row r="287" spans="13:15" ht="18" customHeight="1">
      <c r="M287" s="338"/>
      <c r="N287" s="338"/>
      <c r="O287" s="338"/>
    </row>
    <row r="288" spans="13:15" ht="18" customHeight="1">
      <c r="M288" s="338"/>
      <c r="N288" s="338"/>
      <c r="O288" s="338"/>
    </row>
    <row r="289" spans="13:15" ht="18" customHeight="1">
      <c r="M289" s="338"/>
      <c r="N289" s="338"/>
      <c r="O289" s="338"/>
    </row>
    <row r="290" spans="13:15" ht="18" customHeight="1">
      <c r="M290" s="338"/>
      <c r="N290" s="338"/>
      <c r="O290" s="338"/>
    </row>
    <row r="291" spans="13:15" ht="18" customHeight="1">
      <c r="M291" s="338"/>
      <c r="N291" s="338"/>
      <c r="O291" s="338"/>
    </row>
    <row r="292" spans="13:15" ht="18" customHeight="1">
      <c r="M292" s="338"/>
      <c r="N292" s="338"/>
      <c r="O292" s="338"/>
    </row>
    <row r="293" spans="13:15" ht="18" customHeight="1">
      <c r="M293" s="338"/>
      <c r="N293" s="338"/>
      <c r="O293" s="338"/>
    </row>
    <row r="294" spans="13:15" ht="18" customHeight="1">
      <c r="M294" s="338"/>
      <c r="N294" s="338"/>
      <c r="O294" s="338"/>
    </row>
    <row r="295" spans="13:15" ht="18" customHeight="1">
      <c r="M295" s="338"/>
      <c r="N295" s="338"/>
      <c r="O295" s="338"/>
    </row>
    <row r="296" spans="13:15" ht="18" customHeight="1">
      <c r="M296" s="338"/>
      <c r="N296" s="338"/>
      <c r="O296" s="338"/>
    </row>
    <row r="297" spans="13:15" ht="18" customHeight="1">
      <c r="M297" s="338"/>
      <c r="N297" s="338"/>
      <c r="O297" s="338"/>
    </row>
    <row r="298" spans="13:15" ht="18" customHeight="1">
      <c r="M298" s="338"/>
      <c r="N298" s="338"/>
      <c r="O298" s="338"/>
    </row>
    <row r="299" spans="13:15" ht="18" customHeight="1">
      <c r="M299" s="338"/>
      <c r="N299" s="338"/>
      <c r="O299" s="338"/>
    </row>
    <row r="300" spans="13:15" ht="18" customHeight="1">
      <c r="M300" s="338"/>
      <c r="N300" s="338"/>
      <c r="O300" s="338"/>
    </row>
    <row r="301" spans="13:15" ht="18" customHeight="1">
      <c r="M301" s="338"/>
      <c r="N301" s="338"/>
      <c r="O301" s="338"/>
    </row>
    <row r="302" spans="13:15" ht="18" customHeight="1">
      <c r="M302" s="338"/>
      <c r="N302" s="338"/>
      <c r="O302" s="338"/>
    </row>
    <row r="303" spans="13:15" ht="18" customHeight="1">
      <c r="M303" s="338"/>
      <c r="N303" s="338"/>
      <c r="O303" s="338"/>
    </row>
    <row r="304" spans="13:15" ht="18" customHeight="1">
      <c r="M304" s="338"/>
      <c r="N304" s="338"/>
      <c r="O304" s="338"/>
    </row>
    <row r="305" spans="13:15" ht="18" customHeight="1">
      <c r="M305" s="338"/>
      <c r="N305" s="338"/>
      <c r="O305" s="338"/>
    </row>
    <row r="306" spans="13:15" ht="18" customHeight="1">
      <c r="M306" s="338"/>
      <c r="N306" s="338"/>
      <c r="O306" s="338"/>
    </row>
    <row r="307" spans="13:15" ht="18" customHeight="1">
      <c r="M307" s="338"/>
      <c r="N307" s="338"/>
      <c r="O307" s="338"/>
    </row>
    <row r="308" spans="13:15" ht="18" customHeight="1">
      <c r="M308" s="338"/>
      <c r="N308" s="338"/>
      <c r="O308" s="338"/>
    </row>
    <row r="309" spans="13:15" ht="18" customHeight="1">
      <c r="M309" s="338"/>
      <c r="N309" s="338"/>
      <c r="O309" s="338"/>
    </row>
    <row r="310" spans="13:15" ht="18" customHeight="1">
      <c r="M310" s="338"/>
      <c r="N310" s="338"/>
      <c r="O310" s="338"/>
    </row>
    <row r="311" spans="13:15" ht="18" customHeight="1">
      <c r="M311" s="338"/>
      <c r="N311" s="338"/>
      <c r="O311" s="338"/>
    </row>
    <row r="312" spans="13:15" ht="18" customHeight="1">
      <c r="M312" s="338"/>
      <c r="N312" s="338"/>
      <c r="O312" s="338"/>
    </row>
    <row r="313" spans="13:15" ht="18" customHeight="1">
      <c r="M313" s="338"/>
      <c r="N313" s="338"/>
      <c r="O313" s="338"/>
    </row>
    <row r="314" spans="13:15" ht="18" customHeight="1">
      <c r="M314" s="338"/>
      <c r="N314" s="338"/>
      <c r="O314" s="338"/>
    </row>
    <row r="315" spans="13:15" ht="18" customHeight="1">
      <c r="M315" s="338"/>
      <c r="N315" s="338"/>
      <c r="O315" s="338"/>
    </row>
    <row r="316" spans="13:15" ht="18" customHeight="1">
      <c r="M316" s="338"/>
      <c r="N316" s="338"/>
      <c r="O316" s="338"/>
    </row>
    <row r="317" spans="13:15" ht="18" customHeight="1">
      <c r="M317" s="338"/>
      <c r="N317" s="338"/>
      <c r="O317" s="338"/>
    </row>
    <row r="318" spans="13:15" ht="18" customHeight="1">
      <c r="M318" s="338"/>
      <c r="N318" s="338"/>
      <c r="O318" s="338"/>
    </row>
    <row r="319" spans="13:15" ht="18" customHeight="1">
      <c r="M319" s="338"/>
      <c r="N319" s="338"/>
      <c r="O319" s="338"/>
    </row>
    <row r="320" spans="13:15" ht="18" customHeight="1">
      <c r="M320" s="338"/>
      <c r="N320" s="338"/>
      <c r="O320" s="338"/>
    </row>
    <row r="321" spans="13:15" ht="18" customHeight="1">
      <c r="M321" s="338"/>
      <c r="N321" s="338"/>
      <c r="O321" s="338"/>
    </row>
    <row r="322" spans="13:15" ht="18" customHeight="1">
      <c r="M322" s="338"/>
      <c r="N322" s="338"/>
      <c r="O322" s="338"/>
    </row>
    <row r="323" spans="13:15" ht="18" customHeight="1">
      <c r="M323" s="338"/>
      <c r="N323" s="338"/>
      <c r="O323" s="338"/>
    </row>
    <row r="324" spans="13:15" ht="18" customHeight="1">
      <c r="M324" s="338"/>
      <c r="N324" s="338"/>
      <c r="O324" s="338"/>
    </row>
    <row r="325" spans="13:15" ht="18" customHeight="1">
      <c r="M325" s="338"/>
      <c r="N325" s="338"/>
      <c r="O325" s="338"/>
    </row>
    <row r="326" spans="13:15" ht="18" customHeight="1">
      <c r="M326" s="338"/>
      <c r="N326" s="338"/>
      <c r="O326" s="338"/>
    </row>
    <row r="327" spans="13:15" ht="18" customHeight="1">
      <c r="M327" s="338"/>
      <c r="N327" s="338"/>
      <c r="O327" s="338"/>
    </row>
    <row r="328" spans="13:15" ht="18" customHeight="1">
      <c r="M328" s="338"/>
      <c r="N328" s="338"/>
      <c r="O328" s="338"/>
    </row>
    <row r="329" spans="13:15" ht="18" customHeight="1">
      <c r="M329" s="338"/>
      <c r="N329" s="338"/>
      <c r="O329" s="338"/>
    </row>
    <row r="330" spans="13:15" ht="18" customHeight="1">
      <c r="M330" s="338"/>
      <c r="N330" s="338"/>
      <c r="O330" s="338"/>
    </row>
    <row r="331" spans="13:15" ht="18" customHeight="1">
      <c r="M331" s="338"/>
      <c r="N331" s="338"/>
      <c r="O331" s="338"/>
    </row>
    <row r="332" spans="13:15" ht="18" customHeight="1">
      <c r="M332" s="338"/>
      <c r="N332" s="338"/>
      <c r="O332" s="338"/>
    </row>
    <row r="333" spans="13:15" ht="18" customHeight="1">
      <c r="M333" s="338"/>
      <c r="N333" s="338"/>
      <c r="O333" s="338"/>
    </row>
    <row r="334" spans="13:15" ht="18" customHeight="1">
      <c r="M334" s="338"/>
      <c r="N334" s="338"/>
      <c r="O334" s="338"/>
    </row>
    <row r="335" spans="13:15" ht="18" customHeight="1">
      <c r="M335" s="338"/>
      <c r="N335" s="338"/>
      <c r="O335" s="338"/>
    </row>
    <row r="336" spans="13:15" ht="18" customHeight="1">
      <c r="M336" s="338"/>
      <c r="N336" s="338"/>
      <c r="O336" s="338"/>
    </row>
    <row r="337" spans="13:15" ht="18" customHeight="1">
      <c r="M337" s="338"/>
      <c r="N337" s="338"/>
      <c r="O337" s="338"/>
    </row>
    <row r="338" spans="13:15" ht="18" customHeight="1">
      <c r="M338" s="338"/>
      <c r="N338" s="338"/>
      <c r="O338" s="338"/>
    </row>
    <row r="339" spans="13:15" ht="18" customHeight="1">
      <c r="M339" s="338"/>
      <c r="N339" s="338"/>
      <c r="O339" s="338"/>
    </row>
    <row r="340" spans="13:15" ht="18" customHeight="1">
      <c r="M340" s="338"/>
      <c r="N340" s="338"/>
      <c r="O340" s="338"/>
    </row>
    <row r="341" spans="13:15" ht="18" customHeight="1">
      <c r="M341" s="338"/>
      <c r="N341" s="338"/>
      <c r="O341" s="338"/>
    </row>
    <row r="342" spans="13:15" ht="18" customHeight="1">
      <c r="M342" s="338"/>
      <c r="N342" s="338"/>
      <c r="O342" s="338"/>
    </row>
    <row r="343" spans="13:15" ht="18" customHeight="1">
      <c r="M343" s="338"/>
      <c r="N343" s="338"/>
      <c r="O343" s="338"/>
    </row>
    <row r="344" spans="13:15" ht="18" customHeight="1">
      <c r="M344" s="338"/>
      <c r="N344" s="338"/>
      <c r="O344" s="338"/>
    </row>
    <row r="345" spans="13:15" ht="18" customHeight="1">
      <c r="M345" s="338"/>
      <c r="N345" s="338"/>
      <c r="O345" s="338"/>
    </row>
    <row r="346" spans="13:15" ht="18" customHeight="1">
      <c r="M346" s="338"/>
      <c r="N346" s="338"/>
      <c r="O346" s="338"/>
    </row>
    <row r="347" spans="13:15" ht="18" customHeight="1">
      <c r="M347" s="338"/>
      <c r="N347" s="338"/>
      <c r="O347" s="338"/>
    </row>
    <row r="348" spans="13:15" ht="18" customHeight="1">
      <c r="M348" s="338"/>
      <c r="N348" s="338"/>
      <c r="O348" s="338"/>
    </row>
    <row r="349" spans="13:15" ht="18" customHeight="1">
      <c r="M349" s="338"/>
      <c r="N349" s="338"/>
      <c r="O349" s="338"/>
    </row>
    <row r="350" spans="13:15" ht="18" customHeight="1">
      <c r="M350" s="338"/>
      <c r="N350" s="338"/>
      <c r="O350" s="338"/>
    </row>
    <row r="351" spans="13:15" ht="18" customHeight="1">
      <c r="M351" s="338"/>
      <c r="N351" s="338"/>
      <c r="O351" s="338"/>
    </row>
    <row r="352" spans="13:15" ht="18" customHeight="1">
      <c r="M352" s="338"/>
      <c r="N352" s="338"/>
      <c r="O352" s="338"/>
    </row>
    <row r="353" spans="13:15" ht="18" customHeight="1">
      <c r="M353" s="338"/>
      <c r="N353" s="338"/>
      <c r="O353" s="338"/>
    </row>
    <row r="354" spans="13:15" ht="18" customHeight="1">
      <c r="M354" s="338"/>
      <c r="N354" s="338"/>
      <c r="O354" s="338"/>
    </row>
    <row r="355" spans="13:15" ht="18" customHeight="1">
      <c r="M355" s="338"/>
      <c r="N355" s="338"/>
      <c r="O355" s="338"/>
    </row>
    <row r="356" spans="13:15" ht="18" customHeight="1">
      <c r="M356" s="338"/>
      <c r="N356" s="338"/>
      <c r="O356" s="338"/>
    </row>
    <row r="357" spans="13:15" ht="18" customHeight="1">
      <c r="M357" s="338"/>
      <c r="N357" s="338"/>
      <c r="O357" s="338"/>
    </row>
    <row r="358" spans="13:15" ht="18" customHeight="1">
      <c r="M358" s="338"/>
      <c r="N358" s="338"/>
      <c r="O358" s="338"/>
    </row>
    <row r="359" spans="13:15" ht="18" customHeight="1">
      <c r="M359" s="338"/>
      <c r="N359" s="338"/>
      <c r="O359" s="338"/>
    </row>
    <row r="360" spans="13:15" ht="18" customHeight="1">
      <c r="M360" s="338"/>
      <c r="N360" s="338"/>
      <c r="O360" s="338"/>
    </row>
    <row r="361" spans="13:15" ht="18" customHeight="1">
      <c r="M361" s="338"/>
      <c r="N361" s="338"/>
      <c r="O361" s="338"/>
    </row>
    <row r="362" spans="13:15" ht="18" customHeight="1">
      <c r="M362" s="338"/>
      <c r="N362" s="338"/>
      <c r="O362" s="338"/>
    </row>
    <row r="363" spans="13:15" ht="18" customHeight="1">
      <c r="M363" s="338"/>
      <c r="N363" s="338"/>
      <c r="O363" s="338"/>
    </row>
    <row r="364" spans="13:15" ht="18" customHeight="1">
      <c r="M364" s="338"/>
      <c r="N364" s="338"/>
      <c r="O364" s="338"/>
    </row>
    <row r="365" spans="13:15" ht="18" customHeight="1">
      <c r="M365" s="338"/>
      <c r="N365" s="338"/>
      <c r="O365" s="338"/>
    </row>
    <row r="366" spans="13:15" ht="18" customHeight="1">
      <c r="M366" s="338"/>
      <c r="N366" s="338"/>
      <c r="O366" s="338"/>
    </row>
    <row r="367" spans="13:15" ht="18" customHeight="1">
      <c r="M367" s="338"/>
      <c r="N367" s="338"/>
      <c r="O367" s="338"/>
    </row>
    <row r="368" spans="13:15" ht="18" customHeight="1">
      <c r="M368" s="338"/>
      <c r="N368" s="338"/>
      <c r="O368" s="338"/>
    </row>
    <row r="369" spans="13:15" ht="18" customHeight="1">
      <c r="M369" s="338"/>
      <c r="N369" s="338"/>
      <c r="O369" s="338"/>
    </row>
    <row r="370" spans="13:15" ht="18" customHeight="1">
      <c r="M370" s="338"/>
      <c r="N370" s="338"/>
      <c r="O370" s="338"/>
    </row>
    <row r="371" spans="13:15" ht="18" customHeight="1">
      <c r="M371" s="338"/>
      <c r="N371" s="338"/>
      <c r="O371" s="338"/>
    </row>
    <row r="372" spans="13:15" ht="18" customHeight="1">
      <c r="M372" s="338"/>
      <c r="N372" s="338"/>
      <c r="O372" s="338"/>
    </row>
    <row r="373" spans="13:15" ht="18" customHeight="1">
      <c r="M373" s="338"/>
      <c r="N373" s="338"/>
      <c r="O373" s="338"/>
    </row>
    <row r="374" spans="13:15" ht="18" customHeight="1">
      <c r="M374" s="338"/>
      <c r="N374" s="338"/>
      <c r="O374" s="338"/>
    </row>
    <row r="375" spans="13:15" ht="18" customHeight="1">
      <c r="M375" s="338"/>
      <c r="N375" s="338"/>
      <c r="O375" s="338"/>
    </row>
    <row r="376" spans="13:15" ht="18" customHeight="1">
      <c r="M376" s="338"/>
      <c r="N376" s="338"/>
      <c r="O376" s="338"/>
    </row>
    <row r="377" spans="13:15" ht="18" customHeight="1">
      <c r="M377" s="338"/>
      <c r="N377" s="338"/>
      <c r="O377" s="338"/>
    </row>
    <row r="378" spans="13:15" ht="18" customHeight="1">
      <c r="M378" s="338"/>
      <c r="N378" s="338"/>
      <c r="O378" s="338"/>
    </row>
    <row r="379" spans="13:15" ht="18" customHeight="1">
      <c r="M379" s="338"/>
      <c r="N379" s="338"/>
      <c r="O379" s="338"/>
    </row>
    <row r="380" spans="13:15" ht="18" customHeight="1">
      <c r="M380" s="338"/>
      <c r="N380" s="338"/>
      <c r="O380" s="338"/>
    </row>
    <row r="381" spans="13:15" ht="18" customHeight="1">
      <c r="M381" s="338"/>
      <c r="N381" s="338"/>
      <c r="O381" s="338"/>
    </row>
    <row r="382" spans="13:15" ht="18" customHeight="1">
      <c r="M382" s="338"/>
      <c r="N382" s="338"/>
      <c r="O382" s="338"/>
    </row>
    <row r="383" spans="13:15" ht="18" customHeight="1">
      <c r="M383" s="338"/>
      <c r="N383" s="338"/>
      <c r="O383" s="338"/>
    </row>
    <row r="384" spans="13:15" ht="18" customHeight="1">
      <c r="M384" s="338"/>
      <c r="N384" s="338"/>
      <c r="O384" s="338"/>
    </row>
    <row r="385" spans="13:15" ht="18" customHeight="1">
      <c r="M385" s="338"/>
      <c r="N385" s="338"/>
      <c r="O385" s="338"/>
    </row>
    <row r="386" spans="13:15" ht="18" customHeight="1">
      <c r="M386" s="338"/>
      <c r="N386" s="338"/>
      <c r="O386" s="338"/>
    </row>
    <row r="387" spans="13:15" ht="18" customHeight="1">
      <c r="M387" s="338"/>
      <c r="N387" s="338"/>
      <c r="O387" s="338"/>
    </row>
    <row r="388" spans="13:15" ht="18" customHeight="1">
      <c r="M388" s="338"/>
      <c r="N388" s="338"/>
      <c r="O388" s="338"/>
    </row>
    <row r="389" spans="13:15" ht="18" customHeight="1">
      <c r="M389" s="338"/>
      <c r="N389" s="338"/>
      <c r="O389" s="338"/>
    </row>
    <row r="390" spans="13:15" ht="18" customHeight="1">
      <c r="M390" s="338"/>
      <c r="N390" s="338"/>
      <c r="O390" s="338"/>
    </row>
    <row r="391" spans="13:15" ht="18" customHeight="1">
      <c r="M391" s="338"/>
      <c r="N391" s="338"/>
      <c r="O391" s="338"/>
    </row>
    <row r="392" spans="13:15" ht="18" customHeight="1">
      <c r="M392" s="338"/>
      <c r="N392" s="338"/>
      <c r="O392" s="338"/>
    </row>
    <row r="393" spans="13:15" ht="18" customHeight="1">
      <c r="M393" s="338"/>
      <c r="N393" s="338"/>
      <c r="O393" s="338"/>
    </row>
    <row r="394" spans="13:15" ht="18" customHeight="1">
      <c r="M394" s="338"/>
      <c r="N394" s="338"/>
      <c r="O394" s="338"/>
    </row>
    <row r="395" spans="13:15" ht="18" customHeight="1">
      <c r="M395" s="338"/>
      <c r="N395" s="338"/>
      <c r="O395" s="338"/>
    </row>
    <row r="396" spans="13:15" ht="18" customHeight="1">
      <c r="M396" s="338"/>
      <c r="N396" s="338"/>
      <c r="O396" s="338"/>
    </row>
    <row r="397" spans="13:15" ht="18" customHeight="1">
      <c r="M397" s="338"/>
      <c r="N397" s="338"/>
      <c r="O397" s="338"/>
    </row>
    <row r="398" spans="13:15" ht="18" customHeight="1">
      <c r="M398" s="338"/>
      <c r="N398" s="338"/>
      <c r="O398" s="338"/>
    </row>
    <row r="399" spans="13:15" ht="18" customHeight="1">
      <c r="M399" s="338"/>
      <c r="N399" s="338"/>
      <c r="O399" s="338"/>
    </row>
    <row r="400" spans="13:15" ht="18" customHeight="1">
      <c r="M400" s="338"/>
      <c r="N400" s="338"/>
      <c r="O400" s="338"/>
    </row>
    <row r="401" spans="13:15" ht="18" customHeight="1">
      <c r="M401" s="338"/>
      <c r="N401" s="338"/>
      <c r="O401" s="338"/>
    </row>
    <row r="402" spans="13:15" ht="18" customHeight="1">
      <c r="M402" s="338"/>
      <c r="N402" s="338"/>
      <c r="O402" s="338"/>
    </row>
    <row r="403" spans="13:15" ht="18" customHeight="1">
      <c r="M403" s="338"/>
      <c r="N403" s="338"/>
      <c r="O403" s="338"/>
    </row>
    <row r="404" spans="13:15" ht="18" customHeight="1">
      <c r="M404" s="338"/>
      <c r="N404" s="338"/>
      <c r="O404" s="338"/>
    </row>
    <row r="405" spans="13:15" ht="18" customHeight="1">
      <c r="M405" s="338"/>
      <c r="N405" s="338"/>
      <c r="O405" s="338"/>
    </row>
    <row r="406" spans="13:15" ht="18" customHeight="1">
      <c r="M406" s="338"/>
      <c r="N406" s="338"/>
      <c r="O406" s="338"/>
    </row>
    <row r="407" spans="13:15" ht="18" customHeight="1">
      <c r="M407" s="338"/>
      <c r="N407" s="338"/>
      <c r="O407" s="338"/>
    </row>
    <row r="408" spans="13:15" ht="18" customHeight="1">
      <c r="M408" s="338"/>
      <c r="N408" s="338"/>
      <c r="O408" s="338"/>
    </row>
    <row r="409" spans="13:15" ht="18" customHeight="1">
      <c r="M409" s="338"/>
      <c r="N409" s="338"/>
      <c r="O409" s="338"/>
    </row>
    <row r="410" spans="13:15" ht="18" customHeight="1">
      <c r="M410" s="338"/>
      <c r="N410" s="338"/>
      <c r="O410" s="338"/>
    </row>
    <row r="411" spans="13:15" ht="18" customHeight="1">
      <c r="M411" s="338"/>
      <c r="N411" s="338"/>
      <c r="O411" s="338"/>
    </row>
    <row r="412" spans="13:15" ht="18" customHeight="1">
      <c r="M412" s="338"/>
      <c r="N412" s="338"/>
      <c r="O412" s="338"/>
    </row>
    <row r="413" spans="13:15" ht="18" customHeight="1">
      <c r="M413" s="338"/>
      <c r="N413" s="338"/>
      <c r="O413" s="338"/>
    </row>
    <row r="414" spans="13:15" ht="18" customHeight="1">
      <c r="M414" s="338"/>
      <c r="N414" s="338"/>
      <c r="O414" s="338"/>
    </row>
    <row r="415" spans="13:15" ht="18" customHeight="1">
      <c r="M415" s="338"/>
      <c r="N415" s="338"/>
      <c r="O415" s="338"/>
    </row>
    <row r="416" spans="13:15" ht="18" customHeight="1">
      <c r="M416" s="338"/>
      <c r="N416" s="338"/>
      <c r="O416" s="338"/>
    </row>
    <row r="417" spans="13:15" ht="18" customHeight="1">
      <c r="M417" s="338"/>
      <c r="N417" s="338"/>
      <c r="O417" s="338"/>
    </row>
    <row r="418" spans="13:15" ht="18" customHeight="1">
      <c r="M418" s="338"/>
      <c r="N418" s="338"/>
      <c r="O418" s="338"/>
    </row>
    <row r="419" spans="13:15" ht="18" customHeight="1">
      <c r="M419" s="338"/>
      <c r="N419" s="338"/>
      <c r="O419" s="338"/>
    </row>
    <row r="420" spans="13:15" ht="18" customHeight="1">
      <c r="M420" s="338"/>
      <c r="N420" s="338"/>
      <c r="O420" s="338"/>
    </row>
    <row r="421" spans="13:15" ht="18" customHeight="1">
      <c r="M421" s="338"/>
      <c r="N421" s="338"/>
      <c r="O421" s="338"/>
    </row>
    <row r="422" spans="13:15" ht="18" customHeight="1">
      <c r="M422" s="338"/>
      <c r="N422" s="338"/>
      <c r="O422" s="338"/>
    </row>
    <row r="423" spans="13:15" ht="18" customHeight="1">
      <c r="M423" s="338"/>
      <c r="N423" s="338"/>
      <c r="O423" s="338"/>
    </row>
    <row r="424" spans="13:15" ht="18" customHeight="1">
      <c r="M424" s="338"/>
      <c r="N424" s="338"/>
      <c r="O424" s="338"/>
    </row>
    <row r="425" spans="13:15" ht="18" customHeight="1">
      <c r="M425" s="338"/>
      <c r="N425" s="338"/>
      <c r="O425" s="338"/>
    </row>
    <row r="426" spans="13:15" ht="18" customHeight="1">
      <c r="M426" s="338"/>
      <c r="N426" s="338"/>
      <c r="O426" s="338"/>
    </row>
    <row r="427" spans="13:15" ht="18" customHeight="1">
      <c r="M427" s="338"/>
      <c r="N427" s="338"/>
      <c r="O427" s="338"/>
    </row>
    <row r="428" spans="13:15" ht="18" customHeight="1">
      <c r="M428" s="338"/>
      <c r="N428" s="338"/>
      <c r="O428" s="338"/>
    </row>
    <row r="429" spans="13:15" ht="18" customHeight="1">
      <c r="M429" s="338"/>
      <c r="N429" s="338"/>
      <c r="O429" s="338"/>
    </row>
    <row r="430" spans="13:15" ht="18" customHeight="1">
      <c r="M430" s="338"/>
      <c r="N430" s="338"/>
      <c r="O430" s="338"/>
    </row>
    <row r="431" spans="13:15" ht="18" customHeight="1">
      <c r="M431" s="338"/>
      <c r="N431" s="338"/>
      <c r="O431" s="338"/>
    </row>
    <row r="432" spans="13:15" ht="18" customHeight="1">
      <c r="M432" s="338"/>
      <c r="N432" s="338"/>
      <c r="O432" s="338"/>
    </row>
    <row r="433" spans="13:15" ht="18" customHeight="1">
      <c r="M433" s="338"/>
      <c r="N433" s="338"/>
      <c r="O433" s="338"/>
    </row>
    <row r="434" spans="13:15" ht="18" customHeight="1">
      <c r="M434" s="338"/>
      <c r="N434" s="338"/>
      <c r="O434" s="338"/>
    </row>
    <row r="435" spans="13:15" ht="18" customHeight="1">
      <c r="M435" s="338"/>
      <c r="N435" s="338"/>
      <c r="O435" s="338"/>
    </row>
    <row r="436" spans="13:15" ht="18" customHeight="1">
      <c r="M436" s="338"/>
      <c r="N436" s="338"/>
      <c r="O436" s="338"/>
    </row>
    <row r="437" spans="13:15" ht="18" customHeight="1">
      <c r="M437" s="338"/>
      <c r="N437" s="338"/>
      <c r="O437" s="338"/>
    </row>
    <row r="438" spans="13:15" ht="18" customHeight="1">
      <c r="M438" s="338"/>
      <c r="N438" s="338"/>
      <c r="O438" s="338"/>
    </row>
    <row r="439" spans="13:15" ht="18" customHeight="1">
      <c r="M439" s="338"/>
      <c r="N439" s="338"/>
      <c r="O439" s="338"/>
    </row>
    <row r="440" spans="13:15" ht="18" customHeight="1">
      <c r="M440" s="338"/>
      <c r="N440" s="338"/>
      <c r="O440" s="338"/>
    </row>
    <row r="441" spans="13:15" ht="18" customHeight="1">
      <c r="M441" s="338"/>
      <c r="N441" s="338"/>
      <c r="O441" s="338"/>
    </row>
    <row r="442" spans="13:15" ht="18" customHeight="1">
      <c r="M442" s="338"/>
      <c r="N442" s="338"/>
      <c r="O442" s="338"/>
    </row>
    <row r="443" spans="13:15" ht="18" customHeight="1">
      <c r="M443" s="338"/>
      <c r="N443" s="338"/>
      <c r="O443" s="338"/>
    </row>
    <row r="444" spans="13:15" ht="18" customHeight="1">
      <c r="M444" s="338"/>
      <c r="N444" s="338"/>
      <c r="O444" s="338"/>
    </row>
    <row r="445" spans="13:15" ht="18" customHeight="1">
      <c r="M445" s="338"/>
      <c r="N445" s="338"/>
      <c r="O445" s="338"/>
    </row>
    <row r="446" spans="13:15" ht="18" customHeight="1">
      <c r="M446" s="338"/>
      <c r="N446" s="338"/>
      <c r="O446" s="338"/>
    </row>
    <row r="447" spans="13:15" ht="18" customHeight="1">
      <c r="M447" s="338"/>
      <c r="N447" s="338"/>
      <c r="O447" s="338"/>
    </row>
    <row r="448" spans="13:15" ht="18" customHeight="1">
      <c r="M448" s="338"/>
      <c r="N448" s="338"/>
      <c r="O448" s="338"/>
    </row>
    <row r="449" spans="13:15" ht="18" customHeight="1">
      <c r="M449" s="338"/>
      <c r="N449" s="338"/>
      <c r="O449" s="338"/>
    </row>
    <row r="450" spans="13:15" ht="18" customHeight="1">
      <c r="M450" s="338"/>
      <c r="N450" s="338"/>
      <c r="O450" s="338"/>
    </row>
    <row r="451" spans="13:15" ht="18" customHeight="1">
      <c r="M451" s="338"/>
      <c r="N451" s="338"/>
      <c r="O451" s="338"/>
    </row>
    <row r="452" spans="13:15" ht="18" customHeight="1">
      <c r="M452" s="338"/>
      <c r="N452" s="338"/>
      <c r="O452" s="338"/>
    </row>
    <row r="453" spans="13:15" ht="18" customHeight="1">
      <c r="M453" s="338"/>
      <c r="N453" s="338"/>
      <c r="O453" s="338"/>
    </row>
    <row r="454" spans="13:15" ht="18" customHeight="1">
      <c r="M454" s="338"/>
      <c r="N454" s="338"/>
      <c r="O454" s="338"/>
    </row>
    <row r="455" spans="13:15" ht="18" customHeight="1">
      <c r="M455" s="338"/>
      <c r="N455" s="338"/>
      <c r="O455" s="338"/>
    </row>
    <row r="456" spans="13:15" ht="18" customHeight="1">
      <c r="M456" s="338"/>
      <c r="N456" s="338"/>
      <c r="O456" s="338"/>
    </row>
    <row r="457" spans="13:15" ht="18" customHeight="1">
      <c r="M457" s="338"/>
      <c r="N457" s="338"/>
      <c r="O457" s="338"/>
    </row>
    <row r="458" spans="13:15" ht="18" customHeight="1">
      <c r="M458" s="338"/>
      <c r="N458" s="338"/>
      <c r="O458" s="338"/>
    </row>
    <row r="459" spans="13:15" ht="18" customHeight="1">
      <c r="M459" s="338"/>
      <c r="N459" s="338"/>
      <c r="O459" s="338"/>
    </row>
    <row r="460" spans="13:15" ht="18" customHeight="1">
      <c r="M460" s="338"/>
      <c r="N460" s="338"/>
      <c r="O460" s="338"/>
    </row>
    <row r="461" spans="13:15" ht="18" customHeight="1">
      <c r="M461" s="338"/>
      <c r="N461" s="338"/>
      <c r="O461" s="338"/>
    </row>
    <row r="462" spans="13:15" ht="18" customHeight="1">
      <c r="M462" s="338"/>
      <c r="N462" s="338"/>
      <c r="O462" s="338"/>
    </row>
    <row r="463" spans="13:15" ht="18" customHeight="1">
      <c r="M463" s="338"/>
      <c r="N463" s="338"/>
      <c r="O463" s="338"/>
    </row>
    <row r="464" spans="13:15" ht="18" customHeight="1">
      <c r="M464" s="338"/>
      <c r="N464" s="338"/>
      <c r="O464" s="338"/>
    </row>
    <row r="465" spans="13:15" ht="18" customHeight="1">
      <c r="M465" s="338"/>
      <c r="N465" s="338"/>
      <c r="O465" s="338"/>
    </row>
    <row r="466" spans="13:15" ht="18" customHeight="1">
      <c r="M466" s="338"/>
      <c r="N466" s="338"/>
      <c r="O466" s="338"/>
    </row>
    <row r="467" spans="13:15" ht="18" customHeight="1">
      <c r="M467" s="338"/>
      <c r="N467" s="338"/>
      <c r="O467" s="338"/>
    </row>
    <row r="468" spans="13:15" ht="18" customHeight="1">
      <c r="M468" s="338"/>
      <c r="N468" s="338"/>
      <c r="O468" s="338"/>
    </row>
    <row r="469" spans="13:15" ht="18" customHeight="1">
      <c r="M469" s="338"/>
      <c r="N469" s="338"/>
      <c r="O469" s="338"/>
    </row>
    <row r="470" spans="13:15" ht="18" customHeight="1">
      <c r="M470" s="338"/>
      <c r="N470" s="338"/>
      <c r="O470" s="338"/>
    </row>
    <row r="471" spans="13:15" ht="18" customHeight="1">
      <c r="M471" s="338"/>
      <c r="N471" s="338"/>
      <c r="O471" s="338"/>
    </row>
    <row r="472" spans="13:15" ht="18" customHeight="1">
      <c r="M472" s="338"/>
      <c r="N472" s="338"/>
      <c r="O472" s="338"/>
    </row>
    <row r="473" spans="13:15" ht="18" customHeight="1">
      <c r="M473" s="338"/>
      <c r="N473" s="338"/>
      <c r="O473" s="338"/>
    </row>
    <row r="474" spans="13:15" ht="18" customHeight="1">
      <c r="M474" s="338"/>
      <c r="N474" s="338"/>
      <c r="O474" s="338"/>
    </row>
    <row r="475" spans="13:15" ht="18" customHeight="1">
      <c r="M475" s="338"/>
      <c r="N475" s="338"/>
      <c r="O475" s="338"/>
    </row>
    <row r="476" spans="13:15" ht="18" customHeight="1">
      <c r="M476" s="338"/>
      <c r="N476" s="338"/>
      <c r="O476" s="338"/>
    </row>
    <row r="477" spans="13:15" ht="18" customHeight="1">
      <c r="M477" s="338"/>
      <c r="N477" s="338"/>
      <c r="O477" s="338"/>
    </row>
    <row r="478" spans="13:15" ht="18" customHeight="1">
      <c r="M478" s="338"/>
      <c r="N478" s="338"/>
      <c r="O478" s="338"/>
    </row>
    <row r="479" spans="13:15" ht="18" customHeight="1">
      <c r="M479" s="338"/>
      <c r="N479" s="338"/>
      <c r="O479" s="338"/>
    </row>
    <row r="480" spans="13:15" ht="18" customHeight="1">
      <c r="M480" s="338"/>
      <c r="N480" s="338"/>
      <c r="O480" s="338"/>
    </row>
    <row r="481" spans="13:15" ht="18" customHeight="1">
      <c r="M481" s="338"/>
      <c r="N481" s="338"/>
      <c r="O481" s="338"/>
    </row>
    <row r="482" spans="13:15" ht="18" customHeight="1">
      <c r="M482" s="338"/>
      <c r="N482" s="338"/>
      <c r="O482" s="338"/>
    </row>
    <row r="483" spans="13:15" ht="18" customHeight="1">
      <c r="M483" s="338"/>
      <c r="N483" s="338"/>
      <c r="O483" s="338"/>
    </row>
    <row r="484" spans="13:15" ht="18" customHeight="1">
      <c r="M484" s="338"/>
      <c r="N484" s="338"/>
      <c r="O484" s="338"/>
    </row>
    <row r="485" spans="13:15" ht="18" customHeight="1">
      <c r="M485" s="338"/>
      <c r="N485" s="338"/>
      <c r="O485" s="338"/>
    </row>
    <row r="486" spans="13:15" ht="18" customHeight="1">
      <c r="M486" s="338"/>
      <c r="N486" s="338"/>
      <c r="O486" s="338"/>
    </row>
    <row r="487" spans="13:15" ht="18" customHeight="1">
      <c r="M487" s="338"/>
      <c r="N487" s="338"/>
      <c r="O487" s="338"/>
    </row>
    <row r="488" spans="13:15" ht="18" customHeight="1">
      <c r="M488" s="338"/>
      <c r="N488" s="338"/>
      <c r="O488" s="338"/>
    </row>
    <row r="489" spans="13:15" ht="18" customHeight="1">
      <c r="M489" s="338"/>
      <c r="N489" s="338"/>
      <c r="O489" s="338"/>
    </row>
    <row r="490" spans="13:15" ht="18" customHeight="1">
      <c r="M490" s="338"/>
      <c r="N490" s="338"/>
      <c r="O490" s="338"/>
    </row>
    <row r="491" spans="13:15" ht="18" customHeight="1">
      <c r="M491" s="338"/>
      <c r="N491" s="338"/>
      <c r="O491" s="338"/>
    </row>
    <row r="492" spans="13:15" ht="18" customHeight="1">
      <c r="M492" s="338"/>
      <c r="N492" s="338"/>
      <c r="O492" s="338"/>
    </row>
    <row r="493" spans="13:15" ht="18" customHeight="1">
      <c r="M493" s="338"/>
      <c r="N493" s="338"/>
      <c r="O493" s="338"/>
    </row>
    <row r="494" spans="13:15" ht="18" customHeight="1">
      <c r="M494" s="338"/>
      <c r="N494" s="338"/>
      <c r="O494" s="338"/>
    </row>
    <row r="495" spans="13:15" ht="18" customHeight="1">
      <c r="M495" s="338"/>
      <c r="N495" s="338"/>
      <c r="O495" s="338"/>
    </row>
    <row r="496" spans="13:15" ht="18" customHeight="1">
      <c r="M496" s="338"/>
      <c r="N496" s="338"/>
      <c r="O496" s="338"/>
    </row>
    <row r="497" spans="13:15" ht="18" customHeight="1">
      <c r="M497" s="338"/>
      <c r="N497" s="338"/>
      <c r="O497" s="338"/>
    </row>
    <row r="498" spans="13:15" ht="18" customHeight="1">
      <c r="M498" s="338"/>
      <c r="N498" s="338"/>
      <c r="O498" s="338"/>
    </row>
    <row r="499" spans="13:15" ht="18" customHeight="1">
      <c r="M499" s="338"/>
      <c r="N499" s="338"/>
      <c r="O499" s="338"/>
    </row>
    <row r="500" spans="13:15" ht="18" customHeight="1">
      <c r="M500" s="338"/>
      <c r="N500" s="338"/>
      <c r="O500" s="338"/>
    </row>
    <row r="501" spans="13:15" ht="18" customHeight="1">
      <c r="M501" s="338"/>
      <c r="N501" s="338"/>
      <c r="O501" s="338"/>
    </row>
    <row r="502" spans="13:15" ht="18" customHeight="1">
      <c r="M502" s="338"/>
      <c r="N502" s="338"/>
      <c r="O502" s="338"/>
    </row>
    <row r="503" spans="13:15" ht="18" customHeight="1">
      <c r="M503" s="338"/>
      <c r="N503" s="338"/>
      <c r="O503" s="338"/>
    </row>
    <row r="504" spans="13:15" ht="18" customHeight="1">
      <c r="M504" s="338"/>
      <c r="N504" s="338"/>
      <c r="O504" s="338"/>
    </row>
    <row r="505" spans="13:15" ht="18" customHeight="1">
      <c r="M505" s="338"/>
      <c r="N505" s="338"/>
      <c r="O505" s="338"/>
    </row>
    <row r="506" spans="13:15" ht="18" customHeight="1">
      <c r="M506" s="338"/>
      <c r="N506" s="338"/>
      <c r="O506" s="338"/>
    </row>
    <row r="507" spans="13:15" ht="18" customHeight="1">
      <c r="M507" s="338"/>
      <c r="N507" s="338"/>
      <c r="O507" s="338"/>
    </row>
    <row r="508" spans="13:15" ht="18" customHeight="1">
      <c r="M508" s="338"/>
      <c r="N508" s="338"/>
      <c r="O508" s="338"/>
    </row>
    <row r="509" spans="13:15" ht="18" customHeight="1">
      <c r="M509" s="338"/>
      <c r="N509" s="338"/>
      <c r="O509" s="338"/>
    </row>
    <row r="510" spans="13:15" ht="18" customHeight="1">
      <c r="M510" s="338"/>
      <c r="N510" s="338"/>
      <c r="O510" s="338"/>
    </row>
    <row r="511" spans="13:15" ht="18" customHeight="1">
      <c r="M511" s="338"/>
      <c r="N511" s="338"/>
      <c r="O511" s="338"/>
    </row>
    <row r="512" spans="13:15" ht="18" customHeight="1">
      <c r="M512" s="338"/>
      <c r="N512" s="338"/>
      <c r="O512" s="338"/>
    </row>
    <row r="513" spans="13:15" ht="18" customHeight="1">
      <c r="M513" s="338"/>
      <c r="N513" s="338"/>
      <c r="O513" s="338"/>
    </row>
    <row r="514" spans="13:15" ht="18" customHeight="1">
      <c r="M514" s="338"/>
      <c r="N514" s="338"/>
      <c r="O514" s="338"/>
    </row>
    <row r="515" spans="13:15" ht="18" customHeight="1">
      <c r="M515" s="338"/>
      <c r="N515" s="338"/>
      <c r="O515" s="338"/>
    </row>
    <row r="516" spans="13:15" ht="18" customHeight="1">
      <c r="M516" s="338"/>
      <c r="N516" s="338"/>
      <c r="O516" s="338"/>
    </row>
    <row r="517" spans="13:15" ht="18" customHeight="1">
      <c r="M517" s="338"/>
      <c r="N517" s="338"/>
      <c r="O517" s="338"/>
    </row>
    <row r="518" spans="13:15" ht="18" customHeight="1">
      <c r="M518" s="338"/>
      <c r="N518" s="338"/>
      <c r="O518" s="338"/>
    </row>
    <row r="519" spans="13:15" ht="18" customHeight="1">
      <c r="M519" s="338"/>
      <c r="N519" s="338"/>
      <c r="O519" s="338"/>
    </row>
    <row r="520" spans="13:15" ht="18" customHeight="1">
      <c r="M520" s="338"/>
      <c r="N520" s="338"/>
      <c r="O520" s="338"/>
    </row>
    <row r="521" spans="13:15" ht="18" customHeight="1">
      <c r="M521" s="338"/>
      <c r="N521" s="338"/>
      <c r="O521" s="338"/>
    </row>
    <row r="522" spans="13:15" ht="18" customHeight="1">
      <c r="M522" s="338"/>
      <c r="N522" s="338"/>
      <c r="O522" s="338"/>
    </row>
    <row r="523" spans="13:15" ht="18" customHeight="1">
      <c r="M523" s="338"/>
      <c r="N523" s="338"/>
      <c r="O523" s="338"/>
    </row>
    <row r="524" spans="13:15" ht="18" customHeight="1">
      <c r="M524" s="338"/>
      <c r="N524" s="338"/>
      <c r="O524" s="338"/>
    </row>
    <row r="525" spans="13:15" ht="18" customHeight="1">
      <c r="M525" s="338"/>
      <c r="N525" s="338"/>
      <c r="O525" s="338"/>
    </row>
    <row r="526" spans="13:15" ht="18" customHeight="1">
      <c r="M526" s="338"/>
      <c r="N526" s="338"/>
      <c r="O526" s="338"/>
    </row>
    <row r="527" spans="13:15" ht="18" customHeight="1">
      <c r="M527" s="338"/>
      <c r="N527" s="338"/>
      <c r="O527" s="338"/>
    </row>
    <row r="528" spans="13:15" ht="18" customHeight="1">
      <c r="M528" s="338"/>
      <c r="N528" s="338"/>
      <c r="O528" s="338"/>
    </row>
    <row r="529" spans="13:15" ht="18" customHeight="1">
      <c r="M529" s="338"/>
      <c r="N529" s="338"/>
      <c r="O529" s="338"/>
    </row>
    <row r="530" spans="13:15" ht="18" customHeight="1">
      <c r="M530" s="338"/>
      <c r="N530" s="338"/>
      <c r="O530" s="338"/>
    </row>
    <row r="531" spans="13:15" ht="18" customHeight="1">
      <c r="M531" s="338"/>
      <c r="N531" s="338"/>
      <c r="O531" s="338"/>
    </row>
    <row r="532" spans="13:15" ht="18" customHeight="1">
      <c r="M532" s="338"/>
      <c r="N532" s="338"/>
      <c r="O532" s="338"/>
    </row>
    <row r="533" spans="13:15" ht="18" customHeight="1">
      <c r="M533" s="338"/>
      <c r="N533" s="338"/>
      <c r="O533" s="338"/>
    </row>
    <row r="534" spans="13:15" ht="18" customHeight="1">
      <c r="M534" s="338"/>
      <c r="N534" s="338"/>
      <c r="O534" s="338"/>
    </row>
    <row r="535" spans="13:15" ht="18" customHeight="1">
      <c r="M535" s="338"/>
      <c r="N535" s="338"/>
      <c r="O535" s="338"/>
    </row>
    <row r="536" spans="13:15" ht="18" customHeight="1">
      <c r="M536" s="338"/>
      <c r="N536" s="338"/>
      <c r="O536" s="338"/>
    </row>
    <row r="537" spans="13:15" ht="18" customHeight="1">
      <c r="M537" s="338"/>
      <c r="N537" s="338"/>
      <c r="O537" s="338"/>
    </row>
    <row r="538" spans="13:15" ht="18" customHeight="1">
      <c r="M538" s="338"/>
      <c r="N538" s="338"/>
      <c r="O538" s="338"/>
    </row>
    <row r="539" spans="13:15" ht="18" customHeight="1">
      <c r="M539" s="338"/>
      <c r="N539" s="338"/>
      <c r="O539" s="338"/>
    </row>
    <row r="540" spans="13:15" ht="18" customHeight="1">
      <c r="M540" s="338"/>
      <c r="N540" s="338"/>
      <c r="O540" s="338"/>
    </row>
    <row r="541" spans="13:15" ht="18" customHeight="1">
      <c r="M541" s="338"/>
      <c r="N541" s="338"/>
      <c r="O541" s="338"/>
    </row>
    <row r="542" spans="13:15" ht="18" customHeight="1">
      <c r="M542" s="338"/>
      <c r="N542" s="338"/>
      <c r="O542" s="338"/>
    </row>
    <row r="543" spans="13:15" ht="18" customHeight="1">
      <c r="M543" s="338"/>
      <c r="N543" s="338"/>
      <c r="O543" s="338"/>
    </row>
    <row r="544" spans="13:15" ht="18" customHeight="1">
      <c r="M544" s="338"/>
      <c r="N544" s="338"/>
      <c r="O544" s="338"/>
    </row>
    <row r="545" spans="13:15" ht="18" customHeight="1">
      <c r="M545" s="338"/>
      <c r="N545" s="338"/>
      <c r="O545" s="338"/>
    </row>
    <row r="546" spans="13:15" ht="18" customHeight="1">
      <c r="M546" s="338"/>
      <c r="N546" s="338"/>
      <c r="O546" s="338"/>
    </row>
    <row r="547" spans="13:15" ht="18" customHeight="1">
      <c r="M547" s="338"/>
      <c r="N547" s="338"/>
      <c r="O547" s="338"/>
    </row>
    <row r="548" spans="13:15" ht="18" customHeight="1">
      <c r="M548" s="338"/>
      <c r="N548" s="338"/>
      <c r="O548" s="338"/>
    </row>
    <row r="549" spans="13:15" ht="18" customHeight="1">
      <c r="M549" s="338"/>
      <c r="N549" s="338"/>
      <c r="O549" s="338"/>
    </row>
    <row r="550" spans="13:15" ht="18" customHeight="1">
      <c r="M550" s="338"/>
      <c r="N550" s="338"/>
      <c r="O550" s="338"/>
    </row>
    <row r="551" spans="13:15" ht="18" customHeight="1">
      <c r="M551" s="338"/>
      <c r="N551" s="338"/>
      <c r="O551" s="338"/>
    </row>
    <row r="552" spans="13:15" ht="18" customHeight="1">
      <c r="M552" s="338"/>
      <c r="N552" s="338"/>
      <c r="O552" s="338"/>
    </row>
    <row r="553" spans="13:15" ht="18" customHeight="1">
      <c r="M553" s="338"/>
      <c r="N553" s="338"/>
      <c r="O553" s="338"/>
    </row>
    <row r="554" spans="13:15" ht="18" customHeight="1">
      <c r="M554" s="338"/>
      <c r="N554" s="338"/>
      <c r="O554" s="338"/>
    </row>
    <row r="555" spans="13:15" ht="18" customHeight="1">
      <c r="M555" s="338"/>
      <c r="N555" s="338"/>
      <c r="O555" s="338"/>
    </row>
    <row r="556" spans="13:15" ht="18" customHeight="1">
      <c r="M556" s="338"/>
      <c r="N556" s="338"/>
      <c r="O556" s="338"/>
    </row>
    <row r="557" spans="13:15" ht="18" customHeight="1">
      <c r="M557" s="338"/>
      <c r="N557" s="338"/>
      <c r="O557" s="338"/>
    </row>
    <row r="558" spans="13:15" ht="18" customHeight="1">
      <c r="M558" s="338"/>
      <c r="N558" s="338"/>
      <c r="O558" s="338"/>
    </row>
    <row r="559" spans="13:15" ht="18" customHeight="1">
      <c r="M559" s="338"/>
      <c r="N559" s="338"/>
      <c r="O559" s="338"/>
    </row>
    <row r="560" spans="13:15" ht="18" customHeight="1">
      <c r="M560" s="338"/>
      <c r="N560" s="338"/>
      <c r="O560" s="338"/>
    </row>
    <row r="561" spans="13:15" ht="18" customHeight="1">
      <c r="M561" s="338"/>
      <c r="N561" s="338"/>
      <c r="O561" s="338"/>
    </row>
    <row r="562" spans="13:15" ht="18" customHeight="1">
      <c r="M562" s="338"/>
      <c r="N562" s="338"/>
      <c r="O562" s="338"/>
    </row>
    <row r="563" spans="13:15" ht="18" customHeight="1">
      <c r="M563" s="338"/>
      <c r="N563" s="338"/>
      <c r="O563" s="338"/>
    </row>
    <row r="564" spans="13:15" ht="18" customHeight="1">
      <c r="M564" s="338"/>
      <c r="N564" s="338"/>
      <c r="O564" s="338"/>
    </row>
    <row r="565" spans="13:15" ht="18" customHeight="1">
      <c r="M565" s="338"/>
      <c r="N565" s="338"/>
      <c r="O565" s="338"/>
    </row>
    <row r="566" spans="13:15" ht="18" customHeight="1">
      <c r="M566" s="338"/>
      <c r="N566" s="338"/>
      <c r="O566" s="338"/>
    </row>
    <row r="567" spans="13:15" ht="18" customHeight="1">
      <c r="M567" s="338"/>
      <c r="N567" s="338"/>
      <c r="O567" s="338"/>
    </row>
    <row r="568" spans="13:15" ht="18" customHeight="1">
      <c r="M568" s="338"/>
      <c r="N568" s="338"/>
      <c r="O568" s="338"/>
    </row>
    <row r="569" spans="13:15" ht="18" customHeight="1">
      <c r="M569" s="338"/>
      <c r="N569" s="338"/>
      <c r="O569" s="338"/>
    </row>
    <row r="570" spans="13:15" ht="18" customHeight="1">
      <c r="M570" s="338"/>
      <c r="N570" s="338"/>
      <c r="O570" s="338"/>
    </row>
    <row r="571" spans="13:15" ht="18" customHeight="1">
      <c r="M571" s="338"/>
      <c r="N571" s="338"/>
      <c r="O571" s="338"/>
    </row>
    <row r="572" spans="13:15" ht="18" customHeight="1">
      <c r="M572" s="338"/>
      <c r="N572" s="338"/>
      <c r="O572" s="338"/>
    </row>
    <row r="573" spans="13:15" ht="18" customHeight="1">
      <c r="M573" s="338"/>
      <c r="N573" s="338"/>
      <c r="O573" s="338"/>
    </row>
    <row r="574" spans="13:15" ht="18" customHeight="1">
      <c r="M574" s="338"/>
      <c r="N574" s="338"/>
      <c r="O574" s="338"/>
    </row>
    <row r="575" spans="13:15" ht="18" customHeight="1">
      <c r="M575" s="338"/>
      <c r="N575" s="338"/>
      <c r="O575" s="338"/>
    </row>
    <row r="576" spans="13:15" ht="18" customHeight="1">
      <c r="M576" s="338"/>
      <c r="N576" s="338"/>
      <c r="O576" s="338"/>
    </row>
    <row r="577" spans="13:15" ht="18" customHeight="1">
      <c r="M577" s="338"/>
      <c r="N577" s="338"/>
      <c r="O577" s="338"/>
    </row>
    <row r="578" spans="13:15" ht="18" customHeight="1">
      <c r="M578" s="338"/>
      <c r="N578" s="338"/>
      <c r="O578" s="338"/>
    </row>
    <row r="579" spans="13:15" ht="18" customHeight="1">
      <c r="M579" s="338"/>
      <c r="N579" s="338"/>
      <c r="O579" s="338"/>
    </row>
    <row r="580" spans="13:15" ht="18" customHeight="1">
      <c r="M580" s="338"/>
      <c r="N580" s="338"/>
      <c r="O580" s="338"/>
    </row>
    <row r="581" spans="13:15" ht="18" customHeight="1">
      <c r="M581" s="338"/>
      <c r="N581" s="338"/>
      <c r="O581" s="338"/>
    </row>
    <row r="582" spans="13:15" ht="18" customHeight="1">
      <c r="M582" s="338"/>
      <c r="N582" s="338"/>
      <c r="O582" s="338"/>
    </row>
    <row r="583" spans="13:15" ht="18" customHeight="1">
      <c r="M583" s="338"/>
      <c r="N583" s="338"/>
      <c r="O583" s="338"/>
    </row>
    <row r="584" spans="13:15" ht="18" customHeight="1">
      <c r="M584" s="338"/>
      <c r="N584" s="338"/>
      <c r="O584" s="338"/>
    </row>
    <row r="585" spans="13:15" ht="18" customHeight="1">
      <c r="M585" s="338"/>
      <c r="N585" s="338"/>
      <c r="O585" s="338"/>
    </row>
    <row r="586" spans="13:15" ht="18" customHeight="1">
      <c r="M586" s="338"/>
      <c r="N586" s="338"/>
      <c r="O586" s="338"/>
    </row>
    <row r="587" spans="13:15" ht="18" customHeight="1">
      <c r="M587" s="338"/>
      <c r="N587" s="338"/>
      <c r="O587" s="338"/>
    </row>
    <row r="588" spans="13:15" ht="18" customHeight="1">
      <c r="M588" s="338"/>
      <c r="N588" s="338"/>
      <c r="O588" s="338"/>
    </row>
    <row r="589" spans="13:15" ht="18" customHeight="1">
      <c r="M589" s="338"/>
      <c r="N589" s="338"/>
      <c r="O589" s="338"/>
    </row>
    <row r="590" spans="13:15" ht="18" customHeight="1">
      <c r="M590" s="338"/>
      <c r="N590" s="338"/>
      <c r="O590" s="338"/>
    </row>
    <row r="591" spans="13:15" ht="18" customHeight="1">
      <c r="M591" s="338"/>
      <c r="N591" s="338"/>
      <c r="O591" s="338"/>
    </row>
    <row r="592" spans="13:15" ht="18" customHeight="1">
      <c r="M592" s="338"/>
      <c r="N592" s="338"/>
      <c r="O592" s="338"/>
    </row>
    <row r="593" spans="13:15" ht="18" customHeight="1">
      <c r="M593" s="338"/>
      <c r="N593" s="338"/>
      <c r="O593" s="338"/>
    </row>
    <row r="594" spans="13:15" ht="18" customHeight="1">
      <c r="M594" s="338"/>
      <c r="N594" s="338"/>
      <c r="O594" s="338"/>
    </row>
    <row r="595" spans="13:15" ht="18" customHeight="1">
      <c r="M595" s="338"/>
      <c r="N595" s="338"/>
      <c r="O595" s="338"/>
    </row>
    <row r="596" spans="13:15" ht="18" customHeight="1">
      <c r="M596" s="338"/>
      <c r="N596" s="338"/>
      <c r="O596" s="338"/>
    </row>
    <row r="597" spans="13:15" ht="18" customHeight="1">
      <c r="M597" s="338"/>
      <c r="N597" s="338"/>
      <c r="O597" s="338"/>
    </row>
    <row r="598" spans="13:15" ht="18" customHeight="1">
      <c r="M598" s="338"/>
      <c r="N598" s="338"/>
      <c r="O598" s="338"/>
    </row>
    <row r="599" spans="13:15" ht="18" customHeight="1">
      <c r="M599" s="338"/>
      <c r="N599" s="338"/>
      <c r="O599" s="338"/>
    </row>
    <row r="600" spans="13:15" ht="18" customHeight="1">
      <c r="M600" s="338"/>
      <c r="N600" s="338"/>
      <c r="O600" s="338"/>
    </row>
    <row r="601" spans="13:15" ht="18" customHeight="1">
      <c r="M601" s="338"/>
      <c r="N601" s="338"/>
      <c r="O601" s="338"/>
    </row>
    <row r="602" spans="13:15" ht="18" customHeight="1">
      <c r="M602" s="338"/>
      <c r="N602" s="338"/>
      <c r="O602" s="338"/>
    </row>
    <row r="603" spans="13:15" ht="18" customHeight="1">
      <c r="M603" s="338"/>
      <c r="N603" s="338"/>
      <c r="O603" s="338"/>
    </row>
    <row r="604" spans="13:15" ht="18" customHeight="1">
      <c r="M604" s="338"/>
      <c r="N604" s="338"/>
      <c r="O604" s="338"/>
    </row>
    <row r="605" spans="13:15" ht="18" customHeight="1">
      <c r="M605" s="338"/>
      <c r="N605" s="338"/>
      <c r="O605" s="338"/>
    </row>
    <row r="606" spans="13:15" ht="18" customHeight="1">
      <c r="M606" s="338"/>
      <c r="N606" s="338"/>
      <c r="O606" s="338"/>
    </row>
    <row r="607" spans="13:15" ht="18" customHeight="1">
      <c r="M607" s="338"/>
      <c r="N607" s="338"/>
      <c r="O607" s="338"/>
    </row>
    <row r="608" spans="13:15" ht="18" customHeight="1">
      <c r="M608" s="338"/>
      <c r="N608" s="338"/>
      <c r="O608" s="338"/>
    </row>
    <row r="609" spans="13:15" ht="18" customHeight="1">
      <c r="M609" s="338"/>
      <c r="N609" s="338"/>
      <c r="O609" s="338"/>
    </row>
    <row r="610" spans="13:15" ht="18" customHeight="1">
      <c r="M610" s="338"/>
      <c r="N610" s="338"/>
      <c r="O610" s="338"/>
    </row>
    <row r="611" spans="13:15" ht="18" customHeight="1">
      <c r="M611" s="338"/>
      <c r="N611" s="338"/>
      <c r="O611" s="338"/>
    </row>
    <row r="612" spans="13:15" ht="18" customHeight="1">
      <c r="M612" s="338"/>
      <c r="N612" s="338"/>
      <c r="O612" s="338"/>
    </row>
    <row r="613" spans="13:15" ht="18" customHeight="1">
      <c r="M613" s="338"/>
      <c r="N613" s="338"/>
      <c r="O613" s="338"/>
    </row>
    <row r="614" spans="13:15" ht="18" customHeight="1">
      <c r="M614" s="338"/>
      <c r="N614" s="338"/>
      <c r="O614" s="338"/>
    </row>
    <row r="615" spans="13:15" ht="18" customHeight="1">
      <c r="M615" s="338"/>
      <c r="N615" s="338"/>
      <c r="O615" s="338"/>
    </row>
    <row r="616" spans="13:15" ht="18" customHeight="1">
      <c r="M616" s="338"/>
      <c r="N616" s="338"/>
      <c r="O616" s="338"/>
    </row>
    <row r="617" spans="13:15" ht="18" customHeight="1">
      <c r="M617" s="338"/>
      <c r="N617" s="338"/>
      <c r="O617" s="338"/>
    </row>
    <row r="618" spans="13:15" ht="18" customHeight="1">
      <c r="M618" s="338"/>
      <c r="N618" s="338"/>
      <c r="O618" s="338"/>
    </row>
    <row r="619" spans="13:15" ht="18" customHeight="1">
      <c r="M619" s="338"/>
      <c r="N619" s="338"/>
      <c r="O619" s="338"/>
    </row>
    <row r="620" spans="13:15" ht="18" customHeight="1">
      <c r="M620" s="338"/>
      <c r="N620" s="338"/>
      <c r="O620" s="338"/>
    </row>
    <row r="621" spans="13:15" ht="18" customHeight="1">
      <c r="M621" s="338"/>
      <c r="N621" s="338"/>
      <c r="O621" s="338"/>
    </row>
    <row r="622" spans="13:15" ht="18" customHeight="1">
      <c r="M622" s="338"/>
      <c r="N622" s="338"/>
      <c r="O622" s="338"/>
    </row>
    <row r="623" spans="13:15" ht="18" customHeight="1">
      <c r="M623" s="338"/>
      <c r="N623" s="338"/>
      <c r="O623" s="338"/>
    </row>
    <row r="624" spans="13:15" ht="18" customHeight="1">
      <c r="M624" s="338"/>
      <c r="N624" s="338"/>
      <c r="O624" s="338"/>
    </row>
    <row r="625" spans="13:15" ht="18" customHeight="1">
      <c r="M625" s="338"/>
      <c r="N625" s="338"/>
      <c r="O625" s="338"/>
    </row>
    <row r="626" spans="13:15" ht="18" customHeight="1">
      <c r="M626" s="338"/>
      <c r="N626" s="338"/>
      <c r="O626" s="338"/>
    </row>
    <row r="627" spans="13:15" ht="18" customHeight="1">
      <c r="M627" s="338"/>
      <c r="N627" s="338"/>
      <c r="O627" s="338"/>
    </row>
    <row r="628" spans="13:15" ht="18" customHeight="1">
      <c r="M628" s="338"/>
      <c r="N628" s="338"/>
      <c r="O628" s="338"/>
    </row>
    <row r="629" spans="13:15" ht="18" customHeight="1">
      <c r="M629" s="338"/>
      <c r="N629" s="338"/>
      <c r="O629" s="338"/>
    </row>
    <row r="630" spans="13:15" ht="18" customHeight="1">
      <c r="M630" s="338"/>
      <c r="N630" s="338"/>
      <c r="O630" s="338"/>
    </row>
    <row r="631" spans="13:15" ht="18" customHeight="1">
      <c r="M631" s="338"/>
      <c r="N631" s="338"/>
      <c r="O631" s="338"/>
    </row>
    <row r="632" spans="13:15" ht="18" customHeight="1">
      <c r="M632" s="338"/>
      <c r="N632" s="338"/>
      <c r="O632" s="338"/>
    </row>
    <row r="633" spans="13:15" ht="18" customHeight="1">
      <c r="M633" s="338"/>
      <c r="N633" s="338"/>
      <c r="O633" s="338"/>
    </row>
    <row r="634" spans="13:15" ht="18" customHeight="1">
      <c r="M634" s="338"/>
      <c r="N634" s="338"/>
      <c r="O634" s="338"/>
    </row>
    <row r="635" spans="13:15" ht="18" customHeight="1">
      <c r="M635" s="338"/>
      <c r="N635" s="338"/>
      <c r="O635" s="338"/>
    </row>
    <row r="636" spans="13:15" ht="18" customHeight="1">
      <c r="M636" s="338"/>
      <c r="N636" s="338"/>
      <c r="O636" s="338"/>
    </row>
    <row r="637" spans="13:15" ht="18" customHeight="1">
      <c r="M637" s="338"/>
      <c r="N637" s="338"/>
      <c r="O637" s="338"/>
    </row>
    <row r="638" spans="13:15" ht="18" customHeight="1">
      <c r="M638" s="338"/>
      <c r="N638" s="338"/>
      <c r="O638" s="338"/>
    </row>
    <row r="639" spans="13:15" ht="18" customHeight="1">
      <c r="M639" s="338"/>
      <c r="N639" s="338"/>
      <c r="O639" s="338"/>
    </row>
    <row r="640" spans="13:15" ht="18" customHeight="1">
      <c r="M640" s="338"/>
      <c r="N640" s="338"/>
      <c r="O640" s="338"/>
    </row>
    <row r="641" spans="13:15" ht="18" customHeight="1">
      <c r="M641" s="338"/>
      <c r="N641" s="338"/>
      <c r="O641" s="338"/>
    </row>
    <row r="642" spans="13:15" ht="18" customHeight="1">
      <c r="M642" s="338"/>
      <c r="N642" s="338"/>
      <c r="O642" s="338"/>
    </row>
    <row r="643" spans="13:15" ht="18" customHeight="1">
      <c r="M643" s="338"/>
      <c r="N643" s="338"/>
      <c r="O643" s="338"/>
    </row>
    <row r="644" spans="13:15" ht="18" customHeight="1">
      <c r="M644" s="338"/>
      <c r="N644" s="338"/>
      <c r="O644" s="338"/>
    </row>
    <row r="645" spans="13:15" ht="18" customHeight="1">
      <c r="M645" s="338"/>
      <c r="N645" s="338"/>
      <c r="O645" s="338"/>
    </row>
    <row r="646" spans="13:15" ht="18" customHeight="1">
      <c r="M646" s="338"/>
      <c r="N646" s="338"/>
      <c r="O646" s="338"/>
    </row>
    <row r="647" spans="13:15" ht="18" customHeight="1">
      <c r="M647" s="338"/>
      <c r="N647" s="338"/>
      <c r="O647" s="338"/>
    </row>
    <row r="648" spans="13:15" ht="18" customHeight="1">
      <c r="M648" s="338"/>
      <c r="N648" s="338"/>
      <c r="O648" s="338"/>
    </row>
    <row r="649" spans="13:15" ht="18" customHeight="1">
      <c r="M649" s="338"/>
      <c r="N649" s="338"/>
      <c r="O649" s="338"/>
    </row>
    <row r="650" spans="13:15" ht="18" customHeight="1">
      <c r="M650" s="338"/>
      <c r="N650" s="338"/>
      <c r="O650" s="338"/>
    </row>
    <row r="651" spans="13:15" ht="18" customHeight="1">
      <c r="M651" s="338"/>
      <c r="N651" s="338"/>
      <c r="O651" s="338"/>
    </row>
    <row r="652" spans="13:15" ht="18" customHeight="1">
      <c r="M652" s="338"/>
      <c r="N652" s="338"/>
      <c r="O652" s="338"/>
    </row>
    <row r="653" spans="13:15" ht="18" customHeight="1">
      <c r="M653" s="338"/>
      <c r="N653" s="338"/>
      <c r="O653" s="338"/>
    </row>
    <row r="654" spans="13:15" ht="18" customHeight="1">
      <c r="M654" s="338"/>
      <c r="N654" s="338"/>
      <c r="O654" s="338"/>
    </row>
    <row r="655" spans="13:15" ht="18" customHeight="1">
      <c r="M655" s="338"/>
      <c r="N655" s="338"/>
      <c r="O655" s="338"/>
    </row>
    <row r="656" spans="13:15" ht="18" customHeight="1">
      <c r="M656" s="338"/>
      <c r="N656" s="338"/>
      <c r="O656" s="338"/>
    </row>
    <row r="657" spans="13:15" ht="18" customHeight="1">
      <c r="M657" s="338"/>
      <c r="N657" s="338"/>
      <c r="O657" s="338"/>
    </row>
    <row r="658" spans="13:15" ht="18" customHeight="1">
      <c r="M658" s="338"/>
      <c r="N658" s="338"/>
      <c r="O658" s="338"/>
    </row>
    <row r="659" spans="13:15" ht="18" customHeight="1">
      <c r="M659" s="338"/>
      <c r="N659" s="338"/>
      <c r="O659" s="338"/>
    </row>
    <row r="660" spans="13:15" ht="18" customHeight="1">
      <c r="M660" s="338"/>
      <c r="N660" s="338"/>
      <c r="O660" s="338"/>
    </row>
    <row r="661" spans="13:15" ht="18" customHeight="1">
      <c r="M661" s="338"/>
      <c r="N661" s="338"/>
      <c r="O661" s="338"/>
    </row>
    <row r="662" spans="13:15" ht="18" customHeight="1">
      <c r="M662" s="338"/>
      <c r="N662" s="338"/>
      <c r="O662" s="338"/>
    </row>
    <row r="663" spans="13:15" ht="18" customHeight="1">
      <c r="M663" s="338"/>
      <c r="N663" s="338"/>
      <c r="O663" s="338"/>
    </row>
    <row r="664" spans="13:15" ht="18" customHeight="1">
      <c r="M664" s="338"/>
      <c r="N664" s="338"/>
      <c r="O664" s="338"/>
    </row>
    <row r="665" spans="13:15" ht="18" customHeight="1">
      <c r="M665" s="338"/>
      <c r="N665" s="338"/>
      <c r="O665" s="338"/>
    </row>
    <row r="666" spans="13:15" ht="18" customHeight="1">
      <c r="M666" s="338"/>
      <c r="N666" s="338"/>
      <c r="O666" s="338"/>
    </row>
    <row r="667" spans="13:15" ht="18" customHeight="1">
      <c r="M667" s="338"/>
      <c r="N667" s="338"/>
      <c r="O667" s="338"/>
    </row>
    <row r="668" spans="13:15" ht="18" customHeight="1">
      <c r="M668" s="338"/>
      <c r="N668" s="338"/>
      <c r="O668" s="338"/>
    </row>
    <row r="669" spans="13:15" ht="18" customHeight="1">
      <c r="M669" s="338"/>
      <c r="N669" s="338"/>
      <c r="O669" s="338"/>
    </row>
    <row r="670" spans="13:15" ht="18" customHeight="1">
      <c r="M670" s="338"/>
      <c r="N670" s="338"/>
      <c r="O670" s="338"/>
    </row>
    <row r="671" spans="13:15" ht="18" customHeight="1">
      <c r="M671" s="338"/>
      <c r="N671" s="338"/>
      <c r="O671" s="338"/>
    </row>
    <row r="672" spans="13:15" ht="18" customHeight="1">
      <c r="M672" s="338"/>
      <c r="N672" s="338"/>
      <c r="O672" s="338"/>
    </row>
    <row r="673" spans="13:15" ht="18" customHeight="1">
      <c r="M673" s="338"/>
      <c r="N673" s="338"/>
      <c r="O673" s="338"/>
    </row>
    <row r="674" spans="13:15" ht="18" customHeight="1">
      <c r="M674" s="338"/>
      <c r="N674" s="338"/>
      <c r="O674" s="338"/>
    </row>
    <row r="675" spans="13:15" ht="18" customHeight="1">
      <c r="M675" s="338"/>
      <c r="N675" s="338"/>
      <c r="O675" s="338"/>
    </row>
    <row r="676" spans="13:15" ht="18" customHeight="1">
      <c r="M676" s="338"/>
      <c r="N676" s="338"/>
      <c r="O676" s="338"/>
    </row>
    <row r="677" spans="13:15" ht="18" customHeight="1">
      <c r="M677" s="338"/>
      <c r="N677" s="338"/>
      <c r="O677" s="338"/>
    </row>
    <row r="678" spans="13:15" ht="18" customHeight="1">
      <c r="M678" s="338"/>
      <c r="N678" s="338"/>
      <c r="O678" s="338"/>
    </row>
    <row r="679" spans="13:15" ht="18" customHeight="1">
      <c r="M679" s="338"/>
      <c r="N679" s="338"/>
      <c r="O679" s="338"/>
    </row>
    <row r="680" spans="13:15" ht="18" customHeight="1">
      <c r="M680" s="338"/>
      <c r="N680" s="338"/>
      <c r="O680" s="338"/>
    </row>
    <row r="681" spans="13:15" ht="18" customHeight="1">
      <c r="M681" s="338"/>
      <c r="N681" s="338"/>
      <c r="O681" s="338"/>
    </row>
    <row r="682" spans="13:15" ht="18" customHeight="1">
      <c r="M682" s="338"/>
      <c r="N682" s="338"/>
      <c r="O682" s="338"/>
    </row>
    <row r="683" spans="13:15" ht="18" customHeight="1">
      <c r="M683" s="338"/>
      <c r="N683" s="338"/>
      <c r="O683" s="338"/>
    </row>
    <row r="684" spans="13:15" ht="18" customHeight="1">
      <c r="M684" s="338"/>
      <c r="N684" s="338"/>
      <c r="O684" s="338"/>
    </row>
    <row r="685" spans="13:15" ht="18" customHeight="1">
      <c r="M685" s="338"/>
      <c r="N685" s="338"/>
      <c r="O685" s="338"/>
    </row>
    <row r="686" spans="13:15" ht="18" customHeight="1">
      <c r="M686" s="338"/>
      <c r="N686" s="338"/>
      <c r="O686" s="338"/>
    </row>
    <row r="687" spans="13:15" ht="18" customHeight="1">
      <c r="M687" s="338"/>
      <c r="N687" s="338"/>
      <c r="O687" s="338"/>
    </row>
    <row r="688" spans="13:15" ht="18" customHeight="1">
      <c r="M688" s="338"/>
      <c r="N688" s="338"/>
      <c r="O688" s="338"/>
    </row>
    <row r="689" spans="13:15" ht="18" customHeight="1">
      <c r="M689" s="338"/>
      <c r="N689" s="338"/>
      <c r="O689" s="338"/>
    </row>
    <row r="690" spans="13:15" ht="18" customHeight="1">
      <c r="M690" s="338"/>
      <c r="N690" s="338"/>
      <c r="O690" s="338"/>
    </row>
    <row r="691" spans="13:15" ht="18" customHeight="1">
      <c r="M691" s="338"/>
      <c r="N691" s="338"/>
      <c r="O691" s="338"/>
    </row>
    <row r="692" spans="13:15" ht="18" customHeight="1">
      <c r="M692" s="338"/>
      <c r="N692" s="338"/>
      <c r="O692" s="338"/>
    </row>
    <row r="693" spans="13:15" ht="18" customHeight="1">
      <c r="M693" s="338"/>
      <c r="N693" s="338"/>
      <c r="O693" s="338"/>
    </row>
    <row r="694" spans="13:15" ht="18" customHeight="1">
      <c r="M694" s="338"/>
      <c r="N694" s="338"/>
      <c r="O694" s="338"/>
    </row>
    <row r="695" spans="13:15" ht="18" customHeight="1">
      <c r="M695" s="338"/>
      <c r="N695" s="338"/>
      <c r="O695" s="338"/>
    </row>
    <row r="696" spans="13:15" ht="18" customHeight="1">
      <c r="M696" s="338"/>
      <c r="N696" s="338"/>
      <c r="O696" s="338"/>
    </row>
    <row r="697" spans="13:15" ht="18" customHeight="1">
      <c r="M697" s="338"/>
      <c r="N697" s="338"/>
      <c r="O697" s="338"/>
    </row>
    <row r="698" spans="13:15" ht="18" customHeight="1">
      <c r="M698" s="338"/>
      <c r="N698" s="338"/>
      <c r="O698" s="338"/>
    </row>
    <row r="699" spans="13:15" ht="18" customHeight="1">
      <c r="M699" s="338"/>
      <c r="N699" s="338"/>
      <c r="O699" s="338"/>
    </row>
    <row r="700" spans="13:15" ht="18" customHeight="1">
      <c r="M700" s="338"/>
      <c r="N700" s="338"/>
      <c r="O700" s="338"/>
    </row>
    <row r="701" spans="13:15" ht="18" customHeight="1">
      <c r="M701" s="338"/>
      <c r="N701" s="338"/>
      <c r="O701" s="338"/>
    </row>
    <row r="702" spans="13:15" ht="18" customHeight="1">
      <c r="M702" s="338"/>
      <c r="N702" s="338"/>
      <c r="O702" s="338"/>
    </row>
    <row r="703" spans="13:15" ht="18" customHeight="1">
      <c r="M703" s="338"/>
      <c r="N703" s="338"/>
      <c r="O703" s="338"/>
    </row>
    <row r="704" spans="13:15" ht="18" customHeight="1">
      <c r="M704" s="338"/>
      <c r="N704" s="338"/>
      <c r="O704" s="338"/>
    </row>
    <row r="705" spans="13:15" ht="18" customHeight="1">
      <c r="M705" s="338"/>
      <c r="N705" s="338"/>
      <c r="O705" s="338"/>
    </row>
    <row r="706" spans="13:15" ht="18" customHeight="1">
      <c r="M706" s="338"/>
      <c r="N706" s="338"/>
      <c r="O706" s="338"/>
    </row>
    <row r="707" spans="13:15" ht="18" customHeight="1">
      <c r="M707" s="338"/>
      <c r="N707" s="338"/>
      <c r="O707" s="338"/>
    </row>
    <row r="708" spans="13:15" ht="18" customHeight="1">
      <c r="M708" s="338"/>
      <c r="N708" s="338"/>
      <c r="O708" s="338"/>
    </row>
    <row r="709" spans="13:15" ht="18" customHeight="1">
      <c r="M709" s="338"/>
      <c r="N709" s="338"/>
      <c r="O709" s="338"/>
    </row>
    <row r="710" spans="13:15" ht="18" customHeight="1">
      <c r="M710" s="338"/>
      <c r="N710" s="338"/>
      <c r="O710" s="338"/>
    </row>
    <row r="711" spans="13:15" ht="18" customHeight="1">
      <c r="M711" s="338"/>
      <c r="N711" s="338"/>
      <c r="O711" s="338"/>
    </row>
    <row r="712" spans="13:15" ht="18" customHeight="1">
      <c r="M712" s="338"/>
      <c r="N712" s="338"/>
      <c r="O712" s="338"/>
    </row>
    <row r="713" spans="13:15" ht="18" customHeight="1">
      <c r="M713" s="338"/>
      <c r="N713" s="338"/>
      <c r="O713" s="338"/>
    </row>
    <row r="714" spans="13:15" ht="18" customHeight="1">
      <c r="M714" s="338"/>
      <c r="N714" s="338"/>
      <c r="O714" s="338"/>
    </row>
    <row r="715" spans="13:15" ht="18" customHeight="1">
      <c r="M715" s="338"/>
      <c r="N715" s="338"/>
      <c r="O715" s="338"/>
    </row>
    <row r="716" spans="13:15" ht="18" customHeight="1">
      <c r="M716" s="338"/>
      <c r="N716" s="338"/>
      <c r="O716" s="338"/>
    </row>
    <row r="717" spans="13:15" ht="18" customHeight="1">
      <c r="M717" s="338"/>
      <c r="N717" s="338"/>
      <c r="O717" s="338"/>
    </row>
    <row r="718" spans="13:15" ht="18" customHeight="1">
      <c r="M718" s="338"/>
      <c r="N718" s="338"/>
      <c r="O718" s="338"/>
    </row>
    <row r="719" spans="13:15" ht="18" customHeight="1">
      <c r="M719" s="338"/>
      <c r="N719" s="338"/>
      <c r="O719" s="338"/>
    </row>
    <row r="720" spans="13:15" ht="18" customHeight="1">
      <c r="M720" s="338"/>
      <c r="N720" s="338"/>
      <c r="O720" s="338"/>
    </row>
    <row r="721" spans="13:15" ht="18" customHeight="1">
      <c r="M721" s="338"/>
      <c r="N721" s="338"/>
      <c r="O721" s="338"/>
    </row>
    <row r="722" spans="13:15" ht="18" customHeight="1">
      <c r="M722" s="338"/>
      <c r="N722" s="338"/>
      <c r="O722" s="338"/>
    </row>
    <row r="723" spans="13:15" ht="18" customHeight="1">
      <c r="M723" s="338"/>
      <c r="N723" s="338"/>
      <c r="O723" s="338"/>
    </row>
    <row r="724" spans="13:15" ht="18" customHeight="1">
      <c r="M724" s="338"/>
      <c r="N724" s="338"/>
      <c r="O724" s="338"/>
    </row>
    <row r="725" spans="13:15" ht="18" customHeight="1">
      <c r="M725" s="338"/>
      <c r="N725" s="338"/>
      <c r="O725" s="338"/>
    </row>
    <row r="726" spans="13:15" ht="18" customHeight="1">
      <c r="M726" s="338"/>
      <c r="N726" s="338"/>
      <c r="O726" s="338"/>
    </row>
    <row r="727" spans="13:15" ht="18" customHeight="1">
      <c r="M727" s="338"/>
      <c r="N727" s="338"/>
      <c r="O727" s="338"/>
    </row>
    <row r="728" spans="13:15" ht="18" customHeight="1">
      <c r="M728" s="338"/>
      <c r="N728" s="338"/>
      <c r="O728" s="338"/>
    </row>
    <row r="729" spans="13:15" ht="18" customHeight="1">
      <c r="M729" s="338"/>
      <c r="N729" s="338"/>
      <c r="O729" s="338"/>
    </row>
    <row r="730" spans="13:15" ht="18" customHeight="1">
      <c r="M730" s="338"/>
      <c r="N730" s="338"/>
      <c r="O730" s="338"/>
    </row>
    <row r="731" spans="13:15" ht="18" customHeight="1">
      <c r="M731" s="338"/>
      <c r="N731" s="338"/>
      <c r="O731" s="338"/>
    </row>
    <row r="732" spans="13:15" ht="18" customHeight="1">
      <c r="M732" s="338"/>
      <c r="N732" s="338"/>
      <c r="O732" s="338"/>
    </row>
    <row r="733" spans="13:15" ht="18" customHeight="1">
      <c r="M733" s="338"/>
      <c r="N733" s="338"/>
      <c r="O733" s="338"/>
    </row>
    <row r="734" spans="13:15" ht="18" customHeight="1">
      <c r="M734" s="338"/>
      <c r="N734" s="338"/>
      <c r="O734" s="338"/>
    </row>
    <row r="735" spans="13:15" ht="18" customHeight="1">
      <c r="M735" s="338"/>
      <c r="N735" s="338"/>
      <c r="O735" s="338"/>
    </row>
    <row r="736" spans="13:15" ht="18" customHeight="1">
      <c r="M736" s="338"/>
      <c r="N736" s="338"/>
      <c r="O736" s="338"/>
    </row>
    <row r="737" spans="13:15" ht="18" customHeight="1">
      <c r="M737" s="338"/>
      <c r="N737" s="338"/>
      <c r="O737" s="338"/>
    </row>
    <row r="738" spans="13:15" ht="18" customHeight="1">
      <c r="M738" s="338"/>
      <c r="N738" s="338"/>
      <c r="O738" s="338"/>
    </row>
    <row r="739" spans="13:15" ht="18" customHeight="1">
      <c r="M739" s="338"/>
      <c r="N739" s="338"/>
      <c r="O739" s="338"/>
    </row>
    <row r="740" spans="13:15" ht="18" customHeight="1">
      <c r="M740" s="338"/>
      <c r="N740" s="338"/>
      <c r="O740" s="338"/>
    </row>
    <row r="741" spans="13:15" ht="18" customHeight="1">
      <c r="M741" s="338"/>
      <c r="N741" s="338"/>
      <c r="O741" s="338"/>
    </row>
    <row r="742" spans="13:15" ht="18" customHeight="1">
      <c r="M742" s="338"/>
      <c r="N742" s="338"/>
      <c r="O742" s="338"/>
    </row>
    <row r="743" spans="13:15" ht="18" customHeight="1">
      <c r="M743" s="338"/>
      <c r="N743" s="338"/>
      <c r="O743" s="338"/>
    </row>
    <row r="744" spans="13:15" ht="18" customHeight="1">
      <c r="M744" s="338"/>
      <c r="N744" s="338"/>
      <c r="O744" s="338"/>
    </row>
    <row r="745" spans="13:15" ht="18" customHeight="1">
      <c r="M745" s="338"/>
      <c r="N745" s="338"/>
      <c r="O745" s="338"/>
    </row>
    <row r="746" spans="13:15" ht="18" customHeight="1">
      <c r="M746" s="338"/>
      <c r="N746" s="338"/>
      <c r="O746" s="338"/>
    </row>
    <row r="747" spans="13:15" ht="18" customHeight="1">
      <c r="M747" s="338"/>
      <c r="N747" s="338"/>
      <c r="O747" s="338"/>
    </row>
    <row r="748" spans="13:15" ht="18" customHeight="1">
      <c r="M748" s="338"/>
      <c r="N748" s="338"/>
      <c r="O748" s="338"/>
    </row>
    <row r="749" spans="13:15" ht="18" customHeight="1">
      <c r="M749" s="338"/>
      <c r="N749" s="338"/>
      <c r="O749" s="338"/>
    </row>
    <row r="750" spans="13:15" ht="18" customHeight="1">
      <c r="M750" s="338"/>
      <c r="N750" s="338"/>
      <c r="O750" s="338"/>
    </row>
    <row r="751" spans="13:15" ht="18" customHeight="1">
      <c r="M751" s="338"/>
      <c r="N751" s="338"/>
      <c r="O751" s="338"/>
    </row>
    <row r="752" spans="13:15" ht="18" customHeight="1">
      <c r="M752" s="338"/>
      <c r="N752" s="338"/>
      <c r="O752" s="338"/>
    </row>
    <row r="753" spans="13:15" ht="18" customHeight="1">
      <c r="M753" s="338"/>
      <c r="N753" s="338"/>
      <c r="O753" s="338"/>
    </row>
    <row r="754" spans="13:15" ht="18" customHeight="1">
      <c r="M754" s="338"/>
      <c r="N754" s="338"/>
      <c r="O754" s="338"/>
    </row>
    <row r="755" spans="13:15" ht="18" customHeight="1">
      <c r="M755" s="338"/>
      <c r="N755" s="338"/>
      <c r="O755" s="338"/>
    </row>
    <row r="756" spans="13:15" ht="18" customHeight="1">
      <c r="M756" s="338"/>
      <c r="N756" s="338"/>
      <c r="O756" s="338"/>
    </row>
    <row r="757" spans="13:15" ht="18" customHeight="1">
      <c r="M757" s="338"/>
      <c r="N757" s="338"/>
      <c r="O757" s="338"/>
    </row>
    <row r="758" spans="13:15" ht="18" customHeight="1">
      <c r="M758" s="338"/>
      <c r="N758" s="338"/>
      <c r="O758" s="338"/>
    </row>
    <row r="759" spans="13:15" ht="18" customHeight="1">
      <c r="M759" s="338"/>
      <c r="N759" s="338"/>
      <c r="O759" s="338"/>
    </row>
    <row r="760" spans="13:15" ht="18" customHeight="1">
      <c r="M760" s="338"/>
      <c r="N760" s="338"/>
      <c r="O760" s="338"/>
    </row>
    <row r="761" spans="13:15" ht="18" customHeight="1">
      <c r="M761" s="338"/>
      <c r="N761" s="338"/>
      <c r="O761" s="338"/>
    </row>
    <row r="762" spans="13:15" ht="18" customHeight="1">
      <c r="M762" s="338"/>
      <c r="N762" s="338"/>
      <c r="O762" s="338"/>
    </row>
    <row r="763" spans="13:15" ht="18" customHeight="1">
      <c r="M763" s="338"/>
      <c r="N763" s="338"/>
      <c r="O763" s="338"/>
    </row>
    <row r="764" spans="13:15" ht="18" customHeight="1">
      <c r="M764" s="338"/>
      <c r="N764" s="338"/>
      <c r="O764" s="338"/>
    </row>
    <row r="765" spans="13:15" ht="18" customHeight="1">
      <c r="M765" s="338"/>
      <c r="N765" s="338"/>
      <c r="O765" s="338"/>
    </row>
    <row r="766" spans="13:15" ht="18" customHeight="1">
      <c r="M766" s="338"/>
      <c r="N766" s="338"/>
      <c r="O766" s="338"/>
    </row>
    <row r="767" spans="13:15" ht="18" customHeight="1">
      <c r="M767" s="338"/>
      <c r="N767" s="338"/>
      <c r="O767" s="338"/>
    </row>
    <row r="768" spans="13:15" ht="18" customHeight="1">
      <c r="M768" s="338"/>
      <c r="N768" s="338"/>
      <c r="O768" s="338"/>
    </row>
    <row r="769" spans="13:15" ht="18" customHeight="1">
      <c r="M769" s="338"/>
      <c r="N769" s="338"/>
      <c r="O769" s="338"/>
    </row>
    <row r="770" spans="13:15" ht="18" customHeight="1">
      <c r="M770" s="338"/>
      <c r="N770" s="338"/>
      <c r="O770" s="338"/>
    </row>
    <row r="771" spans="13:15" ht="18" customHeight="1">
      <c r="M771" s="338"/>
      <c r="N771" s="338"/>
      <c r="O771" s="338"/>
    </row>
    <row r="772" spans="13:15" ht="18" customHeight="1">
      <c r="M772" s="338"/>
      <c r="N772" s="338"/>
      <c r="O772" s="338"/>
    </row>
    <row r="773" spans="13:15" ht="18" customHeight="1">
      <c r="M773" s="338"/>
      <c r="N773" s="338"/>
      <c r="O773" s="338"/>
    </row>
    <row r="774" spans="13:15" ht="18" customHeight="1">
      <c r="M774" s="338"/>
      <c r="N774" s="338"/>
      <c r="O774" s="338"/>
    </row>
    <row r="775" spans="13:15" ht="18" customHeight="1">
      <c r="M775" s="338"/>
      <c r="N775" s="338"/>
      <c r="O775" s="338"/>
    </row>
    <row r="776" spans="13:15" ht="18" customHeight="1">
      <c r="M776" s="338"/>
      <c r="N776" s="338"/>
      <c r="O776" s="338"/>
    </row>
    <row r="777" spans="13:15" ht="18" customHeight="1">
      <c r="M777" s="338"/>
      <c r="N777" s="338"/>
      <c r="O777" s="338"/>
    </row>
    <row r="778" spans="13:15" ht="18" customHeight="1">
      <c r="M778" s="338"/>
      <c r="N778" s="338"/>
      <c r="O778" s="338"/>
    </row>
    <row r="779" spans="13:15" ht="18" customHeight="1">
      <c r="M779" s="338"/>
      <c r="N779" s="338"/>
      <c r="O779" s="338"/>
    </row>
    <row r="780" spans="13:15" ht="18" customHeight="1">
      <c r="M780" s="338"/>
      <c r="N780" s="338"/>
      <c r="O780" s="338"/>
    </row>
    <row r="781" spans="13:15" ht="18" customHeight="1">
      <c r="M781" s="338"/>
      <c r="N781" s="338"/>
      <c r="O781" s="338"/>
    </row>
    <row r="782" spans="13:15" ht="18" customHeight="1">
      <c r="M782" s="338"/>
      <c r="N782" s="338"/>
      <c r="O782" s="338"/>
    </row>
    <row r="783" spans="13:15" ht="18" customHeight="1">
      <c r="M783" s="338"/>
      <c r="N783" s="338"/>
      <c r="O783" s="338"/>
    </row>
    <row r="784" spans="13:15" ht="18" customHeight="1">
      <c r="M784" s="338"/>
      <c r="N784" s="338"/>
      <c r="O784" s="338"/>
    </row>
    <row r="785" spans="13:15" ht="18" customHeight="1">
      <c r="M785" s="338"/>
      <c r="N785" s="338"/>
      <c r="O785" s="338"/>
    </row>
    <row r="786" spans="13:15" ht="18" customHeight="1">
      <c r="M786" s="338"/>
      <c r="N786" s="338"/>
      <c r="O786" s="338"/>
    </row>
    <row r="787" spans="13:15" ht="18" customHeight="1">
      <c r="M787" s="338"/>
      <c r="N787" s="338"/>
      <c r="O787" s="338"/>
    </row>
    <row r="788" spans="13:15" ht="18" customHeight="1">
      <c r="M788" s="338"/>
      <c r="N788" s="338"/>
      <c r="O788" s="338"/>
    </row>
    <row r="789" spans="13:15" ht="18" customHeight="1">
      <c r="M789" s="338"/>
      <c r="N789" s="338"/>
      <c r="O789" s="338"/>
    </row>
    <row r="790" spans="13:15" ht="18" customHeight="1">
      <c r="M790" s="338"/>
      <c r="N790" s="338"/>
      <c r="O790" s="338"/>
    </row>
    <row r="791" spans="13:15" ht="18" customHeight="1">
      <c r="M791" s="338"/>
      <c r="N791" s="338"/>
      <c r="O791" s="338"/>
    </row>
    <row r="792" spans="13:15" ht="18" customHeight="1">
      <c r="M792" s="338"/>
      <c r="N792" s="338"/>
      <c r="O792" s="338"/>
    </row>
    <row r="793" spans="13:15" ht="18" customHeight="1">
      <c r="M793" s="338"/>
      <c r="N793" s="338"/>
      <c r="O793" s="338"/>
    </row>
    <row r="794" spans="13:15" ht="18" customHeight="1">
      <c r="M794" s="338"/>
      <c r="N794" s="338"/>
      <c r="O794" s="338"/>
    </row>
    <row r="795" spans="13:15" ht="18" customHeight="1">
      <c r="M795" s="338"/>
      <c r="N795" s="338"/>
      <c r="O795" s="338"/>
    </row>
    <row r="796" spans="13:15" ht="18" customHeight="1">
      <c r="M796" s="338"/>
      <c r="N796" s="338"/>
      <c r="O796" s="338"/>
    </row>
    <row r="797" spans="13:15" ht="18" customHeight="1">
      <c r="M797" s="338"/>
      <c r="N797" s="338"/>
      <c r="O797" s="338"/>
    </row>
    <row r="798" spans="13:15" ht="18" customHeight="1">
      <c r="M798" s="338"/>
      <c r="N798" s="338"/>
      <c r="O798" s="338"/>
    </row>
    <row r="799" spans="13:15" ht="18" customHeight="1">
      <c r="M799" s="338"/>
      <c r="N799" s="338"/>
      <c r="O799" s="338"/>
    </row>
    <row r="800" spans="13:15" ht="18" customHeight="1">
      <c r="M800" s="338"/>
      <c r="N800" s="338"/>
      <c r="O800" s="338"/>
    </row>
    <row r="801" spans="13:15" ht="18" customHeight="1">
      <c r="M801" s="338"/>
      <c r="N801" s="338"/>
      <c r="O801" s="338"/>
    </row>
    <row r="802" spans="13:15" ht="18" customHeight="1">
      <c r="M802" s="338"/>
      <c r="N802" s="338"/>
      <c r="O802" s="338"/>
    </row>
    <row r="803" spans="13:15" ht="18" customHeight="1">
      <c r="M803" s="338"/>
      <c r="N803" s="338"/>
      <c r="O803" s="338"/>
    </row>
    <row r="804" spans="13:15" ht="18" customHeight="1">
      <c r="M804" s="338"/>
      <c r="N804" s="338"/>
      <c r="O804" s="338"/>
    </row>
    <row r="805" spans="13:15" ht="18" customHeight="1">
      <c r="M805" s="338"/>
      <c r="N805" s="338"/>
      <c r="O805" s="338"/>
    </row>
    <row r="806" spans="13:15" ht="18" customHeight="1">
      <c r="M806" s="338"/>
      <c r="N806" s="338"/>
      <c r="O806" s="338"/>
    </row>
    <row r="807" spans="13:15" ht="18" customHeight="1">
      <c r="M807" s="338"/>
      <c r="N807" s="338"/>
      <c r="O807" s="338"/>
    </row>
    <row r="808" spans="13:15" ht="18" customHeight="1">
      <c r="M808" s="338"/>
      <c r="N808" s="338"/>
      <c r="O808" s="338"/>
    </row>
    <row r="809" spans="13:15" ht="18" customHeight="1">
      <c r="M809" s="338"/>
      <c r="N809" s="338"/>
      <c r="O809" s="338"/>
    </row>
    <row r="810" spans="13:15" ht="18" customHeight="1">
      <c r="M810" s="338"/>
      <c r="N810" s="338"/>
      <c r="O810" s="338"/>
    </row>
    <row r="811" spans="13:15" ht="18" customHeight="1">
      <c r="M811" s="338"/>
      <c r="N811" s="338"/>
      <c r="O811" s="338"/>
    </row>
    <row r="812" spans="13:15" ht="18" customHeight="1">
      <c r="M812" s="338"/>
      <c r="N812" s="338"/>
      <c r="O812" s="338"/>
    </row>
    <row r="813" spans="13:15" ht="18" customHeight="1">
      <c r="M813" s="338"/>
      <c r="N813" s="338"/>
      <c r="O813" s="338"/>
    </row>
    <row r="814" spans="13:15" ht="18" customHeight="1">
      <c r="M814" s="338"/>
      <c r="N814" s="338"/>
      <c r="O814" s="338"/>
    </row>
    <row r="815" spans="13:15" ht="18" customHeight="1">
      <c r="M815" s="338"/>
      <c r="N815" s="338"/>
      <c r="O815" s="338"/>
    </row>
    <row r="816" spans="13:15" ht="18" customHeight="1">
      <c r="M816" s="338"/>
      <c r="N816" s="338"/>
      <c r="O816" s="338"/>
    </row>
    <row r="817" spans="13:15" ht="18" customHeight="1">
      <c r="M817" s="338"/>
      <c r="N817" s="338"/>
      <c r="O817" s="338"/>
    </row>
    <row r="818" spans="13:15" ht="18" customHeight="1">
      <c r="M818" s="338"/>
      <c r="N818" s="338"/>
      <c r="O818" s="338"/>
    </row>
    <row r="819" spans="13:15" ht="18" customHeight="1">
      <c r="M819" s="338"/>
      <c r="N819" s="338"/>
      <c r="O819" s="338"/>
    </row>
    <row r="820" spans="13:15" ht="18" customHeight="1">
      <c r="M820" s="338"/>
      <c r="N820" s="338"/>
      <c r="O820" s="338"/>
    </row>
    <row r="821" spans="13:15" ht="18" customHeight="1">
      <c r="M821" s="338"/>
      <c r="N821" s="338"/>
      <c r="O821" s="338"/>
    </row>
    <row r="822" spans="13:15" ht="18" customHeight="1">
      <c r="M822" s="338"/>
      <c r="N822" s="338"/>
      <c r="O822" s="338"/>
    </row>
    <row r="823" spans="13:15" ht="18" customHeight="1">
      <c r="M823" s="338"/>
      <c r="N823" s="338"/>
      <c r="O823" s="338"/>
    </row>
    <row r="824" spans="13:15" ht="18" customHeight="1">
      <c r="M824" s="338"/>
      <c r="N824" s="338"/>
      <c r="O824" s="338"/>
    </row>
    <row r="825" spans="13:15" ht="18" customHeight="1">
      <c r="M825" s="338"/>
      <c r="N825" s="338"/>
      <c r="O825" s="338"/>
    </row>
    <row r="826" spans="13:15" ht="18" customHeight="1">
      <c r="M826" s="338"/>
      <c r="N826" s="338"/>
      <c r="O826" s="338"/>
    </row>
    <row r="827" spans="13:15" ht="18" customHeight="1">
      <c r="M827" s="338"/>
      <c r="N827" s="338"/>
      <c r="O827" s="338"/>
    </row>
    <row r="828" spans="13:15" ht="18" customHeight="1">
      <c r="M828" s="338"/>
      <c r="N828" s="338"/>
      <c r="O828" s="338"/>
    </row>
    <row r="829" spans="13:15" ht="18" customHeight="1">
      <c r="M829" s="338"/>
      <c r="N829" s="338"/>
      <c r="O829" s="338"/>
    </row>
    <row r="830" spans="13:15" ht="18" customHeight="1">
      <c r="M830" s="338"/>
      <c r="N830" s="338"/>
      <c r="O830" s="338"/>
    </row>
    <row r="831" spans="13:15" ht="18" customHeight="1">
      <c r="M831" s="338"/>
      <c r="N831" s="338"/>
      <c r="O831" s="338"/>
    </row>
    <row r="832" spans="13:15" ht="18" customHeight="1">
      <c r="M832" s="338"/>
      <c r="N832" s="338"/>
      <c r="O832" s="338"/>
    </row>
    <row r="833" spans="13:15" ht="18" customHeight="1">
      <c r="M833" s="338"/>
      <c r="N833" s="338"/>
      <c r="O833" s="338"/>
    </row>
    <row r="834" spans="13:15" ht="18" customHeight="1">
      <c r="M834" s="338"/>
      <c r="N834" s="338"/>
      <c r="O834" s="338"/>
    </row>
    <row r="835" spans="13:15" ht="18" customHeight="1">
      <c r="M835" s="338"/>
      <c r="N835" s="338"/>
      <c r="O835" s="338"/>
    </row>
    <row r="836" spans="13:15" ht="18" customHeight="1">
      <c r="M836" s="338"/>
      <c r="N836" s="338"/>
      <c r="O836" s="338"/>
    </row>
    <row r="837" spans="13:15" ht="18" customHeight="1">
      <c r="M837" s="338"/>
      <c r="N837" s="338"/>
      <c r="O837" s="338"/>
    </row>
    <row r="838" spans="13:15" ht="18" customHeight="1">
      <c r="M838" s="338"/>
      <c r="N838" s="338"/>
      <c r="O838" s="338"/>
    </row>
    <row r="839" spans="13:15" ht="18" customHeight="1">
      <c r="M839" s="338"/>
      <c r="N839" s="338"/>
      <c r="O839" s="338"/>
    </row>
    <row r="840" spans="13:15" ht="18" customHeight="1">
      <c r="M840" s="338"/>
      <c r="N840" s="338"/>
      <c r="O840" s="338"/>
    </row>
    <row r="841" spans="13:15" ht="18" customHeight="1">
      <c r="M841" s="338"/>
      <c r="N841" s="338"/>
      <c r="O841" s="338"/>
    </row>
    <row r="842" spans="13:15" ht="18" customHeight="1">
      <c r="M842" s="338"/>
      <c r="N842" s="338"/>
      <c r="O842" s="338"/>
    </row>
    <row r="843" spans="13:15" ht="18" customHeight="1">
      <c r="M843" s="338"/>
      <c r="N843" s="338"/>
      <c r="O843" s="338"/>
    </row>
    <row r="844" spans="13:15" ht="18" customHeight="1">
      <c r="M844" s="338"/>
      <c r="N844" s="338"/>
      <c r="O844" s="338"/>
    </row>
    <row r="845" spans="13:15" ht="18" customHeight="1">
      <c r="M845" s="338"/>
      <c r="N845" s="338"/>
      <c r="O845" s="338"/>
    </row>
    <row r="846" spans="13:15" ht="18" customHeight="1">
      <c r="M846" s="338"/>
      <c r="N846" s="338"/>
      <c r="O846" s="338"/>
    </row>
    <row r="847" spans="13:15" ht="18" customHeight="1">
      <c r="M847" s="338"/>
      <c r="N847" s="338"/>
      <c r="O847" s="338"/>
    </row>
    <row r="848" spans="13:15" ht="18" customHeight="1">
      <c r="M848" s="338"/>
      <c r="N848" s="338"/>
      <c r="O848" s="338"/>
    </row>
    <row r="849" spans="13:15" ht="18" customHeight="1">
      <c r="M849" s="338"/>
      <c r="N849" s="338"/>
      <c r="O849" s="338"/>
    </row>
    <row r="850" spans="13:15" ht="18" customHeight="1">
      <c r="M850" s="338"/>
      <c r="N850" s="338"/>
      <c r="O850" s="338"/>
    </row>
    <row r="851" spans="13:15" ht="18" customHeight="1">
      <c r="M851" s="338"/>
      <c r="N851" s="338"/>
      <c r="O851" s="338"/>
    </row>
    <row r="852" spans="13:15" ht="18" customHeight="1">
      <c r="M852" s="338"/>
      <c r="N852" s="338"/>
      <c r="O852" s="338"/>
    </row>
    <row r="853" spans="13:15" ht="18" customHeight="1">
      <c r="M853" s="338"/>
      <c r="N853" s="338"/>
      <c r="O853" s="338"/>
    </row>
    <row r="854" spans="13:15" ht="18" customHeight="1">
      <c r="M854" s="338"/>
      <c r="N854" s="338"/>
      <c r="O854" s="338"/>
    </row>
    <row r="855" spans="13:15" ht="18" customHeight="1">
      <c r="M855" s="338"/>
      <c r="N855" s="338"/>
      <c r="O855" s="338"/>
    </row>
    <row r="856" spans="13:15" ht="18" customHeight="1">
      <c r="M856" s="338"/>
      <c r="N856" s="338"/>
      <c r="O856" s="338"/>
    </row>
    <row r="857" spans="13:15" ht="18" customHeight="1">
      <c r="M857" s="338"/>
      <c r="N857" s="338"/>
      <c r="O857" s="338"/>
    </row>
    <row r="858" spans="13:15" ht="18" customHeight="1">
      <c r="M858" s="338"/>
      <c r="N858" s="338"/>
      <c r="O858" s="338"/>
    </row>
    <row r="859" spans="13:15" ht="18" customHeight="1">
      <c r="M859" s="338"/>
      <c r="N859" s="338"/>
      <c r="O859" s="338"/>
    </row>
    <row r="860" spans="13:15" ht="18" customHeight="1">
      <c r="M860" s="338"/>
      <c r="N860" s="338"/>
      <c r="O860" s="338"/>
    </row>
    <row r="861" spans="13:15" ht="18" customHeight="1">
      <c r="M861" s="338"/>
      <c r="N861" s="338"/>
      <c r="O861" s="338"/>
    </row>
    <row r="862" spans="13:15" ht="18" customHeight="1">
      <c r="M862" s="338"/>
      <c r="N862" s="338"/>
      <c r="O862" s="338"/>
    </row>
    <row r="863" spans="13:15" ht="18" customHeight="1">
      <c r="M863" s="338"/>
      <c r="N863" s="338"/>
      <c r="O863" s="338"/>
    </row>
    <row r="864" spans="13:15" ht="18" customHeight="1">
      <c r="M864" s="338"/>
      <c r="N864" s="338"/>
      <c r="O864" s="338"/>
    </row>
    <row r="865" spans="13:15" ht="18" customHeight="1">
      <c r="M865" s="338"/>
      <c r="N865" s="338"/>
      <c r="O865" s="338"/>
    </row>
    <row r="866" spans="13:15" ht="18" customHeight="1">
      <c r="M866" s="338"/>
      <c r="N866" s="338"/>
      <c r="O866" s="338"/>
    </row>
    <row r="867" spans="13:15" ht="18" customHeight="1">
      <c r="M867" s="338"/>
      <c r="N867" s="338"/>
      <c r="O867" s="338"/>
    </row>
    <row r="868" spans="13:15" ht="18" customHeight="1">
      <c r="M868" s="338"/>
      <c r="N868" s="338"/>
      <c r="O868" s="338"/>
    </row>
    <row r="869" spans="13:15" ht="18" customHeight="1">
      <c r="M869" s="338"/>
      <c r="N869" s="338"/>
      <c r="O869" s="338"/>
    </row>
    <row r="870" spans="13:15" ht="18" customHeight="1">
      <c r="M870" s="338"/>
      <c r="N870" s="338"/>
      <c r="O870" s="338"/>
    </row>
    <row r="871" spans="13:15" ht="18" customHeight="1">
      <c r="M871" s="338"/>
      <c r="N871" s="338"/>
      <c r="O871" s="338"/>
    </row>
    <row r="872" spans="13:15" ht="18" customHeight="1">
      <c r="M872" s="338"/>
      <c r="N872" s="338"/>
      <c r="O872" s="338"/>
    </row>
    <row r="873" spans="13:15" ht="18" customHeight="1">
      <c r="M873" s="338"/>
      <c r="N873" s="338"/>
      <c r="O873" s="338"/>
    </row>
    <row r="874" spans="13:15" ht="18" customHeight="1">
      <c r="M874" s="338"/>
      <c r="N874" s="338"/>
      <c r="O874" s="338"/>
    </row>
    <row r="875" spans="13:15" ht="18" customHeight="1">
      <c r="M875" s="338"/>
      <c r="N875" s="338"/>
      <c r="O875" s="338"/>
    </row>
    <row r="876" spans="13:15" ht="18" customHeight="1">
      <c r="M876" s="338"/>
      <c r="N876" s="338"/>
      <c r="O876" s="338"/>
    </row>
    <row r="877" spans="13:15" ht="18" customHeight="1">
      <c r="M877" s="338"/>
      <c r="N877" s="338"/>
      <c r="O877" s="338"/>
    </row>
    <row r="878" spans="13:15" ht="18" customHeight="1">
      <c r="M878" s="338"/>
      <c r="N878" s="338"/>
      <c r="O878" s="338"/>
    </row>
    <row r="879" spans="13:15" ht="18" customHeight="1">
      <c r="M879" s="338"/>
      <c r="N879" s="338"/>
      <c r="O879" s="338"/>
    </row>
    <row r="880" spans="13:15" ht="18" customHeight="1">
      <c r="M880" s="338"/>
      <c r="N880" s="338"/>
      <c r="O880" s="338"/>
    </row>
    <row r="881" spans="13:15" ht="18" customHeight="1">
      <c r="M881" s="338"/>
      <c r="N881" s="338"/>
      <c r="O881" s="338"/>
    </row>
    <row r="882" spans="13:15" ht="18" customHeight="1">
      <c r="M882" s="338"/>
      <c r="N882" s="338"/>
      <c r="O882" s="338"/>
    </row>
    <row r="883" spans="13:15" ht="18" customHeight="1">
      <c r="M883" s="338"/>
      <c r="N883" s="338"/>
      <c r="O883" s="338"/>
    </row>
    <row r="884" spans="13:15" ht="18" customHeight="1">
      <c r="M884" s="338"/>
      <c r="N884" s="338"/>
      <c r="O884" s="338"/>
    </row>
    <row r="885" spans="13:15" ht="18" customHeight="1">
      <c r="M885" s="338"/>
      <c r="N885" s="338"/>
      <c r="O885" s="338"/>
    </row>
    <row r="886" spans="13:15" ht="18" customHeight="1">
      <c r="M886" s="338"/>
      <c r="N886" s="338"/>
      <c r="O886" s="338"/>
    </row>
    <row r="887" spans="13:15" ht="18" customHeight="1">
      <c r="M887" s="338"/>
      <c r="N887" s="338"/>
      <c r="O887" s="338"/>
    </row>
    <row r="888" spans="13:15" ht="18" customHeight="1">
      <c r="M888" s="338"/>
      <c r="N888" s="338"/>
      <c r="O888" s="338"/>
    </row>
    <row r="889" spans="13:15" ht="18" customHeight="1">
      <c r="M889" s="338"/>
      <c r="N889" s="338"/>
      <c r="O889" s="338"/>
    </row>
    <row r="890" spans="13:15" ht="18" customHeight="1">
      <c r="M890" s="338"/>
      <c r="N890" s="338"/>
      <c r="O890" s="338"/>
    </row>
    <row r="891" spans="13:15" ht="18" customHeight="1">
      <c r="M891" s="338"/>
      <c r="N891" s="338"/>
      <c r="O891" s="338"/>
    </row>
    <row r="892" spans="13:15" ht="18" customHeight="1">
      <c r="M892" s="338"/>
      <c r="N892" s="338"/>
      <c r="O892" s="338"/>
    </row>
    <row r="893" spans="13:15" ht="18" customHeight="1">
      <c r="M893" s="338"/>
      <c r="N893" s="338"/>
      <c r="O893" s="338"/>
    </row>
    <row r="894" spans="13:15" ht="18" customHeight="1">
      <c r="M894" s="338"/>
      <c r="N894" s="338"/>
      <c r="O894" s="338"/>
    </row>
    <row r="895" spans="13:15" ht="18" customHeight="1">
      <c r="M895" s="338"/>
      <c r="N895" s="338"/>
      <c r="O895" s="338"/>
    </row>
    <row r="896" spans="13:15" ht="18" customHeight="1">
      <c r="M896" s="338"/>
      <c r="N896" s="338"/>
      <c r="O896" s="338"/>
    </row>
    <row r="897" spans="13:15" ht="18" customHeight="1">
      <c r="M897" s="338"/>
      <c r="N897" s="338"/>
      <c r="O897" s="338"/>
    </row>
    <row r="898" spans="13:15" ht="18" customHeight="1">
      <c r="M898" s="338"/>
      <c r="N898" s="338"/>
      <c r="O898" s="338"/>
    </row>
    <row r="899" spans="13:15" ht="18" customHeight="1">
      <c r="M899" s="338"/>
      <c r="N899" s="338"/>
      <c r="O899" s="338"/>
    </row>
    <row r="900" spans="13:15" ht="18" customHeight="1">
      <c r="M900" s="338"/>
      <c r="N900" s="338"/>
      <c r="O900" s="338"/>
    </row>
    <row r="901" spans="13:15" ht="18" customHeight="1">
      <c r="M901" s="338"/>
      <c r="N901" s="338"/>
      <c r="O901" s="338"/>
    </row>
    <row r="902" spans="13:15" ht="18" customHeight="1">
      <c r="M902" s="338"/>
      <c r="N902" s="338"/>
      <c r="O902" s="338"/>
    </row>
    <row r="903" spans="13:15" ht="18" customHeight="1">
      <c r="M903" s="338"/>
      <c r="N903" s="338"/>
      <c r="O903" s="338"/>
    </row>
    <row r="904" spans="13:15" ht="18" customHeight="1">
      <c r="M904" s="338"/>
      <c r="N904" s="338"/>
      <c r="O904" s="338"/>
    </row>
    <row r="905" spans="13:15" ht="18" customHeight="1">
      <c r="M905" s="338"/>
      <c r="N905" s="338"/>
      <c r="O905" s="338"/>
    </row>
    <row r="906" spans="13:15" ht="18" customHeight="1">
      <c r="M906" s="338"/>
      <c r="N906" s="338"/>
      <c r="O906" s="338"/>
    </row>
    <row r="907" spans="13:15" ht="18" customHeight="1">
      <c r="M907" s="338"/>
      <c r="N907" s="338"/>
      <c r="O907" s="338"/>
    </row>
    <row r="908" spans="13:15" ht="18" customHeight="1">
      <c r="M908" s="338"/>
      <c r="N908" s="338"/>
      <c r="O908" s="338"/>
    </row>
    <row r="909" spans="13:15" ht="18" customHeight="1">
      <c r="M909" s="338"/>
      <c r="N909" s="338"/>
      <c r="O909" s="338"/>
    </row>
    <row r="910" spans="13:15" ht="18" customHeight="1">
      <c r="M910" s="338"/>
      <c r="N910" s="338"/>
      <c r="O910" s="338"/>
    </row>
    <row r="911" spans="13:15" ht="18" customHeight="1">
      <c r="M911" s="338"/>
      <c r="N911" s="338"/>
      <c r="O911" s="338"/>
    </row>
    <row r="912" spans="13:15" ht="18" customHeight="1">
      <c r="M912" s="338"/>
      <c r="N912" s="338"/>
      <c r="O912" s="338"/>
    </row>
    <row r="913" spans="13:15" ht="18" customHeight="1">
      <c r="M913" s="338"/>
      <c r="N913" s="338"/>
      <c r="O913" s="338"/>
    </row>
    <row r="914" spans="13:15" ht="18" customHeight="1">
      <c r="M914" s="338"/>
      <c r="N914" s="338"/>
      <c r="O914" s="338"/>
    </row>
    <row r="915" spans="13:15" ht="18" customHeight="1">
      <c r="M915" s="338"/>
      <c r="N915" s="338"/>
      <c r="O915" s="338"/>
    </row>
    <row r="916" spans="13:15" ht="18" customHeight="1">
      <c r="M916" s="338"/>
      <c r="N916" s="338"/>
      <c r="O916" s="338"/>
    </row>
    <row r="917" spans="13:15" ht="18" customHeight="1">
      <c r="M917" s="338"/>
      <c r="N917" s="338"/>
      <c r="O917" s="338"/>
    </row>
    <row r="918" spans="13:15" ht="18" customHeight="1">
      <c r="M918" s="338"/>
      <c r="N918" s="338"/>
      <c r="O918" s="338"/>
    </row>
    <row r="919" spans="13:15" ht="18" customHeight="1">
      <c r="M919" s="338"/>
      <c r="N919" s="338"/>
      <c r="O919" s="338"/>
    </row>
    <row r="920" spans="13:15" ht="18" customHeight="1">
      <c r="M920" s="338"/>
      <c r="N920" s="338"/>
      <c r="O920" s="338"/>
    </row>
    <row r="921" spans="13:15" ht="18" customHeight="1">
      <c r="M921" s="338"/>
      <c r="N921" s="338"/>
      <c r="O921" s="338"/>
    </row>
    <row r="922" spans="13:15" ht="18" customHeight="1">
      <c r="M922" s="338"/>
      <c r="N922" s="338"/>
      <c r="O922" s="338"/>
    </row>
    <row r="923" spans="13:15" ht="18" customHeight="1">
      <c r="M923" s="338"/>
      <c r="N923" s="338"/>
      <c r="O923" s="338"/>
    </row>
    <row r="924" spans="13:15" ht="18" customHeight="1">
      <c r="M924" s="338"/>
      <c r="N924" s="338"/>
      <c r="O924" s="338"/>
    </row>
    <row r="925" spans="13:15" ht="18" customHeight="1">
      <c r="M925" s="338"/>
      <c r="N925" s="338"/>
      <c r="O925" s="338"/>
    </row>
    <row r="926" spans="13:15" ht="18" customHeight="1">
      <c r="M926" s="338"/>
      <c r="N926" s="338"/>
      <c r="O926" s="338"/>
    </row>
    <row r="927" spans="13:15" ht="18" customHeight="1">
      <c r="M927" s="338"/>
      <c r="N927" s="338"/>
      <c r="O927" s="338"/>
    </row>
    <row r="928" spans="13:15" ht="18" customHeight="1">
      <c r="M928" s="338"/>
      <c r="N928" s="338"/>
      <c r="O928" s="338"/>
    </row>
    <row r="929" spans="13:15" ht="18" customHeight="1">
      <c r="M929" s="338"/>
      <c r="N929" s="338"/>
      <c r="O929" s="338"/>
    </row>
    <row r="930" spans="13:15" ht="18" customHeight="1">
      <c r="M930" s="338"/>
      <c r="N930" s="338"/>
      <c r="O930" s="338"/>
    </row>
    <row r="931" spans="13:15" ht="18" customHeight="1">
      <c r="M931" s="338"/>
      <c r="N931" s="338"/>
      <c r="O931" s="338"/>
    </row>
    <row r="932" spans="13:15" ht="18" customHeight="1">
      <c r="M932" s="338"/>
      <c r="N932" s="338"/>
      <c r="O932" s="338"/>
    </row>
    <row r="933" spans="13:15" ht="18" customHeight="1">
      <c r="M933" s="338"/>
      <c r="N933" s="338"/>
      <c r="O933" s="338"/>
    </row>
    <row r="934" spans="13:15" ht="18" customHeight="1">
      <c r="M934" s="338"/>
      <c r="N934" s="338"/>
      <c r="O934" s="338"/>
    </row>
    <row r="935" spans="13:15" ht="18" customHeight="1">
      <c r="M935" s="338"/>
      <c r="N935" s="338"/>
      <c r="O935" s="338"/>
    </row>
    <row r="936" spans="13:15" ht="18" customHeight="1">
      <c r="M936" s="338"/>
      <c r="N936" s="338"/>
      <c r="O936" s="338"/>
    </row>
    <row r="937" spans="13:15" ht="18" customHeight="1">
      <c r="M937" s="338"/>
      <c r="N937" s="338"/>
      <c r="O937" s="338"/>
    </row>
    <row r="938" spans="13:15" ht="18" customHeight="1">
      <c r="M938" s="338"/>
      <c r="N938" s="338"/>
      <c r="O938" s="338"/>
    </row>
    <row r="939" spans="13:15" ht="18" customHeight="1">
      <c r="M939" s="338"/>
      <c r="N939" s="338"/>
      <c r="O939" s="338"/>
    </row>
    <row r="940" spans="13:15" ht="18" customHeight="1">
      <c r="M940" s="338"/>
      <c r="N940" s="338"/>
      <c r="O940" s="338"/>
    </row>
    <row r="941" spans="13:15" ht="18" customHeight="1">
      <c r="M941" s="338"/>
      <c r="N941" s="338"/>
      <c r="O941" s="338"/>
    </row>
    <row r="942" spans="13:15" ht="18" customHeight="1">
      <c r="M942" s="338"/>
      <c r="N942" s="338"/>
      <c r="O942" s="338"/>
    </row>
    <row r="943" spans="13:15" ht="18" customHeight="1">
      <c r="M943" s="338"/>
      <c r="N943" s="338"/>
      <c r="O943" s="338"/>
    </row>
    <row r="944" spans="13:15" ht="18" customHeight="1">
      <c r="M944" s="338"/>
      <c r="N944" s="338"/>
      <c r="O944" s="338"/>
    </row>
    <row r="945" spans="13:15" ht="18" customHeight="1">
      <c r="M945" s="338"/>
      <c r="N945" s="338"/>
      <c r="O945" s="338"/>
    </row>
    <row r="946" spans="13:15" ht="18" customHeight="1">
      <c r="M946" s="338"/>
      <c r="N946" s="338"/>
      <c r="O946" s="338"/>
    </row>
    <row r="947" spans="13:15" ht="18" customHeight="1">
      <c r="M947" s="338"/>
      <c r="N947" s="338"/>
      <c r="O947" s="338"/>
    </row>
    <row r="948" spans="13:15" ht="18" customHeight="1">
      <c r="M948" s="338"/>
      <c r="N948" s="338"/>
      <c r="O948" s="338"/>
    </row>
    <row r="949" spans="13:15" ht="18" customHeight="1">
      <c r="M949" s="338"/>
      <c r="N949" s="338"/>
      <c r="O949" s="338"/>
    </row>
    <row r="950" spans="13:15" ht="18" customHeight="1">
      <c r="M950" s="338"/>
      <c r="N950" s="338"/>
      <c r="O950" s="338"/>
    </row>
    <row r="951" spans="13:15" ht="18" customHeight="1">
      <c r="M951" s="338"/>
      <c r="N951" s="338"/>
      <c r="O951" s="338"/>
    </row>
    <row r="952" spans="13:15" ht="18" customHeight="1">
      <c r="M952" s="338"/>
      <c r="N952" s="338"/>
      <c r="O952" s="338"/>
    </row>
    <row r="953" spans="13:15" ht="18" customHeight="1">
      <c r="M953" s="338"/>
      <c r="N953" s="338"/>
      <c r="O953" s="338"/>
    </row>
    <row r="954" spans="13:15" ht="18" customHeight="1">
      <c r="M954" s="338"/>
      <c r="N954" s="338"/>
      <c r="O954" s="338"/>
    </row>
    <row r="955" spans="13:15" ht="18" customHeight="1">
      <c r="M955" s="338"/>
      <c r="N955" s="338"/>
      <c r="O955" s="338"/>
    </row>
    <row r="956" spans="13:15" ht="18" customHeight="1">
      <c r="M956" s="338"/>
      <c r="N956" s="338"/>
      <c r="O956" s="338"/>
    </row>
    <row r="957" spans="13:15" ht="18" customHeight="1">
      <c r="M957" s="338"/>
      <c r="N957" s="338"/>
      <c r="O957" s="338"/>
    </row>
    <row r="958" spans="13:15" ht="18" customHeight="1">
      <c r="M958" s="338"/>
      <c r="N958" s="338"/>
      <c r="O958" s="338"/>
    </row>
    <row r="959" spans="13:15" ht="18" customHeight="1">
      <c r="M959" s="338"/>
      <c r="N959" s="338"/>
      <c r="O959" s="338"/>
    </row>
    <row r="960" spans="13:15" ht="18" customHeight="1">
      <c r="M960" s="338"/>
      <c r="N960" s="338"/>
      <c r="O960" s="338"/>
    </row>
    <row r="961" spans="13:15" ht="18" customHeight="1">
      <c r="M961" s="338"/>
      <c r="N961" s="338"/>
      <c r="O961" s="338"/>
    </row>
    <row r="962" spans="13:15" ht="18" customHeight="1">
      <c r="M962" s="338"/>
      <c r="N962" s="338"/>
      <c r="O962" s="338"/>
    </row>
    <row r="963" spans="13:15" ht="18" customHeight="1">
      <c r="M963" s="338"/>
      <c r="N963" s="338"/>
      <c r="O963" s="338"/>
    </row>
    <row r="964" spans="13:15" ht="18" customHeight="1">
      <c r="M964" s="338"/>
      <c r="N964" s="338"/>
      <c r="O964" s="338"/>
    </row>
    <row r="965" spans="13:15" ht="18" customHeight="1">
      <c r="M965" s="338"/>
      <c r="N965" s="338"/>
      <c r="O965" s="338"/>
    </row>
    <row r="966" spans="13:15" ht="18" customHeight="1">
      <c r="M966" s="338"/>
      <c r="N966" s="338"/>
      <c r="O966" s="338"/>
    </row>
    <row r="967" spans="13:15" ht="18" customHeight="1">
      <c r="M967" s="338"/>
      <c r="N967" s="338"/>
      <c r="O967" s="338"/>
    </row>
    <row r="968" spans="13:15" ht="18" customHeight="1">
      <c r="M968" s="338"/>
      <c r="N968" s="338"/>
      <c r="O968" s="338"/>
    </row>
    <row r="969" spans="13:15" ht="18" customHeight="1">
      <c r="M969" s="338"/>
      <c r="N969" s="338"/>
      <c r="O969" s="338"/>
    </row>
    <row r="970" spans="13:15" ht="18" customHeight="1">
      <c r="M970" s="338"/>
      <c r="N970" s="338"/>
      <c r="O970" s="338"/>
    </row>
    <row r="971" spans="13:15" ht="18" customHeight="1">
      <c r="M971" s="338"/>
      <c r="N971" s="338"/>
      <c r="O971" s="338"/>
    </row>
    <row r="972" spans="13:15" ht="18" customHeight="1">
      <c r="M972" s="338"/>
      <c r="N972" s="338"/>
      <c r="O972" s="338"/>
    </row>
    <row r="973" spans="13:15" ht="18" customHeight="1">
      <c r="M973" s="338"/>
      <c r="N973" s="338"/>
      <c r="O973" s="338"/>
    </row>
    <row r="974" spans="13:15" ht="18" customHeight="1">
      <c r="M974" s="338"/>
      <c r="N974" s="338"/>
      <c r="O974" s="338"/>
    </row>
    <row r="975" spans="13:15" ht="18" customHeight="1">
      <c r="M975" s="338"/>
      <c r="N975" s="338"/>
      <c r="O975" s="338"/>
    </row>
    <row r="976" spans="13:15" ht="18" customHeight="1">
      <c r="M976" s="338"/>
      <c r="N976" s="338"/>
      <c r="O976" s="338"/>
    </row>
    <row r="977" spans="13:15" ht="18" customHeight="1">
      <c r="M977" s="338"/>
      <c r="N977" s="338"/>
      <c r="O977" s="338"/>
    </row>
    <row r="978" spans="13:15" ht="18" customHeight="1">
      <c r="M978" s="338"/>
      <c r="N978" s="338"/>
      <c r="O978" s="338"/>
    </row>
    <row r="979" spans="13:15" ht="18" customHeight="1">
      <c r="M979" s="338"/>
      <c r="N979" s="338"/>
      <c r="O979" s="338"/>
    </row>
    <row r="980" spans="13:15" ht="18" customHeight="1">
      <c r="M980" s="338"/>
      <c r="N980" s="338"/>
      <c r="O980" s="338"/>
    </row>
    <row r="981" spans="13:15" ht="18" customHeight="1">
      <c r="M981" s="338"/>
      <c r="N981" s="338"/>
      <c r="O981" s="338"/>
    </row>
    <row r="982" spans="13:15" ht="18" customHeight="1">
      <c r="M982" s="338"/>
      <c r="N982" s="338"/>
      <c r="O982" s="338"/>
    </row>
    <row r="983" spans="13:15" ht="18" customHeight="1">
      <c r="M983" s="338"/>
      <c r="N983" s="338"/>
      <c r="O983" s="338"/>
    </row>
    <row r="984" spans="13:15" ht="18" customHeight="1">
      <c r="M984" s="338"/>
      <c r="N984" s="338"/>
      <c r="O984" s="338"/>
    </row>
    <row r="985" spans="13:15" ht="18" customHeight="1">
      <c r="M985" s="338"/>
      <c r="N985" s="338"/>
      <c r="O985" s="338"/>
    </row>
    <row r="986" spans="13:15" ht="18" customHeight="1">
      <c r="M986" s="338"/>
      <c r="N986" s="338"/>
      <c r="O986" s="338"/>
    </row>
    <row r="987" spans="13:15" ht="18" customHeight="1">
      <c r="M987" s="338"/>
      <c r="N987" s="338"/>
      <c r="O987" s="338"/>
    </row>
    <row r="988" spans="13:15" ht="18" customHeight="1">
      <c r="M988" s="338"/>
      <c r="N988" s="338"/>
      <c r="O988" s="338"/>
    </row>
    <row r="989" spans="13:15" ht="18" customHeight="1">
      <c r="M989" s="338"/>
      <c r="N989" s="338"/>
      <c r="O989" s="338"/>
    </row>
    <row r="990" spans="13:15" ht="18" customHeight="1">
      <c r="M990" s="338"/>
      <c r="N990" s="338"/>
      <c r="O990" s="338"/>
    </row>
    <row r="991" spans="13:15" ht="18" customHeight="1">
      <c r="M991" s="338"/>
      <c r="N991" s="338"/>
      <c r="O991" s="338"/>
    </row>
    <row r="992" spans="13:15" ht="18" customHeight="1">
      <c r="M992" s="338"/>
      <c r="N992" s="338"/>
      <c r="O992" s="338"/>
    </row>
    <row r="993" spans="13:15" ht="18" customHeight="1">
      <c r="M993" s="338"/>
      <c r="N993" s="338"/>
      <c r="O993" s="338"/>
    </row>
    <row r="994" spans="13:15" ht="18" customHeight="1">
      <c r="M994" s="338"/>
      <c r="N994" s="338"/>
      <c r="O994" s="338"/>
    </row>
    <row r="995" spans="13:15" ht="18" customHeight="1">
      <c r="M995" s="338"/>
      <c r="N995" s="338"/>
      <c r="O995" s="338"/>
    </row>
    <row r="996" spans="13:15" ht="18" customHeight="1">
      <c r="M996" s="338"/>
      <c r="N996" s="338"/>
      <c r="O996" s="338"/>
    </row>
    <row r="997" spans="13:15" ht="18" customHeight="1">
      <c r="M997" s="338"/>
      <c r="N997" s="338"/>
      <c r="O997" s="338"/>
    </row>
    <row r="998" spans="13:15" ht="18" customHeight="1">
      <c r="M998" s="338"/>
      <c r="N998" s="338"/>
      <c r="O998" s="338"/>
    </row>
    <row r="999" spans="13:15" ht="18" customHeight="1">
      <c r="M999" s="338"/>
      <c r="N999" s="338"/>
      <c r="O999" s="338"/>
    </row>
    <row r="1000" spans="13:15" ht="18" customHeight="1">
      <c r="M1000" s="338"/>
      <c r="N1000" s="338"/>
      <c r="O1000" s="338"/>
    </row>
    <row r="1001" spans="13:15" ht="18" customHeight="1">
      <c r="M1001" s="338"/>
      <c r="N1001" s="338"/>
      <c r="O1001" s="338"/>
    </row>
    <row r="1002" spans="13:15" ht="18" customHeight="1">
      <c r="M1002" s="338"/>
      <c r="N1002" s="338"/>
      <c r="O1002" s="338"/>
    </row>
    <row r="1003" spans="13:15" ht="18" customHeight="1">
      <c r="M1003" s="338"/>
      <c r="N1003" s="338"/>
      <c r="O1003" s="338"/>
    </row>
    <row r="1004" spans="13:15" ht="18" customHeight="1">
      <c r="M1004" s="338"/>
      <c r="N1004" s="338"/>
      <c r="O1004" s="338"/>
    </row>
    <row r="1005" spans="13:15" ht="18" customHeight="1">
      <c r="M1005" s="338"/>
      <c r="N1005" s="338"/>
      <c r="O1005" s="338"/>
    </row>
    <row r="1006" spans="13:15" ht="18" customHeight="1">
      <c r="M1006" s="338"/>
      <c r="N1006" s="338"/>
      <c r="O1006" s="338"/>
    </row>
    <row r="1007" spans="13:15" ht="18" customHeight="1">
      <c r="M1007" s="338"/>
      <c r="N1007" s="338"/>
      <c r="O1007" s="338"/>
    </row>
    <row r="1008" spans="13:15" ht="18" customHeight="1">
      <c r="M1008" s="338"/>
      <c r="N1008" s="338"/>
      <c r="O1008" s="338"/>
    </row>
    <row r="1009" spans="13:15" ht="18" customHeight="1">
      <c r="M1009" s="338"/>
      <c r="N1009" s="338"/>
      <c r="O1009" s="338"/>
    </row>
    <row r="1010" spans="13:15" ht="18" customHeight="1">
      <c r="M1010" s="338"/>
      <c r="N1010" s="338"/>
      <c r="O1010" s="338"/>
    </row>
    <row r="1011" spans="13:15" ht="18" customHeight="1">
      <c r="M1011" s="338"/>
      <c r="N1011" s="338"/>
      <c r="O1011" s="338"/>
    </row>
    <row r="1012" spans="13:15" ht="18" customHeight="1">
      <c r="M1012" s="338"/>
      <c r="N1012" s="338"/>
      <c r="O1012" s="338"/>
    </row>
    <row r="1013" spans="13:15" ht="18" customHeight="1">
      <c r="M1013" s="338"/>
      <c r="N1013" s="338"/>
      <c r="O1013" s="338"/>
    </row>
    <row r="1014" spans="13:15" ht="18" customHeight="1">
      <c r="M1014" s="338"/>
      <c r="N1014" s="338"/>
      <c r="O1014" s="338"/>
    </row>
    <row r="1015" spans="13:15" ht="18" customHeight="1">
      <c r="M1015" s="338"/>
      <c r="N1015" s="338"/>
      <c r="O1015" s="338"/>
    </row>
    <row r="1016" spans="13:15" ht="18" customHeight="1">
      <c r="M1016" s="338"/>
      <c r="N1016" s="338"/>
      <c r="O1016" s="338"/>
    </row>
    <row r="1017" spans="13:15" ht="18" customHeight="1">
      <c r="M1017" s="338"/>
      <c r="N1017" s="338"/>
      <c r="O1017" s="338"/>
    </row>
    <row r="1018" spans="13:15" ht="18" customHeight="1">
      <c r="M1018" s="338"/>
      <c r="N1018" s="338"/>
      <c r="O1018" s="338"/>
    </row>
    <row r="1019" spans="13:15" ht="18" customHeight="1">
      <c r="M1019" s="338"/>
      <c r="N1019" s="338"/>
      <c r="O1019" s="338"/>
    </row>
    <row r="1020" spans="13:15" ht="18" customHeight="1">
      <c r="M1020" s="338"/>
      <c r="N1020" s="338"/>
      <c r="O1020" s="338"/>
    </row>
    <row r="1021" spans="13:15" ht="18" customHeight="1">
      <c r="M1021" s="338"/>
      <c r="N1021" s="338"/>
      <c r="O1021" s="338"/>
    </row>
    <row r="1022" spans="13:15" ht="18" customHeight="1">
      <c r="M1022" s="338"/>
      <c r="N1022" s="338"/>
      <c r="O1022" s="338"/>
    </row>
    <row r="1023" spans="13:15" ht="18" customHeight="1">
      <c r="M1023" s="338"/>
      <c r="N1023" s="338"/>
      <c r="O1023" s="338"/>
    </row>
    <row r="1024" spans="13:15" ht="18" customHeight="1">
      <c r="M1024" s="338"/>
      <c r="N1024" s="338"/>
      <c r="O1024" s="338"/>
    </row>
    <row r="1025" spans="13:15" ht="18" customHeight="1">
      <c r="M1025" s="338"/>
      <c r="N1025" s="338"/>
      <c r="O1025" s="338"/>
    </row>
    <row r="1026" spans="13:15" ht="18" customHeight="1">
      <c r="M1026" s="338"/>
      <c r="N1026" s="338"/>
      <c r="O1026" s="338"/>
    </row>
    <row r="1027" spans="13:15" ht="18" customHeight="1">
      <c r="M1027" s="338"/>
      <c r="N1027" s="338"/>
      <c r="O1027" s="338"/>
    </row>
    <row r="1028" spans="13:15" ht="18" customHeight="1">
      <c r="M1028" s="338"/>
      <c r="N1028" s="338"/>
      <c r="O1028" s="338"/>
    </row>
    <row r="1029" spans="13:15" ht="18" customHeight="1">
      <c r="M1029" s="338"/>
      <c r="N1029" s="338"/>
      <c r="O1029" s="338"/>
    </row>
    <row r="1030" spans="13:15" ht="18" customHeight="1">
      <c r="M1030" s="338"/>
      <c r="N1030" s="338"/>
      <c r="O1030" s="338"/>
    </row>
    <row r="1031" spans="13:15" ht="18" customHeight="1">
      <c r="M1031" s="338"/>
      <c r="N1031" s="338"/>
      <c r="O1031" s="338"/>
    </row>
    <row r="1032" spans="13:15" ht="18" customHeight="1">
      <c r="M1032" s="338"/>
      <c r="N1032" s="338"/>
      <c r="O1032" s="338"/>
    </row>
    <row r="1033" spans="13:15" ht="18" customHeight="1">
      <c r="M1033" s="338"/>
      <c r="N1033" s="338"/>
      <c r="O1033" s="338"/>
    </row>
    <row r="1034" spans="13:15" ht="18" customHeight="1">
      <c r="M1034" s="338"/>
      <c r="N1034" s="338"/>
      <c r="O1034" s="338"/>
    </row>
    <row r="1035" spans="13:15" ht="18" customHeight="1">
      <c r="M1035" s="338"/>
      <c r="N1035" s="338"/>
      <c r="O1035" s="338"/>
    </row>
    <row r="1036" spans="13:15" ht="18" customHeight="1">
      <c r="M1036" s="338"/>
      <c r="N1036" s="338"/>
      <c r="O1036" s="338"/>
    </row>
    <row r="1037" spans="13:15" ht="18" customHeight="1">
      <c r="M1037" s="338"/>
      <c r="N1037" s="338"/>
      <c r="O1037" s="338"/>
    </row>
    <row r="1038" spans="13:15" ht="18" customHeight="1">
      <c r="M1038" s="338"/>
      <c r="N1038" s="338"/>
      <c r="O1038" s="338"/>
    </row>
    <row r="1039" spans="13:15" ht="18" customHeight="1">
      <c r="M1039" s="338"/>
      <c r="N1039" s="338"/>
      <c r="O1039" s="338"/>
    </row>
    <row r="1040" spans="13:15" ht="18" customHeight="1">
      <c r="M1040" s="338"/>
      <c r="N1040" s="338"/>
      <c r="O1040" s="338"/>
    </row>
    <row r="1041" spans="13:15" ht="18" customHeight="1">
      <c r="M1041" s="338"/>
      <c r="N1041" s="338"/>
      <c r="O1041" s="338"/>
    </row>
    <row r="1042" spans="13:15" ht="18" customHeight="1">
      <c r="M1042" s="338"/>
      <c r="N1042" s="338"/>
      <c r="O1042" s="338"/>
    </row>
    <row r="1043" spans="13:15" ht="18" customHeight="1">
      <c r="M1043" s="338"/>
      <c r="N1043" s="338"/>
      <c r="O1043" s="338"/>
    </row>
    <row r="1044" spans="13:15" ht="18" customHeight="1">
      <c r="M1044" s="338"/>
      <c r="N1044" s="338"/>
      <c r="O1044" s="338"/>
    </row>
    <row r="1045" spans="13:15" ht="18" customHeight="1">
      <c r="M1045" s="338"/>
      <c r="N1045" s="338"/>
      <c r="O1045" s="338"/>
    </row>
    <row r="1046" spans="13:15" ht="18" customHeight="1">
      <c r="M1046" s="338"/>
      <c r="N1046" s="338"/>
      <c r="O1046" s="338"/>
    </row>
    <row r="1047" spans="13:15" ht="18" customHeight="1">
      <c r="M1047" s="338"/>
      <c r="N1047" s="338"/>
      <c r="O1047" s="338"/>
    </row>
    <row r="1048" spans="13:15" ht="18" customHeight="1">
      <c r="M1048" s="338"/>
      <c r="N1048" s="338"/>
      <c r="O1048" s="338"/>
    </row>
    <row r="1049" spans="13:15" ht="18" customHeight="1">
      <c r="M1049" s="338"/>
      <c r="N1049" s="338"/>
      <c r="O1049" s="338"/>
    </row>
    <row r="1050" spans="13:15" ht="18" customHeight="1">
      <c r="M1050" s="338"/>
      <c r="N1050" s="338"/>
      <c r="O1050" s="338"/>
    </row>
    <row r="1051" spans="13:15" ht="18" customHeight="1">
      <c r="M1051" s="338"/>
      <c r="N1051" s="338"/>
      <c r="O1051" s="338"/>
    </row>
    <row r="1052" spans="13:15" ht="18" customHeight="1">
      <c r="M1052" s="338"/>
      <c r="N1052" s="338"/>
      <c r="O1052" s="338"/>
    </row>
    <row r="1053" spans="13:15" ht="18" customHeight="1">
      <c r="M1053" s="338"/>
      <c r="N1053" s="338"/>
      <c r="O1053" s="338"/>
    </row>
    <row r="1054" spans="13:15" ht="18" customHeight="1">
      <c r="M1054" s="338"/>
      <c r="N1054" s="338"/>
      <c r="O1054" s="338"/>
    </row>
    <row r="1055" spans="13:15" ht="18" customHeight="1">
      <c r="M1055" s="338"/>
      <c r="N1055" s="338"/>
      <c r="O1055" s="338"/>
    </row>
    <row r="1056" spans="13:15" ht="18" customHeight="1">
      <c r="M1056" s="338"/>
      <c r="N1056" s="338"/>
      <c r="O1056" s="338"/>
    </row>
    <row r="1057" spans="13:15" ht="18" customHeight="1">
      <c r="M1057" s="338"/>
      <c r="N1057" s="338"/>
      <c r="O1057" s="338"/>
    </row>
    <row r="1058" spans="13:15" ht="18" customHeight="1">
      <c r="M1058" s="338"/>
      <c r="N1058" s="338"/>
      <c r="O1058" s="338"/>
    </row>
    <row r="1059" spans="13:15" ht="18" customHeight="1">
      <c r="M1059" s="338"/>
      <c r="N1059" s="338"/>
      <c r="O1059" s="338"/>
    </row>
    <row r="1060" spans="13:15" ht="18" customHeight="1">
      <c r="M1060" s="338"/>
      <c r="N1060" s="338"/>
      <c r="O1060" s="338"/>
    </row>
    <row r="1061" spans="13:15" ht="18" customHeight="1">
      <c r="M1061" s="338"/>
      <c r="N1061" s="338"/>
      <c r="O1061" s="338"/>
    </row>
    <row r="1062" spans="13:15" ht="18" customHeight="1">
      <c r="M1062" s="338"/>
      <c r="N1062" s="338"/>
      <c r="O1062" s="338"/>
    </row>
    <row r="1063" spans="13:15" ht="18" customHeight="1">
      <c r="M1063" s="338"/>
      <c r="N1063" s="338"/>
      <c r="O1063" s="338"/>
    </row>
    <row r="1064" spans="13:15" ht="18" customHeight="1">
      <c r="M1064" s="338"/>
      <c r="N1064" s="338"/>
      <c r="O1064" s="338"/>
    </row>
    <row r="1065" spans="13:15" ht="18" customHeight="1">
      <c r="M1065" s="338"/>
      <c r="N1065" s="338"/>
      <c r="O1065" s="338"/>
    </row>
    <row r="1066" spans="13:15" ht="18" customHeight="1">
      <c r="M1066" s="338"/>
      <c r="N1066" s="338"/>
      <c r="O1066" s="338"/>
    </row>
    <row r="1067" spans="13:15" ht="18" customHeight="1">
      <c r="M1067" s="338"/>
      <c r="N1067" s="338"/>
      <c r="O1067" s="338"/>
    </row>
    <row r="1068" spans="13:15" ht="18" customHeight="1">
      <c r="M1068" s="338"/>
      <c r="N1068" s="338"/>
      <c r="O1068" s="338"/>
    </row>
    <row r="1069" spans="13:15" ht="18" customHeight="1">
      <c r="M1069" s="338"/>
      <c r="N1069" s="338"/>
      <c r="O1069" s="338"/>
    </row>
    <row r="1070" spans="13:15" ht="18" customHeight="1">
      <c r="M1070" s="338"/>
      <c r="N1070" s="338"/>
      <c r="O1070" s="338"/>
    </row>
    <row r="1071" spans="13:15" ht="18" customHeight="1">
      <c r="M1071" s="338"/>
      <c r="N1071" s="338"/>
      <c r="O1071" s="338"/>
    </row>
    <row r="1072" spans="13:15" ht="18" customHeight="1">
      <c r="M1072" s="338"/>
      <c r="N1072" s="338"/>
      <c r="O1072" s="338"/>
    </row>
    <row r="1073" spans="13:15" ht="18" customHeight="1">
      <c r="M1073" s="338"/>
      <c r="N1073" s="338"/>
      <c r="O1073" s="338"/>
    </row>
    <row r="1074" spans="13:15" ht="18" customHeight="1">
      <c r="M1074" s="338"/>
      <c r="N1074" s="338"/>
      <c r="O1074" s="338"/>
    </row>
    <row r="1075" spans="13:15" ht="18" customHeight="1">
      <c r="M1075" s="338"/>
      <c r="N1075" s="338"/>
      <c r="O1075" s="338"/>
    </row>
    <row r="1076" spans="13:15" ht="18" customHeight="1">
      <c r="M1076" s="338"/>
      <c r="N1076" s="338"/>
      <c r="O1076" s="338"/>
    </row>
    <row r="1077" spans="13:15" ht="18" customHeight="1">
      <c r="M1077" s="338"/>
      <c r="N1077" s="338"/>
      <c r="O1077" s="338"/>
    </row>
    <row r="1078" spans="13:15" ht="18" customHeight="1">
      <c r="M1078" s="338"/>
      <c r="N1078" s="338"/>
      <c r="O1078" s="338"/>
    </row>
    <row r="1079" spans="13:15" ht="18" customHeight="1">
      <c r="M1079" s="338"/>
      <c r="N1079" s="338"/>
      <c r="O1079" s="338"/>
    </row>
    <row r="1080" spans="13:15" ht="18" customHeight="1">
      <c r="M1080" s="338"/>
      <c r="N1080" s="338"/>
      <c r="O1080" s="338"/>
    </row>
    <row r="1081" spans="13:15" ht="18" customHeight="1">
      <c r="M1081" s="338"/>
      <c r="N1081" s="338"/>
      <c r="O1081" s="338"/>
    </row>
    <row r="1082" spans="13:15" ht="18" customHeight="1">
      <c r="M1082" s="338"/>
      <c r="N1082" s="338"/>
      <c r="O1082" s="338"/>
    </row>
    <row r="1083" spans="13:15" ht="18" customHeight="1">
      <c r="M1083" s="338"/>
      <c r="N1083" s="338"/>
      <c r="O1083" s="338"/>
    </row>
    <row r="1084" spans="13:15" ht="18" customHeight="1">
      <c r="M1084" s="338"/>
      <c r="N1084" s="338"/>
      <c r="O1084" s="338"/>
    </row>
    <row r="1085" spans="13:15" ht="18" customHeight="1">
      <c r="M1085" s="338"/>
      <c r="N1085" s="338"/>
      <c r="O1085" s="338"/>
    </row>
    <row r="1086" spans="13:15" ht="18" customHeight="1">
      <c r="M1086" s="338"/>
      <c r="N1086" s="338"/>
      <c r="O1086" s="338"/>
    </row>
    <row r="1087" spans="13:15" ht="18" customHeight="1">
      <c r="M1087" s="338"/>
      <c r="N1087" s="338"/>
      <c r="O1087" s="338"/>
    </row>
    <row r="1088" spans="13:15" ht="18" customHeight="1">
      <c r="M1088" s="338"/>
      <c r="N1088" s="338"/>
      <c r="O1088" s="338"/>
    </row>
    <row r="1089" spans="13:15" ht="18" customHeight="1">
      <c r="M1089" s="338"/>
      <c r="N1089" s="338"/>
      <c r="O1089" s="338"/>
    </row>
    <row r="1090" spans="13:15" ht="18" customHeight="1">
      <c r="M1090" s="338"/>
      <c r="N1090" s="338"/>
      <c r="O1090" s="338"/>
    </row>
    <row r="1091" spans="13:15" ht="18" customHeight="1">
      <c r="M1091" s="338"/>
      <c r="N1091" s="338"/>
      <c r="O1091" s="338"/>
    </row>
    <row r="1092" spans="13:15" ht="18" customHeight="1">
      <c r="M1092" s="338"/>
      <c r="N1092" s="338"/>
      <c r="O1092" s="338"/>
    </row>
    <row r="1093" spans="13:15" ht="18" customHeight="1">
      <c r="M1093" s="338"/>
      <c r="N1093" s="338"/>
      <c r="O1093" s="338"/>
    </row>
    <row r="1094" spans="13:15" ht="18" customHeight="1">
      <c r="M1094" s="338"/>
      <c r="N1094" s="338"/>
      <c r="O1094" s="338"/>
    </row>
    <row r="1095" spans="13:15" ht="18" customHeight="1">
      <c r="M1095" s="338"/>
      <c r="N1095" s="338"/>
      <c r="O1095" s="338"/>
    </row>
    <row r="1096" spans="13:15" ht="18" customHeight="1">
      <c r="M1096" s="338"/>
      <c r="N1096" s="338"/>
      <c r="O1096" s="338"/>
    </row>
    <row r="1097" spans="13:15" ht="18" customHeight="1">
      <c r="M1097" s="338"/>
      <c r="N1097" s="338"/>
      <c r="O1097" s="338"/>
    </row>
    <row r="1098" spans="13:15" ht="18" customHeight="1">
      <c r="M1098" s="338"/>
      <c r="N1098" s="338"/>
      <c r="O1098" s="338"/>
    </row>
    <row r="1099" spans="13:15" ht="18" customHeight="1">
      <c r="M1099" s="338"/>
      <c r="N1099" s="338"/>
      <c r="O1099" s="338"/>
    </row>
    <row r="1100" spans="13:15" ht="18" customHeight="1">
      <c r="M1100" s="338"/>
      <c r="N1100" s="338"/>
      <c r="O1100" s="338"/>
    </row>
    <row r="1101" spans="13:15" ht="18" customHeight="1">
      <c r="M1101" s="338"/>
      <c r="N1101" s="338"/>
      <c r="O1101" s="338"/>
    </row>
    <row r="1102" spans="13:15" ht="18" customHeight="1">
      <c r="M1102" s="338"/>
      <c r="N1102" s="338"/>
      <c r="O1102" s="338"/>
    </row>
    <row r="1103" spans="13:15" ht="18" customHeight="1">
      <c r="M1103" s="338"/>
      <c r="N1103" s="338"/>
      <c r="O1103" s="338"/>
    </row>
    <row r="1104" spans="13:15" ht="18" customHeight="1">
      <c r="M1104" s="338"/>
      <c r="N1104" s="338"/>
      <c r="O1104" s="338"/>
    </row>
    <row r="1105" spans="13:15" ht="18" customHeight="1">
      <c r="M1105" s="338"/>
      <c r="N1105" s="338"/>
      <c r="O1105" s="338"/>
    </row>
    <row r="1106" spans="13:15" ht="18" customHeight="1">
      <c r="M1106" s="338"/>
      <c r="N1106" s="338"/>
      <c r="O1106" s="338"/>
    </row>
    <row r="1107" spans="13:15" ht="18" customHeight="1">
      <c r="M1107" s="338"/>
      <c r="N1107" s="338"/>
      <c r="O1107" s="338"/>
    </row>
    <row r="1108" spans="13:15" ht="18" customHeight="1">
      <c r="M1108" s="338"/>
      <c r="N1108" s="338"/>
      <c r="O1108" s="338"/>
    </row>
    <row r="1109" spans="13:15" ht="18" customHeight="1">
      <c r="M1109" s="338"/>
      <c r="N1109" s="338"/>
      <c r="O1109" s="338"/>
    </row>
    <row r="1110" spans="13:15" ht="18" customHeight="1">
      <c r="M1110" s="338"/>
      <c r="N1110" s="338"/>
      <c r="O1110" s="338"/>
    </row>
    <row r="1111" spans="13:15" ht="18" customHeight="1">
      <c r="M1111" s="338"/>
      <c r="N1111" s="338"/>
      <c r="O1111" s="338"/>
    </row>
    <row r="1112" spans="13:15" ht="18" customHeight="1">
      <c r="M1112" s="338"/>
      <c r="N1112" s="338"/>
      <c r="O1112" s="338"/>
    </row>
    <row r="1113" spans="13:15" ht="18" customHeight="1">
      <c r="M1113" s="338"/>
      <c r="N1113" s="338"/>
      <c r="O1113" s="338"/>
    </row>
    <row r="1114" spans="13:15" ht="18" customHeight="1">
      <c r="M1114" s="338"/>
      <c r="N1114" s="338"/>
      <c r="O1114" s="338"/>
    </row>
    <row r="1115" spans="13:15" ht="18" customHeight="1">
      <c r="M1115" s="338"/>
      <c r="N1115" s="338"/>
      <c r="O1115" s="338"/>
    </row>
    <row r="1116" spans="13:15" ht="18" customHeight="1">
      <c r="M1116" s="338"/>
      <c r="N1116" s="338"/>
      <c r="O1116" s="338"/>
    </row>
    <row r="1117" spans="13:15" ht="18" customHeight="1">
      <c r="M1117" s="338"/>
      <c r="N1117" s="338"/>
      <c r="O1117" s="338"/>
    </row>
    <row r="1118" spans="13:15" ht="18" customHeight="1">
      <c r="M1118" s="338"/>
      <c r="N1118" s="338"/>
      <c r="O1118" s="338"/>
    </row>
    <row r="1119" spans="13:15" ht="18" customHeight="1">
      <c r="M1119" s="338"/>
      <c r="N1119" s="338"/>
      <c r="O1119" s="338"/>
    </row>
    <row r="1120" spans="13:15" ht="18" customHeight="1">
      <c r="M1120" s="338"/>
      <c r="N1120" s="338"/>
      <c r="O1120" s="338"/>
    </row>
    <row r="1121" spans="13:15" ht="18" customHeight="1">
      <c r="M1121" s="338"/>
      <c r="N1121" s="338"/>
      <c r="O1121" s="338"/>
    </row>
    <row r="1122" spans="13:15" ht="18" customHeight="1">
      <c r="M1122" s="338"/>
      <c r="N1122" s="338"/>
      <c r="O1122" s="338"/>
    </row>
    <row r="1123" spans="13:15" ht="18" customHeight="1">
      <c r="M1123" s="338"/>
      <c r="N1123" s="338"/>
      <c r="O1123" s="338"/>
    </row>
    <row r="1124" spans="13:15" ht="18" customHeight="1">
      <c r="M1124" s="338"/>
      <c r="N1124" s="338"/>
      <c r="O1124" s="338"/>
    </row>
    <row r="1125" spans="13:15" ht="18" customHeight="1">
      <c r="M1125" s="338"/>
      <c r="N1125" s="338"/>
      <c r="O1125" s="338"/>
    </row>
    <row r="1126" spans="13:15" ht="18" customHeight="1">
      <c r="M1126" s="338"/>
      <c r="N1126" s="338"/>
      <c r="O1126" s="338"/>
    </row>
    <row r="1127" spans="13:15" ht="18" customHeight="1">
      <c r="M1127" s="338"/>
      <c r="N1127" s="338"/>
      <c r="O1127" s="338"/>
    </row>
    <row r="1128" spans="13:15" ht="18" customHeight="1">
      <c r="M1128" s="338"/>
      <c r="N1128" s="338"/>
      <c r="O1128" s="338"/>
    </row>
    <row r="1129" spans="13:15" ht="18" customHeight="1">
      <c r="M1129" s="338"/>
      <c r="N1129" s="338"/>
      <c r="O1129" s="338"/>
    </row>
    <row r="1130" spans="13:15" ht="18" customHeight="1">
      <c r="M1130" s="338"/>
      <c r="N1130" s="338"/>
      <c r="O1130" s="338"/>
    </row>
    <row r="1131" spans="13:15" ht="18" customHeight="1">
      <c r="M1131" s="338"/>
      <c r="N1131" s="338"/>
      <c r="O1131" s="338"/>
    </row>
    <row r="1132" spans="13:15" ht="18" customHeight="1">
      <c r="M1132" s="338"/>
      <c r="N1132" s="338"/>
      <c r="O1132" s="338"/>
    </row>
    <row r="1133" spans="13:15" ht="18" customHeight="1">
      <c r="M1133" s="338"/>
      <c r="N1133" s="338"/>
      <c r="O1133" s="338"/>
    </row>
    <row r="1134" spans="13:15" ht="18" customHeight="1">
      <c r="M1134" s="338"/>
      <c r="N1134" s="338"/>
      <c r="O1134" s="338"/>
    </row>
    <row r="1135" spans="13:15" ht="18" customHeight="1">
      <c r="M1135" s="338"/>
      <c r="N1135" s="338"/>
      <c r="O1135" s="338"/>
    </row>
    <row r="1136" spans="13:15" ht="18" customHeight="1">
      <c r="M1136" s="338"/>
      <c r="N1136" s="338"/>
      <c r="O1136" s="338"/>
    </row>
    <row r="1137" spans="13:15" ht="18" customHeight="1">
      <c r="M1137" s="338"/>
      <c r="N1137" s="338"/>
      <c r="O1137" s="338"/>
    </row>
    <row r="1138" spans="13:15" ht="18" customHeight="1">
      <c r="M1138" s="338"/>
      <c r="N1138" s="338"/>
      <c r="O1138" s="338"/>
    </row>
    <row r="1139" spans="13:15" ht="18" customHeight="1">
      <c r="M1139" s="338"/>
      <c r="N1139" s="338"/>
      <c r="O1139" s="338"/>
    </row>
    <row r="1140" spans="13:15" ht="18" customHeight="1">
      <c r="M1140" s="338"/>
      <c r="N1140" s="338"/>
      <c r="O1140" s="338"/>
    </row>
    <row r="1141" spans="13:15" ht="18" customHeight="1">
      <c r="M1141" s="338"/>
      <c r="N1141" s="338"/>
      <c r="O1141" s="338"/>
    </row>
    <row r="1142" spans="13:15" ht="18" customHeight="1">
      <c r="M1142" s="338"/>
      <c r="N1142" s="338"/>
      <c r="O1142" s="338"/>
    </row>
    <row r="1143" spans="13:15" ht="18" customHeight="1">
      <c r="M1143" s="338"/>
      <c r="N1143" s="338"/>
      <c r="O1143" s="338"/>
    </row>
    <row r="1144" spans="13:15" ht="18" customHeight="1">
      <c r="M1144" s="338"/>
      <c r="N1144" s="338"/>
      <c r="O1144" s="338"/>
    </row>
    <row r="1145" spans="13:15" ht="18" customHeight="1">
      <c r="M1145" s="338"/>
      <c r="N1145" s="338"/>
      <c r="O1145" s="338"/>
    </row>
    <row r="1146" spans="13:15" ht="18" customHeight="1">
      <c r="M1146" s="338"/>
      <c r="N1146" s="338"/>
      <c r="O1146" s="338"/>
    </row>
    <row r="1147" spans="13:15" ht="18" customHeight="1">
      <c r="M1147" s="338"/>
      <c r="N1147" s="338"/>
      <c r="O1147" s="338"/>
    </row>
    <row r="1148" spans="13:15" ht="18" customHeight="1">
      <c r="M1148" s="338"/>
      <c r="N1148" s="338"/>
      <c r="O1148" s="338"/>
    </row>
    <row r="1149" spans="13:15" ht="18" customHeight="1">
      <c r="M1149" s="338"/>
      <c r="N1149" s="338"/>
      <c r="O1149" s="338"/>
    </row>
    <row r="1150" spans="13:15" ht="18" customHeight="1">
      <c r="M1150" s="338"/>
      <c r="N1150" s="338"/>
      <c r="O1150" s="338"/>
    </row>
    <row r="1151" spans="13:15" ht="18" customHeight="1">
      <c r="M1151" s="338"/>
      <c r="N1151" s="338"/>
      <c r="O1151" s="338"/>
    </row>
    <row r="1152" spans="13:15" ht="18" customHeight="1">
      <c r="M1152" s="338"/>
      <c r="N1152" s="338"/>
      <c r="O1152" s="338"/>
    </row>
    <row r="1153" spans="13:15" ht="18" customHeight="1">
      <c r="M1153" s="338"/>
      <c r="N1153" s="338"/>
      <c r="O1153" s="338"/>
    </row>
    <row r="1154" spans="13:15" ht="18" customHeight="1">
      <c r="M1154" s="338"/>
      <c r="N1154" s="338"/>
      <c r="O1154" s="338"/>
    </row>
    <row r="1155" spans="13:15" ht="18" customHeight="1">
      <c r="M1155" s="338"/>
      <c r="N1155" s="338"/>
      <c r="O1155" s="338"/>
    </row>
    <row r="1156" spans="13:15" ht="18" customHeight="1">
      <c r="M1156" s="338"/>
      <c r="N1156" s="338"/>
      <c r="O1156" s="338"/>
    </row>
    <row r="1157" spans="13:15" ht="18" customHeight="1">
      <c r="M1157" s="338"/>
      <c r="N1157" s="338"/>
      <c r="O1157" s="338"/>
    </row>
    <row r="1158" spans="13:15" ht="18" customHeight="1">
      <c r="M1158" s="338"/>
      <c r="N1158" s="338"/>
      <c r="O1158" s="338"/>
    </row>
    <row r="1159" spans="13:15" ht="18" customHeight="1">
      <c r="M1159" s="338"/>
      <c r="N1159" s="338"/>
      <c r="O1159" s="338"/>
    </row>
    <row r="1160" spans="13:15" ht="18" customHeight="1">
      <c r="M1160" s="338"/>
      <c r="N1160" s="338"/>
      <c r="O1160" s="338"/>
    </row>
    <row r="1161" spans="13:15" ht="18" customHeight="1">
      <c r="M1161" s="338"/>
      <c r="N1161" s="338"/>
      <c r="O1161" s="338"/>
    </row>
    <row r="1162" spans="13:15" ht="18" customHeight="1">
      <c r="M1162" s="338"/>
      <c r="N1162" s="338"/>
      <c r="O1162" s="338"/>
    </row>
    <row r="1163" spans="13:15" ht="18" customHeight="1">
      <c r="M1163" s="338"/>
      <c r="N1163" s="338"/>
      <c r="O1163" s="338"/>
    </row>
    <row r="1164" spans="13:15" ht="18" customHeight="1">
      <c r="M1164" s="338"/>
      <c r="N1164" s="338"/>
      <c r="O1164" s="338"/>
    </row>
    <row r="1165" spans="13:15" ht="18" customHeight="1">
      <c r="M1165" s="338"/>
      <c r="N1165" s="338"/>
      <c r="O1165" s="338"/>
    </row>
    <row r="1166" spans="13:15" ht="18" customHeight="1">
      <c r="M1166" s="338"/>
      <c r="N1166" s="338"/>
      <c r="O1166" s="338"/>
    </row>
    <row r="1167" spans="13:15" ht="18" customHeight="1">
      <c r="M1167" s="338"/>
      <c r="N1167" s="338"/>
      <c r="O1167" s="338"/>
    </row>
    <row r="1168" spans="13:15" ht="18" customHeight="1">
      <c r="M1168" s="338"/>
      <c r="N1168" s="338"/>
      <c r="O1168" s="338"/>
    </row>
    <row r="1169" spans="13:15" ht="18" customHeight="1">
      <c r="M1169" s="338"/>
      <c r="N1169" s="338"/>
      <c r="O1169" s="338"/>
    </row>
    <row r="1170" spans="13:15" ht="18" customHeight="1">
      <c r="M1170" s="338"/>
      <c r="N1170" s="338"/>
      <c r="O1170" s="338"/>
    </row>
    <row r="1171" spans="13:15" ht="18" customHeight="1">
      <c r="M1171" s="338"/>
      <c r="N1171" s="338"/>
      <c r="O1171" s="338"/>
    </row>
    <row r="1172" spans="13:15" ht="18" customHeight="1">
      <c r="M1172" s="338"/>
      <c r="N1172" s="338"/>
      <c r="O1172" s="338"/>
    </row>
    <row r="1173" spans="13:15" ht="18" customHeight="1">
      <c r="M1173" s="338"/>
      <c r="N1173" s="338"/>
      <c r="O1173" s="338"/>
    </row>
    <row r="1174" spans="13:15" ht="18" customHeight="1">
      <c r="M1174" s="338"/>
      <c r="N1174" s="338"/>
      <c r="O1174" s="338"/>
    </row>
    <row r="1175" spans="13:15" ht="18" customHeight="1">
      <c r="M1175" s="338"/>
      <c r="N1175" s="338"/>
      <c r="O1175" s="338"/>
    </row>
    <row r="1176" spans="13:15" ht="18" customHeight="1">
      <c r="M1176" s="338"/>
      <c r="N1176" s="338"/>
      <c r="O1176" s="338"/>
    </row>
    <row r="1177" spans="13:15" ht="18" customHeight="1">
      <c r="M1177" s="338"/>
      <c r="N1177" s="338"/>
      <c r="O1177" s="338"/>
    </row>
    <row r="1178" spans="13:15" ht="18" customHeight="1">
      <c r="M1178" s="338"/>
      <c r="N1178" s="338"/>
      <c r="O1178" s="338"/>
    </row>
    <row r="1179" spans="13:15" ht="18" customHeight="1">
      <c r="M1179" s="338"/>
      <c r="N1179" s="338"/>
      <c r="O1179" s="338"/>
    </row>
    <row r="1180" spans="13:15" ht="18" customHeight="1">
      <c r="M1180" s="338"/>
      <c r="N1180" s="338"/>
      <c r="O1180" s="338"/>
    </row>
    <row r="1181" spans="13:15" ht="18" customHeight="1">
      <c r="M1181" s="338"/>
      <c r="N1181" s="338"/>
      <c r="O1181" s="338"/>
    </row>
    <row r="1182" spans="13:15" ht="18" customHeight="1">
      <c r="M1182" s="338"/>
      <c r="N1182" s="338"/>
      <c r="O1182" s="338"/>
    </row>
    <row r="1183" spans="13:15" ht="18" customHeight="1">
      <c r="M1183" s="338"/>
      <c r="N1183" s="338"/>
      <c r="O1183" s="338"/>
    </row>
    <row r="1184" spans="13:15" ht="18" customHeight="1">
      <c r="M1184" s="338"/>
      <c r="N1184" s="338"/>
      <c r="O1184" s="338"/>
    </row>
    <row r="1185" spans="13:15" ht="18" customHeight="1">
      <c r="M1185" s="338"/>
      <c r="N1185" s="338"/>
      <c r="O1185" s="338"/>
    </row>
    <row r="1186" spans="13:15" ht="18" customHeight="1">
      <c r="M1186" s="338"/>
      <c r="N1186" s="338"/>
      <c r="O1186" s="338"/>
    </row>
    <row r="1187" spans="13:15" ht="18" customHeight="1">
      <c r="M1187" s="338"/>
      <c r="N1187" s="338"/>
      <c r="O1187" s="338"/>
    </row>
    <row r="1188" spans="13:15" ht="18" customHeight="1">
      <c r="M1188" s="338"/>
      <c r="N1188" s="338"/>
      <c r="O1188" s="338"/>
    </row>
    <row r="1189" spans="13:15" ht="18" customHeight="1">
      <c r="M1189" s="338"/>
      <c r="N1189" s="338"/>
      <c r="O1189" s="338"/>
    </row>
    <row r="1190" spans="13:15" ht="18" customHeight="1">
      <c r="M1190" s="338"/>
      <c r="N1190" s="338"/>
      <c r="O1190" s="338"/>
    </row>
    <row r="1191" spans="13:15" ht="18" customHeight="1">
      <c r="M1191" s="338"/>
      <c r="N1191" s="338"/>
      <c r="O1191" s="338"/>
    </row>
    <row r="1192" spans="13:15" ht="18" customHeight="1">
      <c r="M1192" s="338"/>
      <c r="N1192" s="338"/>
      <c r="O1192" s="338"/>
    </row>
    <row r="1193" spans="13:15" ht="18" customHeight="1">
      <c r="M1193" s="338"/>
      <c r="N1193" s="338"/>
      <c r="O1193" s="338"/>
    </row>
    <row r="1194" spans="13:15" ht="18" customHeight="1">
      <c r="M1194" s="338"/>
      <c r="N1194" s="338"/>
      <c r="O1194" s="338"/>
    </row>
    <row r="1195" spans="13:15" ht="18" customHeight="1">
      <c r="M1195" s="338"/>
      <c r="N1195" s="338"/>
      <c r="O1195" s="338"/>
    </row>
    <row r="1196" spans="13:15" ht="18" customHeight="1">
      <c r="M1196" s="338"/>
      <c r="N1196" s="338"/>
      <c r="O1196" s="338"/>
    </row>
    <row r="1197" spans="13:15" ht="18" customHeight="1">
      <c r="M1197" s="338"/>
      <c r="N1197" s="338"/>
      <c r="O1197" s="338"/>
    </row>
    <row r="1198" spans="13:15" ht="18" customHeight="1">
      <c r="M1198" s="338"/>
      <c r="N1198" s="338"/>
      <c r="O1198" s="338"/>
    </row>
    <row r="1199" spans="13:15" ht="18" customHeight="1">
      <c r="M1199" s="338"/>
      <c r="N1199" s="338"/>
      <c r="O1199" s="338"/>
    </row>
    <row r="1200" spans="13:15" ht="18" customHeight="1">
      <c r="M1200" s="338"/>
      <c r="N1200" s="338"/>
      <c r="O1200" s="338"/>
    </row>
    <row r="1201" spans="13:15" ht="18" customHeight="1">
      <c r="M1201" s="338"/>
      <c r="N1201" s="338"/>
      <c r="O1201" s="338"/>
    </row>
    <row r="1202" spans="13:15" ht="18" customHeight="1">
      <c r="M1202" s="338"/>
      <c r="N1202" s="338"/>
      <c r="O1202" s="338"/>
    </row>
    <row r="1203" spans="13:15" ht="18" customHeight="1">
      <c r="M1203" s="338"/>
      <c r="N1203" s="338"/>
      <c r="O1203" s="338"/>
    </row>
    <row r="1204" spans="13:15" ht="18" customHeight="1">
      <c r="M1204" s="338"/>
      <c r="N1204" s="338"/>
      <c r="O1204" s="338"/>
    </row>
    <row r="1205" spans="13:15" ht="18" customHeight="1">
      <c r="M1205" s="338"/>
      <c r="N1205" s="338"/>
      <c r="O1205" s="338"/>
    </row>
    <row r="1206" spans="13:15" ht="18" customHeight="1">
      <c r="M1206" s="338"/>
      <c r="N1206" s="338"/>
      <c r="O1206" s="338"/>
    </row>
    <row r="1207" spans="13:15" ht="18" customHeight="1">
      <c r="M1207" s="338"/>
      <c r="N1207" s="338"/>
      <c r="O1207" s="338"/>
    </row>
    <row r="1208" spans="13:15" ht="18" customHeight="1">
      <c r="M1208" s="338"/>
      <c r="N1208" s="338"/>
      <c r="O1208" s="338"/>
    </row>
    <row r="1209" spans="13:15" ht="18" customHeight="1">
      <c r="M1209" s="338"/>
      <c r="N1209" s="338"/>
      <c r="O1209" s="338"/>
    </row>
    <row r="1210" spans="13:15" ht="18" customHeight="1">
      <c r="M1210" s="338"/>
      <c r="N1210" s="338"/>
      <c r="O1210" s="338"/>
    </row>
    <row r="1211" spans="13:15" ht="18" customHeight="1">
      <c r="M1211" s="338"/>
      <c r="N1211" s="338"/>
      <c r="O1211" s="338"/>
    </row>
    <row r="1212" spans="13:15" ht="18" customHeight="1">
      <c r="M1212" s="338"/>
      <c r="N1212" s="338"/>
      <c r="O1212" s="338"/>
    </row>
    <row r="1213" spans="13:15" ht="18" customHeight="1">
      <c r="M1213" s="338"/>
      <c r="N1213" s="338"/>
      <c r="O1213" s="338"/>
    </row>
    <row r="1214" spans="13:15" ht="18" customHeight="1">
      <c r="M1214" s="338"/>
      <c r="N1214" s="338"/>
      <c r="O1214" s="338"/>
    </row>
    <row r="1215" spans="13:15" ht="18" customHeight="1">
      <c r="M1215" s="338"/>
      <c r="N1215" s="338"/>
      <c r="O1215" s="338"/>
    </row>
    <row r="1216" spans="13:15" ht="18" customHeight="1">
      <c r="M1216" s="338"/>
      <c r="N1216" s="338"/>
      <c r="O1216" s="338"/>
    </row>
    <row r="1217" spans="13:15" ht="18" customHeight="1">
      <c r="M1217" s="338"/>
      <c r="N1217" s="338"/>
      <c r="O1217" s="338"/>
    </row>
    <row r="1218" spans="13:15" ht="18" customHeight="1">
      <c r="M1218" s="338"/>
      <c r="N1218" s="338"/>
      <c r="O1218" s="338"/>
    </row>
    <row r="1219" spans="13:15" ht="18" customHeight="1">
      <c r="M1219" s="338"/>
      <c r="N1219" s="338"/>
      <c r="O1219" s="338"/>
    </row>
    <row r="1220" spans="13:15" ht="18" customHeight="1">
      <c r="M1220" s="338"/>
      <c r="N1220" s="338"/>
      <c r="O1220" s="338"/>
    </row>
    <row r="1221" spans="13:15" ht="18" customHeight="1">
      <c r="M1221" s="338"/>
      <c r="N1221" s="338"/>
      <c r="O1221" s="338"/>
    </row>
    <row r="1222" spans="13:15" ht="18" customHeight="1">
      <c r="M1222" s="338"/>
      <c r="N1222" s="338"/>
      <c r="O1222" s="338"/>
    </row>
    <row r="1223" spans="13:15" ht="18" customHeight="1">
      <c r="M1223" s="338"/>
      <c r="N1223" s="338"/>
      <c r="O1223" s="338"/>
    </row>
    <row r="1224" spans="13:15" ht="18" customHeight="1">
      <c r="M1224" s="338"/>
      <c r="N1224" s="338"/>
      <c r="O1224" s="338"/>
    </row>
    <row r="1225" spans="13:15" ht="18" customHeight="1">
      <c r="M1225" s="338"/>
      <c r="N1225" s="338"/>
      <c r="O1225" s="338"/>
    </row>
    <row r="1226" spans="13:15" ht="18" customHeight="1">
      <c r="M1226" s="338"/>
      <c r="N1226" s="338"/>
      <c r="O1226" s="338"/>
    </row>
    <row r="1227" spans="13:15" ht="18" customHeight="1">
      <c r="M1227" s="338"/>
      <c r="N1227" s="338"/>
      <c r="O1227" s="338"/>
    </row>
    <row r="1228" spans="13:15" ht="18" customHeight="1">
      <c r="M1228" s="338"/>
      <c r="N1228" s="338"/>
      <c r="O1228" s="338"/>
    </row>
    <row r="1229" spans="13:15" ht="18" customHeight="1">
      <c r="M1229" s="338"/>
      <c r="N1229" s="338"/>
      <c r="O1229" s="338"/>
    </row>
    <row r="1230" spans="13:15" ht="18" customHeight="1">
      <c r="M1230" s="338"/>
      <c r="N1230" s="338"/>
      <c r="O1230" s="338"/>
    </row>
    <row r="1231" spans="13:15" ht="18" customHeight="1">
      <c r="M1231" s="338"/>
      <c r="N1231" s="338"/>
      <c r="O1231" s="338"/>
    </row>
    <row r="1232" spans="13:15" ht="18" customHeight="1">
      <c r="M1232" s="338"/>
      <c r="N1232" s="338"/>
      <c r="O1232" s="338"/>
    </row>
    <row r="1233" spans="13:15" ht="18" customHeight="1">
      <c r="M1233" s="338"/>
      <c r="N1233" s="338"/>
      <c r="O1233" s="338"/>
    </row>
    <row r="1234" spans="13:15" ht="18" customHeight="1">
      <c r="M1234" s="338"/>
      <c r="N1234" s="338"/>
      <c r="O1234" s="338"/>
    </row>
    <row r="1235" spans="13:15" ht="18" customHeight="1">
      <c r="M1235" s="338"/>
      <c r="N1235" s="338"/>
      <c r="O1235" s="338"/>
    </row>
    <row r="1236" spans="13:15" ht="18" customHeight="1">
      <c r="M1236" s="338"/>
      <c r="N1236" s="338"/>
      <c r="O1236" s="338"/>
    </row>
    <row r="1237" spans="13:15" ht="18" customHeight="1">
      <c r="M1237" s="338"/>
      <c r="N1237" s="338"/>
      <c r="O1237" s="338"/>
    </row>
    <row r="1238" spans="13:15" ht="18" customHeight="1">
      <c r="M1238" s="338"/>
      <c r="N1238" s="338"/>
      <c r="O1238" s="338"/>
    </row>
    <row r="1239" spans="13:15" ht="18" customHeight="1">
      <c r="M1239" s="338"/>
      <c r="N1239" s="338"/>
      <c r="O1239" s="338"/>
    </row>
    <row r="1240" spans="13:15" ht="18" customHeight="1">
      <c r="M1240" s="338"/>
      <c r="N1240" s="338"/>
      <c r="O1240" s="338"/>
    </row>
    <row r="1241" spans="13:15" ht="18" customHeight="1">
      <c r="M1241" s="338"/>
      <c r="N1241" s="338"/>
      <c r="O1241" s="338"/>
    </row>
    <row r="1242" spans="13:15" ht="18" customHeight="1">
      <c r="M1242" s="338"/>
      <c r="N1242" s="338"/>
      <c r="O1242" s="338"/>
    </row>
    <row r="1243" spans="13:15" ht="18" customHeight="1">
      <c r="M1243" s="338"/>
      <c r="N1243" s="338"/>
      <c r="O1243" s="338"/>
    </row>
    <row r="1244" spans="13:15" ht="18" customHeight="1">
      <c r="M1244" s="338"/>
      <c r="N1244" s="338"/>
      <c r="O1244" s="338"/>
    </row>
    <row r="1245" spans="13:15" ht="18" customHeight="1">
      <c r="M1245" s="338"/>
      <c r="N1245" s="338"/>
      <c r="O1245" s="338"/>
    </row>
    <row r="1246" spans="13:15" ht="18" customHeight="1">
      <c r="M1246" s="338"/>
      <c r="N1246" s="338"/>
      <c r="O1246" s="338"/>
    </row>
    <row r="1247" spans="13:15" ht="18" customHeight="1">
      <c r="M1247" s="338"/>
      <c r="N1247" s="338"/>
      <c r="O1247" s="338"/>
    </row>
    <row r="1248" spans="13:15" ht="18" customHeight="1">
      <c r="M1248" s="338"/>
      <c r="N1248" s="338"/>
      <c r="O1248" s="338"/>
    </row>
    <row r="1249" spans="13:15" ht="18" customHeight="1">
      <c r="M1249" s="338"/>
      <c r="N1249" s="338"/>
      <c r="O1249" s="338"/>
    </row>
    <row r="1250" spans="13:15" ht="18" customHeight="1">
      <c r="M1250" s="338"/>
      <c r="N1250" s="338"/>
      <c r="O1250" s="338"/>
    </row>
    <row r="1251" spans="13:15" ht="18" customHeight="1">
      <c r="M1251" s="338"/>
      <c r="N1251" s="338"/>
      <c r="O1251" s="338"/>
    </row>
    <row r="1252" spans="13:15" ht="18" customHeight="1">
      <c r="M1252" s="338"/>
      <c r="N1252" s="338"/>
      <c r="O1252" s="338"/>
    </row>
    <row r="1253" spans="13:15" ht="18" customHeight="1">
      <c r="M1253" s="338"/>
      <c r="N1253" s="338"/>
      <c r="O1253" s="338"/>
    </row>
    <row r="1254" spans="13:15" ht="18" customHeight="1">
      <c r="M1254" s="338"/>
      <c r="N1254" s="338"/>
      <c r="O1254" s="338"/>
    </row>
    <row r="1255" spans="13:15" ht="18" customHeight="1">
      <c r="M1255" s="338"/>
      <c r="N1255" s="338"/>
      <c r="O1255" s="338"/>
    </row>
    <row r="1256" spans="13:15" ht="18" customHeight="1">
      <c r="M1256" s="338"/>
      <c r="N1256" s="338"/>
      <c r="O1256" s="338"/>
    </row>
    <row r="1257" spans="13:15" ht="18" customHeight="1">
      <c r="M1257" s="338"/>
      <c r="N1257" s="338"/>
      <c r="O1257" s="338"/>
    </row>
    <row r="1258" spans="13:15" ht="18" customHeight="1">
      <c r="M1258" s="338"/>
      <c r="N1258" s="338"/>
      <c r="O1258" s="338"/>
    </row>
    <row r="1259" spans="13:15" ht="18" customHeight="1">
      <c r="M1259" s="338"/>
      <c r="N1259" s="338"/>
      <c r="O1259" s="338"/>
    </row>
    <row r="1260" spans="13:15" ht="18" customHeight="1">
      <c r="M1260" s="338"/>
      <c r="N1260" s="338"/>
      <c r="O1260" s="338"/>
    </row>
    <row r="1261" spans="13:15" ht="18" customHeight="1">
      <c r="M1261" s="338"/>
      <c r="N1261" s="338"/>
      <c r="O1261" s="338"/>
    </row>
    <row r="1262" spans="13:15" ht="18" customHeight="1">
      <c r="M1262" s="338"/>
      <c r="N1262" s="338"/>
      <c r="O1262" s="338"/>
    </row>
    <row r="1263" spans="13:15" ht="18" customHeight="1">
      <c r="M1263" s="338"/>
      <c r="N1263" s="338"/>
      <c r="O1263" s="338"/>
    </row>
    <row r="1264" spans="13:15" ht="18" customHeight="1">
      <c r="M1264" s="338"/>
      <c r="N1264" s="338"/>
      <c r="O1264" s="338"/>
    </row>
    <row r="1265" spans="13:15" ht="18" customHeight="1">
      <c r="M1265" s="338"/>
      <c r="N1265" s="338"/>
      <c r="O1265" s="338"/>
    </row>
    <row r="1266" spans="13:15" ht="18" customHeight="1">
      <c r="M1266" s="338"/>
      <c r="N1266" s="338"/>
      <c r="O1266" s="338"/>
    </row>
    <row r="1267" spans="13:15" ht="18" customHeight="1">
      <c r="M1267" s="338"/>
      <c r="N1267" s="338"/>
      <c r="O1267" s="338"/>
    </row>
    <row r="1268" spans="13:15" ht="18" customHeight="1">
      <c r="M1268" s="338"/>
      <c r="N1268" s="338"/>
      <c r="O1268" s="338"/>
    </row>
    <row r="1269" spans="13:15" ht="18" customHeight="1">
      <c r="M1269" s="338"/>
      <c r="N1269" s="338"/>
      <c r="O1269" s="338"/>
    </row>
    <row r="1270" spans="13:15" ht="18" customHeight="1">
      <c r="M1270" s="338"/>
      <c r="N1270" s="338"/>
      <c r="O1270" s="338"/>
    </row>
    <row r="1271" spans="13:15" ht="18" customHeight="1">
      <c r="M1271" s="338"/>
      <c r="N1271" s="338"/>
      <c r="O1271" s="338"/>
    </row>
    <row r="1272" spans="13:15" ht="18" customHeight="1">
      <c r="M1272" s="338"/>
      <c r="N1272" s="338"/>
      <c r="O1272" s="338"/>
    </row>
    <row r="1273" spans="13:15" ht="18" customHeight="1">
      <c r="M1273" s="338"/>
      <c r="N1273" s="338"/>
      <c r="O1273" s="338"/>
    </row>
    <row r="1274" spans="13:15" ht="18" customHeight="1">
      <c r="M1274" s="338"/>
      <c r="N1274" s="338"/>
      <c r="O1274" s="338"/>
    </row>
    <row r="1275" spans="13:15" ht="18" customHeight="1">
      <c r="M1275" s="338"/>
      <c r="N1275" s="338"/>
      <c r="O1275" s="338"/>
    </row>
    <row r="1276" spans="13:15" ht="18" customHeight="1">
      <c r="M1276" s="338"/>
      <c r="N1276" s="338"/>
      <c r="O1276" s="338"/>
    </row>
    <row r="1277" spans="13:15" ht="18" customHeight="1">
      <c r="M1277" s="338"/>
      <c r="N1277" s="338"/>
      <c r="O1277" s="338"/>
    </row>
    <row r="1278" spans="13:15" ht="18" customHeight="1">
      <c r="M1278" s="338"/>
      <c r="N1278" s="338"/>
      <c r="O1278" s="338"/>
    </row>
    <row r="1279" spans="13:15" ht="18" customHeight="1">
      <c r="M1279" s="338"/>
      <c r="N1279" s="338"/>
      <c r="O1279" s="338"/>
    </row>
    <row r="1280" spans="13:15" ht="18" customHeight="1">
      <c r="M1280" s="338"/>
      <c r="N1280" s="338"/>
      <c r="O1280" s="338"/>
    </row>
    <row r="1281" spans="13:15" ht="18" customHeight="1">
      <c r="M1281" s="338"/>
      <c r="N1281" s="338"/>
      <c r="O1281" s="338"/>
    </row>
    <row r="1282" spans="13:15" ht="18" customHeight="1">
      <c r="M1282" s="338"/>
      <c r="N1282" s="338"/>
      <c r="O1282" s="338"/>
    </row>
    <row r="1283" spans="13:15" ht="18" customHeight="1">
      <c r="M1283" s="338"/>
      <c r="N1283" s="338"/>
      <c r="O1283" s="338"/>
    </row>
    <row r="1284" spans="13:15" ht="18" customHeight="1">
      <c r="M1284" s="338"/>
      <c r="N1284" s="338"/>
      <c r="O1284" s="338"/>
    </row>
    <row r="1285" spans="13:15" ht="18" customHeight="1">
      <c r="M1285" s="338"/>
      <c r="N1285" s="338"/>
      <c r="O1285" s="338"/>
    </row>
    <row r="1286" spans="13:15" ht="18" customHeight="1">
      <c r="M1286" s="338"/>
      <c r="N1286" s="338"/>
      <c r="O1286" s="338"/>
    </row>
    <row r="1287" spans="13:15" ht="18" customHeight="1">
      <c r="M1287" s="338"/>
      <c r="N1287" s="338"/>
      <c r="O1287" s="338"/>
    </row>
    <row r="1288" spans="13:15" ht="18" customHeight="1">
      <c r="M1288" s="338"/>
      <c r="N1288" s="338"/>
      <c r="O1288" s="338"/>
    </row>
    <row r="1289" spans="13:15" ht="18" customHeight="1">
      <c r="M1289" s="338"/>
      <c r="N1289" s="338"/>
      <c r="O1289" s="338"/>
    </row>
    <row r="1290" spans="13:15" ht="18" customHeight="1">
      <c r="M1290" s="338"/>
      <c r="N1290" s="338"/>
      <c r="O1290" s="338"/>
    </row>
    <row r="1291" spans="13:15" ht="18" customHeight="1">
      <c r="M1291" s="338"/>
      <c r="N1291" s="338"/>
      <c r="O1291" s="338"/>
    </row>
    <row r="1292" spans="13:15" ht="18" customHeight="1">
      <c r="M1292" s="338"/>
      <c r="N1292" s="338"/>
      <c r="O1292" s="338"/>
    </row>
    <row r="1293" spans="13:15" ht="18" customHeight="1">
      <c r="M1293" s="338"/>
      <c r="N1293" s="338"/>
      <c r="O1293" s="338"/>
    </row>
    <row r="1294" spans="13:15" ht="18" customHeight="1">
      <c r="M1294" s="338"/>
      <c r="N1294" s="338"/>
      <c r="O1294" s="338"/>
    </row>
    <row r="1295" spans="13:15" ht="18" customHeight="1">
      <c r="M1295" s="338"/>
      <c r="N1295" s="338"/>
      <c r="O1295" s="338"/>
    </row>
    <row r="1296" spans="13:15" ht="18" customHeight="1">
      <c r="M1296" s="338"/>
      <c r="N1296" s="338"/>
      <c r="O1296" s="338"/>
    </row>
    <row r="1297" spans="13:15" ht="18" customHeight="1">
      <c r="M1297" s="338"/>
      <c r="N1297" s="338"/>
      <c r="O1297" s="338"/>
    </row>
    <row r="1298" spans="13:15" ht="18" customHeight="1">
      <c r="M1298" s="338"/>
      <c r="N1298" s="338"/>
      <c r="O1298" s="338"/>
    </row>
    <row r="1299" spans="13:15" ht="18" customHeight="1">
      <c r="M1299" s="338"/>
      <c r="N1299" s="338"/>
      <c r="O1299" s="338"/>
    </row>
    <row r="1300" spans="13:15" ht="18" customHeight="1">
      <c r="M1300" s="338"/>
      <c r="N1300" s="338"/>
      <c r="O1300" s="338"/>
    </row>
    <row r="1301" spans="13:15" ht="18" customHeight="1">
      <c r="M1301" s="338"/>
      <c r="N1301" s="338"/>
      <c r="O1301" s="338"/>
    </row>
    <row r="1302" spans="13:15" ht="18" customHeight="1">
      <c r="M1302" s="338"/>
      <c r="N1302" s="338"/>
      <c r="O1302" s="338"/>
    </row>
    <row r="1303" spans="13:15" ht="18" customHeight="1">
      <c r="M1303" s="338"/>
      <c r="N1303" s="338"/>
      <c r="O1303" s="338"/>
    </row>
    <row r="1304" spans="13:15" ht="18" customHeight="1">
      <c r="M1304" s="338"/>
      <c r="N1304" s="338"/>
      <c r="O1304" s="338"/>
    </row>
    <row r="1305" spans="13:15" ht="18" customHeight="1">
      <c r="M1305" s="338"/>
      <c r="N1305" s="338"/>
      <c r="O1305" s="338"/>
    </row>
    <row r="1306" spans="13:15" ht="18" customHeight="1">
      <c r="M1306" s="338"/>
      <c r="N1306" s="338"/>
      <c r="O1306" s="338"/>
    </row>
    <row r="1307" spans="13:15" ht="18" customHeight="1">
      <c r="M1307" s="338"/>
      <c r="N1307" s="338"/>
      <c r="O1307" s="338"/>
    </row>
    <row r="1308" spans="13:15" ht="18" customHeight="1">
      <c r="M1308" s="338"/>
      <c r="N1308" s="338"/>
      <c r="O1308" s="338"/>
    </row>
    <row r="1309" spans="13:15" ht="18" customHeight="1">
      <c r="M1309" s="338"/>
      <c r="N1309" s="338"/>
      <c r="O1309" s="338"/>
    </row>
    <row r="1310" spans="13:15" ht="18" customHeight="1">
      <c r="M1310" s="338"/>
      <c r="N1310" s="338"/>
      <c r="O1310" s="338"/>
    </row>
    <row r="1311" spans="13:15" ht="18" customHeight="1">
      <c r="M1311" s="338"/>
      <c r="N1311" s="338"/>
      <c r="O1311" s="338"/>
    </row>
    <row r="1312" spans="13:15" ht="18" customHeight="1">
      <c r="M1312" s="338"/>
      <c r="N1312" s="338"/>
      <c r="O1312" s="338"/>
    </row>
    <row r="1313" spans="13:15" ht="18" customHeight="1">
      <c r="M1313" s="338"/>
      <c r="N1313" s="338"/>
      <c r="O1313" s="338"/>
    </row>
    <row r="1314" spans="13:15" ht="18" customHeight="1">
      <c r="M1314" s="338"/>
      <c r="N1314" s="338"/>
      <c r="O1314" s="338"/>
    </row>
    <row r="1315" spans="13:15" ht="18" customHeight="1">
      <c r="M1315" s="338"/>
      <c r="N1315" s="338"/>
      <c r="O1315" s="338"/>
    </row>
    <row r="1316" spans="13:15" ht="18" customHeight="1">
      <c r="M1316" s="338"/>
      <c r="N1316" s="338"/>
      <c r="O1316" s="338"/>
    </row>
    <row r="1317" spans="13:15" ht="18" customHeight="1">
      <c r="M1317" s="338"/>
      <c r="N1317" s="338"/>
      <c r="O1317" s="338"/>
    </row>
    <row r="1318" spans="13:15" ht="18" customHeight="1">
      <c r="M1318" s="338"/>
      <c r="N1318" s="338"/>
      <c r="O1318" s="338"/>
    </row>
    <row r="1319" spans="13:15" ht="18" customHeight="1">
      <c r="M1319" s="338"/>
      <c r="N1319" s="338"/>
      <c r="O1319" s="338"/>
    </row>
    <row r="1320" spans="13:15" ht="18" customHeight="1">
      <c r="M1320" s="338"/>
      <c r="N1320" s="338"/>
      <c r="O1320" s="338"/>
    </row>
    <row r="1321" spans="13:15" ht="18" customHeight="1">
      <c r="M1321" s="338"/>
      <c r="N1321" s="338"/>
      <c r="O1321" s="338"/>
    </row>
    <row r="1322" spans="13:15" ht="18" customHeight="1">
      <c r="M1322" s="338"/>
      <c r="N1322" s="338"/>
      <c r="O1322" s="338"/>
    </row>
    <row r="1323" spans="13:15" ht="18" customHeight="1">
      <c r="N1323" s="338"/>
      <c r="O1323" s="338"/>
    </row>
    <row r="1324" spans="13:15" ht="18" customHeight="1">
      <c r="N1324" s="338"/>
      <c r="O1324" s="338"/>
    </row>
  </sheetData>
  <sheetProtection formatCells="0" formatColumns="0" formatRows="0" autoFilter="0"/>
  <mergeCells count="1">
    <mergeCell ref="B1:L1"/>
  </mergeCells>
  <phoneticPr fontId="6" type="noConversion"/>
  <pageMargins left="0.75" right="0.75" top="1" bottom="1" header="0.5" footer="0.5"/>
  <pageSetup paperSize="9" orientation="portrait"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FF0000"/>
  </sheetPr>
  <dimension ref="A1:AI256"/>
  <sheetViews>
    <sheetView topLeftCell="A97" zoomScaleNormal="100" workbookViewId="0">
      <selection activeCell="H108" sqref="H108"/>
    </sheetView>
  </sheetViews>
  <sheetFormatPr defaultColWidth="9" defaultRowHeight="18" customHeight="1" outlineLevelRow="1"/>
  <cols>
    <col min="1" max="1" width="2.33203125" style="211" customWidth="1"/>
    <col min="2" max="2" width="28.25" style="212" customWidth="1"/>
    <col min="3" max="4" width="9" style="212" customWidth="1"/>
    <col min="5" max="5" width="10.25" style="212" customWidth="1"/>
    <col min="6" max="6" width="9.75" style="212" bestFit="1" customWidth="1"/>
    <col min="7" max="7" width="9.25" style="212" bestFit="1" customWidth="1"/>
    <col min="8" max="8" width="9.58203125" style="212" bestFit="1" customWidth="1"/>
    <col min="9" max="10" width="9.25" style="212" customWidth="1"/>
    <col min="11" max="11" width="9" style="212" customWidth="1"/>
    <col min="12" max="12" width="13.08203125" style="41" customWidth="1"/>
    <col min="13" max="13" width="9.25" style="41" customWidth="1"/>
    <col min="14" max="14" width="9" style="41"/>
    <col min="15" max="15" width="10.58203125" style="41" customWidth="1"/>
    <col min="16" max="25" width="9" style="41"/>
    <col min="26" max="26" width="10.75" style="212" customWidth="1"/>
    <col min="27" max="16384" width="9" style="212"/>
  </cols>
  <sheetData>
    <row r="1" spans="1:25" s="184" customFormat="1" ht="29.25" customHeight="1">
      <c r="A1" s="74"/>
      <c r="B1" s="749" t="s">
        <v>568</v>
      </c>
      <c r="C1" s="749"/>
      <c r="D1" s="749"/>
      <c r="E1" s="749"/>
      <c r="F1" s="749"/>
      <c r="G1" s="749"/>
      <c r="H1" s="749"/>
      <c r="I1" s="749"/>
      <c r="J1" s="749"/>
      <c r="K1" s="749"/>
      <c r="L1" s="380"/>
      <c r="M1" s="380"/>
      <c r="N1" s="380"/>
      <c r="O1" s="131"/>
      <c r="P1" s="131"/>
      <c r="Q1" s="131"/>
      <c r="R1" s="131"/>
      <c r="S1" s="131"/>
      <c r="T1" s="131"/>
      <c r="U1" s="131"/>
      <c r="V1" s="131"/>
      <c r="W1" s="131"/>
      <c r="X1" s="131"/>
      <c r="Y1" s="131"/>
    </row>
    <row r="2" spans="1:25" s="184" customFormat="1" ht="18" customHeight="1">
      <c r="A2" s="213"/>
      <c r="B2" s="229" t="str">
        <f>'1报表'!B11</f>
        <v>评估基准日：2018/6/30</v>
      </c>
      <c r="D2" s="210"/>
      <c r="F2" s="379"/>
      <c r="L2" s="131"/>
      <c r="M2" s="131"/>
      <c r="N2" s="131"/>
      <c r="O2" s="131"/>
      <c r="P2" s="131"/>
      <c r="Q2" s="131"/>
      <c r="R2" s="131"/>
      <c r="S2" s="131"/>
      <c r="T2" s="131"/>
      <c r="U2" s="131"/>
      <c r="V2" s="131"/>
      <c r="W2" s="131"/>
      <c r="X2" s="131"/>
      <c r="Y2" s="131"/>
    </row>
    <row r="3" spans="1:25" ht="18" customHeight="1">
      <c r="A3" s="36"/>
      <c r="B3" s="132" t="str">
        <f>'1报表'!B12</f>
        <v>被评估单位：YLSJ公司</v>
      </c>
      <c r="C3" s="467"/>
      <c r="D3" s="467"/>
      <c r="E3" s="467"/>
      <c r="F3" s="468"/>
      <c r="G3" s="469"/>
      <c r="H3" s="467"/>
      <c r="I3" s="467"/>
      <c r="J3" s="467"/>
      <c r="K3" s="470" t="s">
        <v>52</v>
      </c>
    </row>
    <row r="4" spans="1:25" ht="18" customHeight="1">
      <c r="A4" s="36"/>
      <c r="B4" s="542" t="s">
        <v>641</v>
      </c>
      <c r="C4" s="546">
        <f>'1报表'!C13</f>
        <v>42735</v>
      </c>
      <c r="D4" s="546">
        <f>'1报表'!D13</f>
        <v>43100</v>
      </c>
      <c r="E4" s="546">
        <f>'1报表'!E13</f>
        <v>43281</v>
      </c>
      <c r="F4" s="547">
        <f>DATE(YEAR(E4),12,31)</f>
        <v>43465</v>
      </c>
      <c r="G4" s="547">
        <f t="shared" ref="G4:K4" si="0">EDATE(F4,12)</f>
        <v>43830</v>
      </c>
      <c r="H4" s="547">
        <f t="shared" si="0"/>
        <v>44196</v>
      </c>
      <c r="I4" s="547">
        <f t="shared" si="0"/>
        <v>44561</v>
      </c>
      <c r="J4" s="547">
        <f t="shared" si="0"/>
        <v>44926</v>
      </c>
      <c r="K4" s="547">
        <f t="shared" si="0"/>
        <v>45291</v>
      </c>
    </row>
    <row r="5" spans="1:25" ht="18" customHeight="1">
      <c r="A5" s="36"/>
      <c r="B5" s="505" t="s">
        <v>10</v>
      </c>
      <c r="C5" s="38">
        <f>'1报表'!C34-'2报表调整'!K27</f>
        <v>0</v>
      </c>
      <c r="D5" s="38">
        <f>'1报表'!D34-'2报表调整'!L27</f>
        <v>0</v>
      </c>
      <c r="E5" s="38">
        <f>'2报表调整'!G27</f>
        <v>0</v>
      </c>
      <c r="F5" s="553"/>
      <c r="G5" s="553"/>
      <c r="H5" s="553"/>
      <c r="I5" s="553"/>
      <c r="J5" s="553"/>
      <c r="K5" s="205"/>
    </row>
    <row r="6" spans="1:25" ht="18" customHeight="1">
      <c r="A6" s="36"/>
      <c r="B6" s="505" t="s">
        <v>22</v>
      </c>
      <c r="C6" s="38">
        <f>'1报表'!C48-'2报表调整'!K41</f>
        <v>0</v>
      </c>
      <c r="D6" s="38">
        <f>'1报表'!D48-'2报表调整'!L41</f>
        <v>0</v>
      </c>
      <c r="E6" s="38">
        <f>'2报表调整'!G41</f>
        <v>0</v>
      </c>
      <c r="F6" s="553"/>
      <c r="G6" s="553"/>
      <c r="H6" s="553"/>
      <c r="I6" s="553"/>
      <c r="J6" s="553"/>
      <c r="K6" s="553"/>
    </row>
    <row r="7" spans="1:25" ht="18" customHeight="1">
      <c r="A7" s="36"/>
      <c r="B7" s="505" t="s">
        <v>40</v>
      </c>
      <c r="C7" s="557">
        <f>'1报表'!C70-'2报表调整'!K63</f>
        <v>0</v>
      </c>
      <c r="D7" s="557">
        <f>'1报表'!D70-'2报表调整'!L63</f>
        <v>0</v>
      </c>
      <c r="E7" s="557">
        <f>'2报表调整'!G63</f>
        <v>0</v>
      </c>
      <c r="F7" s="205"/>
      <c r="G7" s="205"/>
      <c r="H7" s="205"/>
      <c r="I7" s="205"/>
      <c r="J7" s="205"/>
      <c r="K7" s="205"/>
    </row>
    <row r="8" spans="1:25" ht="18" customHeight="1">
      <c r="A8" s="36"/>
      <c r="B8" s="505" t="s">
        <v>239</v>
      </c>
      <c r="C8" s="557">
        <f>'1报表'!C71-'2报表调整'!K64</f>
        <v>0</v>
      </c>
      <c r="D8" s="557">
        <f>'1报表'!D71-'2报表调整'!L64</f>
        <v>0</v>
      </c>
      <c r="E8" s="557">
        <f>'2报表调整'!G64</f>
        <v>0</v>
      </c>
      <c r="F8" s="205"/>
      <c r="G8" s="205"/>
      <c r="H8" s="205"/>
      <c r="I8" s="205"/>
      <c r="J8" s="205"/>
      <c r="K8" s="205"/>
    </row>
    <row r="9" spans="1:25" ht="18" customHeight="1">
      <c r="A9" s="36"/>
      <c r="B9" s="505" t="s">
        <v>41</v>
      </c>
      <c r="C9" s="557">
        <f>'1报表'!C72-'2报表调整'!K65</f>
        <v>0</v>
      </c>
      <c r="D9" s="557">
        <f>'1报表'!D72-'2报表调整'!L65</f>
        <v>0</v>
      </c>
      <c r="E9" s="557">
        <f>'2报表调整'!G65</f>
        <v>0</v>
      </c>
      <c r="F9" s="205"/>
      <c r="G9" s="205"/>
      <c r="H9" s="205"/>
      <c r="I9" s="205"/>
      <c r="J9" s="205"/>
      <c r="K9" s="205"/>
    </row>
    <row r="10" spans="1:25" ht="18" customHeight="1">
      <c r="A10" s="36"/>
      <c r="B10" s="505" t="s">
        <v>240</v>
      </c>
      <c r="C10" s="557">
        <f>'1报表'!C73-'2报表调整'!K66</f>
        <v>0</v>
      </c>
      <c r="D10" s="557">
        <f>'1报表'!D73-'2报表调整'!L66</f>
        <v>0</v>
      </c>
      <c r="E10" s="557">
        <f>'2报表调整'!G66</f>
        <v>0</v>
      </c>
      <c r="F10" s="205"/>
      <c r="G10" s="205"/>
      <c r="H10" s="205"/>
      <c r="I10" s="205"/>
      <c r="J10" s="205"/>
      <c r="K10" s="205"/>
    </row>
    <row r="11" spans="1:25" ht="18" customHeight="1">
      <c r="A11" s="36"/>
      <c r="B11" s="505" t="s">
        <v>43</v>
      </c>
      <c r="C11" s="558">
        <f>'1报表'!C75-'2报表调整'!K68</f>
        <v>0</v>
      </c>
      <c r="D11" s="558">
        <f>'1报表'!D75-'2报表调整'!L68</f>
        <v>0</v>
      </c>
      <c r="E11" s="558">
        <f>'2报表调整'!G68</f>
        <v>0</v>
      </c>
      <c r="F11" s="205"/>
      <c r="G11" s="205"/>
      <c r="H11" s="205"/>
      <c r="I11" s="205"/>
      <c r="J11" s="205"/>
      <c r="K11" s="205"/>
    </row>
    <row r="12" spans="1:25" ht="18" customHeight="1">
      <c r="A12" s="36"/>
      <c r="B12" s="562" t="s">
        <v>637</v>
      </c>
      <c r="C12" s="65"/>
      <c r="D12" s="65"/>
      <c r="E12" s="65"/>
      <c r="F12" s="563">
        <v>0.5</v>
      </c>
      <c r="G12" s="563">
        <f>F12</f>
        <v>0.5</v>
      </c>
      <c r="H12" s="563">
        <f>G12</f>
        <v>0.5</v>
      </c>
      <c r="I12" s="563">
        <f>H12</f>
        <v>0.5</v>
      </c>
      <c r="J12" s="563">
        <f>I12</f>
        <v>0.5</v>
      </c>
      <c r="K12" s="563">
        <f>J12</f>
        <v>0.5</v>
      </c>
    </row>
    <row r="13" spans="1:25" ht="18" customHeight="1">
      <c r="A13" s="36"/>
      <c r="B13" s="564" t="s">
        <v>643</v>
      </c>
      <c r="C13" s="567"/>
      <c r="D13" s="567"/>
      <c r="E13" s="567"/>
      <c r="F13" s="567"/>
      <c r="G13" s="567"/>
      <c r="H13" s="567"/>
      <c r="I13" s="567"/>
      <c r="J13" s="567"/>
      <c r="K13" s="567"/>
    </row>
    <row r="14" spans="1:25" ht="18" customHeight="1">
      <c r="A14" s="36"/>
      <c r="B14" s="244" t="s">
        <v>833</v>
      </c>
      <c r="C14" s="563"/>
      <c r="D14" s="563"/>
      <c r="E14" s="563"/>
      <c r="F14" s="567"/>
      <c r="G14" s="567"/>
      <c r="H14" s="567"/>
      <c r="I14" s="567"/>
      <c r="J14" s="567"/>
      <c r="K14" s="567"/>
    </row>
    <row r="15" spans="1:25" ht="18" customHeight="1">
      <c r="A15" s="36"/>
      <c r="B15" s="244" t="s">
        <v>644</v>
      </c>
      <c r="C15" s="563"/>
      <c r="D15" s="563"/>
      <c r="E15" s="563"/>
      <c r="F15" s="567"/>
      <c r="G15" s="567"/>
      <c r="H15" s="567"/>
      <c r="I15" s="567"/>
      <c r="J15" s="567"/>
      <c r="K15" s="567"/>
    </row>
    <row r="16" spans="1:25" ht="18" customHeight="1">
      <c r="A16" s="36"/>
      <c r="B16" s="564" t="s">
        <v>638</v>
      </c>
      <c r="C16" s="467"/>
      <c r="D16" s="467"/>
      <c r="E16" s="467"/>
      <c r="F16" s="468"/>
      <c r="G16" s="469"/>
      <c r="H16" s="467"/>
      <c r="I16" s="467"/>
      <c r="J16" s="467"/>
      <c r="K16" s="470"/>
    </row>
    <row r="17" spans="1:29" ht="18" customHeight="1">
      <c r="A17" s="36"/>
      <c r="B17" s="505" t="s">
        <v>639</v>
      </c>
      <c r="C17" s="65"/>
      <c r="D17" s="65"/>
      <c r="E17" s="65"/>
      <c r="F17" s="675">
        <f>'11财务费用'!C8</f>
        <v>5.3999999999999999E-2</v>
      </c>
      <c r="G17" s="469"/>
      <c r="H17" s="467"/>
      <c r="I17" s="467"/>
      <c r="J17" s="467"/>
      <c r="K17" s="470"/>
    </row>
    <row r="18" spans="1:29" ht="18" customHeight="1">
      <c r="A18" s="36"/>
      <c r="B18" s="132"/>
      <c r="C18" s="467"/>
      <c r="D18" s="467"/>
      <c r="E18" s="467"/>
      <c r="F18" s="468"/>
      <c r="G18" s="469"/>
      <c r="H18" s="467"/>
      <c r="I18" s="467"/>
      <c r="J18" s="467"/>
      <c r="K18" s="470"/>
    </row>
    <row r="19" spans="1:29" ht="18" customHeight="1" outlineLevel="1">
      <c r="A19" s="133"/>
      <c r="B19" s="565" t="s">
        <v>319</v>
      </c>
      <c r="C19" s="472" t="str">
        <f>'3收入'!C4</f>
        <v>2016年</v>
      </c>
      <c r="D19" s="472" t="str">
        <f>'3收入'!D4</f>
        <v>2017年</v>
      </c>
      <c r="E19" s="472" t="str">
        <f>'3收入'!E4</f>
        <v>2018年1-6</v>
      </c>
      <c r="F19" s="473" t="str">
        <f>'3收入'!F4</f>
        <v>2018年</v>
      </c>
      <c r="G19" s="473" t="str">
        <f>'3收入'!G4</f>
        <v>2019年</v>
      </c>
      <c r="H19" s="473" t="str">
        <f>'3收入'!H4</f>
        <v>2020年</v>
      </c>
      <c r="I19" s="473" t="str">
        <f>'3收入'!I4</f>
        <v>2021年</v>
      </c>
      <c r="J19" s="473" t="str">
        <f>'3收入'!J4</f>
        <v>2022年</v>
      </c>
      <c r="K19" s="473" t="str">
        <f>'3收入'!K4</f>
        <v>2023年</v>
      </c>
    </row>
    <row r="20" spans="1:29" ht="18" customHeight="1" outlineLevel="1">
      <c r="A20" s="82"/>
      <c r="B20" s="378" t="s">
        <v>273</v>
      </c>
      <c r="C20" s="38">
        <f>'3收入'!C5</f>
        <v>6309.9995689999996</v>
      </c>
      <c r="D20" s="38">
        <f>'3收入'!D5</f>
        <v>6454.082015</v>
      </c>
      <c r="E20" s="38">
        <f>'3收入'!E5</f>
        <v>2068.9888219999998</v>
      </c>
      <c r="F20" s="38">
        <f>'3收入'!F5</f>
        <v>4500</v>
      </c>
      <c r="G20" s="38">
        <f>'3收入'!G5</f>
        <v>4950</v>
      </c>
      <c r="H20" s="38">
        <f>'3收入'!H5</f>
        <v>5346</v>
      </c>
      <c r="I20" s="38">
        <f>'3收入'!I5</f>
        <v>5613.3</v>
      </c>
      <c r="J20" s="38">
        <f>'3收入'!J5</f>
        <v>5781.6990000000005</v>
      </c>
      <c r="K20" s="38">
        <f>'3收入'!K5</f>
        <v>5781.6990000000005</v>
      </c>
      <c r="X20" s="11"/>
    </row>
    <row r="21" spans="1:29" ht="18" customHeight="1" outlineLevel="1">
      <c r="A21" s="82"/>
      <c r="B21" s="376" t="s">
        <v>94</v>
      </c>
      <c r="C21" s="38">
        <f>'4成本'!C5</f>
        <v>5325.2090229999994</v>
      </c>
      <c r="D21" s="38">
        <f>'4成本'!D5</f>
        <v>5874.6685770000004</v>
      </c>
      <c r="E21" s="38">
        <f>'4成本'!E5</f>
        <v>2248.312367</v>
      </c>
      <c r="F21" s="38">
        <f>'4成本'!F5</f>
        <v>3958.79</v>
      </c>
      <c r="G21" s="38">
        <f>'4成本'!G5</f>
        <v>4362.54</v>
      </c>
      <c r="H21" s="38">
        <f>'4成本'!H5</f>
        <v>4708.1747320000004</v>
      </c>
      <c r="I21" s="38">
        <f>'4成本'!I5</f>
        <v>4917.8710000000001</v>
      </c>
      <c r="J21" s="38">
        <f>'4成本'!J5</f>
        <v>5074.1781300000002</v>
      </c>
      <c r="K21" s="38">
        <f>'4成本'!K5</f>
        <v>5081.3281299999999</v>
      </c>
      <c r="X21" s="11"/>
    </row>
    <row r="22" spans="1:29" ht="18" customHeight="1" outlineLevel="1">
      <c r="A22" s="82"/>
      <c r="B22" s="377" t="s">
        <v>168</v>
      </c>
      <c r="C22" s="38">
        <f>'5税金'!C5</f>
        <v>32.988745999999999</v>
      </c>
      <c r="D22" s="38">
        <f>'5税金'!D5</f>
        <v>28.542701999999998</v>
      </c>
      <c r="E22" s="38">
        <f>'5税金'!E5</f>
        <v>19.638479</v>
      </c>
      <c r="F22" s="38">
        <f>'5税金'!F5</f>
        <v>22.5</v>
      </c>
      <c r="G22" s="38">
        <f>'5税金'!G5</f>
        <v>24.75</v>
      </c>
      <c r="H22" s="38">
        <f>'5税金'!H5</f>
        <v>26.73</v>
      </c>
      <c r="I22" s="38">
        <f>'5税金'!I5</f>
        <v>28.066500000000001</v>
      </c>
      <c r="J22" s="38">
        <f>'5税金'!J5</f>
        <v>28.908495000000002</v>
      </c>
      <c r="K22" s="38">
        <f>'5税金'!K5</f>
        <v>28.908495000000002</v>
      </c>
      <c r="X22" s="11"/>
    </row>
    <row r="23" spans="1:29" ht="18" customHeight="1" outlineLevel="1">
      <c r="A23" s="82"/>
      <c r="B23" s="377" t="s">
        <v>235</v>
      </c>
      <c r="C23" s="38">
        <f>'6销管'!C5</f>
        <v>0</v>
      </c>
      <c r="D23" s="38">
        <f>'6销管'!D5</f>
        <v>0</v>
      </c>
      <c r="E23" s="38">
        <f>'6销管'!E5</f>
        <v>0</v>
      </c>
      <c r="F23" s="38">
        <f>'6销管'!F5</f>
        <v>0</v>
      </c>
      <c r="G23" s="38">
        <f>'6销管'!G5</f>
        <v>0</v>
      </c>
      <c r="H23" s="38">
        <f>'6销管'!H5</f>
        <v>0</v>
      </c>
      <c r="I23" s="38">
        <f>'6销管'!I5</f>
        <v>0</v>
      </c>
      <c r="J23" s="38">
        <f>'6销管'!J5</f>
        <v>0</v>
      </c>
      <c r="K23" s="38">
        <f>'6销管'!K5</f>
        <v>0</v>
      </c>
      <c r="X23" s="11"/>
    </row>
    <row r="24" spans="1:29" ht="18" customHeight="1" outlineLevel="1">
      <c r="A24" s="82"/>
      <c r="B24" s="377" t="s">
        <v>193</v>
      </c>
      <c r="C24" s="38">
        <f>'6销管'!C6</f>
        <v>668.47256399999992</v>
      </c>
      <c r="D24" s="38">
        <f>'6销管'!D6</f>
        <v>615.98559899999998</v>
      </c>
      <c r="E24" s="38">
        <f>'6销管'!E6</f>
        <v>268.929236</v>
      </c>
      <c r="F24" s="38">
        <f>'6销管'!F6</f>
        <v>475.4375060000001</v>
      </c>
      <c r="G24" s="38">
        <f>'6销管'!G6</f>
        <v>512.95000000000005</v>
      </c>
      <c r="H24" s="38">
        <f>'6销管'!H6</f>
        <v>554.94600000000003</v>
      </c>
      <c r="I24" s="38">
        <f>'6销管'!I6</f>
        <v>583.44330000000002</v>
      </c>
      <c r="J24" s="38">
        <f>'6销管'!J6</f>
        <v>599.9515990000001</v>
      </c>
      <c r="K24" s="38">
        <f>'6销管'!K6</f>
        <v>599.9515990000001</v>
      </c>
      <c r="X24" s="11"/>
    </row>
    <row r="25" spans="1:29" ht="18" customHeight="1" outlineLevel="1">
      <c r="A25" s="82"/>
      <c r="B25" s="377" t="s">
        <v>375</v>
      </c>
      <c r="C25" s="38">
        <f>'6销管'!C7</f>
        <v>0</v>
      </c>
      <c r="D25" s="38">
        <f>'6销管'!D7</f>
        <v>0</v>
      </c>
      <c r="E25" s="38">
        <f>'6销管'!E7</f>
        <v>0</v>
      </c>
      <c r="F25" s="38">
        <f>'6销管'!F7</f>
        <v>0</v>
      </c>
      <c r="G25" s="38">
        <f>'6销管'!G7</f>
        <v>0</v>
      </c>
      <c r="H25" s="38">
        <f>'6销管'!H7</f>
        <v>0</v>
      </c>
      <c r="I25" s="38">
        <f>'6销管'!I7</f>
        <v>0</v>
      </c>
      <c r="J25" s="38">
        <f>'6销管'!J7</f>
        <v>0</v>
      </c>
      <c r="K25" s="38">
        <f>'6销管'!K7</f>
        <v>0</v>
      </c>
      <c r="X25" s="11"/>
    </row>
    <row r="26" spans="1:29" ht="18" customHeight="1" outlineLevel="1">
      <c r="A26" s="82"/>
      <c r="B26" s="377" t="s">
        <v>309</v>
      </c>
      <c r="C26" s="38">
        <f>'1报表'!C103-C28+C29</f>
        <v>0</v>
      </c>
      <c r="D26" s="38">
        <f>'1报表'!D103-D28+D29</f>
        <v>0</v>
      </c>
      <c r="E26" s="38">
        <f>'1报表'!E103-E28+E29</f>
        <v>0</v>
      </c>
      <c r="F26" s="38">
        <f>'11财务费用'!F20</f>
        <v>0</v>
      </c>
      <c r="G26" s="38">
        <f>'11财务费用'!G20</f>
        <v>0</v>
      </c>
      <c r="H26" s="38">
        <f>'11财务费用'!H20</f>
        <v>0</v>
      </c>
      <c r="I26" s="38">
        <f>'11财务费用'!I20</f>
        <v>0</v>
      </c>
      <c r="J26" s="38">
        <f>'11财务费用'!J20</f>
        <v>0</v>
      </c>
      <c r="K26" s="38">
        <f>'11财务费用'!K20</f>
        <v>0</v>
      </c>
      <c r="L26" s="214"/>
      <c r="M26" s="214"/>
      <c r="X26" s="11"/>
    </row>
    <row r="27" spans="1:29" ht="18" customHeight="1" outlineLevel="1">
      <c r="A27" s="82"/>
      <c r="B27" s="600" t="s">
        <v>306</v>
      </c>
      <c r="C27" s="65"/>
      <c r="D27" s="65"/>
      <c r="E27" s="65"/>
      <c r="F27" s="65"/>
      <c r="G27" s="144">
        <f>$F$17*F83</f>
        <v>0</v>
      </c>
      <c r="H27" s="144">
        <f t="shared" ref="H27:K27" si="1">$F$17*G83</f>
        <v>0</v>
      </c>
      <c r="I27" s="144">
        <f t="shared" si="1"/>
        <v>0</v>
      </c>
      <c r="J27" s="144">
        <f t="shared" si="1"/>
        <v>0</v>
      </c>
      <c r="K27" s="144">
        <f t="shared" si="1"/>
        <v>0</v>
      </c>
      <c r="L27" s="132"/>
      <c r="M27" s="212"/>
      <c r="N27" s="131"/>
      <c r="O27" s="131"/>
      <c r="P27" s="131"/>
      <c r="Q27" s="131"/>
      <c r="R27" s="131"/>
      <c r="S27" s="131"/>
      <c r="T27" s="131"/>
      <c r="U27" s="131"/>
      <c r="V27" s="131"/>
      <c r="W27" s="131"/>
      <c r="X27" s="131"/>
      <c r="Y27" s="131"/>
      <c r="Z27" s="184"/>
      <c r="AA27" s="184"/>
      <c r="AB27" s="184"/>
      <c r="AC27" s="184"/>
    </row>
    <row r="28" spans="1:29" ht="18" customHeight="1" outlineLevel="1">
      <c r="A28" s="82"/>
      <c r="B28" s="544" t="s">
        <v>320</v>
      </c>
      <c r="C28" s="144">
        <f>'11财务费用'!C18</f>
        <v>0.47370899999999999</v>
      </c>
      <c r="D28" s="144">
        <f>'11财务费用'!D18</f>
        <v>0.95679899999999996</v>
      </c>
      <c r="E28" s="144">
        <f>'11财务费用'!E18</f>
        <v>2.3800000000000002E-2</v>
      </c>
      <c r="F28" s="416">
        <f>'11财务费用'!F18+E28</f>
        <v>2.3800000000000002E-2</v>
      </c>
      <c r="G28" s="144">
        <f>'11财务费用'!G18</f>
        <v>0</v>
      </c>
      <c r="H28" s="144">
        <f>'11财务费用'!H18</f>
        <v>0</v>
      </c>
      <c r="I28" s="144">
        <f>'11财务费用'!I18</f>
        <v>0</v>
      </c>
      <c r="J28" s="144">
        <f>'11财务费用'!J18</f>
        <v>0</v>
      </c>
      <c r="K28" s="144">
        <f>'11财务费用'!K18</f>
        <v>0</v>
      </c>
      <c r="L28" s="209"/>
      <c r="M28" s="131"/>
      <c r="N28" s="131"/>
      <c r="O28" s="131"/>
      <c r="P28" s="131"/>
      <c r="Q28" s="131"/>
      <c r="R28" s="131"/>
      <c r="S28" s="131"/>
      <c r="T28" s="131"/>
      <c r="U28" s="131"/>
      <c r="V28" s="131"/>
      <c r="W28" s="131"/>
      <c r="X28" s="131"/>
      <c r="Y28" s="131"/>
      <c r="Z28" s="184"/>
      <c r="AA28" s="184"/>
      <c r="AB28" s="184"/>
      <c r="AC28" s="184"/>
    </row>
    <row r="29" spans="1:29" s="215" customFormat="1" ht="18" customHeight="1" outlineLevel="1">
      <c r="A29" s="82"/>
      <c r="B29" s="544" t="s">
        <v>321</v>
      </c>
      <c r="C29" s="144">
        <f>'11财务费用'!C19</f>
        <v>34.373249000000001</v>
      </c>
      <c r="D29" s="144">
        <f>'11财务费用'!D19</f>
        <v>12.141109999999999</v>
      </c>
      <c r="E29" s="144">
        <f>'11财务费用'!E19</f>
        <v>1.0367090000000001</v>
      </c>
      <c r="F29" s="65"/>
      <c r="G29" s="65"/>
      <c r="H29" s="65"/>
      <c r="I29" s="65"/>
      <c r="J29" s="65"/>
      <c r="K29" s="65"/>
      <c r="L29" s="209"/>
      <c r="M29" s="131"/>
      <c r="N29" s="131"/>
      <c r="O29" s="131"/>
      <c r="P29" s="131"/>
      <c r="Q29" s="131"/>
      <c r="R29" s="131"/>
      <c r="S29" s="131"/>
      <c r="T29" s="131"/>
      <c r="U29" s="131"/>
      <c r="V29" s="131"/>
      <c r="W29" s="131"/>
      <c r="X29" s="131"/>
      <c r="Y29" s="131"/>
      <c r="Z29" s="184"/>
      <c r="AA29" s="184"/>
      <c r="AB29" s="184"/>
      <c r="AC29" s="184"/>
    </row>
    <row r="30" spans="1:29" ht="18" customHeight="1" outlineLevel="1">
      <c r="A30" s="82"/>
      <c r="B30" s="464" t="s">
        <v>175</v>
      </c>
      <c r="C30" s="37">
        <f t="shared" ref="C30:K30" si="2">C20-SUM(C21:C28)+C29</f>
        <v>317.22877600000061</v>
      </c>
      <c r="D30" s="37">
        <f t="shared" si="2"/>
        <v>-53.930551999999381</v>
      </c>
      <c r="E30" s="37">
        <f>E20-SUM(E21:E28)+E29</f>
        <v>-466.87835100000029</v>
      </c>
      <c r="F30" s="37">
        <f>F20-SUM(F21:F28)+F29</f>
        <v>43.248693999999887</v>
      </c>
      <c r="G30" s="37">
        <f t="shared" si="2"/>
        <v>49.760000000000218</v>
      </c>
      <c r="H30" s="37">
        <f t="shared" si="2"/>
        <v>56.14926800000012</v>
      </c>
      <c r="I30" s="37">
        <f t="shared" si="2"/>
        <v>83.919200000000274</v>
      </c>
      <c r="J30" s="37">
        <f t="shared" si="2"/>
        <v>78.660776000000624</v>
      </c>
      <c r="K30" s="37">
        <f t="shared" si="2"/>
        <v>71.510776000000988</v>
      </c>
      <c r="L30" s="53"/>
    </row>
    <row r="31" spans="1:29" ht="18" customHeight="1" outlineLevel="1">
      <c r="A31" s="82"/>
      <c r="B31" s="474" t="s">
        <v>176</v>
      </c>
      <c r="C31" s="37">
        <f t="shared" ref="C31:K31" si="3">C30</f>
        <v>317.22877600000061</v>
      </c>
      <c r="D31" s="37">
        <f t="shared" si="3"/>
        <v>-53.930551999999381</v>
      </c>
      <c r="E31" s="37">
        <f t="shared" si="3"/>
        <v>-466.87835100000029</v>
      </c>
      <c r="F31" s="37">
        <f t="shared" si="3"/>
        <v>43.248693999999887</v>
      </c>
      <c r="G31" s="37">
        <f t="shared" si="3"/>
        <v>49.760000000000218</v>
      </c>
      <c r="H31" s="37">
        <f t="shared" si="3"/>
        <v>56.14926800000012</v>
      </c>
      <c r="I31" s="37">
        <f t="shared" si="3"/>
        <v>83.919200000000274</v>
      </c>
      <c r="J31" s="37">
        <f t="shared" si="3"/>
        <v>78.660776000000624</v>
      </c>
      <c r="K31" s="37">
        <f t="shared" si="3"/>
        <v>71.510776000000988</v>
      </c>
      <c r="L31" s="53"/>
    </row>
    <row r="32" spans="1:29" ht="18" customHeight="1" outlineLevel="1">
      <c r="A32" s="82"/>
      <c r="B32" s="200" t="s">
        <v>592</v>
      </c>
      <c r="C32" s="38">
        <f>'12收益表'!C34</f>
        <v>79.307194000000209</v>
      </c>
      <c r="D32" s="38">
        <f>'12收益表'!D34</f>
        <v>0</v>
      </c>
      <c r="E32" s="38">
        <f>'12收益表'!E34</f>
        <v>0</v>
      </c>
      <c r="F32" s="38">
        <f>'12收益表'!F20</f>
        <v>0</v>
      </c>
      <c r="G32" s="38">
        <f>'12收益表'!G20</f>
        <v>10.028712750000068</v>
      </c>
      <c r="H32" s="38">
        <f>'12收益表'!H20</f>
        <v>14.03731700000003</v>
      </c>
      <c r="I32" s="38">
        <f>'12收益表'!I20</f>
        <v>20.979800000000068</v>
      </c>
      <c r="J32" s="38">
        <f>'12收益表'!J20</f>
        <v>19.665194000000156</v>
      </c>
      <c r="K32" s="38">
        <f>'12收益表'!K20</f>
        <v>17.877694000000247</v>
      </c>
      <c r="L32" s="53"/>
      <c r="M32" s="190"/>
    </row>
    <row r="33" spans="1:35" ht="18" customHeight="1" outlineLevel="1">
      <c r="A33" s="82"/>
      <c r="B33" s="477" t="s">
        <v>330</v>
      </c>
      <c r="C33" s="37">
        <f t="shared" ref="C33:K33" si="4">C31-C32</f>
        <v>237.9215820000004</v>
      </c>
      <c r="D33" s="37">
        <f t="shared" si="4"/>
        <v>-53.930551999999381</v>
      </c>
      <c r="E33" s="37">
        <f t="shared" si="4"/>
        <v>-466.87835100000029</v>
      </c>
      <c r="F33" s="37">
        <f t="shared" si="4"/>
        <v>43.248693999999887</v>
      </c>
      <c r="G33" s="37">
        <f t="shared" si="4"/>
        <v>39.73128725000015</v>
      </c>
      <c r="H33" s="37">
        <f t="shared" si="4"/>
        <v>42.11195100000009</v>
      </c>
      <c r="I33" s="37">
        <f t="shared" si="4"/>
        <v>62.939400000000205</v>
      </c>
      <c r="J33" s="37">
        <f t="shared" si="4"/>
        <v>58.995582000000468</v>
      </c>
      <c r="K33" s="37">
        <f t="shared" si="4"/>
        <v>53.633082000000741</v>
      </c>
      <c r="M33" s="190"/>
    </row>
    <row r="34" spans="1:35" ht="18" customHeight="1" outlineLevel="1">
      <c r="A34" s="82"/>
      <c r="B34" s="244" t="s">
        <v>95</v>
      </c>
      <c r="C34" s="38">
        <f>'1报表'!C122</f>
        <v>0</v>
      </c>
      <c r="D34" s="38">
        <f>'1报表'!D122</f>
        <v>0</v>
      </c>
      <c r="E34" s="38">
        <f>'1报表'!E122</f>
        <v>0</v>
      </c>
      <c r="F34" s="38">
        <f>'12收益表'!F22</f>
        <v>0</v>
      </c>
      <c r="G34" s="38">
        <f>'12收益表'!G22</f>
        <v>0</v>
      </c>
      <c r="H34" s="38">
        <f>'12收益表'!H22</f>
        <v>0</v>
      </c>
      <c r="I34" s="38">
        <f>'12收益表'!I22</f>
        <v>0</v>
      </c>
      <c r="J34" s="38">
        <f>'12收益表'!J22</f>
        <v>0</v>
      </c>
      <c r="K34" s="38">
        <f>'12收益表'!K22</f>
        <v>0</v>
      </c>
      <c r="M34" s="190"/>
    </row>
    <row r="35" spans="1:35" s="184" customFormat="1" ht="18" customHeight="1" outlineLevel="1">
      <c r="A35" s="139"/>
      <c r="B35" s="464" t="s">
        <v>236</v>
      </c>
      <c r="C35" s="143">
        <f t="shared" ref="C35:K35" si="5">C33-C34</f>
        <v>237.9215820000004</v>
      </c>
      <c r="D35" s="143">
        <f t="shared" si="5"/>
        <v>-53.930551999999381</v>
      </c>
      <c r="E35" s="143">
        <f t="shared" si="5"/>
        <v>-466.87835100000029</v>
      </c>
      <c r="F35" s="143">
        <f t="shared" si="5"/>
        <v>43.248693999999887</v>
      </c>
      <c r="G35" s="143">
        <f t="shared" si="5"/>
        <v>39.73128725000015</v>
      </c>
      <c r="H35" s="143">
        <f t="shared" si="5"/>
        <v>42.11195100000009</v>
      </c>
      <c r="I35" s="143">
        <f t="shared" si="5"/>
        <v>62.939400000000205</v>
      </c>
      <c r="J35" s="143">
        <f t="shared" si="5"/>
        <v>58.995582000000468</v>
      </c>
      <c r="K35" s="143">
        <f t="shared" si="5"/>
        <v>53.633082000000741</v>
      </c>
      <c r="L35" s="73"/>
      <c r="M35" s="131"/>
      <c r="N35" s="131"/>
      <c r="O35" s="131"/>
      <c r="P35" s="131"/>
      <c r="Q35" s="131"/>
      <c r="R35" s="131"/>
      <c r="S35" s="131"/>
      <c r="T35" s="131"/>
      <c r="U35" s="131"/>
      <c r="V35" s="131"/>
      <c r="W35" s="131"/>
      <c r="X35" s="131"/>
      <c r="Y35" s="131"/>
    </row>
    <row r="36" spans="1:35" s="184" customFormat="1" ht="18" customHeight="1" outlineLevel="1">
      <c r="A36" s="139"/>
      <c r="B36" s="463" t="s">
        <v>755</v>
      </c>
      <c r="C36" s="65"/>
      <c r="D36" s="65"/>
      <c r="E36" s="65"/>
      <c r="F36" s="65"/>
      <c r="G36" s="144">
        <f>F41</f>
        <v>450.5521704444443</v>
      </c>
      <c r="H36" s="144">
        <f t="shared" ref="H36:K36" si="6">G41</f>
        <v>471.40401325000016</v>
      </c>
      <c r="I36" s="144">
        <f t="shared" si="6"/>
        <v>498.99809900555579</v>
      </c>
      <c r="J36" s="144">
        <f t="shared" si="6"/>
        <v>529.43626847222254</v>
      </c>
      <c r="K36" s="144">
        <f t="shared" si="6"/>
        <v>575.76628341666742</v>
      </c>
      <c r="L36" s="73"/>
      <c r="M36" s="131"/>
      <c r="N36" s="131"/>
      <c r="O36" s="131"/>
      <c r="P36" s="131"/>
      <c r="Q36" s="131"/>
      <c r="R36" s="131"/>
      <c r="S36" s="131"/>
      <c r="T36" s="131"/>
      <c r="U36" s="131"/>
      <c r="V36" s="131"/>
      <c r="W36" s="131"/>
      <c r="X36" s="131"/>
      <c r="Y36" s="131"/>
    </row>
    <row r="37" spans="1:35" s="184" customFormat="1" ht="18" customHeight="1" outlineLevel="1">
      <c r="A37" s="139"/>
      <c r="B37" s="463" t="s">
        <v>756</v>
      </c>
      <c r="C37" s="65"/>
      <c r="D37" s="65"/>
      <c r="E37" s="65"/>
      <c r="F37" s="144">
        <f>F35-F36</f>
        <v>43.248693999999887</v>
      </c>
      <c r="G37" s="144">
        <f t="shared" ref="G37:K37" si="7">G35-G36</f>
        <v>-410.82088319444415</v>
      </c>
      <c r="H37" s="144">
        <f t="shared" si="7"/>
        <v>-429.29206225000007</v>
      </c>
      <c r="I37" s="144">
        <f t="shared" si="7"/>
        <v>-436.05869900555558</v>
      </c>
      <c r="J37" s="144">
        <f t="shared" si="7"/>
        <v>-470.44068647222207</v>
      </c>
      <c r="K37" s="144">
        <f t="shared" si="7"/>
        <v>-522.13320141666668</v>
      </c>
      <c r="L37" s="73"/>
      <c r="M37" s="131"/>
      <c r="N37" s="131"/>
      <c r="O37" s="131"/>
      <c r="P37" s="131"/>
      <c r="Q37" s="131"/>
      <c r="R37" s="131"/>
      <c r="S37" s="131"/>
      <c r="T37" s="131"/>
      <c r="U37" s="131"/>
      <c r="V37" s="131"/>
      <c r="W37" s="131"/>
      <c r="X37" s="131"/>
      <c r="Y37" s="131"/>
    </row>
    <row r="38" spans="1:35" ht="18" customHeight="1" outlineLevel="1">
      <c r="A38" s="82"/>
      <c r="B38" s="370"/>
      <c r="C38" s="13"/>
      <c r="D38" s="13"/>
      <c r="E38" s="13"/>
      <c r="F38" s="13"/>
      <c r="G38" s="13"/>
      <c r="H38" s="13"/>
      <c r="I38" s="13"/>
      <c r="J38" s="13"/>
      <c r="K38" s="13"/>
      <c r="L38" s="39"/>
    </row>
    <row r="39" spans="1:35" ht="20.5" customHeight="1" outlineLevel="1">
      <c r="A39" s="135"/>
      <c r="B39" s="545" t="s">
        <v>318</v>
      </c>
      <c r="C39" s="546">
        <f>C4</f>
        <v>42735</v>
      </c>
      <c r="D39" s="546">
        <f t="shared" ref="D39:K39" si="8">D4</f>
        <v>43100</v>
      </c>
      <c r="E39" s="546">
        <f t="shared" si="8"/>
        <v>43281</v>
      </c>
      <c r="F39" s="547">
        <f t="shared" si="8"/>
        <v>43465</v>
      </c>
      <c r="G39" s="547">
        <f t="shared" si="8"/>
        <v>43830</v>
      </c>
      <c r="H39" s="547">
        <f t="shared" si="8"/>
        <v>44196</v>
      </c>
      <c r="I39" s="547">
        <f t="shared" si="8"/>
        <v>44561</v>
      </c>
      <c r="J39" s="547">
        <f t="shared" si="8"/>
        <v>44926</v>
      </c>
      <c r="K39" s="547">
        <f t="shared" si="8"/>
        <v>45291</v>
      </c>
    </row>
    <row r="40" spans="1:35" s="184" customFormat="1" ht="18" customHeight="1" outlineLevel="1">
      <c r="A40" s="137"/>
      <c r="B40" s="489" t="s">
        <v>631</v>
      </c>
      <c r="C40" s="548"/>
      <c r="D40" s="548"/>
      <c r="E40" s="548"/>
      <c r="F40" s="405"/>
      <c r="G40" s="405"/>
      <c r="H40" s="405"/>
      <c r="I40" s="405"/>
      <c r="J40" s="405"/>
      <c r="K40" s="405"/>
      <c r="L40" s="131"/>
      <c r="M40" s="131"/>
      <c r="N40" s="131"/>
      <c r="O40" s="131"/>
      <c r="P40" s="131"/>
      <c r="Q40" s="131"/>
      <c r="R40" s="131"/>
      <c r="S40" s="131"/>
      <c r="T40" s="131"/>
      <c r="U40" s="131"/>
      <c r="V40" s="131"/>
      <c r="W40" s="131"/>
      <c r="X40" s="131"/>
      <c r="Y40" s="131"/>
    </row>
    <row r="41" spans="1:35" s="184" customFormat="1" ht="18" customHeight="1" outlineLevel="1">
      <c r="A41" s="137"/>
      <c r="B41" s="549" t="s">
        <v>645</v>
      </c>
      <c r="C41" s="38">
        <f>MAX('1报表'!C15-'10营运'!C5,0)</f>
        <v>285.63819308333336</v>
      </c>
      <c r="D41" s="38">
        <f>MAX('1报表'!D15-'10营运'!D5,0)</f>
        <v>63.086704250000025</v>
      </c>
      <c r="E41" s="38">
        <f>MAX('1报表'!E15-'10营运'!E5,0)</f>
        <v>0</v>
      </c>
      <c r="F41" s="550">
        <f>MAX(F100,0)</f>
        <v>450.5521704444443</v>
      </c>
      <c r="G41" s="550">
        <f t="shared" ref="G41:K41" si="9">MAX(G100,0)</f>
        <v>471.40401325000016</v>
      </c>
      <c r="H41" s="550">
        <f t="shared" si="9"/>
        <v>498.99809900555579</v>
      </c>
      <c r="I41" s="550">
        <f t="shared" si="9"/>
        <v>529.43626847222254</v>
      </c>
      <c r="J41" s="550">
        <f t="shared" si="9"/>
        <v>575.76628341666742</v>
      </c>
      <c r="K41" s="550">
        <f t="shared" si="9"/>
        <v>634.76158763889021</v>
      </c>
      <c r="L41" s="131"/>
      <c r="M41" s="131"/>
    </row>
    <row r="42" spans="1:35" ht="18" customHeight="1" outlineLevel="1">
      <c r="A42" s="136"/>
      <c r="B42" s="443" t="s">
        <v>759</v>
      </c>
      <c r="C42" s="38">
        <f>MIN('1报表'!C15,'10营运'!C5)</f>
        <v>321.27782391666665</v>
      </c>
      <c r="D42" s="38">
        <f>MIN('1报表'!D15,'10营运'!D5)</f>
        <v>359.46774975</v>
      </c>
      <c r="E42" s="38">
        <f>MIN('1报表'!E15,'10营运'!E5)</f>
        <v>125.24516</v>
      </c>
      <c r="F42" s="38">
        <f>'10营运'!F5</f>
        <v>251.89888933333333</v>
      </c>
      <c r="G42" s="38">
        <f>'10营运'!G5</f>
        <v>273.8738893333333</v>
      </c>
      <c r="H42" s="38">
        <f>'10营运'!H5</f>
        <v>293.21188933333332</v>
      </c>
      <c r="I42" s="38">
        <f>'10营运'!I5</f>
        <v>306.26503933333333</v>
      </c>
      <c r="J42" s="38">
        <f>'10营运'!J5</f>
        <v>314.48852383333343</v>
      </c>
      <c r="K42" s="38">
        <f>'10营运'!K5</f>
        <v>314.48852383333343</v>
      </c>
    </row>
    <row r="43" spans="1:35" ht="18" customHeight="1" outlineLevel="1">
      <c r="A43" s="136"/>
      <c r="B43" s="6" t="s">
        <v>593</v>
      </c>
      <c r="C43" s="38">
        <f>'10营运'!C8</f>
        <v>915.133782</v>
      </c>
      <c r="D43" s="38">
        <f>'10营运'!D8</f>
        <v>747.61612200000002</v>
      </c>
      <c r="E43" s="38">
        <f>'10营运'!E8</f>
        <v>479.66660899999999</v>
      </c>
      <c r="F43" s="38">
        <f>'10营运'!F8</f>
        <v>525</v>
      </c>
      <c r="G43" s="38">
        <f>'10营运'!G8</f>
        <v>577.5</v>
      </c>
      <c r="H43" s="38">
        <f>'10营运'!H8</f>
        <v>623.70000000000005</v>
      </c>
      <c r="I43" s="38">
        <f>'10营运'!I8</f>
        <v>654.88499999999999</v>
      </c>
      <c r="J43" s="38">
        <f>'10营运'!J8</f>
        <v>674.53155000000004</v>
      </c>
      <c r="K43" s="38">
        <f>'10营运'!K8</f>
        <v>674.53155000000004</v>
      </c>
    </row>
    <row r="44" spans="1:35" s="184" customFormat="1" ht="18" customHeight="1" outlineLevel="1">
      <c r="A44" s="137"/>
      <c r="B44" s="443" t="s">
        <v>594</v>
      </c>
      <c r="C44" s="38">
        <f>'10营运'!C11</f>
        <v>0</v>
      </c>
      <c r="D44" s="38">
        <f>'10营运'!D11</f>
        <v>0</v>
      </c>
      <c r="E44" s="38">
        <f>'10营运'!E11</f>
        <v>0</v>
      </c>
      <c r="F44" s="38">
        <f>'10营运'!F11</f>
        <v>0</v>
      </c>
      <c r="G44" s="38">
        <f>'10营运'!G11</f>
        <v>0</v>
      </c>
      <c r="H44" s="38">
        <f>'10营运'!H11</f>
        <v>0</v>
      </c>
      <c r="I44" s="38">
        <f>'10营运'!I11</f>
        <v>0</v>
      </c>
      <c r="J44" s="38">
        <f>'10营运'!J11</f>
        <v>0</v>
      </c>
      <c r="K44" s="38">
        <f>'10营运'!K11</f>
        <v>0</v>
      </c>
      <c r="L44" s="131"/>
      <c r="M44" s="171"/>
      <c r="N44" s="131"/>
      <c r="O44" s="131"/>
      <c r="P44" s="131"/>
      <c r="Q44" s="131"/>
      <c r="R44" s="131"/>
      <c r="S44" s="131"/>
      <c r="T44" s="131"/>
      <c r="U44" s="131"/>
      <c r="V44" s="131"/>
      <c r="W44" s="131"/>
      <c r="X44" s="131"/>
      <c r="Y44" s="131"/>
    </row>
    <row r="45" spans="1:35" ht="18" customHeight="1" outlineLevel="1">
      <c r="A45" s="136"/>
      <c r="B45" s="451" t="s">
        <v>595</v>
      </c>
      <c r="C45" s="144">
        <f>'10营运'!C14</f>
        <v>124.12402399999999</v>
      </c>
      <c r="D45" s="144">
        <f>'10营运'!D14</f>
        <v>195.04909699999999</v>
      </c>
      <c r="E45" s="144">
        <f>'10营运'!E14</f>
        <v>191.02019999999993</v>
      </c>
      <c r="F45" s="144">
        <f>'10营运'!F14</f>
        <v>187.5</v>
      </c>
      <c r="G45" s="144">
        <f>'10营运'!G14</f>
        <v>206.25</v>
      </c>
      <c r="H45" s="144">
        <f>'10营运'!H14</f>
        <v>222.75</v>
      </c>
      <c r="I45" s="144">
        <f>'10营运'!I14</f>
        <v>233.88749999999999</v>
      </c>
      <c r="J45" s="144">
        <f>'10营运'!J14</f>
        <v>240.90412500000005</v>
      </c>
      <c r="K45" s="144">
        <f>'10营运'!K14</f>
        <v>240.90412500000005</v>
      </c>
      <c r="L45" s="131"/>
      <c r="M45" s="131"/>
    </row>
    <row r="46" spans="1:35" s="215" customFormat="1" ht="18" customHeight="1" outlineLevel="1">
      <c r="A46" s="136"/>
      <c r="B46" s="451" t="s">
        <v>596</v>
      </c>
      <c r="C46" s="38">
        <f>'10营运'!C17</f>
        <v>0</v>
      </c>
      <c r="D46" s="38">
        <f>'10营运'!D17</f>
        <v>0</v>
      </c>
      <c r="E46" s="38">
        <f>'10营运'!E17</f>
        <v>0</v>
      </c>
      <c r="F46" s="38">
        <f>'10营运'!F17</f>
        <v>0</v>
      </c>
      <c r="G46" s="38">
        <f>'10营运'!G17</f>
        <v>0</v>
      </c>
      <c r="H46" s="38">
        <f>'10营运'!H17</f>
        <v>0</v>
      </c>
      <c r="I46" s="38">
        <f>'10营运'!I17</f>
        <v>0</v>
      </c>
      <c r="J46" s="38">
        <f>'10营运'!J17</f>
        <v>0</v>
      </c>
      <c r="K46" s="38">
        <f>'10营运'!K17</f>
        <v>0</v>
      </c>
      <c r="L46" s="131"/>
      <c r="M46" s="171"/>
      <c r="N46" s="131"/>
      <c r="O46" s="131"/>
      <c r="P46" s="131"/>
      <c r="Q46" s="131"/>
      <c r="R46" s="131"/>
      <c r="S46" s="131"/>
      <c r="T46" s="131"/>
      <c r="U46" s="131"/>
      <c r="V46" s="131"/>
      <c r="W46" s="131"/>
      <c r="X46" s="131"/>
      <c r="Y46" s="131"/>
      <c r="Z46" s="184"/>
      <c r="AA46" s="184"/>
      <c r="AB46" s="184"/>
      <c r="AC46" s="184"/>
      <c r="AD46" s="184"/>
      <c r="AE46" s="184"/>
      <c r="AF46" s="184"/>
      <c r="AG46" s="184"/>
      <c r="AH46" s="184"/>
      <c r="AI46" s="184"/>
    </row>
    <row r="47" spans="1:35" s="215" customFormat="1" ht="18" customHeight="1" outlineLevel="1">
      <c r="A47" s="136"/>
      <c r="B47" s="451" t="s">
        <v>597</v>
      </c>
      <c r="C47" s="38">
        <f>'10营运'!C18</f>
        <v>0</v>
      </c>
      <c r="D47" s="38">
        <f>'10营运'!D18</f>
        <v>0</v>
      </c>
      <c r="E47" s="38">
        <f>'10营运'!E18</f>
        <v>0</v>
      </c>
      <c r="F47" s="38">
        <f>'10营运'!F18</f>
        <v>0</v>
      </c>
      <c r="G47" s="38">
        <f>'10营运'!G18</f>
        <v>0</v>
      </c>
      <c r="H47" s="38">
        <f>'10营运'!H18</f>
        <v>0</v>
      </c>
      <c r="I47" s="38">
        <f>'10营运'!I18</f>
        <v>0</v>
      </c>
      <c r="J47" s="38">
        <f>'10营运'!J18</f>
        <v>0</v>
      </c>
      <c r="K47" s="38">
        <f>'10营运'!K18</f>
        <v>0</v>
      </c>
      <c r="L47" s="131"/>
      <c r="M47" s="171"/>
      <c r="N47" s="131"/>
      <c r="O47" s="131"/>
      <c r="P47" s="131"/>
      <c r="Q47" s="131"/>
      <c r="R47" s="131"/>
      <c r="S47" s="131"/>
      <c r="T47" s="131"/>
      <c r="U47" s="131"/>
      <c r="V47" s="131"/>
      <c r="W47" s="131"/>
      <c r="X47" s="131"/>
      <c r="Y47" s="131"/>
      <c r="Z47" s="184"/>
      <c r="AA47" s="184"/>
      <c r="AB47" s="184"/>
      <c r="AC47" s="184"/>
      <c r="AD47" s="184"/>
      <c r="AE47" s="184"/>
      <c r="AF47" s="184"/>
      <c r="AG47" s="184"/>
      <c r="AH47" s="184"/>
      <c r="AI47" s="184"/>
    </row>
    <row r="48" spans="1:35" ht="18" customHeight="1" outlineLevel="1">
      <c r="A48" s="136"/>
      <c r="B48" s="451" t="s">
        <v>598</v>
      </c>
      <c r="C48" s="38">
        <f>'10营运'!C19</f>
        <v>0</v>
      </c>
      <c r="D48" s="38">
        <f>'10营运'!D19</f>
        <v>0</v>
      </c>
      <c r="E48" s="38">
        <f>'10营运'!E19</f>
        <v>0</v>
      </c>
      <c r="F48" s="38">
        <f>'10营运'!F19</f>
        <v>0</v>
      </c>
      <c r="G48" s="38">
        <f>'10营运'!G19</f>
        <v>0</v>
      </c>
      <c r="H48" s="38">
        <f>'10营运'!H19</f>
        <v>0</v>
      </c>
      <c r="I48" s="38">
        <f>'10营运'!I19</f>
        <v>0</v>
      </c>
      <c r="J48" s="38">
        <f>'10营运'!J19</f>
        <v>0</v>
      </c>
      <c r="K48" s="38">
        <f>'10营运'!K19</f>
        <v>0</v>
      </c>
      <c r="L48" s="131"/>
      <c r="M48" s="131"/>
      <c r="N48" s="131"/>
      <c r="O48" s="131"/>
      <c r="P48" s="131"/>
      <c r="Q48" s="131"/>
      <c r="R48" s="131"/>
      <c r="S48" s="131"/>
      <c r="T48" s="131"/>
      <c r="U48" s="131"/>
      <c r="V48" s="131"/>
      <c r="W48" s="131"/>
      <c r="X48" s="131"/>
      <c r="Y48" s="131"/>
      <c r="Z48" s="184"/>
      <c r="AA48" s="184"/>
      <c r="AB48" s="184"/>
      <c r="AC48" s="184"/>
      <c r="AD48" s="184"/>
      <c r="AE48" s="184"/>
      <c r="AF48" s="184"/>
      <c r="AG48" s="184"/>
      <c r="AH48" s="184"/>
      <c r="AI48" s="184"/>
    </row>
    <row r="49" spans="1:35" ht="18" customHeight="1" outlineLevel="1">
      <c r="A49" s="136"/>
      <c r="B49" s="443" t="s">
        <v>599</v>
      </c>
      <c r="C49" s="38">
        <f>'10营运'!C20</f>
        <v>0</v>
      </c>
      <c r="D49" s="38">
        <f>'10营运'!D20</f>
        <v>0</v>
      </c>
      <c r="E49" s="38">
        <f>'10营运'!E20</f>
        <v>0</v>
      </c>
      <c r="F49" s="38">
        <f>'10营运'!F20</f>
        <v>0</v>
      </c>
      <c r="G49" s="38">
        <f>'10营运'!G20</f>
        <v>0</v>
      </c>
      <c r="H49" s="38">
        <f>'10营运'!H20</f>
        <v>0</v>
      </c>
      <c r="I49" s="38">
        <f>'10营运'!I20</f>
        <v>0</v>
      </c>
      <c r="J49" s="38">
        <f>'10营运'!J20</f>
        <v>0</v>
      </c>
      <c r="K49" s="38">
        <f>'10营运'!K20</f>
        <v>0</v>
      </c>
      <c r="L49" s="131"/>
      <c r="M49" s="131"/>
      <c r="N49" s="131"/>
      <c r="O49" s="131"/>
      <c r="P49" s="131"/>
      <c r="Q49" s="131"/>
      <c r="R49" s="131"/>
      <c r="S49" s="131"/>
      <c r="T49" s="131"/>
      <c r="U49" s="131"/>
      <c r="V49" s="131"/>
      <c r="W49" s="131"/>
      <c r="X49" s="131"/>
      <c r="Y49" s="131"/>
      <c r="Z49" s="184"/>
      <c r="AA49" s="184"/>
      <c r="AB49" s="184"/>
      <c r="AC49" s="184"/>
      <c r="AD49" s="184"/>
      <c r="AE49" s="184"/>
      <c r="AF49" s="184"/>
      <c r="AG49" s="184"/>
      <c r="AH49" s="184"/>
      <c r="AI49" s="184"/>
    </row>
    <row r="50" spans="1:35" ht="18" customHeight="1" outlineLevel="1">
      <c r="A50" s="136"/>
      <c r="B50" s="551" t="s">
        <v>620</v>
      </c>
      <c r="C50" s="143">
        <f>SUM(C41:C49)</f>
        <v>1646.1738229999999</v>
      </c>
      <c r="D50" s="143">
        <f t="shared" ref="D50" si="10">SUM(D41:D49)</f>
        <v>1365.2196730000001</v>
      </c>
      <c r="E50" s="143">
        <f>SUM(E41:E49)</f>
        <v>795.93196899999998</v>
      </c>
      <c r="F50" s="143">
        <f>SUM(F41:F49)</f>
        <v>1414.9510597777776</v>
      </c>
      <c r="G50" s="143">
        <f t="shared" ref="G50:K50" si="11">SUM(G41:G49)</f>
        <v>1529.0279025833333</v>
      </c>
      <c r="H50" s="143">
        <f t="shared" si="11"/>
        <v>1638.6599883388892</v>
      </c>
      <c r="I50" s="143">
        <f t="shared" si="11"/>
        <v>1724.4738078055559</v>
      </c>
      <c r="J50" s="143">
        <f t="shared" si="11"/>
        <v>1805.690482250001</v>
      </c>
      <c r="K50" s="143">
        <f t="shared" si="11"/>
        <v>1864.6857864722238</v>
      </c>
    </row>
    <row r="51" spans="1:35" s="184" customFormat="1" ht="18" customHeight="1" outlineLevel="1">
      <c r="A51" s="137"/>
      <c r="B51" s="489" t="s">
        <v>632</v>
      </c>
      <c r="C51" s="552"/>
      <c r="D51" s="552"/>
      <c r="E51" s="552"/>
      <c r="F51" s="552"/>
      <c r="G51" s="552"/>
      <c r="H51" s="552"/>
      <c r="I51" s="552"/>
      <c r="J51" s="552"/>
      <c r="K51" s="552"/>
      <c r="L51" s="131"/>
      <c r="M51" s="131"/>
      <c r="N51" s="131"/>
      <c r="O51" s="131"/>
      <c r="P51" s="131"/>
      <c r="Q51" s="131"/>
      <c r="R51" s="131"/>
      <c r="S51" s="131"/>
      <c r="T51" s="131"/>
      <c r="U51" s="131"/>
      <c r="V51" s="131"/>
      <c r="W51" s="131"/>
      <c r="X51" s="131"/>
      <c r="Y51" s="131"/>
    </row>
    <row r="52" spans="1:35" ht="18" customHeight="1" outlineLevel="1">
      <c r="A52" s="136"/>
      <c r="B52" s="443" t="s">
        <v>600</v>
      </c>
      <c r="C52" s="38">
        <f>C5</f>
        <v>0</v>
      </c>
      <c r="D52" s="38">
        <f t="shared" ref="D52:K52" si="12">D5</f>
        <v>0</v>
      </c>
      <c r="E52" s="38">
        <f t="shared" si="12"/>
        <v>0</v>
      </c>
      <c r="F52" s="38">
        <f t="shared" si="12"/>
        <v>0</v>
      </c>
      <c r="G52" s="38">
        <f t="shared" si="12"/>
        <v>0</v>
      </c>
      <c r="H52" s="38">
        <f t="shared" si="12"/>
        <v>0</v>
      </c>
      <c r="I52" s="38">
        <f t="shared" si="12"/>
        <v>0</v>
      </c>
      <c r="J52" s="38">
        <f t="shared" si="12"/>
        <v>0</v>
      </c>
      <c r="K52" s="38">
        <f t="shared" si="12"/>
        <v>0</v>
      </c>
      <c r="L52" s="214"/>
    </row>
    <row r="53" spans="1:35" ht="18" customHeight="1" outlineLevel="1">
      <c r="A53" s="136"/>
      <c r="B53" s="443" t="s">
        <v>601</v>
      </c>
      <c r="C53" s="38">
        <f>'1报表'!C39-'2报表调整'!K32</f>
        <v>108.537848</v>
      </c>
      <c r="D53" s="38">
        <f>'1报表'!D39-'2报表调整'!L32</f>
        <v>111.62055599999999</v>
      </c>
      <c r="E53" s="38">
        <f>'2报表调整'!G32</f>
        <v>94.661334999999994</v>
      </c>
      <c r="F53" s="554">
        <f>'7折旧'!F29+'7折旧'!F44</f>
        <v>120.54473199999998</v>
      </c>
      <c r="G53" s="554">
        <f>'7折旧'!G29+'7折旧'!G44</f>
        <v>113.50473199999998</v>
      </c>
      <c r="H53" s="554">
        <f>'7折旧'!H29+'7折旧'!H44</f>
        <v>105.35000000000001</v>
      </c>
      <c r="I53" s="554">
        <f>'7折旧'!I29+'7折旧'!I44</f>
        <v>120.05000000000003</v>
      </c>
      <c r="J53" s="554">
        <f>'7折旧'!J29+'7折旧'!J44</f>
        <v>124.95000000000002</v>
      </c>
      <c r="K53" s="554">
        <f>'7折旧'!K29+'7折旧'!K44</f>
        <v>120.70000000000002</v>
      </c>
      <c r="L53" s="216"/>
      <c r="M53" s="217"/>
    </row>
    <row r="54" spans="1:35" ht="18" customHeight="1" outlineLevel="1">
      <c r="A54" s="136"/>
      <c r="B54" s="451" t="s">
        <v>602</v>
      </c>
      <c r="C54" s="38">
        <f>'1报表'!C40-'2报表调整'!K33</f>
        <v>0</v>
      </c>
      <c r="D54" s="38">
        <f>'1报表'!D40-'2报表调整'!L33</f>
        <v>0</v>
      </c>
      <c r="E54" s="38">
        <f>'2报表调整'!G33</f>
        <v>0</v>
      </c>
      <c r="F54" s="65"/>
      <c r="G54" s="65"/>
      <c r="H54" s="65"/>
      <c r="I54" s="65"/>
      <c r="J54" s="65"/>
      <c r="K54" s="65"/>
      <c r="L54" s="216"/>
      <c r="M54" s="216"/>
    </row>
    <row r="55" spans="1:35" ht="18" customHeight="1" outlineLevel="1">
      <c r="A55" s="136"/>
      <c r="B55" s="451" t="s">
        <v>603</v>
      </c>
      <c r="C55" s="38">
        <f>'1报表'!C41-'2报表调整'!K34</f>
        <v>0</v>
      </c>
      <c r="D55" s="38">
        <f>'1报表'!D41-'2报表调整'!L34</f>
        <v>0</v>
      </c>
      <c r="E55" s="38">
        <f>'2报表调整'!G34</f>
        <v>0</v>
      </c>
      <c r="F55" s="65"/>
      <c r="G55" s="65"/>
      <c r="H55" s="65"/>
      <c r="I55" s="65"/>
      <c r="J55" s="65"/>
      <c r="K55" s="65"/>
      <c r="L55" s="216"/>
    </row>
    <row r="56" spans="1:35" ht="18" customHeight="1" outlineLevel="1">
      <c r="A56" s="136"/>
      <c r="B56" s="451" t="s">
        <v>604</v>
      </c>
      <c r="C56" s="38">
        <f>'1报表'!C42-'2报表调整'!K35</f>
        <v>0</v>
      </c>
      <c r="D56" s="38">
        <f>'1报表'!D42-'2报表调整'!L35</f>
        <v>0</v>
      </c>
      <c r="E56" s="38">
        <f>'2报表调整'!G35</f>
        <v>0</v>
      </c>
      <c r="F56" s="65"/>
      <c r="G56" s="65"/>
      <c r="H56" s="65"/>
      <c r="I56" s="65"/>
      <c r="J56" s="65"/>
      <c r="K56" s="65"/>
    </row>
    <row r="57" spans="1:35" ht="18" customHeight="1" outlineLevel="1">
      <c r="A57" s="136"/>
      <c r="B57" s="451" t="s">
        <v>605</v>
      </c>
      <c r="C57" s="38">
        <f>'1报表'!C43-'2报表调整'!K36</f>
        <v>0.47781800000000002</v>
      </c>
      <c r="D57" s="38">
        <f>'1报表'!D43-'2报表调整'!L36</f>
        <v>9.4802409999999995</v>
      </c>
      <c r="E57" s="38">
        <f>'2报表调整'!G36</f>
        <v>5.9160190000000004</v>
      </c>
      <c r="F57" s="554">
        <f>'8摊销'!F26+'8摊销'!F35</f>
        <v>11.416019000000006</v>
      </c>
      <c r="G57" s="554">
        <f>'8摊销'!G26+'8摊销'!G35</f>
        <v>14.416019000000006</v>
      </c>
      <c r="H57" s="554">
        <f>'8摊销'!H26+'8摊销'!H35</f>
        <v>15.416019000000006</v>
      </c>
      <c r="I57" s="554">
        <f>'8摊销'!I26+'8摊销'!I35</f>
        <v>14.916019000000006</v>
      </c>
      <c r="J57" s="554">
        <f>'8摊销'!J26+'8摊销'!J35</f>
        <v>14.916019000000006</v>
      </c>
      <c r="K57" s="554">
        <f>'8摊销'!K26+'8摊销'!K35</f>
        <v>14.916019000000006</v>
      </c>
      <c r="L57" s="53"/>
    </row>
    <row r="58" spans="1:35" ht="18" customHeight="1" outlineLevel="1">
      <c r="A58" s="136"/>
      <c r="B58" s="451" t="s">
        <v>606</v>
      </c>
      <c r="C58" s="38">
        <f>'1报表'!C44-'2报表调整'!K37</f>
        <v>0</v>
      </c>
      <c r="D58" s="38">
        <f>'1报表'!D44-'2报表调整'!L37</f>
        <v>0</v>
      </c>
      <c r="E58" s="38">
        <f>'2报表调整'!G37</f>
        <v>0</v>
      </c>
      <c r="F58" s="65"/>
      <c r="G58" s="65"/>
      <c r="H58" s="65"/>
      <c r="I58" s="65"/>
      <c r="J58" s="65"/>
      <c r="K58" s="65"/>
      <c r="L58" s="214"/>
    </row>
    <row r="59" spans="1:35" ht="18" customHeight="1" outlineLevel="1">
      <c r="A59" s="136"/>
      <c r="B59" s="505" t="s">
        <v>19</v>
      </c>
      <c r="C59" s="38">
        <f>'1报表'!C45</f>
        <v>0</v>
      </c>
      <c r="D59" s="38">
        <f>'1报表'!D45</f>
        <v>0</v>
      </c>
      <c r="E59" s="38">
        <f>'2报表调整'!G38</f>
        <v>0</v>
      </c>
      <c r="F59" s="144">
        <f t="shared" ref="F59:K59" si="13">E59</f>
        <v>0</v>
      </c>
      <c r="G59" s="144">
        <f t="shared" si="13"/>
        <v>0</v>
      </c>
      <c r="H59" s="144">
        <f t="shared" si="13"/>
        <v>0</v>
      </c>
      <c r="I59" s="144">
        <f t="shared" si="13"/>
        <v>0</v>
      </c>
      <c r="J59" s="144">
        <f t="shared" si="13"/>
        <v>0</v>
      </c>
      <c r="K59" s="144">
        <f t="shared" si="13"/>
        <v>0</v>
      </c>
      <c r="L59" s="218"/>
    </row>
    <row r="60" spans="1:35" ht="18" customHeight="1" outlineLevel="1">
      <c r="A60" s="136"/>
      <c r="B60" s="451" t="s">
        <v>607</v>
      </c>
      <c r="C60" s="38">
        <f>'1报表'!C46-'2报表调整'!K39</f>
        <v>0</v>
      </c>
      <c r="D60" s="38">
        <f>'1报表'!D46-'2报表调整'!L39</f>
        <v>0</v>
      </c>
      <c r="E60" s="38">
        <f>'2报表调整'!G39</f>
        <v>0</v>
      </c>
      <c r="F60" s="555">
        <f>'8摊销'!F53</f>
        <v>0</v>
      </c>
      <c r="G60" s="555">
        <f>'8摊销'!G53</f>
        <v>0</v>
      </c>
      <c r="H60" s="555">
        <f>'8摊销'!H53</f>
        <v>0</v>
      </c>
      <c r="I60" s="555">
        <f>'8摊销'!I53</f>
        <v>0</v>
      </c>
      <c r="J60" s="555">
        <f>'8摊销'!J53</f>
        <v>0</v>
      </c>
      <c r="K60" s="555">
        <f>'8摊销'!K53</f>
        <v>0</v>
      </c>
      <c r="L60" s="53"/>
    </row>
    <row r="61" spans="1:35" ht="18" customHeight="1" outlineLevel="1">
      <c r="A61" s="136"/>
      <c r="B61" s="443" t="s">
        <v>322</v>
      </c>
      <c r="C61" s="38">
        <f>'1报表'!C47-'2报表调整'!K40</f>
        <v>0</v>
      </c>
      <c r="D61" s="38">
        <f>'1报表'!D47-'2报表调整'!L40</f>
        <v>0</v>
      </c>
      <c r="E61" s="38">
        <f>'2报表调整'!G40</f>
        <v>0</v>
      </c>
      <c r="F61" s="38">
        <f t="shared" ref="F61:K61" si="14">E61</f>
        <v>0</v>
      </c>
      <c r="G61" s="38">
        <f t="shared" si="14"/>
        <v>0</v>
      </c>
      <c r="H61" s="38">
        <f t="shared" si="14"/>
        <v>0</v>
      </c>
      <c r="I61" s="38">
        <f t="shared" si="14"/>
        <v>0</v>
      </c>
      <c r="J61" s="38">
        <f t="shared" si="14"/>
        <v>0</v>
      </c>
      <c r="K61" s="38">
        <f t="shared" si="14"/>
        <v>0</v>
      </c>
      <c r="L61" s="220"/>
      <c r="M61" s="223"/>
      <c r="N61" s="131"/>
      <c r="O61" s="131"/>
      <c r="P61" s="131"/>
      <c r="Q61" s="131"/>
      <c r="R61" s="131"/>
      <c r="S61" s="131"/>
      <c r="T61" s="131"/>
      <c r="U61" s="131"/>
      <c r="V61" s="131"/>
      <c r="W61" s="131"/>
      <c r="X61" s="131"/>
      <c r="Y61" s="131"/>
      <c r="Z61" s="184"/>
      <c r="AA61" s="184"/>
      <c r="AB61" s="184"/>
      <c r="AC61" s="184"/>
      <c r="AD61" s="184"/>
    </row>
    <row r="62" spans="1:35" s="215" customFormat="1" ht="18" customHeight="1" outlineLevel="1">
      <c r="A62" s="136"/>
      <c r="B62" s="443" t="s">
        <v>608</v>
      </c>
      <c r="C62" s="38">
        <f>C6</f>
        <v>0</v>
      </c>
      <c r="D62" s="38">
        <f t="shared" ref="D62:K62" si="15">D6</f>
        <v>0</v>
      </c>
      <c r="E62" s="38">
        <f t="shared" si="15"/>
        <v>0</v>
      </c>
      <c r="F62" s="38">
        <f t="shared" si="15"/>
        <v>0</v>
      </c>
      <c r="G62" s="38">
        <f t="shared" si="15"/>
        <v>0</v>
      </c>
      <c r="H62" s="38">
        <f t="shared" si="15"/>
        <v>0</v>
      </c>
      <c r="I62" s="38">
        <f t="shared" si="15"/>
        <v>0</v>
      </c>
      <c r="J62" s="38">
        <f t="shared" si="15"/>
        <v>0</v>
      </c>
      <c r="K62" s="38">
        <f t="shared" si="15"/>
        <v>0</v>
      </c>
      <c r="L62" s="220"/>
      <c r="M62" s="223"/>
      <c r="N62" s="131"/>
      <c r="O62" s="131"/>
      <c r="P62" s="131"/>
      <c r="Q62" s="131"/>
      <c r="R62" s="131"/>
      <c r="S62" s="131"/>
      <c r="T62" s="131"/>
      <c r="U62" s="131"/>
      <c r="V62" s="131"/>
      <c r="W62" s="131"/>
      <c r="X62" s="131"/>
      <c r="Y62" s="131"/>
      <c r="Z62" s="184"/>
      <c r="AA62" s="184"/>
      <c r="AB62" s="184"/>
      <c r="AC62" s="184"/>
      <c r="AD62" s="184"/>
    </row>
    <row r="63" spans="1:35" ht="18" customHeight="1" outlineLevel="1">
      <c r="A63" s="136"/>
      <c r="B63" s="551" t="s">
        <v>619</v>
      </c>
      <c r="C63" s="37">
        <f>SUM(C52:C62)</f>
        <v>109.015666</v>
      </c>
      <c r="D63" s="37">
        <f t="shared" ref="D63:K63" si="16">SUM(D52:D62)</f>
        <v>121.100797</v>
      </c>
      <c r="E63" s="37">
        <f t="shared" si="16"/>
        <v>100.577354</v>
      </c>
      <c r="F63" s="37">
        <f t="shared" si="16"/>
        <v>131.96075099999999</v>
      </c>
      <c r="G63" s="37">
        <f t="shared" si="16"/>
        <v>127.92075099999998</v>
      </c>
      <c r="H63" s="37">
        <f t="shared" si="16"/>
        <v>120.76601900000001</v>
      </c>
      <c r="I63" s="37">
        <f t="shared" si="16"/>
        <v>134.96601900000002</v>
      </c>
      <c r="J63" s="37">
        <f t="shared" si="16"/>
        <v>139.86601900000002</v>
      </c>
      <c r="K63" s="37">
        <f t="shared" si="16"/>
        <v>135.61601900000002</v>
      </c>
      <c r="L63" s="220"/>
      <c r="M63" s="223"/>
      <c r="N63" s="131"/>
      <c r="O63" s="131"/>
      <c r="P63" s="131"/>
      <c r="Q63" s="131"/>
      <c r="R63" s="131"/>
      <c r="S63" s="131"/>
      <c r="T63" s="131"/>
      <c r="U63" s="131"/>
      <c r="V63" s="131"/>
      <c r="W63" s="131"/>
      <c r="X63" s="131"/>
      <c r="Y63" s="131"/>
      <c r="Z63" s="184"/>
      <c r="AA63" s="184"/>
      <c r="AB63" s="184"/>
      <c r="AC63" s="184"/>
      <c r="AD63" s="184"/>
    </row>
    <row r="64" spans="1:35" ht="18" customHeight="1" outlineLevel="1">
      <c r="A64" s="136"/>
      <c r="B64" s="542" t="s">
        <v>621</v>
      </c>
      <c r="C64" s="37">
        <f t="shared" ref="C64:K64" si="17">C50+C63</f>
        <v>1755.1894889999999</v>
      </c>
      <c r="D64" s="37">
        <f t="shared" si="17"/>
        <v>1486.3204700000001</v>
      </c>
      <c r="E64" s="37">
        <f t="shared" si="17"/>
        <v>896.50932299999999</v>
      </c>
      <c r="F64" s="37">
        <f t="shared" si="17"/>
        <v>1546.9118107777776</v>
      </c>
      <c r="G64" s="37">
        <f t="shared" si="17"/>
        <v>1656.9486535833332</v>
      </c>
      <c r="H64" s="37">
        <f t="shared" si="17"/>
        <v>1759.4260073388891</v>
      </c>
      <c r="I64" s="37">
        <f t="shared" si="17"/>
        <v>1859.4398268055559</v>
      </c>
      <c r="J64" s="37">
        <f t="shared" si="17"/>
        <v>1945.556501250001</v>
      </c>
      <c r="K64" s="37">
        <f t="shared" si="17"/>
        <v>2000.3018054722238</v>
      </c>
      <c r="L64" s="220"/>
      <c r="M64" s="223"/>
      <c r="N64" s="131"/>
      <c r="O64" s="131"/>
      <c r="P64" s="131"/>
      <c r="Q64" s="131"/>
      <c r="R64" s="131"/>
      <c r="S64" s="131"/>
      <c r="T64" s="131"/>
      <c r="U64" s="131"/>
      <c r="V64" s="131"/>
      <c r="W64" s="131"/>
      <c r="X64" s="131"/>
      <c r="Y64" s="131"/>
      <c r="Z64" s="184"/>
      <c r="AA64" s="184"/>
      <c r="AB64" s="184"/>
      <c r="AC64" s="184"/>
      <c r="AD64" s="184"/>
    </row>
    <row r="65" spans="1:25" s="184" customFormat="1" ht="18" customHeight="1" outlineLevel="1">
      <c r="A65" s="137"/>
      <c r="B65" s="489" t="s">
        <v>633</v>
      </c>
      <c r="C65" s="552"/>
      <c r="D65" s="552"/>
      <c r="E65" s="552"/>
      <c r="F65" s="552"/>
      <c r="G65" s="552"/>
      <c r="H65" s="552"/>
      <c r="I65" s="552"/>
      <c r="J65" s="552"/>
      <c r="K65" s="552"/>
      <c r="L65" s="220"/>
      <c r="M65" s="223"/>
      <c r="N65" s="131"/>
      <c r="O65" s="131"/>
      <c r="P65" s="131"/>
      <c r="Q65" s="131"/>
      <c r="R65" s="131"/>
      <c r="S65" s="131"/>
      <c r="T65" s="131"/>
      <c r="U65" s="131"/>
      <c r="V65" s="131"/>
      <c r="W65" s="131"/>
      <c r="X65" s="131"/>
      <c r="Y65" s="131"/>
    </row>
    <row r="66" spans="1:25" s="184" customFormat="1" ht="18" customHeight="1" outlineLevel="1">
      <c r="A66" s="137"/>
      <c r="B66" s="6" t="s">
        <v>609</v>
      </c>
      <c r="C66" s="38">
        <f>'10营运'!C25</f>
        <v>0</v>
      </c>
      <c r="D66" s="38">
        <f>'10营运'!D25</f>
        <v>0</v>
      </c>
      <c r="E66" s="38">
        <f>'10营运'!E25</f>
        <v>297.39515899999998</v>
      </c>
      <c r="F66" s="38">
        <f>'10营运'!F25</f>
        <v>219.93277777777777</v>
      </c>
      <c r="G66" s="38">
        <f>'10营运'!G25</f>
        <v>242.36333333333334</v>
      </c>
      <c r="H66" s="38">
        <f>'10营运'!H25</f>
        <v>261.56526288888892</v>
      </c>
      <c r="I66" s="38">
        <f>'10营运'!I25</f>
        <v>273.21505555555552</v>
      </c>
      <c r="J66" s="38">
        <f>'10营运'!J25</f>
        <v>281.89878500000003</v>
      </c>
      <c r="K66" s="38">
        <f>'10营运'!K25</f>
        <v>282.29600722222222</v>
      </c>
      <c r="L66" s="220"/>
      <c r="M66" s="223"/>
      <c r="N66" s="131"/>
      <c r="O66" s="131"/>
      <c r="P66" s="131"/>
      <c r="Q66" s="131"/>
      <c r="R66" s="131"/>
      <c r="S66" s="131"/>
      <c r="T66" s="131"/>
      <c r="U66" s="131"/>
      <c r="V66" s="131"/>
      <c r="W66" s="131"/>
      <c r="X66" s="131"/>
      <c r="Y66" s="131"/>
    </row>
    <row r="67" spans="1:25" s="184" customFormat="1" ht="18" customHeight="1" outlineLevel="1">
      <c r="A67" s="137"/>
      <c r="B67" s="443" t="s">
        <v>610</v>
      </c>
      <c r="C67" s="38">
        <f>'10营运'!C28</f>
        <v>124.37</v>
      </c>
      <c r="D67" s="38">
        <f>'10营运'!D28</f>
        <v>78</v>
      </c>
      <c r="E67" s="38">
        <f>'10营运'!E28</f>
        <v>99.153700000000001</v>
      </c>
      <c r="F67" s="38">
        <f>'10营运'!F28</f>
        <v>75</v>
      </c>
      <c r="G67" s="38">
        <f>'10营运'!G28</f>
        <v>82.5</v>
      </c>
      <c r="H67" s="38">
        <f>'10营运'!H28</f>
        <v>89.1</v>
      </c>
      <c r="I67" s="38">
        <f>'10营运'!I28</f>
        <v>93.555000000000007</v>
      </c>
      <c r="J67" s="38">
        <f>'10营运'!J28</f>
        <v>96.361650000000012</v>
      </c>
      <c r="K67" s="38">
        <f>'10营运'!K28</f>
        <v>96.361650000000012</v>
      </c>
      <c r="L67" s="170"/>
      <c r="M67" s="131"/>
      <c r="N67" s="131"/>
      <c r="O67" s="131"/>
      <c r="P67" s="131"/>
      <c r="Q67" s="131"/>
      <c r="R67" s="131"/>
      <c r="S67" s="131"/>
      <c r="T67" s="131"/>
      <c r="U67" s="131"/>
      <c r="V67" s="131"/>
      <c r="W67" s="131"/>
      <c r="X67" s="131"/>
      <c r="Y67" s="131"/>
    </row>
    <row r="68" spans="1:25" s="184" customFormat="1" ht="18" customHeight="1" outlineLevel="1">
      <c r="A68" s="137"/>
      <c r="B68" s="443" t="s">
        <v>611</v>
      </c>
      <c r="C68" s="38">
        <f>'10营运'!C29</f>
        <v>0</v>
      </c>
      <c r="D68" s="38">
        <f>'10营运'!D29</f>
        <v>0</v>
      </c>
      <c r="E68" s="38">
        <f>'10营运'!E29</f>
        <v>0</v>
      </c>
      <c r="F68" s="38">
        <f>'10营运'!F29</f>
        <v>0</v>
      </c>
      <c r="G68" s="38">
        <f>'10营运'!G29</f>
        <v>0</v>
      </c>
      <c r="H68" s="38">
        <f>'10营运'!H29</f>
        <v>0</v>
      </c>
      <c r="I68" s="38">
        <f>'10营运'!I29</f>
        <v>0</v>
      </c>
      <c r="J68" s="38">
        <f>'10营运'!J29</f>
        <v>0</v>
      </c>
      <c r="K68" s="38">
        <f>'10营运'!K29</f>
        <v>0</v>
      </c>
      <c r="L68" s="170"/>
      <c r="M68" s="131"/>
      <c r="N68" s="131"/>
      <c r="O68" s="131"/>
      <c r="P68" s="131"/>
      <c r="Q68" s="131"/>
      <c r="R68" s="131"/>
      <c r="S68" s="131"/>
      <c r="T68" s="131"/>
      <c r="U68" s="131"/>
      <c r="V68" s="131"/>
      <c r="W68" s="131"/>
      <c r="X68" s="131"/>
      <c r="Y68" s="131"/>
    </row>
    <row r="69" spans="1:25" s="184" customFormat="1" ht="18" customHeight="1" outlineLevel="1">
      <c r="A69" s="137"/>
      <c r="B69" s="556" t="s">
        <v>29</v>
      </c>
      <c r="C69" s="38">
        <f>'10营运'!C30</f>
        <v>0</v>
      </c>
      <c r="D69" s="38">
        <f>'10营运'!D30</f>
        <v>-0.188809</v>
      </c>
      <c r="E69" s="38">
        <f>'10营运'!E30</f>
        <v>0</v>
      </c>
      <c r="F69" s="38">
        <f>'10营运'!F30</f>
        <v>0</v>
      </c>
      <c r="G69" s="38">
        <f>'10营运'!G30</f>
        <v>0</v>
      </c>
      <c r="H69" s="38">
        <f>'10营运'!H30</f>
        <v>0</v>
      </c>
      <c r="I69" s="38">
        <f>'10营运'!I30</f>
        <v>0</v>
      </c>
      <c r="J69" s="38">
        <f>'10营运'!J30</f>
        <v>0</v>
      </c>
      <c r="K69" s="38">
        <f>'10营运'!K30</f>
        <v>0</v>
      </c>
      <c r="L69" s="220"/>
      <c r="M69" s="131"/>
      <c r="N69" s="131"/>
      <c r="O69" s="131"/>
      <c r="P69" s="131"/>
      <c r="Q69" s="131"/>
      <c r="R69" s="131"/>
      <c r="S69" s="131"/>
      <c r="T69" s="131"/>
      <c r="U69" s="131"/>
      <c r="V69" s="131"/>
      <c r="W69" s="131"/>
      <c r="X69" s="131"/>
      <c r="Y69" s="131"/>
    </row>
    <row r="70" spans="1:25" s="184" customFormat="1" ht="18" customHeight="1" outlineLevel="1">
      <c r="A70" s="137"/>
      <c r="B70" s="556" t="s">
        <v>30</v>
      </c>
      <c r="C70" s="38">
        <f>'10营运'!C31</f>
        <v>100.54686</v>
      </c>
      <c r="D70" s="38">
        <f>'10营运'!D31</f>
        <v>28.323039999999999</v>
      </c>
      <c r="E70" s="38">
        <f>'10营运'!E31</f>
        <v>2.2263799999999998</v>
      </c>
      <c r="F70" s="38">
        <f>'10营运'!F31</f>
        <v>0</v>
      </c>
      <c r="G70" s="38">
        <f>'10营运'!G31</f>
        <v>0</v>
      </c>
      <c r="H70" s="38">
        <f>'10营运'!H31</f>
        <v>0</v>
      </c>
      <c r="I70" s="38">
        <f>'10营运'!I31</f>
        <v>0</v>
      </c>
      <c r="J70" s="38">
        <f>'10营运'!J31</f>
        <v>0</v>
      </c>
      <c r="K70" s="38">
        <f>'10营运'!K31</f>
        <v>0</v>
      </c>
      <c r="L70" s="220"/>
      <c r="M70" s="221"/>
      <c r="N70" s="171"/>
      <c r="O70" s="131"/>
      <c r="P70" s="131"/>
      <c r="Q70" s="131"/>
      <c r="R70" s="131"/>
      <c r="S70" s="131"/>
      <c r="T70" s="131"/>
      <c r="U70" s="131"/>
      <c r="V70" s="131"/>
      <c r="W70" s="131"/>
      <c r="X70" s="131"/>
      <c r="Y70" s="131"/>
    </row>
    <row r="71" spans="1:25" s="184" customFormat="1" ht="18" customHeight="1" outlineLevel="1">
      <c r="A71" s="137"/>
      <c r="B71" s="443" t="s">
        <v>612</v>
      </c>
      <c r="C71" s="144">
        <f>'10营运'!C34</f>
        <v>499.38200199999994</v>
      </c>
      <c r="D71" s="144">
        <f>'10营运'!D34</f>
        <v>567.33490000000006</v>
      </c>
      <c r="E71" s="144">
        <f>'10营运'!E34</f>
        <v>211.23040899999998</v>
      </c>
      <c r="F71" s="38">
        <f>'10营运'!F34</f>
        <v>395.87900000000002</v>
      </c>
      <c r="G71" s="38">
        <f>'10营运'!G34</f>
        <v>436.25400000000002</v>
      </c>
      <c r="H71" s="38">
        <f>'10营运'!H34</f>
        <v>470.81747320000005</v>
      </c>
      <c r="I71" s="38">
        <f>'10营运'!I34</f>
        <v>491.78710000000001</v>
      </c>
      <c r="J71" s="38">
        <f>'10营运'!J34</f>
        <v>507.41781300000002</v>
      </c>
      <c r="K71" s="38">
        <f>'10营运'!K34</f>
        <v>508.132813</v>
      </c>
      <c r="L71" s="170"/>
      <c r="M71" s="131"/>
      <c r="N71" s="131"/>
      <c r="O71" s="131"/>
      <c r="P71" s="131"/>
      <c r="Q71" s="131"/>
      <c r="R71" s="131"/>
      <c r="S71" s="131"/>
      <c r="T71" s="131"/>
      <c r="U71" s="131"/>
      <c r="V71" s="131"/>
      <c r="W71" s="131"/>
      <c r="X71" s="131"/>
      <c r="Y71" s="131"/>
    </row>
    <row r="72" spans="1:25" s="184" customFormat="1" ht="18" customHeight="1" outlineLevel="1">
      <c r="A72" s="137"/>
      <c r="B72" s="443" t="s">
        <v>613</v>
      </c>
      <c r="C72" s="38">
        <f>'10营运'!C37</f>
        <v>0</v>
      </c>
      <c r="D72" s="38">
        <f>'10营运'!D37</f>
        <v>0</v>
      </c>
      <c r="E72" s="38">
        <f>'10营运'!E37</f>
        <v>0</v>
      </c>
      <c r="F72" s="38">
        <f>'10营运'!F37</f>
        <v>0</v>
      </c>
      <c r="G72" s="38">
        <f>'10营运'!G37</f>
        <v>0</v>
      </c>
      <c r="H72" s="38">
        <f>'10营运'!H37</f>
        <v>0</v>
      </c>
      <c r="I72" s="38">
        <f>'10营运'!I37</f>
        <v>0</v>
      </c>
      <c r="J72" s="38">
        <f>'10营运'!J37</f>
        <v>0</v>
      </c>
      <c r="K72" s="38">
        <f>'10营运'!K37</f>
        <v>0</v>
      </c>
      <c r="L72" s="170"/>
      <c r="M72" s="171"/>
      <c r="N72" s="131"/>
      <c r="O72" s="131"/>
      <c r="P72" s="131"/>
      <c r="Q72" s="131"/>
      <c r="R72" s="131"/>
      <c r="S72" s="131"/>
      <c r="T72" s="131"/>
      <c r="U72" s="131"/>
      <c r="V72" s="131"/>
      <c r="W72" s="131"/>
      <c r="X72" s="131"/>
      <c r="Y72" s="131"/>
    </row>
    <row r="73" spans="1:25" s="184" customFormat="1" ht="18" customHeight="1" outlineLevel="1">
      <c r="A73" s="137"/>
      <c r="B73" s="551" t="s">
        <v>617</v>
      </c>
      <c r="C73" s="143">
        <f>SUM(C66:C72)</f>
        <v>724.29886199999987</v>
      </c>
      <c r="D73" s="143">
        <f t="shared" ref="D73:K73" si="18">SUM(D66:D72)</f>
        <v>673.46913100000006</v>
      </c>
      <c r="E73" s="143">
        <f t="shared" si="18"/>
        <v>610.00564799999995</v>
      </c>
      <c r="F73" s="143">
        <f t="shared" si="18"/>
        <v>690.81177777777782</v>
      </c>
      <c r="G73" s="143">
        <f t="shared" si="18"/>
        <v>761.11733333333336</v>
      </c>
      <c r="H73" s="143">
        <f t="shared" si="18"/>
        <v>821.48273608888894</v>
      </c>
      <c r="I73" s="143">
        <f t="shared" si="18"/>
        <v>858.55715555555548</v>
      </c>
      <c r="J73" s="143">
        <f t="shared" si="18"/>
        <v>885.67824800000005</v>
      </c>
      <c r="K73" s="143">
        <f t="shared" si="18"/>
        <v>886.79047022222221</v>
      </c>
      <c r="L73" s="170"/>
      <c r="M73" s="131"/>
      <c r="N73" s="131"/>
      <c r="O73" s="131"/>
      <c r="P73" s="131"/>
      <c r="Q73" s="131"/>
      <c r="R73" s="131"/>
      <c r="S73" s="131"/>
      <c r="T73" s="131"/>
      <c r="U73" s="131"/>
      <c r="V73" s="131"/>
      <c r="W73" s="131"/>
      <c r="X73" s="131"/>
      <c r="Y73" s="131"/>
    </row>
    <row r="74" spans="1:25" s="184" customFormat="1" ht="18" customHeight="1" outlineLevel="1">
      <c r="A74" s="137"/>
      <c r="B74" s="489" t="s">
        <v>634</v>
      </c>
      <c r="C74" s="552"/>
      <c r="D74" s="552"/>
      <c r="E74" s="552"/>
      <c r="F74" s="552"/>
      <c r="G74" s="552"/>
      <c r="H74" s="552"/>
      <c r="I74" s="552"/>
      <c r="J74" s="552"/>
      <c r="K74" s="552"/>
      <c r="L74" s="131"/>
      <c r="M74" s="131"/>
      <c r="N74" s="131"/>
      <c r="O74" s="131"/>
      <c r="P74" s="131"/>
      <c r="Q74" s="131"/>
      <c r="R74" s="131"/>
      <c r="S74" s="131"/>
      <c r="T74" s="131"/>
      <c r="U74" s="131"/>
      <c r="V74" s="131"/>
      <c r="W74" s="131"/>
      <c r="X74" s="131"/>
      <c r="Y74" s="131"/>
    </row>
    <row r="75" spans="1:25" ht="18" customHeight="1" outlineLevel="1">
      <c r="A75" s="136"/>
      <c r="B75" s="451" t="s">
        <v>614</v>
      </c>
      <c r="C75" s="558">
        <f>C7</f>
        <v>0</v>
      </c>
      <c r="D75" s="558">
        <f t="shared" ref="D75:K75" si="19">D7</f>
        <v>0</v>
      </c>
      <c r="E75" s="558">
        <f t="shared" si="19"/>
        <v>0</v>
      </c>
      <c r="F75" s="558">
        <f t="shared" si="19"/>
        <v>0</v>
      </c>
      <c r="G75" s="558">
        <f t="shared" si="19"/>
        <v>0</v>
      </c>
      <c r="H75" s="558">
        <f t="shared" si="19"/>
        <v>0</v>
      </c>
      <c r="I75" s="558">
        <f t="shared" si="19"/>
        <v>0</v>
      </c>
      <c r="J75" s="558">
        <f t="shared" si="19"/>
        <v>0</v>
      </c>
      <c r="K75" s="558">
        <f t="shared" si="19"/>
        <v>0</v>
      </c>
      <c r="L75" s="212"/>
      <c r="N75" s="222"/>
    </row>
    <row r="76" spans="1:25" ht="18" customHeight="1" outlineLevel="1">
      <c r="A76" s="136"/>
      <c r="B76" s="505" t="s">
        <v>239</v>
      </c>
      <c r="C76" s="558">
        <f>C8</f>
        <v>0</v>
      </c>
      <c r="D76" s="558">
        <f t="shared" ref="D76:K78" si="20">D8</f>
        <v>0</v>
      </c>
      <c r="E76" s="558">
        <f t="shared" si="20"/>
        <v>0</v>
      </c>
      <c r="F76" s="558">
        <f t="shared" si="20"/>
        <v>0</v>
      </c>
      <c r="G76" s="558">
        <f t="shared" si="20"/>
        <v>0</v>
      </c>
      <c r="H76" s="558">
        <f t="shared" si="20"/>
        <v>0</v>
      </c>
      <c r="I76" s="558">
        <f t="shared" si="20"/>
        <v>0</v>
      </c>
      <c r="J76" s="558">
        <f t="shared" si="20"/>
        <v>0</v>
      </c>
      <c r="K76" s="558">
        <f t="shared" si="20"/>
        <v>0</v>
      </c>
      <c r="L76" s="212"/>
      <c r="N76" s="222"/>
    </row>
    <row r="77" spans="1:25" ht="18" customHeight="1" outlineLevel="1">
      <c r="A77" s="136"/>
      <c r="B77" s="451" t="s">
        <v>615</v>
      </c>
      <c r="C77" s="558">
        <f>C9</f>
        <v>0</v>
      </c>
      <c r="D77" s="558">
        <f t="shared" si="20"/>
        <v>0</v>
      </c>
      <c r="E77" s="558">
        <f t="shared" si="20"/>
        <v>0</v>
      </c>
      <c r="F77" s="558">
        <f t="shared" si="20"/>
        <v>0</v>
      </c>
      <c r="G77" s="558">
        <f t="shared" si="20"/>
        <v>0</v>
      </c>
      <c r="H77" s="558">
        <f t="shared" si="20"/>
        <v>0</v>
      </c>
      <c r="I77" s="558">
        <f t="shared" si="20"/>
        <v>0</v>
      </c>
      <c r="J77" s="558">
        <f t="shared" si="20"/>
        <v>0</v>
      </c>
      <c r="K77" s="558">
        <f t="shared" si="20"/>
        <v>0</v>
      </c>
    </row>
    <row r="78" spans="1:25" ht="18" customHeight="1" outlineLevel="1">
      <c r="A78" s="136"/>
      <c r="B78" s="505" t="s">
        <v>240</v>
      </c>
      <c r="C78" s="558">
        <f>C10</f>
        <v>0</v>
      </c>
      <c r="D78" s="558">
        <f t="shared" si="20"/>
        <v>0</v>
      </c>
      <c r="E78" s="558">
        <f t="shared" si="20"/>
        <v>0</v>
      </c>
      <c r="F78" s="558">
        <f t="shared" si="20"/>
        <v>0</v>
      </c>
      <c r="G78" s="558">
        <f t="shared" si="20"/>
        <v>0</v>
      </c>
      <c r="H78" s="558">
        <f t="shared" si="20"/>
        <v>0</v>
      </c>
      <c r="I78" s="558">
        <f t="shared" si="20"/>
        <v>0</v>
      </c>
      <c r="J78" s="558">
        <f t="shared" si="20"/>
        <v>0</v>
      </c>
      <c r="K78" s="558">
        <f t="shared" si="20"/>
        <v>0</v>
      </c>
    </row>
    <row r="79" spans="1:25" s="184" customFormat="1" ht="18" customHeight="1" outlineLevel="1">
      <c r="A79" s="137"/>
      <c r="B79" s="505" t="s">
        <v>42</v>
      </c>
      <c r="C79" s="558">
        <f>'1报表'!C74-'2报表调整'!K67</f>
        <v>0</v>
      </c>
      <c r="D79" s="558">
        <f>'1报表'!D74-'2报表调整'!L67</f>
        <v>0</v>
      </c>
      <c r="E79" s="558">
        <f>'2报表调整'!G67</f>
        <v>0</v>
      </c>
      <c r="F79" s="38">
        <f>E79</f>
        <v>0</v>
      </c>
      <c r="G79" s="38">
        <f t="shared" ref="G79:K79" si="21">F79</f>
        <v>0</v>
      </c>
      <c r="H79" s="38">
        <f t="shared" si="21"/>
        <v>0</v>
      </c>
      <c r="I79" s="38">
        <f t="shared" si="21"/>
        <v>0</v>
      </c>
      <c r="J79" s="38">
        <f t="shared" si="21"/>
        <v>0</v>
      </c>
      <c r="K79" s="38">
        <f t="shared" si="21"/>
        <v>0</v>
      </c>
      <c r="L79" s="224"/>
      <c r="M79" s="225"/>
      <c r="N79" s="223"/>
      <c r="O79" s="131"/>
      <c r="P79" s="131"/>
      <c r="Q79" s="131"/>
      <c r="R79" s="131"/>
      <c r="S79" s="131"/>
      <c r="T79" s="131"/>
      <c r="U79" s="131"/>
      <c r="V79" s="131"/>
      <c r="W79" s="131"/>
      <c r="X79" s="131"/>
      <c r="Y79" s="131"/>
    </row>
    <row r="80" spans="1:25" s="184" customFormat="1" ht="18" customHeight="1" outlineLevel="1">
      <c r="A80" s="137"/>
      <c r="B80" s="443" t="s">
        <v>616</v>
      </c>
      <c r="C80" s="558">
        <f>C11</f>
        <v>0</v>
      </c>
      <c r="D80" s="558">
        <f t="shared" ref="D80:K80" si="22">D11</f>
        <v>0</v>
      </c>
      <c r="E80" s="558">
        <f t="shared" si="22"/>
        <v>0</v>
      </c>
      <c r="F80" s="558">
        <f t="shared" si="22"/>
        <v>0</v>
      </c>
      <c r="G80" s="558">
        <f t="shared" si="22"/>
        <v>0</v>
      </c>
      <c r="H80" s="558">
        <f t="shared" si="22"/>
        <v>0</v>
      </c>
      <c r="I80" s="558">
        <f t="shared" si="22"/>
        <v>0</v>
      </c>
      <c r="J80" s="558">
        <f t="shared" si="22"/>
        <v>0</v>
      </c>
      <c r="K80" s="558">
        <f t="shared" si="22"/>
        <v>0</v>
      </c>
      <c r="L80" s="131"/>
      <c r="M80" s="131"/>
      <c r="N80" s="131"/>
      <c r="O80" s="131"/>
      <c r="P80" s="131"/>
      <c r="Q80" s="131"/>
      <c r="R80" s="131"/>
      <c r="S80" s="131"/>
      <c r="T80" s="131"/>
      <c r="U80" s="131"/>
      <c r="V80" s="131"/>
      <c r="W80" s="131"/>
      <c r="X80" s="131"/>
      <c r="Y80" s="131"/>
    </row>
    <row r="81" spans="1:29" ht="18" customHeight="1" outlineLevel="1">
      <c r="A81" s="136"/>
      <c r="B81" s="542" t="s">
        <v>618</v>
      </c>
      <c r="C81" s="37">
        <f>SUM(C75:C80)</f>
        <v>0</v>
      </c>
      <c r="D81" s="37">
        <f t="shared" ref="D81:K81" si="23">SUM(D75:D80)</f>
        <v>0</v>
      </c>
      <c r="E81" s="37">
        <f t="shared" si="23"/>
        <v>0</v>
      </c>
      <c r="F81" s="37">
        <f t="shared" si="23"/>
        <v>0</v>
      </c>
      <c r="G81" s="37">
        <f t="shared" si="23"/>
        <v>0</v>
      </c>
      <c r="H81" s="37">
        <f t="shared" si="23"/>
        <v>0</v>
      </c>
      <c r="I81" s="37">
        <f t="shared" si="23"/>
        <v>0</v>
      </c>
      <c r="J81" s="37">
        <f t="shared" si="23"/>
        <v>0</v>
      </c>
      <c r="K81" s="37">
        <f t="shared" si="23"/>
        <v>0</v>
      </c>
      <c r="L81" s="219"/>
    </row>
    <row r="82" spans="1:29" s="184" customFormat="1" ht="18" customHeight="1" outlineLevel="1">
      <c r="A82" s="137"/>
      <c r="B82" s="489" t="s">
        <v>635</v>
      </c>
      <c r="C82" s="552"/>
      <c r="D82" s="552"/>
      <c r="E82" s="552"/>
      <c r="F82" s="552"/>
      <c r="G82" s="552"/>
      <c r="H82" s="552"/>
      <c r="I82" s="552"/>
      <c r="J82" s="552"/>
      <c r="K82" s="552"/>
      <c r="N82" s="131"/>
      <c r="O82" s="131"/>
      <c r="P82" s="131"/>
      <c r="Q82" s="131"/>
      <c r="R82" s="131"/>
      <c r="S82" s="131"/>
      <c r="T82" s="131"/>
      <c r="U82" s="131"/>
      <c r="V82" s="131"/>
      <c r="W82" s="131"/>
      <c r="X82" s="131"/>
      <c r="Y82" s="131"/>
    </row>
    <row r="83" spans="1:29" ht="17.25" customHeight="1" outlineLevel="1">
      <c r="A83" s="136"/>
      <c r="B83" s="559" t="s">
        <v>241</v>
      </c>
      <c r="C83" s="65"/>
      <c r="D83" s="65"/>
      <c r="E83" s="65"/>
      <c r="F83" s="532">
        <f>-MIN(F100,0)</f>
        <v>0</v>
      </c>
      <c r="G83" s="532">
        <f t="shared" ref="G83:K83" si="24">-MIN(G100,0)</f>
        <v>0</v>
      </c>
      <c r="H83" s="532">
        <f t="shared" si="24"/>
        <v>0</v>
      </c>
      <c r="I83" s="532">
        <f t="shared" si="24"/>
        <v>0</v>
      </c>
      <c r="J83" s="532">
        <f t="shared" si="24"/>
        <v>0</v>
      </c>
      <c r="K83" s="532">
        <f t="shared" si="24"/>
        <v>0</v>
      </c>
      <c r="L83" s="58"/>
      <c r="T83" s="226"/>
      <c r="U83" s="226"/>
      <c r="V83" s="226"/>
      <c r="W83" s="226"/>
      <c r="X83" s="226"/>
      <c r="Y83" s="226"/>
      <c r="Z83" s="226"/>
      <c r="AA83" s="226"/>
      <c r="AB83" s="226"/>
      <c r="AC83" s="226"/>
    </row>
    <row r="84" spans="1:29" ht="17.25" customHeight="1" outlineLevel="1">
      <c r="A84" s="136"/>
      <c r="B84" s="505" t="s">
        <v>26</v>
      </c>
      <c r="C84" s="38">
        <f>'1报表'!C52</f>
        <v>0</v>
      </c>
      <c r="D84" s="38">
        <f>'1报表'!D52</f>
        <v>0</v>
      </c>
      <c r="E84" s="38">
        <f>'1报表'!E52</f>
        <v>0</v>
      </c>
      <c r="F84" s="38">
        <f>'11财务费用'!F5</f>
        <v>0</v>
      </c>
      <c r="G84" s="38">
        <f>'11财务费用'!G5</f>
        <v>0</v>
      </c>
      <c r="H84" s="38">
        <f>'11财务费用'!H5</f>
        <v>0</v>
      </c>
      <c r="I84" s="38">
        <f>'11财务费用'!I5</f>
        <v>0</v>
      </c>
      <c r="J84" s="38">
        <f>'11财务费用'!J5</f>
        <v>0</v>
      </c>
      <c r="K84" s="38">
        <f>'11财务费用'!K5</f>
        <v>0</v>
      </c>
      <c r="L84" s="58"/>
      <c r="T84" s="128"/>
      <c r="U84" s="128"/>
      <c r="V84" s="128"/>
      <c r="W84" s="128"/>
      <c r="X84" s="128"/>
      <c r="Y84" s="128"/>
      <c r="Z84" s="128"/>
      <c r="AA84" s="128"/>
      <c r="AB84" s="128"/>
      <c r="AC84" s="128"/>
    </row>
    <row r="85" spans="1:29" ht="18" customHeight="1" outlineLevel="1">
      <c r="A85" s="136"/>
      <c r="B85" s="451" t="s">
        <v>115</v>
      </c>
      <c r="C85" s="38">
        <f>'1报表'!C64</f>
        <v>0</v>
      </c>
      <c r="D85" s="38">
        <f>'1报表'!D64</f>
        <v>0</v>
      </c>
      <c r="E85" s="38">
        <f>'1报表'!E64</f>
        <v>0</v>
      </c>
      <c r="F85" s="38">
        <f>'11财务费用'!F6</f>
        <v>0</v>
      </c>
      <c r="G85" s="38">
        <f>'11财务费用'!G6</f>
        <v>0</v>
      </c>
      <c r="H85" s="38">
        <f>'11财务费用'!H6</f>
        <v>0</v>
      </c>
      <c r="I85" s="38">
        <f>'11财务费用'!I6</f>
        <v>0</v>
      </c>
      <c r="J85" s="38">
        <f>'11财务费用'!J6</f>
        <v>0</v>
      </c>
      <c r="K85" s="38">
        <f>'11财务费用'!K6</f>
        <v>0</v>
      </c>
      <c r="L85" s="58"/>
      <c r="T85" s="11"/>
      <c r="U85" s="11"/>
      <c r="V85" s="11"/>
      <c r="W85" s="11"/>
      <c r="X85" s="11"/>
      <c r="Y85" s="11"/>
      <c r="Z85" s="11"/>
      <c r="AA85" s="11"/>
      <c r="AB85" s="11"/>
      <c r="AC85" s="11"/>
    </row>
    <row r="86" spans="1:29" ht="18" customHeight="1" outlineLevel="1">
      <c r="A86" s="136"/>
      <c r="B86" s="505" t="s">
        <v>38</v>
      </c>
      <c r="C86" s="38">
        <f>'1报表'!C68</f>
        <v>0</v>
      </c>
      <c r="D86" s="38">
        <f>'1报表'!D68</f>
        <v>0</v>
      </c>
      <c r="E86" s="38">
        <f>'1报表'!E68</f>
        <v>0</v>
      </c>
      <c r="F86" s="38">
        <f>'11财务费用'!F7</f>
        <v>0</v>
      </c>
      <c r="G86" s="38">
        <f>'11财务费用'!G7</f>
        <v>0</v>
      </c>
      <c r="H86" s="38">
        <f>'11财务费用'!H7</f>
        <v>0</v>
      </c>
      <c r="I86" s="38">
        <f>'11财务费用'!I7</f>
        <v>0</v>
      </c>
      <c r="J86" s="38">
        <f>'11财务费用'!J7</f>
        <v>0</v>
      </c>
      <c r="K86" s="38">
        <f>'11财务费用'!K7</f>
        <v>0</v>
      </c>
      <c r="L86" s="58"/>
      <c r="T86" s="11"/>
      <c r="U86" s="11"/>
      <c r="V86" s="11"/>
      <c r="W86" s="11"/>
      <c r="X86" s="11"/>
      <c r="Y86" s="11"/>
      <c r="Z86" s="11"/>
      <c r="AA86" s="11"/>
      <c r="AB86" s="11"/>
      <c r="AC86" s="11"/>
    </row>
    <row r="87" spans="1:29" ht="18" customHeight="1" outlineLevel="1">
      <c r="A87" s="136"/>
      <c r="B87" s="505" t="s">
        <v>39</v>
      </c>
      <c r="C87" s="38">
        <f>'1报表'!C69</f>
        <v>0</v>
      </c>
      <c r="D87" s="38">
        <f>'1报表'!D69</f>
        <v>0</v>
      </c>
      <c r="E87" s="38">
        <f>'1报表'!E69</f>
        <v>0</v>
      </c>
      <c r="F87" s="38">
        <f>'11财务费用'!F9</f>
        <v>0</v>
      </c>
      <c r="G87" s="38">
        <f>'11财务费用'!G9</f>
        <v>0</v>
      </c>
      <c r="H87" s="38">
        <f>'11财务费用'!H9</f>
        <v>0</v>
      </c>
      <c r="I87" s="38">
        <f>'11财务费用'!I9</f>
        <v>0</v>
      </c>
      <c r="J87" s="38">
        <f>'11财务费用'!J9</f>
        <v>0</v>
      </c>
      <c r="K87" s="38">
        <f>'11财务费用'!K9</f>
        <v>0</v>
      </c>
      <c r="L87" s="58"/>
      <c r="T87" s="11"/>
      <c r="U87" s="11"/>
      <c r="V87" s="11"/>
      <c r="W87" s="11"/>
      <c r="X87" s="11"/>
      <c r="Y87" s="11"/>
      <c r="Z87" s="11"/>
      <c r="AA87" s="11"/>
      <c r="AB87" s="11"/>
      <c r="AC87" s="11"/>
    </row>
    <row r="88" spans="1:29" ht="18" customHeight="1" outlineLevel="1">
      <c r="A88" s="136"/>
      <c r="B88" s="542" t="s">
        <v>93</v>
      </c>
      <c r="C88" s="37">
        <f>SUM(C83:C87)</f>
        <v>0</v>
      </c>
      <c r="D88" s="37">
        <f t="shared" ref="D88:J88" si="25">SUM(D83:D87)</f>
        <v>0</v>
      </c>
      <c r="E88" s="37">
        <f t="shared" si="25"/>
        <v>0</v>
      </c>
      <c r="F88" s="37">
        <f>SUM(F83:F87)</f>
        <v>0</v>
      </c>
      <c r="G88" s="37">
        <f t="shared" si="25"/>
        <v>0</v>
      </c>
      <c r="H88" s="37">
        <f t="shared" si="25"/>
        <v>0</v>
      </c>
      <c r="I88" s="37">
        <f t="shared" si="25"/>
        <v>0</v>
      </c>
      <c r="J88" s="37">
        <f t="shared" si="25"/>
        <v>0</v>
      </c>
      <c r="K88" s="37">
        <f>SUM(K83:K87)</f>
        <v>0</v>
      </c>
      <c r="L88" s="58"/>
      <c r="T88" s="11"/>
      <c r="U88" s="11"/>
      <c r="V88" s="11"/>
      <c r="W88" s="11"/>
      <c r="X88" s="11"/>
      <c r="Y88" s="11"/>
      <c r="Z88" s="11"/>
      <c r="AA88" s="11"/>
      <c r="AB88" s="11"/>
      <c r="AC88" s="11"/>
    </row>
    <row r="89" spans="1:29" ht="18" customHeight="1" outlineLevel="1">
      <c r="A89" s="136"/>
      <c r="B89" s="560" t="s">
        <v>45</v>
      </c>
      <c r="C89" s="37">
        <f t="shared" ref="C89:K89" si="26">C73+C81+C88</f>
        <v>724.29886199999987</v>
      </c>
      <c r="D89" s="37">
        <f t="shared" si="26"/>
        <v>673.46913100000006</v>
      </c>
      <c r="E89" s="37">
        <f t="shared" si="26"/>
        <v>610.00564799999995</v>
      </c>
      <c r="F89" s="37">
        <f t="shared" si="26"/>
        <v>690.81177777777782</v>
      </c>
      <c r="G89" s="37">
        <f t="shared" si="26"/>
        <v>761.11733333333336</v>
      </c>
      <c r="H89" s="37">
        <f t="shared" si="26"/>
        <v>821.48273608888894</v>
      </c>
      <c r="I89" s="37">
        <f t="shared" si="26"/>
        <v>858.55715555555548</v>
      </c>
      <c r="J89" s="37">
        <f t="shared" si="26"/>
        <v>885.67824800000005</v>
      </c>
      <c r="K89" s="37">
        <f t="shared" si="26"/>
        <v>886.79047022222221</v>
      </c>
      <c r="L89" s="58"/>
      <c r="T89" s="11"/>
      <c r="U89" s="11"/>
      <c r="V89" s="11"/>
      <c r="W89" s="11"/>
      <c r="X89" s="11"/>
      <c r="Y89" s="11"/>
      <c r="Z89" s="11"/>
      <c r="AA89" s="11"/>
      <c r="AB89" s="11"/>
      <c r="AC89" s="11"/>
    </row>
    <row r="90" spans="1:29" s="184" customFormat="1" ht="18" customHeight="1" outlineLevel="1">
      <c r="A90" s="136"/>
      <c r="B90" s="489" t="s">
        <v>636</v>
      </c>
      <c r="C90" s="552"/>
      <c r="D90" s="552"/>
      <c r="E90" s="552"/>
      <c r="F90" s="552"/>
      <c r="G90" s="552"/>
      <c r="H90" s="552"/>
      <c r="I90" s="552"/>
      <c r="J90" s="552"/>
      <c r="K90" s="552"/>
      <c r="L90" s="58"/>
      <c r="M90" s="41"/>
      <c r="N90" s="131"/>
      <c r="O90" s="131"/>
      <c r="P90" s="131"/>
      <c r="Q90" s="131"/>
      <c r="R90" s="131"/>
      <c r="S90" s="131"/>
      <c r="T90" s="73"/>
      <c r="U90" s="73"/>
      <c r="V90" s="73"/>
      <c r="W90" s="73"/>
      <c r="X90" s="73"/>
      <c r="Y90" s="73"/>
      <c r="Z90" s="73"/>
      <c r="AA90" s="73"/>
      <c r="AB90" s="73"/>
      <c r="AC90" s="73"/>
    </row>
    <row r="91" spans="1:29" s="3" customFormat="1" ht="18" customHeight="1" outlineLevel="1">
      <c r="A91" s="136"/>
      <c r="B91" s="561" t="s">
        <v>622</v>
      </c>
      <c r="C91" s="38">
        <f>'1报表'!C87-'2报表调整'!K43+'2报表调整'!K70</f>
        <v>1030.890627</v>
      </c>
      <c r="D91" s="38">
        <f>'1报表'!D87-'2报表调整'!L43+'2报表调整'!L70</f>
        <v>812.85133900000005</v>
      </c>
      <c r="E91" s="38">
        <f>'2报表调整'!G80</f>
        <v>286.50367500000004</v>
      </c>
      <c r="F91" s="144">
        <f>D91+F35+F12*F34</f>
        <v>856.10003299999994</v>
      </c>
      <c r="G91" s="144">
        <f>F91+G35+G12*G34</f>
        <v>895.83132025000009</v>
      </c>
      <c r="H91" s="144">
        <f>G91+H35+H12*H34</f>
        <v>937.94327125000018</v>
      </c>
      <c r="I91" s="144">
        <f>H91+I35+I12*I34</f>
        <v>1000.8826712500004</v>
      </c>
      <c r="J91" s="144">
        <f>I91+J35+J12*J34</f>
        <v>1059.8782532500009</v>
      </c>
      <c r="K91" s="144">
        <f>J91+K35+K12*K34</f>
        <v>1113.5113352500016</v>
      </c>
      <c r="L91" s="11"/>
      <c r="M91" s="11"/>
      <c r="N91" s="11"/>
      <c r="O91" s="11"/>
      <c r="P91" s="11"/>
      <c r="Q91" s="11"/>
      <c r="R91" s="11"/>
      <c r="S91" s="11"/>
      <c r="T91" s="11"/>
      <c r="U91" s="11"/>
      <c r="V91" s="11"/>
      <c r="W91" s="11"/>
    </row>
    <row r="92" spans="1:29" ht="18" customHeight="1" outlineLevel="1">
      <c r="A92" s="136"/>
      <c r="B92" s="38" t="s">
        <v>493</v>
      </c>
      <c r="C92" s="38">
        <f>'1报表'!C88</f>
        <v>0</v>
      </c>
      <c r="D92" s="38">
        <f>'1报表'!D88</f>
        <v>0</v>
      </c>
      <c r="E92" s="38">
        <f>'1报表'!E88</f>
        <v>0</v>
      </c>
      <c r="F92" s="144">
        <f>D92+(1-F12)*F34</f>
        <v>0</v>
      </c>
      <c r="G92" s="144">
        <f>F92+(1-G12)*G34</f>
        <v>0</v>
      </c>
      <c r="H92" s="144">
        <f>G92+(1-H12)*H34</f>
        <v>0</v>
      </c>
      <c r="I92" s="144">
        <f>H92+(1-I12)*I34</f>
        <v>0</v>
      </c>
      <c r="J92" s="144">
        <f>I92+(1-J12)*J34</f>
        <v>0</v>
      </c>
      <c r="K92" s="144">
        <f>J92+(1-K12)*K34</f>
        <v>0</v>
      </c>
      <c r="L92" s="11"/>
      <c r="M92" s="11"/>
      <c r="N92" s="212"/>
      <c r="O92" s="212"/>
      <c r="P92" s="212"/>
      <c r="Q92" s="212"/>
      <c r="R92" s="212"/>
      <c r="S92" s="212"/>
      <c r="T92" s="212"/>
      <c r="U92" s="212"/>
      <c r="V92" s="212"/>
      <c r="W92" s="212"/>
      <c r="X92" s="212"/>
      <c r="Y92" s="212"/>
    </row>
    <row r="93" spans="1:29" ht="18" customHeight="1" outlineLevel="1">
      <c r="A93" s="136"/>
      <c r="B93" s="542" t="s">
        <v>623</v>
      </c>
      <c r="C93" s="37">
        <f t="shared" ref="C93:K93" si="27">C91+C92</f>
        <v>1030.890627</v>
      </c>
      <c r="D93" s="37">
        <f t="shared" si="27"/>
        <v>812.85133900000005</v>
      </c>
      <c r="E93" s="37">
        <f t="shared" si="27"/>
        <v>286.50367500000004</v>
      </c>
      <c r="F93" s="37">
        <f t="shared" si="27"/>
        <v>856.10003299999994</v>
      </c>
      <c r="G93" s="37">
        <f t="shared" si="27"/>
        <v>895.83132025000009</v>
      </c>
      <c r="H93" s="37">
        <f t="shared" si="27"/>
        <v>937.94327125000018</v>
      </c>
      <c r="I93" s="37">
        <f t="shared" si="27"/>
        <v>1000.8826712500004</v>
      </c>
      <c r="J93" s="37">
        <f t="shared" si="27"/>
        <v>1059.8782532500009</v>
      </c>
      <c r="K93" s="37">
        <f t="shared" si="27"/>
        <v>1113.5113352500016</v>
      </c>
      <c r="L93" s="219"/>
      <c r="M93" s="212"/>
      <c r="N93" s="212"/>
      <c r="O93" s="212"/>
      <c r="P93" s="212"/>
      <c r="Q93" s="212"/>
      <c r="R93" s="212"/>
      <c r="S93" s="212"/>
      <c r="T93" s="212"/>
      <c r="U93" s="212"/>
      <c r="V93" s="212"/>
      <c r="W93" s="212"/>
      <c r="X93" s="212"/>
      <c r="Y93" s="212"/>
    </row>
    <row r="94" spans="1:29" ht="18" customHeight="1" outlineLevel="1">
      <c r="A94" s="136"/>
      <c r="B94" s="542" t="s">
        <v>624</v>
      </c>
      <c r="C94" s="37">
        <f t="shared" ref="C94:K94" si="28">C89+C93</f>
        <v>1755.1894889999999</v>
      </c>
      <c r="D94" s="37">
        <f t="shared" si="28"/>
        <v>1486.3204700000001</v>
      </c>
      <c r="E94" s="37">
        <f t="shared" si="28"/>
        <v>896.50932299999999</v>
      </c>
      <c r="F94" s="37">
        <f t="shared" si="28"/>
        <v>1546.9118107777776</v>
      </c>
      <c r="G94" s="37">
        <f t="shared" si="28"/>
        <v>1656.9486535833335</v>
      </c>
      <c r="H94" s="37">
        <f t="shared" si="28"/>
        <v>1759.4260073388891</v>
      </c>
      <c r="I94" s="37">
        <f t="shared" si="28"/>
        <v>1859.4398268055559</v>
      </c>
      <c r="J94" s="37">
        <f t="shared" si="28"/>
        <v>1945.556501250001</v>
      </c>
      <c r="K94" s="37">
        <f t="shared" si="28"/>
        <v>2000.3018054722238</v>
      </c>
      <c r="L94" s="219"/>
      <c r="M94" s="212"/>
      <c r="N94" s="212"/>
      <c r="O94" s="212"/>
      <c r="P94" s="212"/>
      <c r="Q94" s="212"/>
      <c r="R94" s="212"/>
      <c r="S94" s="212"/>
      <c r="T94" s="212"/>
      <c r="U94" s="212"/>
      <c r="V94" s="212"/>
      <c r="W94" s="212"/>
      <c r="X94" s="212"/>
      <c r="Y94" s="212"/>
    </row>
    <row r="95" spans="1:29" s="3" customFormat="1" ht="18" customHeight="1" outlineLevel="1">
      <c r="B95" s="1" t="s">
        <v>837</v>
      </c>
      <c r="C95" s="714">
        <f>C64-C94</f>
        <v>0</v>
      </c>
      <c r="D95" s="714">
        <f t="shared" ref="D95:K95" si="29">D64-D94</f>
        <v>0</v>
      </c>
      <c r="E95" s="714">
        <f t="shared" si="29"/>
        <v>0</v>
      </c>
      <c r="F95" s="714">
        <f t="shared" si="29"/>
        <v>0</v>
      </c>
      <c r="G95" s="714">
        <f t="shared" si="29"/>
        <v>0</v>
      </c>
      <c r="H95" s="714">
        <f t="shared" si="29"/>
        <v>0</v>
      </c>
      <c r="I95" s="714">
        <f t="shared" si="29"/>
        <v>0</v>
      </c>
      <c r="J95" s="714">
        <f t="shared" si="29"/>
        <v>0</v>
      </c>
      <c r="K95" s="714">
        <f t="shared" si="29"/>
        <v>0</v>
      </c>
      <c r="L95" s="11"/>
      <c r="M95" s="11"/>
      <c r="N95" s="11"/>
      <c r="O95" s="11"/>
      <c r="P95" s="11"/>
      <c r="Q95" s="11"/>
      <c r="R95" s="11"/>
      <c r="S95" s="11"/>
      <c r="T95" s="11"/>
      <c r="U95" s="11"/>
      <c r="V95" s="11"/>
    </row>
    <row r="96" spans="1:29" s="3" customFormat="1" ht="18" customHeight="1" outlineLevel="1">
      <c r="B96" s="1" t="s">
        <v>838</v>
      </c>
      <c r="C96" s="44" t="str">
        <f>IF(ROUND(C95,0),"需要检查","OK")</f>
        <v>OK</v>
      </c>
      <c r="D96" s="44" t="str">
        <f t="shared" ref="D96:K96" si="30">IF(ROUND(D95,0),"需要检查","OK")</f>
        <v>OK</v>
      </c>
      <c r="E96" s="44" t="str">
        <f t="shared" si="30"/>
        <v>OK</v>
      </c>
      <c r="F96" s="44" t="str">
        <f t="shared" si="30"/>
        <v>OK</v>
      </c>
      <c r="G96" s="44" t="str">
        <f t="shared" si="30"/>
        <v>OK</v>
      </c>
      <c r="H96" s="44" t="str">
        <f t="shared" si="30"/>
        <v>OK</v>
      </c>
      <c r="I96" s="44" t="str">
        <f t="shared" si="30"/>
        <v>OK</v>
      </c>
      <c r="J96" s="44" t="str">
        <f t="shared" si="30"/>
        <v>OK</v>
      </c>
      <c r="K96" s="44" t="str">
        <f t="shared" si="30"/>
        <v>OK</v>
      </c>
      <c r="L96" s="11"/>
      <c r="M96" s="11"/>
      <c r="N96" s="11"/>
      <c r="O96" s="11"/>
      <c r="P96" s="11"/>
      <c r="Q96" s="11"/>
      <c r="R96" s="11"/>
      <c r="S96" s="11"/>
      <c r="T96" s="11"/>
      <c r="U96" s="11"/>
      <c r="V96" s="11"/>
      <c r="W96" s="11"/>
    </row>
    <row r="97" spans="1:25" ht="18" customHeight="1" outlineLevel="1">
      <c r="A97" s="227"/>
      <c r="B97" s="543" t="s">
        <v>757</v>
      </c>
      <c r="C97" s="41"/>
      <c r="D97" s="41"/>
      <c r="E97" s="41"/>
      <c r="F97" s="41"/>
      <c r="G97" s="41"/>
      <c r="H97" s="41"/>
      <c r="I97" s="41"/>
      <c r="J97" s="41"/>
      <c r="K97" s="41"/>
      <c r="T97" s="212"/>
      <c r="U97" s="212"/>
      <c r="V97" s="212"/>
      <c r="W97" s="212"/>
      <c r="X97" s="212"/>
      <c r="Y97" s="212"/>
    </row>
    <row r="98" spans="1:25" s="41" customFormat="1" ht="18" customHeight="1" outlineLevel="1">
      <c r="A98" s="227"/>
      <c r="B98" s="451" t="s">
        <v>99</v>
      </c>
      <c r="C98" s="65"/>
      <c r="D98" s="65"/>
      <c r="E98" s="65"/>
      <c r="F98" s="38">
        <f t="shared" ref="F98:K98" si="31">SUM(F42:F49)+F63</f>
        <v>1096.3596403333333</v>
      </c>
      <c r="G98" s="38">
        <f t="shared" si="31"/>
        <v>1185.5446403333333</v>
      </c>
      <c r="H98" s="38">
        <f t="shared" si="31"/>
        <v>1260.4279083333333</v>
      </c>
      <c r="I98" s="38">
        <f t="shared" si="31"/>
        <v>1330.0035583333333</v>
      </c>
      <c r="J98" s="38">
        <f t="shared" si="31"/>
        <v>1369.7902178333336</v>
      </c>
      <c r="K98" s="38">
        <f t="shared" si="31"/>
        <v>1365.5402178333336</v>
      </c>
    </row>
    <row r="99" spans="1:25" s="41" customFormat="1" ht="18" customHeight="1" outlineLevel="1">
      <c r="A99" s="227"/>
      <c r="B99" s="451" t="s">
        <v>412</v>
      </c>
      <c r="C99" s="65"/>
      <c r="D99" s="65"/>
      <c r="E99" s="65"/>
      <c r="F99" s="38">
        <f t="shared" ref="F99:K99" si="32">F73+F81+SUM(F84:F87)+F93</f>
        <v>1546.9118107777776</v>
      </c>
      <c r="G99" s="38">
        <f t="shared" si="32"/>
        <v>1656.9486535833335</v>
      </c>
      <c r="H99" s="38">
        <f t="shared" si="32"/>
        <v>1759.4260073388891</v>
      </c>
      <c r="I99" s="38">
        <f t="shared" si="32"/>
        <v>1859.4398268055559</v>
      </c>
      <c r="J99" s="38">
        <f t="shared" si="32"/>
        <v>1945.556501250001</v>
      </c>
      <c r="K99" s="38">
        <f t="shared" si="32"/>
        <v>2000.3018054722238</v>
      </c>
    </row>
    <row r="100" spans="1:25" s="41" customFormat="1" ht="18" customHeight="1" outlineLevel="1">
      <c r="A100" s="227"/>
      <c r="B100" s="451" t="s">
        <v>242</v>
      </c>
      <c r="C100" s="65"/>
      <c r="D100" s="65"/>
      <c r="E100" s="65"/>
      <c r="F100" s="38">
        <f t="shared" ref="F100:K100" si="33">IF(ISERROR(F99-F98),0,F99-F98)</f>
        <v>450.5521704444443</v>
      </c>
      <c r="G100" s="38">
        <f t="shared" si="33"/>
        <v>471.40401325000016</v>
      </c>
      <c r="H100" s="38">
        <f t="shared" si="33"/>
        <v>498.99809900555579</v>
      </c>
      <c r="I100" s="38">
        <f t="shared" si="33"/>
        <v>529.43626847222254</v>
      </c>
      <c r="J100" s="38">
        <f t="shared" si="33"/>
        <v>575.76628341666742</v>
      </c>
      <c r="K100" s="38">
        <f t="shared" si="33"/>
        <v>634.76158763889021</v>
      </c>
    </row>
    <row r="101" spans="1:25" ht="18" customHeight="1" outlineLevel="1">
      <c r="A101" s="227"/>
      <c r="B101" s="370"/>
      <c r="C101" s="41"/>
      <c r="D101" s="41"/>
      <c r="E101" s="214"/>
      <c r="F101" s="216"/>
      <c r="G101" s="41"/>
      <c r="H101" s="41"/>
      <c r="I101" s="41"/>
      <c r="J101" s="41"/>
      <c r="K101" s="41"/>
      <c r="T101" s="212"/>
      <c r="U101" s="212"/>
      <c r="V101" s="212"/>
      <c r="W101" s="212"/>
      <c r="X101" s="212"/>
      <c r="Y101" s="212"/>
    </row>
    <row r="102" spans="1:25" s="41" customFormat="1" ht="18" customHeight="1" outlineLevel="1">
      <c r="A102" s="483"/>
      <c r="B102" s="543" t="s">
        <v>758</v>
      </c>
      <c r="K102" s="15" t="s">
        <v>472</v>
      </c>
    </row>
    <row r="103" spans="1:25" s="41" customFormat="1" ht="18" customHeight="1" outlineLevel="1">
      <c r="A103" s="483"/>
      <c r="B103" s="486" t="s">
        <v>473</v>
      </c>
      <c r="C103" s="487" t="str">
        <f t="shared" ref="C103:K103" si="34">C19</f>
        <v>2016年</v>
      </c>
      <c r="D103" s="487" t="str">
        <f t="shared" si="34"/>
        <v>2017年</v>
      </c>
      <c r="E103" s="487" t="str">
        <f t="shared" si="34"/>
        <v>2018年1-6</v>
      </c>
      <c r="F103" s="488" t="str">
        <f t="shared" si="34"/>
        <v>2018年</v>
      </c>
      <c r="G103" s="488" t="str">
        <f t="shared" si="34"/>
        <v>2019年</v>
      </c>
      <c r="H103" s="488" t="str">
        <f t="shared" si="34"/>
        <v>2020年</v>
      </c>
      <c r="I103" s="488" t="str">
        <f t="shared" si="34"/>
        <v>2021年</v>
      </c>
      <c r="J103" s="488" t="str">
        <f t="shared" si="34"/>
        <v>2022年</v>
      </c>
      <c r="K103" s="488" t="str">
        <f t="shared" si="34"/>
        <v>2023年</v>
      </c>
    </row>
    <row r="104" spans="1:25" s="41" customFormat="1" ht="18" customHeight="1" outlineLevel="1">
      <c r="A104" s="483"/>
      <c r="B104" s="489" t="s">
        <v>474</v>
      </c>
      <c r="C104" s="490"/>
      <c r="D104" s="490"/>
      <c r="E104" s="491"/>
      <c r="F104" s="491"/>
      <c r="G104" s="491"/>
      <c r="H104" s="491"/>
      <c r="I104" s="491"/>
      <c r="J104" s="491"/>
      <c r="K104" s="492"/>
    </row>
    <row r="105" spans="1:25" s="41" customFormat="1" ht="18" customHeight="1" outlineLevel="1">
      <c r="A105" s="483"/>
      <c r="B105" s="493" t="s">
        <v>625</v>
      </c>
      <c r="C105" s="38">
        <f t="shared" ref="C105:K105" si="35">C50</f>
        <v>1646.1738229999999</v>
      </c>
      <c r="D105" s="38">
        <f t="shared" si="35"/>
        <v>1365.2196730000001</v>
      </c>
      <c r="E105" s="38">
        <f t="shared" si="35"/>
        <v>795.93196899999998</v>
      </c>
      <c r="F105" s="38">
        <f t="shared" si="35"/>
        <v>1414.9510597777776</v>
      </c>
      <c r="G105" s="38">
        <f t="shared" si="35"/>
        <v>1529.0279025833333</v>
      </c>
      <c r="H105" s="38">
        <f t="shared" si="35"/>
        <v>1638.6599883388892</v>
      </c>
      <c r="I105" s="38">
        <f t="shared" si="35"/>
        <v>1724.4738078055559</v>
      </c>
      <c r="J105" s="38">
        <f t="shared" si="35"/>
        <v>1805.690482250001</v>
      </c>
      <c r="K105" s="38">
        <f t="shared" si="35"/>
        <v>1864.6857864722238</v>
      </c>
      <c r="L105" s="131"/>
    </row>
    <row r="106" spans="1:25" s="41" customFormat="1" ht="18" customHeight="1" outlineLevel="1">
      <c r="A106" s="483"/>
      <c r="B106" s="493" t="s">
        <v>626</v>
      </c>
      <c r="C106" s="38">
        <f t="shared" ref="C106:K106" si="36">C73</f>
        <v>724.29886199999987</v>
      </c>
      <c r="D106" s="38">
        <f t="shared" si="36"/>
        <v>673.46913100000006</v>
      </c>
      <c r="E106" s="38">
        <f t="shared" si="36"/>
        <v>610.00564799999995</v>
      </c>
      <c r="F106" s="38">
        <f t="shared" si="36"/>
        <v>690.81177777777782</v>
      </c>
      <c r="G106" s="38">
        <f t="shared" si="36"/>
        <v>761.11733333333336</v>
      </c>
      <c r="H106" s="38">
        <f t="shared" si="36"/>
        <v>821.48273608888894</v>
      </c>
      <c r="I106" s="38">
        <f t="shared" si="36"/>
        <v>858.55715555555548</v>
      </c>
      <c r="J106" s="38">
        <f t="shared" si="36"/>
        <v>885.67824800000005</v>
      </c>
      <c r="K106" s="38">
        <f t="shared" si="36"/>
        <v>886.79047022222221</v>
      </c>
      <c r="L106" s="131"/>
    </row>
    <row r="107" spans="1:25" s="41" customFormat="1" ht="18" customHeight="1" outlineLevel="1">
      <c r="A107" s="483"/>
      <c r="B107" s="713" t="s">
        <v>834</v>
      </c>
      <c r="C107" s="38">
        <f t="shared" ref="C107:K107" si="37">C63-C61</f>
        <v>109.015666</v>
      </c>
      <c r="D107" s="38">
        <f t="shared" si="37"/>
        <v>121.100797</v>
      </c>
      <c r="E107" s="38">
        <f t="shared" si="37"/>
        <v>100.577354</v>
      </c>
      <c r="F107" s="38">
        <f t="shared" si="37"/>
        <v>131.96075099999999</v>
      </c>
      <c r="G107" s="38">
        <f t="shared" si="37"/>
        <v>127.92075099999998</v>
      </c>
      <c r="H107" s="38">
        <f t="shared" si="37"/>
        <v>120.76601900000001</v>
      </c>
      <c r="I107" s="38">
        <f t="shared" si="37"/>
        <v>134.96601900000002</v>
      </c>
      <c r="J107" s="38">
        <f t="shared" si="37"/>
        <v>139.86601900000002</v>
      </c>
      <c r="K107" s="38">
        <f t="shared" si="37"/>
        <v>135.61601900000002</v>
      </c>
      <c r="L107" s="131"/>
    </row>
    <row r="108" spans="1:25" s="41" customFormat="1" ht="18" customHeight="1" outlineLevel="1">
      <c r="A108" s="483"/>
      <c r="B108" s="244" t="s">
        <v>835</v>
      </c>
      <c r="C108" s="38">
        <f>C14</f>
        <v>0</v>
      </c>
      <c r="D108" s="38">
        <f>D14</f>
        <v>0</v>
      </c>
      <c r="E108" s="38">
        <f>E14</f>
        <v>0</v>
      </c>
      <c r="F108" s="38">
        <f>E108</f>
        <v>0</v>
      </c>
      <c r="G108" s="38">
        <f t="shared" ref="G108:K108" si="38">F108</f>
        <v>0</v>
      </c>
      <c r="H108" s="38">
        <f t="shared" si="38"/>
        <v>0</v>
      </c>
      <c r="I108" s="38">
        <f t="shared" si="38"/>
        <v>0</v>
      </c>
      <c r="J108" s="38">
        <f t="shared" si="38"/>
        <v>0</v>
      </c>
      <c r="K108" s="38">
        <f t="shared" si="38"/>
        <v>0</v>
      </c>
      <c r="L108" s="131"/>
    </row>
    <row r="109" spans="1:25" s="41" customFormat="1" ht="18" customHeight="1" outlineLevel="1">
      <c r="A109" s="483"/>
      <c r="B109" s="244" t="s">
        <v>476</v>
      </c>
      <c r="C109" s="38">
        <f t="shared" ref="C109:K109" si="39">C59</f>
        <v>0</v>
      </c>
      <c r="D109" s="38">
        <f t="shared" si="39"/>
        <v>0</v>
      </c>
      <c r="E109" s="38">
        <f t="shared" si="39"/>
        <v>0</v>
      </c>
      <c r="F109" s="38">
        <f t="shared" si="39"/>
        <v>0</v>
      </c>
      <c r="G109" s="38">
        <f t="shared" si="39"/>
        <v>0</v>
      </c>
      <c r="H109" s="38">
        <f t="shared" si="39"/>
        <v>0</v>
      </c>
      <c r="I109" s="38">
        <f t="shared" si="39"/>
        <v>0</v>
      </c>
      <c r="J109" s="38">
        <f t="shared" si="39"/>
        <v>0</v>
      </c>
      <c r="K109" s="38">
        <f t="shared" si="39"/>
        <v>0</v>
      </c>
      <c r="L109" s="131"/>
    </row>
    <row r="110" spans="1:25" s="41" customFormat="1" ht="18" customHeight="1" outlineLevel="1">
      <c r="A110" s="483"/>
      <c r="B110" s="477" t="s">
        <v>627</v>
      </c>
      <c r="C110" s="37">
        <f>C105-C106+C107+C108-C109</f>
        <v>1030.890627</v>
      </c>
      <c r="D110" s="37">
        <f t="shared" ref="D110:J110" si="40">D105-D106+D107+D108-D109</f>
        <v>812.85133900000005</v>
      </c>
      <c r="E110" s="37">
        <f t="shared" si="40"/>
        <v>286.50367500000004</v>
      </c>
      <c r="F110" s="37">
        <f t="shared" si="40"/>
        <v>856.10003299999971</v>
      </c>
      <c r="G110" s="37">
        <f t="shared" si="40"/>
        <v>895.83132024999998</v>
      </c>
      <c r="H110" s="37">
        <f t="shared" si="40"/>
        <v>937.94327125000029</v>
      </c>
      <c r="I110" s="37">
        <f t="shared" si="40"/>
        <v>1000.8826712500004</v>
      </c>
      <c r="J110" s="37">
        <f t="shared" si="40"/>
        <v>1059.8782532500009</v>
      </c>
      <c r="K110" s="37">
        <f>K105-K106+K107+K108-K109</f>
        <v>1113.5113352500016</v>
      </c>
      <c r="L110" s="131"/>
    </row>
    <row r="111" spans="1:25" s="41" customFormat="1" ht="18" customHeight="1" outlineLevel="1">
      <c r="A111" s="483"/>
      <c r="B111" s="244" t="s">
        <v>477</v>
      </c>
      <c r="C111" s="38">
        <f t="shared" ref="C111:K111" si="41">C109</f>
        <v>0</v>
      </c>
      <c r="D111" s="38">
        <f t="shared" si="41"/>
        <v>0</v>
      </c>
      <c r="E111" s="38">
        <f t="shared" si="41"/>
        <v>0</v>
      </c>
      <c r="F111" s="38">
        <f t="shared" si="41"/>
        <v>0</v>
      </c>
      <c r="G111" s="38">
        <f t="shared" si="41"/>
        <v>0</v>
      </c>
      <c r="H111" s="38">
        <f t="shared" si="41"/>
        <v>0</v>
      </c>
      <c r="I111" s="38">
        <f t="shared" si="41"/>
        <v>0</v>
      </c>
      <c r="J111" s="38">
        <f t="shared" si="41"/>
        <v>0</v>
      </c>
      <c r="K111" s="38">
        <f t="shared" si="41"/>
        <v>0</v>
      </c>
      <c r="L111" s="131"/>
    </row>
    <row r="112" spans="1:25" s="41" customFormat="1" ht="18" customHeight="1" outlineLevel="1">
      <c r="A112" s="483"/>
      <c r="B112" s="715" t="s">
        <v>644</v>
      </c>
      <c r="C112" s="569">
        <f>C15</f>
        <v>0</v>
      </c>
      <c r="D112" s="569">
        <f>D15</f>
        <v>0</v>
      </c>
      <c r="E112" s="569">
        <f>E15</f>
        <v>0</v>
      </c>
      <c r="F112" s="569">
        <f>E112</f>
        <v>0</v>
      </c>
      <c r="G112" s="569">
        <f>F112</f>
        <v>0</v>
      </c>
      <c r="H112" s="569">
        <f t="shared" ref="H112:I112" si="42">G112</f>
        <v>0</v>
      </c>
      <c r="I112" s="569">
        <f t="shared" si="42"/>
        <v>0</v>
      </c>
      <c r="J112" s="569">
        <f>I112</f>
        <v>0</v>
      </c>
      <c r="K112" s="569">
        <f>J112</f>
        <v>0</v>
      </c>
      <c r="L112" s="131"/>
    </row>
    <row r="113" spans="1:12" s="41" customFormat="1" ht="18" customHeight="1" outlineLevel="1">
      <c r="A113" s="483"/>
      <c r="B113" s="477" t="s">
        <v>628</v>
      </c>
      <c r="C113" s="37">
        <f t="shared" ref="C113:K113" si="43">SUM(C110:C112)</f>
        <v>1030.890627</v>
      </c>
      <c r="D113" s="37">
        <f t="shared" si="43"/>
        <v>812.85133900000005</v>
      </c>
      <c r="E113" s="37">
        <f t="shared" si="43"/>
        <v>286.50367500000004</v>
      </c>
      <c r="F113" s="37">
        <f t="shared" si="43"/>
        <v>856.10003299999971</v>
      </c>
      <c r="G113" s="37">
        <f t="shared" si="43"/>
        <v>895.83132024999998</v>
      </c>
      <c r="H113" s="37">
        <f t="shared" si="43"/>
        <v>937.94327125000029</v>
      </c>
      <c r="I113" s="37">
        <f t="shared" si="43"/>
        <v>1000.8826712500004</v>
      </c>
      <c r="J113" s="37">
        <f t="shared" si="43"/>
        <v>1059.8782532500009</v>
      </c>
      <c r="K113" s="37">
        <f t="shared" si="43"/>
        <v>1113.5113352500016</v>
      </c>
      <c r="L113" s="131"/>
    </row>
    <row r="114" spans="1:12" s="41" customFormat="1" ht="18" customHeight="1" outlineLevel="1">
      <c r="A114" s="483"/>
      <c r="B114" s="495" t="s">
        <v>479</v>
      </c>
      <c r="C114" s="716" t="s">
        <v>839</v>
      </c>
      <c r="D114" s="38"/>
      <c r="E114" s="38"/>
      <c r="F114" s="38"/>
      <c r="G114" s="38"/>
      <c r="H114" s="38"/>
      <c r="I114" s="38"/>
      <c r="J114" s="38"/>
      <c r="K114" s="570"/>
      <c r="L114" s="131"/>
    </row>
    <row r="115" spans="1:12" s="41" customFormat="1" ht="18" customHeight="1" outlineLevel="1">
      <c r="A115" s="483"/>
      <c r="B115" s="717" t="s">
        <v>840</v>
      </c>
      <c r="C115" s="38">
        <f>C81-C79</f>
        <v>0</v>
      </c>
      <c r="D115" s="38">
        <f t="shared" ref="D115:K115" si="44">D81-D79</f>
        <v>0</v>
      </c>
      <c r="E115" s="38">
        <f t="shared" si="44"/>
        <v>0</v>
      </c>
      <c r="F115" s="38">
        <f t="shared" si="44"/>
        <v>0</v>
      </c>
      <c r="G115" s="38">
        <f t="shared" si="44"/>
        <v>0</v>
      </c>
      <c r="H115" s="38">
        <f t="shared" si="44"/>
        <v>0</v>
      </c>
      <c r="I115" s="38">
        <f t="shared" si="44"/>
        <v>0</v>
      </c>
      <c r="J115" s="38">
        <f t="shared" si="44"/>
        <v>0</v>
      </c>
      <c r="K115" s="38">
        <f t="shared" si="44"/>
        <v>0</v>
      </c>
      <c r="L115" s="131"/>
    </row>
    <row r="116" spans="1:12" s="41" customFormat="1" ht="18" customHeight="1" outlineLevel="1">
      <c r="A116" s="483"/>
      <c r="B116" s="244" t="s">
        <v>480</v>
      </c>
      <c r="C116" s="38">
        <f t="shared" ref="C116:K116" si="45">C88</f>
        <v>0</v>
      </c>
      <c r="D116" s="38">
        <f t="shared" si="45"/>
        <v>0</v>
      </c>
      <c r="E116" s="38">
        <f t="shared" si="45"/>
        <v>0</v>
      </c>
      <c r="F116" s="38">
        <f t="shared" si="45"/>
        <v>0</v>
      </c>
      <c r="G116" s="38">
        <f t="shared" si="45"/>
        <v>0</v>
      </c>
      <c r="H116" s="38">
        <f t="shared" si="45"/>
        <v>0</v>
      </c>
      <c r="I116" s="38">
        <f t="shared" si="45"/>
        <v>0</v>
      </c>
      <c r="J116" s="38">
        <f t="shared" si="45"/>
        <v>0</v>
      </c>
      <c r="K116" s="38">
        <f t="shared" si="45"/>
        <v>0</v>
      </c>
      <c r="L116" s="131"/>
    </row>
    <row r="117" spans="1:12" s="41" customFormat="1" ht="18" customHeight="1" outlineLevel="1">
      <c r="A117" s="483"/>
      <c r="B117" s="200" t="s">
        <v>45</v>
      </c>
      <c r="C117" s="38">
        <f>C115+C116</f>
        <v>0</v>
      </c>
      <c r="D117" s="38">
        <f t="shared" ref="D117:K117" si="46">D115+D116</f>
        <v>0</v>
      </c>
      <c r="E117" s="38">
        <f t="shared" si="46"/>
        <v>0</v>
      </c>
      <c r="F117" s="38">
        <f t="shared" si="46"/>
        <v>0</v>
      </c>
      <c r="G117" s="38">
        <f t="shared" si="46"/>
        <v>0</v>
      </c>
      <c r="H117" s="38">
        <f t="shared" si="46"/>
        <v>0</v>
      </c>
      <c r="I117" s="38">
        <f t="shared" si="46"/>
        <v>0</v>
      </c>
      <c r="J117" s="38">
        <f t="shared" si="46"/>
        <v>0</v>
      </c>
      <c r="K117" s="38">
        <f t="shared" si="46"/>
        <v>0</v>
      </c>
      <c r="L117" s="131"/>
    </row>
    <row r="118" spans="1:12" s="41" customFormat="1" ht="18" customHeight="1" outlineLevel="1">
      <c r="A118" s="483"/>
      <c r="B118" s="495" t="s">
        <v>481</v>
      </c>
      <c r="C118" s="38"/>
      <c r="D118" s="38"/>
      <c r="E118" s="38"/>
      <c r="F118" s="38"/>
      <c r="G118" s="38"/>
      <c r="H118" s="38"/>
      <c r="I118" s="38"/>
      <c r="J118" s="38"/>
      <c r="K118" s="571"/>
      <c r="L118" s="131"/>
    </row>
    <row r="119" spans="1:12" s="41" customFormat="1" ht="18" customHeight="1" outlineLevel="1">
      <c r="A119" s="483"/>
      <c r="B119" s="244" t="s">
        <v>841</v>
      </c>
      <c r="C119" s="38">
        <f>C79</f>
        <v>0</v>
      </c>
      <c r="D119" s="38">
        <f t="shared" ref="D119:K119" si="47">D79</f>
        <v>0</v>
      </c>
      <c r="E119" s="38">
        <f t="shared" si="47"/>
        <v>0</v>
      </c>
      <c r="F119" s="38">
        <f t="shared" si="47"/>
        <v>0</v>
      </c>
      <c r="G119" s="38">
        <f t="shared" si="47"/>
        <v>0</v>
      </c>
      <c r="H119" s="38">
        <f t="shared" si="47"/>
        <v>0</v>
      </c>
      <c r="I119" s="38">
        <f t="shared" si="47"/>
        <v>0</v>
      </c>
      <c r="J119" s="38">
        <f t="shared" si="47"/>
        <v>0</v>
      </c>
      <c r="K119" s="38">
        <f t="shared" si="47"/>
        <v>0</v>
      </c>
      <c r="L119" s="131"/>
    </row>
    <row r="120" spans="1:12" s="131" customFormat="1" ht="18" customHeight="1" outlineLevel="1">
      <c r="A120" s="718"/>
      <c r="B120" s="463" t="s">
        <v>475</v>
      </c>
      <c r="C120" s="144">
        <f>C61</f>
        <v>0</v>
      </c>
      <c r="D120" s="144">
        <f t="shared" ref="D120:K120" si="48">D61</f>
        <v>0</v>
      </c>
      <c r="E120" s="144">
        <f t="shared" si="48"/>
        <v>0</v>
      </c>
      <c r="F120" s="144">
        <f t="shared" si="48"/>
        <v>0</v>
      </c>
      <c r="G120" s="144">
        <f t="shared" si="48"/>
        <v>0</v>
      </c>
      <c r="H120" s="144">
        <f t="shared" si="48"/>
        <v>0</v>
      </c>
      <c r="I120" s="144">
        <f t="shared" si="48"/>
        <v>0</v>
      </c>
      <c r="J120" s="144">
        <f t="shared" si="48"/>
        <v>0</v>
      </c>
      <c r="K120" s="144">
        <f t="shared" si="48"/>
        <v>0</v>
      </c>
    </row>
    <row r="121" spans="1:12" s="41" customFormat="1" ht="18" customHeight="1" outlineLevel="1">
      <c r="A121" s="483"/>
      <c r="B121" s="244" t="s">
        <v>836</v>
      </c>
      <c r="C121" s="38">
        <f>C108</f>
        <v>0</v>
      </c>
      <c r="D121" s="38">
        <f t="shared" ref="D121:K121" si="49">D108</f>
        <v>0</v>
      </c>
      <c r="E121" s="38">
        <f t="shared" si="49"/>
        <v>0</v>
      </c>
      <c r="F121" s="38">
        <f t="shared" si="49"/>
        <v>0</v>
      </c>
      <c r="G121" s="38">
        <f t="shared" si="49"/>
        <v>0</v>
      </c>
      <c r="H121" s="38">
        <f t="shared" si="49"/>
        <v>0</v>
      </c>
      <c r="I121" s="38">
        <f t="shared" si="49"/>
        <v>0</v>
      </c>
      <c r="J121" s="38">
        <f t="shared" si="49"/>
        <v>0</v>
      </c>
      <c r="K121" s="38">
        <f t="shared" si="49"/>
        <v>0</v>
      </c>
      <c r="L121" s="131"/>
    </row>
    <row r="122" spans="1:12" s="41" customFormat="1" ht="18" customHeight="1" outlineLevel="1">
      <c r="A122" s="483"/>
      <c r="B122" s="244" t="s">
        <v>478</v>
      </c>
      <c r="C122" s="38">
        <f>C112</f>
        <v>0</v>
      </c>
      <c r="D122" s="38">
        <f t="shared" ref="D122:K122" si="50">D112</f>
        <v>0</v>
      </c>
      <c r="E122" s="38">
        <f t="shared" si="50"/>
        <v>0</v>
      </c>
      <c r="F122" s="38">
        <f t="shared" si="50"/>
        <v>0</v>
      </c>
      <c r="G122" s="38">
        <f t="shared" si="50"/>
        <v>0</v>
      </c>
      <c r="H122" s="38">
        <f t="shared" si="50"/>
        <v>0</v>
      </c>
      <c r="I122" s="38">
        <f t="shared" si="50"/>
        <v>0</v>
      </c>
      <c r="J122" s="38">
        <f t="shared" si="50"/>
        <v>0</v>
      </c>
      <c r="K122" s="38">
        <f t="shared" si="50"/>
        <v>0</v>
      </c>
      <c r="L122" s="131"/>
    </row>
    <row r="123" spans="1:12" s="41" customFormat="1" ht="18" customHeight="1" outlineLevel="1">
      <c r="A123" s="483"/>
      <c r="B123" s="477" t="s">
        <v>482</v>
      </c>
      <c r="C123" s="37">
        <f>C119-C120+C121+C122</f>
        <v>0</v>
      </c>
      <c r="D123" s="37">
        <f t="shared" ref="D123:K123" si="51">D119-D120+D121+D122</f>
        <v>0</v>
      </c>
      <c r="E123" s="37">
        <f t="shared" si="51"/>
        <v>0</v>
      </c>
      <c r="F123" s="37">
        <f t="shared" si="51"/>
        <v>0</v>
      </c>
      <c r="G123" s="37">
        <f t="shared" si="51"/>
        <v>0</v>
      </c>
      <c r="H123" s="37">
        <f t="shared" si="51"/>
        <v>0</v>
      </c>
      <c r="I123" s="37">
        <f t="shared" si="51"/>
        <v>0</v>
      </c>
      <c r="J123" s="37">
        <f t="shared" si="51"/>
        <v>0</v>
      </c>
      <c r="K123" s="37">
        <f t="shared" si="51"/>
        <v>0</v>
      </c>
      <c r="L123" s="131"/>
    </row>
    <row r="124" spans="1:12" s="41" customFormat="1" ht="18" customHeight="1" outlineLevel="1">
      <c r="A124" s="483"/>
      <c r="B124" s="495" t="s">
        <v>483</v>
      </c>
      <c r="C124" s="38"/>
      <c r="D124" s="38"/>
      <c r="E124" s="38"/>
      <c r="F124" s="38"/>
      <c r="G124" s="38"/>
      <c r="H124" s="38"/>
      <c r="I124" s="38"/>
      <c r="J124" s="38"/>
      <c r="K124" s="571"/>
      <c r="L124" s="131"/>
    </row>
    <row r="125" spans="1:12" s="41" customFormat="1" ht="18" customHeight="1" outlineLevel="1">
      <c r="A125" s="483"/>
      <c r="B125" s="244" t="s">
        <v>491</v>
      </c>
      <c r="C125" s="38">
        <f t="shared" ref="C125:K125" si="52">C93</f>
        <v>1030.890627</v>
      </c>
      <c r="D125" s="38">
        <f t="shared" si="52"/>
        <v>812.85133900000005</v>
      </c>
      <c r="E125" s="38">
        <f t="shared" si="52"/>
        <v>286.50367500000004</v>
      </c>
      <c r="F125" s="38">
        <f t="shared" si="52"/>
        <v>856.10003299999994</v>
      </c>
      <c r="G125" s="38">
        <f t="shared" si="52"/>
        <v>895.83132025000009</v>
      </c>
      <c r="H125" s="38">
        <f t="shared" si="52"/>
        <v>937.94327125000018</v>
      </c>
      <c r="I125" s="38">
        <f t="shared" si="52"/>
        <v>1000.8826712500004</v>
      </c>
      <c r="J125" s="38">
        <f t="shared" si="52"/>
        <v>1059.8782532500009</v>
      </c>
      <c r="K125" s="38">
        <f t="shared" si="52"/>
        <v>1113.5113352500016</v>
      </c>
      <c r="L125" s="131"/>
    </row>
    <row r="126" spans="1:12" s="41" customFormat="1" ht="18" customHeight="1" outlineLevel="1">
      <c r="A126" s="483"/>
      <c r="B126" s="477" t="s">
        <v>484</v>
      </c>
      <c r="C126" s="37">
        <f t="shared" ref="C126:K126" si="53">C117+C123+C125</f>
        <v>1030.890627</v>
      </c>
      <c r="D126" s="37">
        <f t="shared" si="53"/>
        <v>812.85133900000005</v>
      </c>
      <c r="E126" s="37">
        <f t="shared" si="53"/>
        <v>286.50367500000004</v>
      </c>
      <c r="F126" s="37">
        <f t="shared" si="53"/>
        <v>856.10003299999994</v>
      </c>
      <c r="G126" s="37">
        <f t="shared" si="53"/>
        <v>895.83132025000009</v>
      </c>
      <c r="H126" s="37">
        <f t="shared" si="53"/>
        <v>937.94327125000018</v>
      </c>
      <c r="I126" s="37">
        <f t="shared" si="53"/>
        <v>1000.8826712500004</v>
      </c>
      <c r="J126" s="37">
        <f t="shared" si="53"/>
        <v>1059.8782532500009</v>
      </c>
      <c r="K126" s="37">
        <f t="shared" si="53"/>
        <v>1113.5113352500016</v>
      </c>
      <c r="L126" s="131"/>
    </row>
    <row r="127" spans="1:12" s="41" customFormat="1" ht="18" customHeight="1" outlineLevel="1">
      <c r="A127" s="483"/>
      <c r="B127" s="1" t="s">
        <v>485</v>
      </c>
      <c r="C127" s="497">
        <f t="shared" ref="C127:K127" si="54">C113-C126</f>
        <v>0</v>
      </c>
      <c r="D127" s="497">
        <f t="shared" si="54"/>
        <v>0</v>
      </c>
      <c r="E127" s="497">
        <f t="shared" si="54"/>
        <v>0</v>
      </c>
      <c r="F127" s="497">
        <f t="shared" si="54"/>
        <v>0</v>
      </c>
      <c r="G127" s="497">
        <f t="shared" si="54"/>
        <v>0</v>
      </c>
      <c r="H127" s="497">
        <f t="shared" si="54"/>
        <v>0</v>
      </c>
      <c r="I127" s="497">
        <f t="shared" si="54"/>
        <v>0</v>
      </c>
      <c r="J127" s="497">
        <f t="shared" si="54"/>
        <v>0</v>
      </c>
      <c r="K127" s="497">
        <f t="shared" si="54"/>
        <v>0</v>
      </c>
      <c r="L127" s="131"/>
    </row>
    <row r="128" spans="1:12" s="41" customFormat="1" ht="18" customHeight="1" outlineLevel="1">
      <c r="A128" s="498"/>
      <c r="B128" s="499" t="s">
        <v>486</v>
      </c>
      <c r="C128" s="44" t="str">
        <f t="shared" ref="C128:K128" si="55">IF(ROUND(C127,0)=0,"OK","需要检查")</f>
        <v>OK</v>
      </c>
      <c r="D128" s="44" t="str">
        <f t="shared" si="55"/>
        <v>OK</v>
      </c>
      <c r="E128" s="44" t="str">
        <f t="shared" si="55"/>
        <v>OK</v>
      </c>
      <c r="F128" s="44" t="str">
        <f t="shared" si="55"/>
        <v>OK</v>
      </c>
      <c r="G128" s="44" t="str">
        <f t="shared" si="55"/>
        <v>OK</v>
      </c>
      <c r="H128" s="44" t="str">
        <f t="shared" si="55"/>
        <v>OK</v>
      </c>
      <c r="I128" s="44" t="str">
        <f t="shared" si="55"/>
        <v>OK</v>
      </c>
      <c r="J128" s="44" t="str">
        <f t="shared" si="55"/>
        <v>OK</v>
      </c>
      <c r="K128" s="44" t="str">
        <f t="shared" si="55"/>
        <v>OK</v>
      </c>
      <c r="L128" s="131"/>
    </row>
    <row r="129" spans="1:12" s="41" customFormat="1" ht="18" customHeight="1">
      <c r="A129" s="40"/>
    </row>
    <row r="130" spans="1:12" s="41" customFormat="1" ht="20.5" customHeight="1">
      <c r="A130" s="40"/>
      <c r="B130" s="371" t="s">
        <v>323</v>
      </c>
      <c r="D130" s="678" t="str">
        <f>'10营运'!F3</f>
        <v>基准年已经营月数</v>
      </c>
      <c r="E130" s="731">
        <f>'10营运'!E3</f>
        <v>6</v>
      </c>
      <c r="F130" s="40"/>
      <c r="G130" s="40"/>
      <c r="H130" s="40"/>
      <c r="I130" s="40"/>
    </row>
    <row r="131" spans="1:12" s="41" customFormat="1" ht="18" customHeight="1">
      <c r="A131" s="40"/>
      <c r="B131" s="12" t="s">
        <v>64</v>
      </c>
      <c r="C131" s="54" t="str">
        <f t="shared" ref="C131:K131" si="56">C19</f>
        <v>2016年</v>
      </c>
      <c r="D131" s="54" t="str">
        <f t="shared" si="56"/>
        <v>2017年</v>
      </c>
      <c r="E131" s="54" t="str">
        <f t="shared" si="56"/>
        <v>2018年1-6</v>
      </c>
      <c r="F131" s="25" t="str">
        <f t="shared" si="56"/>
        <v>2018年</v>
      </c>
      <c r="G131" s="25" t="str">
        <f t="shared" si="56"/>
        <v>2019年</v>
      </c>
      <c r="H131" s="25" t="str">
        <f t="shared" si="56"/>
        <v>2020年</v>
      </c>
      <c r="I131" s="25" t="str">
        <f t="shared" si="56"/>
        <v>2021年</v>
      </c>
      <c r="J131" s="25" t="str">
        <f t="shared" si="56"/>
        <v>2022年</v>
      </c>
      <c r="K131" s="25" t="str">
        <f t="shared" si="56"/>
        <v>2023年</v>
      </c>
    </row>
    <row r="132" spans="1:12" s="41" customFormat="1" ht="18" customHeight="1">
      <c r="A132" s="40"/>
      <c r="B132" s="243" t="s">
        <v>147</v>
      </c>
      <c r="C132" s="54"/>
      <c r="D132" s="54"/>
      <c r="E132" s="25"/>
      <c r="F132" s="25"/>
      <c r="G132" s="25"/>
      <c r="H132" s="25"/>
      <c r="I132" s="25"/>
      <c r="J132" s="25"/>
      <c r="K132" s="38"/>
    </row>
    <row r="133" spans="1:12" s="41" customFormat="1" ht="18" customHeight="1">
      <c r="A133" s="40"/>
      <c r="B133" s="244" t="s">
        <v>144</v>
      </c>
      <c r="C133" s="148"/>
      <c r="D133" s="148">
        <f>IF(C20,D20/C20-1,"na")</f>
        <v>2.2833986662670114E-2</v>
      </c>
      <c r="E133" s="148" t="s">
        <v>413</v>
      </c>
      <c r="F133" s="148">
        <f>IF(D20,F20/D20-1,"na")</f>
        <v>-0.30276683972383633</v>
      </c>
      <c r="G133" s="148">
        <f>IF(F20,G20/F20-1,"na")</f>
        <v>0.10000000000000009</v>
      </c>
      <c r="H133" s="148">
        <f>IF(G20,H20/G20-1,"na")</f>
        <v>8.0000000000000071E-2</v>
      </c>
      <c r="I133" s="148">
        <f>IF(H20,I20/H20-1,"na")</f>
        <v>5.0000000000000044E-2</v>
      </c>
      <c r="J133" s="148">
        <f>IF(I20,J20/I20-1,"na")</f>
        <v>3.0000000000000027E-2</v>
      </c>
      <c r="K133" s="148">
        <f>IF(J20,K20/J20-1,"na")</f>
        <v>0</v>
      </c>
    </row>
    <row r="134" spans="1:12" s="41" customFormat="1" ht="18" customHeight="1">
      <c r="A134" s="40"/>
      <c r="B134" s="244" t="s">
        <v>464</v>
      </c>
      <c r="C134" s="148"/>
      <c r="D134" s="148">
        <f>IF(C93,D93/C93-1,"na")</f>
        <v>-0.21150574298508962</v>
      </c>
      <c r="E134" s="148" t="s">
        <v>413</v>
      </c>
      <c r="F134" s="148">
        <f>IF(D93,F93/D93-1,"na")</f>
        <v>5.3206154588126831E-2</v>
      </c>
      <c r="G134" s="148">
        <f>IF(F93,G93/F93-1,"na")</f>
        <v>4.6409631723492994E-2</v>
      </c>
      <c r="H134" s="148">
        <f>IF(G93,H93/G93-1,"na")</f>
        <v>4.7008795124787506E-2</v>
      </c>
      <c r="I134" s="148">
        <f>IF(H93,I93/H93-1,"na")</f>
        <v>6.7103631881830772E-2</v>
      </c>
      <c r="J134" s="148">
        <f>IF(I93,J93/I93-1,"na")</f>
        <v>5.8943554219318184E-2</v>
      </c>
      <c r="K134" s="148">
        <f>IF(J93,K93/J93-1,"na")</f>
        <v>5.060305920565944E-2</v>
      </c>
    </row>
    <row r="135" spans="1:12" s="41" customFormat="1" ht="18" customHeight="1">
      <c r="A135" s="40"/>
      <c r="B135" s="243" t="s">
        <v>245</v>
      </c>
      <c r="C135" s="9"/>
      <c r="D135" s="9"/>
      <c r="E135" s="9"/>
      <c r="F135" s="9"/>
      <c r="G135" s="9"/>
      <c r="H135" s="9"/>
      <c r="I135" s="9"/>
      <c r="J135" s="9"/>
      <c r="K135" s="38"/>
    </row>
    <row r="136" spans="1:12" s="41" customFormat="1" ht="18" customHeight="1">
      <c r="A136" s="40"/>
      <c r="B136" s="200" t="s">
        <v>177</v>
      </c>
      <c r="C136" s="149">
        <f t="shared" ref="C136:K136" si="57">IF(C20,C22/C20,"na")</f>
        <v>5.2280108166834647E-3</v>
      </c>
      <c r="D136" s="149">
        <f t="shared" si="57"/>
        <v>4.4224262929512832E-3</v>
      </c>
      <c r="E136" s="149">
        <f t="shared" si="57"/>
        <v>9.4918246010707551E-3</v>
      </c>
      <c r="F136" s="149">
        <f t="shared" si="57"/>
        <v>5.0000000000000001E-3</v>
      </c>
      <c r="G136" s="149">
        <f t="shared" si="57"/>
        <v>5.0000000000000001E-3</v>
      </c>
      <c r="H136" s="149">
        <f t="shared" si="57"/>
        <v>5.0000000000000001E-3</v>
      </c>
      <c r="I136" s="149">
        <f t="shared" si="57"/>
        <v>5.0000000000000001E-3</v>
      </c>
      <c r="J136" s="149">
        <f t="shared" si="57"/>
        <v>5.0000000000000001E-3</v>
      </c>
      <c r="K136" s="149">
        <f t="shared" si="57"/>
        <v>5.0000000000000001E-3</v>
      </c>
    </row>
    <row r="137" spans="1:12" s="41" customFormat="1" ht="18" customHeight="1">
      <c r="A137" s="40"/>
      <c r="B137" s="200" t="s">
        <v>465</v>
      </c>
      <c r="C137" s="148">
        <f t="shared" ref="C137:K137" si="58">IF(C20,(C23+C24+C25)/C20,"na")</f>
        <v>0.10593860691910294</v>
      </c>
      <c r="D137" s="148">
        <f t="shared" si="58"/>
        <v>9.5441241305639024E-2</v>
      </c>
      <c r="E137" s="148">
        <f t="shared" si="58"/>
        <v>0.12998099996501578</v>
      </c>
      <c r="F137" s="148">
        <f t="shared" si="58"/>
        <v>0.10565277911111114</v>
      </c>
      <c r="G137" s="148">
        <f t="shared" si="58"/>
        <v>0.10362626262626264</v>
      </c>
      <c r="H137" s="148">
        <f t="shared" si="58"/>
        <v>0.10380583613916948</v>
      </c>
      <c r="I137" s="148">
        <f t="shared" si="58"/>
        <v>0.10393944738389183</v>
      </c>
      <c r="J137" s="148">
        <f t="shared" si="58"/>
        <v>0.10376735264149864</v>
      </c>
      <c r="K137" s="148">
        <f t="shared" si="58"/>
        <v>0.10376735264149864</v>
      </c>
    </row>
    <row r="138" spans="1:12" s="41" customFormat="1" ht="18" customHeight="1">
      <c r="A138" s="40"/>
      <c r="B138" s="244" t="s">
        <v>79</v>
      </c>
      <c r="C138" s="148">
        <f t="shared" ref="C138:K138" si="59">IF(C20,(C20-C21)/C20,"na")</f>
        <v>0.15606824298976435</v>
      </c>
      <c r="D138" s="148">
        <f t="shared" si="59"/>
        <v>8.9774724996270372E-2</v>
      </c>
      <c r="E138" s="148">
        <f t="shared" si="59"/>
        <v>-8.6672070478687302E-2</v>
      </c>
      <c r="F138" s="148">
        <f t="shared" si="59"/>
        <v>0.1202688888888889</v>
      </c>
      <c r="G138" s="148">
        <f t="shared" si="59"/>
        <v>0.11867878787878788</v>
      </c>
      <c r="H138" s="148">
        <f t="shared" si="59"/>
        <v>0.11930887916199019</v>
      </c>
      <c r="I138" s="148">
        <f t="shared" si="59"/>
        <v>0.12388951240803094</v>
      </c>
      <c r="J138" s="148">
        <f t="shared" si="59"/>
        <v>0.12237248428186943</v>
      </c>
      <c r="K138" s="148">
        <f t="shared" si="59"/>
        <v>0.12113582357019979</v>
      </c>
    </row>
    <row r="139" spans="1:12" s="41" customFormat="1" ht="18" customHeight="1">
      <c r="A139" s="40"/>
      <c r="B139" s="244" t="s">
        <v>466</v>
      </c>
      <c r="C139" s="148">
        <f t="shared" ref="C139:K139" si="60">IF(C20,C30/C20,"na")</f>
        <v>5.027397744343659E-2</v>
      </c>
      <c r="D139" s="148">
        <f t="shared" si="60"/>
        <v>-8.3560376014216765E-3</v>
      </c>
      <c r="E139" s="148">
        <f t="shared" si="60"/>
        <v>-0.22565532787590881</v>
      </c>
      <c r="F139" s="148">
        <f t="shared" si="60"/>
        <v>9.6108208888888644E-3</v>
      </c>
      <c r="G139" s="148">
        <f t="shared" si="60"/>
        <v>1.0052525252525297E-2</v>
      </c>
      <c r="H139" s="148">
        <f t="shared" si="60"/>
        <v>1.0503043022820823E-2</v>
      </c>
      <c r="I139" s="148">
        <f t="shared" si="60"/>
        <v>1.4950065024139146E-2</v>
      </c>
      <c r="J139" s="148">
        <f t="shared" si="60"/>
        <v>1.360513164037087E-2</v>
      </c>
      <c r="K139" s="148">
        <f t="shared" si="60"/>
        <v>1.2368470928701232E-2</v>
      </c>
    </row>
    <row r="140" spans="1:12" s="41" customFormat="1" ht="18" customHeight="1">
      <c r="A140" s="40"/>
      <c r="B140" s="244" t="s">
        <v>467</v>
      </c>
      <c r="C140" s="148">
        <f t="shared" ref="C140:K140" si="61">IF(C20,C33/C20,"na")</f>
        <v>3.7705483082577436E-2</v>
      </c>
      <c r="D140" s="148">
        <f t="shared" si="61"/>
        <v>-8.3560376014216765E-3</v>
      </c>
      <c r="E140" s="148">
        <f t="shared" si="61"/>
        <v>-0.22565532787590881</v>
      </c>
      <c r="F140" s="148">
        <f t="shared" si="61"/>
        <v>9.6108208888888644E-3</v>
      </c>
      <c r="G140" s="148">
        <f t="shared" si="61"/>
        <v>8.0265226767677073E-3</v>
      </c>
      <c r="H140" s="148">
        <f t="shared" si="61"/>
        <v>7.8772822671156172E-3</v>
      </c>
      <c r="I140" s="148">
        <f t="shared" si="61"/>
        <v>1.1212548768104361E-2</v>
      </c>
      <c r="J140" s="148">
        <f t="shared" si="61"/>
        <v>1.0203848730278152E-2</v>
      </c>
      <c r="K140" s="148">
        <f t="shared" si="61"/>
        <v>9.2763531965259233E-3</v>
      </c>
    </row>
    <row r="141" spans="1:12" s="41" customFormat="1" ht="18" customHeight="1">
      <c r="A141" s="40"/>
      <c r="B141" s="243" t="s">
        <v>246</v>
      </c>
      <c r="C141" s="9"/>
      <c r="D141" s="9"/>
      <c r="E141" s="148"/>
      <c r="F141" s="9"/>
      <c r="G141" s="9"/>
      <c r="H141" s="9"/>
      <c r="I141" s="9"/>
      <c r="J141" s="9"/>
      <c r="K141" s="38"/>
    </row>
    <row r="142" spans="1:12" s="41" customFormat="1" ht="18" customHeight="1">
      <c r="A142" s="40"/>
      <c r="B142" s="200" t="s">
        <v>468</v>
      </c>
      <c r="C142" s="242">
        <f t="shared" ref="C142:K142" si="62">IF(C73+C83+C84+C85,C50/(C73+C83+C84+C85),"na")</f>
        <v>2.2727825616823902</v>
      </c>
      <c r="D142" s="242">
        <f t="shared" si="62"/>
        <v>2.0271451357731198</v>
      </c>
      <c r="E142" s="242">
        <f t="shared" si="62"/>
        <v>1.3047944254444019</v>
      </c>
      <c r="F142" s="242">
        <f t="shared" si="62"/>
        <v>2.0482439722284855</v>
      </c>
      <c r="G142" s="242">
        <f t="shared" si="62"/>
        <v>2.0089253464862185</v>
      </c>
      <c r="H142" s="242">
        <f t="shared" si="62"/>
        <v>1.9947588870103501</v>
      </c>
      <c r="I142" s="242">
        <f t="shared" si="62"/>
        <v>2.0085719356560285</v>
      </c>
      <c r="J142" s="242">
        <f t="shared" si="62"/>
        <v>2.0387657553152425</v>
      </c>
      <c r="K142" s="242">
        <f t="shared" si="62"/>
        <v>2.1027354815900865</v>
      </c>
      <c r="L142" s="216"/>
    </row>
    <row r="143" spans="1:12" s="41" customFormat="1" ht="18" customHeight="1">
      <c r="A143" s="40"/>
      <c r="B143" s="200" t="s">
        <v>469</v>
      </c>
      <c r="C143" s="242">
        <f t="shared" ref="C143:K143" si="63">IF(C73+C83+C84+C85,(C50-C46)/(C73+C83+C84+C85),"na")</f>
        <v>2.2727825616823902</v>
      </c>
      <c r="D143" s="242">
        <f t="shared" si="63"/>
        <v>2.0271451357731198</v>
      </c>
      <c r="E143" s="242">
        <f t="shared" si="63"/>
        <v>1.3047944254444019</v>
      </c>
      <c r="F143" s="242">
        <f t="shared" si="63"/>
        <v>2.0482439722284855</v>
      </c>
      <c r="G143" s="242">
        <f t="shared" si="63"/>
        <v>2.0089253464862185</v>
      </c>
      <c r="H143" s="242">
        <f t="shared" si="63"/>
        <v>1.9947588870103501</v>
      </c>
      <c r="I143" s="242">
        <f t="shared" si="63"/>
        <v>2.0085719356560285</v>
      </c>
      <c r="J143" s="242">
        <f t="shared" si="63"/>
        <v>2.0387657553152425</v>
      </c>
      <c r="K143" s="242">
        <f t="shared" si="63"/>
        <v>2.1027354815900865</v>
      </c>
    </row>
    <row r="144" spans="1:12" s="41" customFormat="1" ht="18" customHeight="1">
      <c r="A144" s="40"/>
      <c r="B144" s="200" t="s">
        <v>470</v>
      </c>
      <c r="C144" s="148">
        <f t="shared" ref="C144:K144" si="64">IF(C64,C89/C64,"na")</f>
        <v>0.41266134883969779</v>
      </c>
      <c r="D144" s="148">
        <f t="shared" si="64"/>
        <v>0.45311165700355321</v>
      </c>
      <c r="E144" s="148">
        <f t="shared" si="64"/>
        <v>0.6804230947188934</v>
      </c>
      <c r="F144" s="148">
        <f t="shared" si="64"/>
        <v>0.44657476461469509</v>
      </c>
      <c r="G144" s="148">
        <f t="shared" si="64"/>
        <v>0.45934877443989203</v>
      </c>
      <c r="H144" s="148">
        <f t="shared" si="64"/>
        <v>0.46690382696534755</v>
      </c>
      <c r="I144" s="148">
        <f t="shared" si="64"/>
        <v>0.46172892673301652</v>
      </c>
      <c r="J144" s="148">
        <f t="shared" si="64"/>
        <v>0.45523131681396067</v>
      </c>
      <c r="K144" s="148">
        <f t="shared" si="64"/>
        <v>0.44332833565226526</v>
      </c>
    </row>
    <row r="145" spans="1:12" s="41" customFormat="1" ht="18" customHeight="1">
      <c r="A145" s="40"/>
      <c r="B145" s="243" t="s">
        <v>247</v>
      </c>
      <c r="C145" s="66"/>
      <c r="D145" s="66"/>
      <c r="E145" s="66"/>
      <c r="F145" s="66"/>
      <c r="G145" s="66"/>
      <c r="H145" s="66"/>
      <c r="I145" s="66"/>
      <c r="J145" s="66"/>
      <c r="K145" s="38"/>
    </row>
    <row r="146" spans="1:12" s="41" customFormat="1" ht="18" customHeight="1">
      <c r="A146" s="40"/>
      <c r="B146" s="200" t="s">
        <v>145</v>
      </c>
      <c r="C146" s="242">
        <f>IF(C43,C20/C43,"na")</f>
        <v>6.8951662512224905</v>
      </c>
      <c r="D146" s="242">
        <f>IF(D43,D20/D43,"na")</f>
        <v>8.6328823377086028</v>
      </c>
      <c r="E146" s="242">
        <f>IF(E43,E20/E130*12/E43,"na")</f>
        <v>8.6267786132263371</v>
      </c>
      <c r="F146" s="242">
        <f t="shared" ref="F146:K146" si="65">IF(F43,F20/F43,"na")</f>
        <v>8.5714285714285712</v>
      </c>
      <c r="G146" s="242">
        <f t="shared" si="65"/>
        <v>8.5714285714285712</v>
      </c>
      <c r="H146" s="242">
        <f t="shared" si="65"/>
        <v>8.5714285714285712</v>
      </c>
      <c r="I146" s="242">
        <f t="shared" si="65"/>
        <v>8.5714285714285712</v>
      </c>
      <c r="J146" s="242">
        <f t="shared" si="65"/>
        <v>8.5714285714285712</v>
      </c>
      <c r="K146" s="242">
        <f t="shared" si="65"/>
        <v>8.5714285714285712</v>
      </c>
    </row>
    <row r="147" spans="1:12" s="41" customFormat="1" ht="18" customHeight="1">
      <c r="A147" s="40"/>
      <c r="B147" s="200" t="s">
        <v>146</v>
      </c>
      <c r="C147" s="242" t="str">
        <f>IF(C46,C21/C46,"na")</f>
        <v>na</v>
      </c>
      <c r="D147" s="242" t="str">
        <f>IF(D46,D21/D46,"na")</f>
        <v>na</v>
      </c>
      <c r="E147" s="242" t="str">
        <f>IF(E46,E21/E130*12/E46,"na")</f>
        <v>na</v>
      </c>
      <c r="F147" s="242" t="str">
        <f t="shared" ref="F147:K147" si="66">IF(F46,F21/F46,"na")</f>
        <v>na</v>
      </c>
      <c r="G147" s="242" t="str">
        <f t="shared" si="66"/>
        <v>na</v>
      </c>
      <c r="H147" s="242" t="str">
        <f t="shared" si="66"/>
        <v>na</v>
      </c>
      <c r="I147" s="242" t="str">
        <f t="shared" si="66"/>
        <v>na</v>
      </c>
      <c r="J147" s="242" t="str">
        <f t="shared" si="66"/>
        <v>na</v>
      </c>
      <c r="K147" s="242" t="str">
        <f t="shared" si="66"/>
        <v>na</v>
      </c>
    </row>
    <row r="148" spans="1:12" s="41" customFormat="1" ht="18" customHeight="1">
      <c r="A148" s="40"/>
      <c r="B148" s="244" t="s">
        <v>471</v>
      </c>
      <c r="C148" s="242">
        <f>IF(C64,C20/C64,"na")</f>
        <v>3.595053188584814</v>
      </c>
      <c r="D148" s="242">
        <f>IF(D64,D20/D64,"na")</f>
        <v>4.3423219590052469</v>
      </c>
      <c r="E148" s="242">
        <f>IF(E64,E20/E130*12/E64,"na")</f>
        <v>4.6156548937528443</v>
      </c>
      <c r="F148" s="242">
        <f t="shared" ref="F148:K148" si="67">IF(F64,F20/F64,"na")</f>
        <v>2.9090216834904297</v>
      </c>
      <c r="G148" s="242">
        <f t="shared" si="67"/>
        <v>2.9874190665444473</v>
      </c>
      <c r="H148" s="242">
        <f t="shared" si="67"/>
        <v>3.0384909497193129</v>
      </c>
      <c r="I148" s="242">
        <f t="shared" si="67"/>
        <v>3.0188123966578835</v>
      </c>
      <c r="J148" s="242">
        <f t="shared" si="67"/>
        <v>2.9717456143192527</v>
      </c>
      <c r="K148" s="242">
        <f t="shared" si="67"/>
        <v>2.8904133287202023</v>
      </c>
    </row>
    <row r="149" spans="1:12" s="41" customFormat="1" ht="18" customHeight="1">
      <c r="A149" s="40"/>
      <c r="C149" s="485"/>
      <c r="D149" s="484"/>
      <c r="E149" s="484"/>
      <c r="F149" s="484"/>
      <c r="G149" s="484"/>
      <c r="H149" s="484"/>
      <c r="I149" s="484"/>
    </row>
    <row r="150" spans="1:12" s="41" customFormat="1" ht="18" customHeight="1">
      <c r="A150" s="498"/>
      <c r="B150" s="12" t="s">
        <v>487</v>
      </c>
      <c r="C150" s="54" t="str">
        <f t="shared" ref="C150:K150" si="68">C19</f>
        <v>2016年</v>
      </c>
      <c r="D150" s="54" t="str">
        <f t="shared" si="68"/>
        <v>2017年</v>
      </c>
      <c r="E150" s="54" t="str">
        <f t="shared" si="68"/>
        <v>2018年1-6</v>
      </c>
      <c r="F150" s="25" t="str">
        <f t="shared" si="68"/>
        <v>2018年</v>
      </c>
      <c r="G150" s="25" t="str">
        <f t="shared" si="68"/>
        <v>2019年</v>
      </c>
      <c r="H150" s="25" t="str">
        <f t="shared" si="68"/>
        <v>2020年</v>
      </c>
      <c r="I150" s="25" t="str">
        <f t="shared" si="68"/>
        <v>2021年</v>
      </c>
      <c r="J150" s="25" t="str">
        <f t="shared" si="68"/>
        <v>2022年</v>
      </c>
      <c r="K150" s="25" t="str">
        <f t="shared" si="68"/>
        <v>2023年</v>
      </c>
      <c r="L150" s="131"/>
    </row>
    <row r="151" spans="1:12" s="41" customFormat="1" ht="18" customHeight="1" outlineLevel="1">
      <c r="A151" s="498"/>
      <c r="B151" s="6" t="s">
        <v>640</v>
      </c>
      <c r="C151" s="10">
        <f>'12收益表'!C33</f>
        <v>0.25</v>
      </c>
      <c r="D151" s="10">
        <f>'12收益表'!D33</f>
        <v>0.25</v>
      </c>
      <c r="E151" s="10">
        <f>'12收益表'!E33</f>
        <v>0.25</v>
      </c>
      <c r="F151" s="10">
        <f>'12收益表'!F19</f>
        <v>0.25</v>
      </c>
      <c r="G151" s="10">
        <f>'12收益表'!G19</f>
        <v>0.25</v>
      </c>
      <c r="H151" s="10">
        <f>'12收益表'!H19</f>
        <v>0.25</v>
      </c>
      <c r="I151" s="10">
        <f>'12收益表'!I19</f>
        <v>0.25</v>
      </c>
      <c r="J151" s="10">
        <f>'12收益表'!J19</f>
        <v>0.25</v>
      </c>
      <c r="K151" s="10">
        <f>'12收益表'!K19</f>
        <v>0.25</v>
      </c>
      <c r="L151" s="131"/>
    </row>
    <row r="152" spans="1:12" s="41" customFormat="1" ht="18" customHeight="1" outlineLevel="1">
      <c r="A152" s="498"/>
      <c r="B152" s="2" t="s">
        <v>488</v>
      </c>
      <c r="C152" s="2">
        <f t="shared" ref="C152:K152" si="69">C33</f>
        <v>237.9215820000004</v>
      </c>
      <c r="D152" s="2">
        <f t="shared" si="69"/>
        <v>-53.930551999999381</v>
      </c>
      <c r="E152" s="2">
        <f t="shared" si="69"/>
        <v>-466.87835100000029</v>
      </c>
      <c r="F152" s="2">
        <f t="shared" si="69"/>
        <v>43.248693999999887</v>
      </c>
      <c r="G152" s="2">
        <f t="shared" si="69"/>
        <v>39.73128725000015</v>
      </c>
      <c r="H152" s="2">
        <f t="shared" si="69"/>
        <v>42.11195100000009</v>
      </c>
      <c r="I152" s="2">
        <f t="shared" si="69"/>
        <v>62.939400000000205</v>
      </c>
      <c r="J152" s="2">
        <f t="shared" si="69"/>
        <v>58.995582000000468</v>
      </c>
      <c r="K152" s="2">
        <f t="shared" si="69"/>
        <v>53.633082000000741</v>
      </c>
      <c r="L152" s="131"/>
    </row>
    <row r="153" spans="1:12" s="41" customFormat="1" ht="18" customHeight="1" outlineLevel="1">
      <c r="A153" s="498"/>
      <c r="B153" s="6" t="s">
        <v>489</v>
      </c>
      <c r="C153" s="2">
        <f t="shared" ref="C153:K153" si="70">(C27+C28-C29)*(1-C151)</f>
        <v>-25.424655000000001</v>
      </c>
      <c r="D153" s="2">
        <f t="shared" si="70"/>
        <v>-8.388233249999999</v>
      </c>
      <c r="E153" s="2">
        <f t="shared" si="70"/>
        <v>-0.75968175000000004</v>
      </c>
      <c r="F153" s="2">
        <f t="shared" si="70"/>
        <v>1.7850000000000001E-2</v>
      </c>
      <c r="G153" s="2">
        <f t="shared" si="70"/>
        <v>0</v>
      </c>
      <c r="H153" s="2">
        <f t="shared" si="70"/>
        <v>0</v>
      </c>
      <c r="I153" s="2">
        <f t="shared" si="70"/>
        <v>0</v>
      </c>
      <c r="J153" s="2">
        <f t="shared" si="70"/>
        <v>0</v>
      </c>
      <c r="K153" s="2">
        <f t="shared" si="70"/>
        <v>0</v>
      </c>
      <c r="L153" s="131"/>
    </row>
    <row r="154" spans="1:12" s="41" customFormat="1" ht="18" customHeight="1" outlineLevel="1">
      <c r="A154" s="498"/>
      <c r="B154" s="2" t="s">
        <v>590</v>
      </c>
      <c r="C154" s="2">
        <f t="shared" ref="C154:J154" si="71">C152+C153</f>
        <v>212.4969270000004</v>
      </c>
      <c r="D154" s="2">
        <f t="shared" si="71"/>
        <v>-62.31878524999938</v>
      </c>
      <c r="E154" s="2">
        <f t="shared" si="71"/>
        <v>-467.63803275000032</v>
      </c>
      <c r="F154" s="2">
        <f t="shared" si="71"/>
        <v>43.26654399999989</v>
      </c>
      <c r="G154" s="2">
        <f>G152+G153</f>
        <v>39.73128725000015</v>
      </c>
      <c r="H154" s="2">
        <f t="shared" si="71"/>
        <v>42.11195100000009</v>
      </c>
      <c r="I154" s="2">
        <f t="shared" si="71"/>
        <v>62.939400000000205</v>
      </c>
      <c r="J154" s="2">
        <f t="shared" si="71"/>
        <v>58.995582000000468</v>
      </c>
      <c r="K154" s="2">
        <f>K152+K153</f>
        <v>53.633082000000741</v>
      </c>
      <c r="L154" s="131"/>
    </row>
    <row r="155" spans="1:12" s="41" customFormat="1" ht="18" customHeight="1">
      <c r="A155" s="498"/>
      <c r="B155" s="489" t="s">
        <v>588</v>
      </c>
      <c r="C155" s="501"/>
      <c r="D155" s="501"/>
      <c r="E155" s="486"/>
      <c r="F155" s="486"/>
      <c r="G155" s="486"/>
      <c r="H155" s="486"/>
      <c r="I155" s="486"/>
      <c r="J155" s="486"/>
      <c r="K155" s="496"/>
      <c r="L155" s="131"/>
    </row>
    <row r="156" spans="1:12" s="41" customFormat="1" ht="18" customHeight="1">
      <c r="A156" s="498"/>
      <c r="B156" s="2" t="s">
        <v>629</v>
      </c>
      <c r="C156" s="149">
        <f>IF(C110,C154/C110,"na")</f>
        <v>0.2061294587752619</v>
      </c>
      <c r="D156" s="149">
        <f>IF(C110,D154/C110,"na")</f>
        <v>-6.0451403493068503E-2</v>
      </c>
      <c r="E156" s="149" t="s">
        <v>490</v>
      </c>
      <c r="F156" s="149">
        <f>IF(D110,F154/D110,"na")</f>
        <v>5.322811432312826E-2</v>
      </c>
      <c r="G156" s="149">
        <f>IF(F110,G154/F110,"na")</f>
        <v>4.6409631723492953E-2</v>
      </c>
      <c r="H156" s="149">
        <f>IF(G110,H154/G110,"na")</f>
        <v>4.7008795124787436E-2</v>
      </c>
      <c r="I156" s="149">
        <f>IF(H110,I154/H110,"na")</f>
        <v>6.7103631881830814E-2</v>
      </c>
      <c r="J156" s="149">
        <f>IF(I110,J154/I110,"na")</f>
        <v>5.8943554219318239E-2</v>
      </c>
      <c r="K156" s="149">
        <f>IF(J110,K154/J110,"na")</f>
        <v>5.0603059205659474E-2</v>
      </c>
      <c r="L156" s="502"/>
    </row>
    <row r="157" spans="1:12" s="41" customFormat="1" ht="18" customHeight="1">
      <c r="A157" s="498"/>
      <c r="B157" s="2" t="s">
        <v>630</v>
      </c>
      <c r="C157" s="149"/>
      <c r="D157" s="149">
        <f>IF(C110+D110,IF(C110,D154*2/(D110+C110),D154/D110),"na")</f>
        <v>-6.7600332800581683E-2</v>
      </c>
      <c r="E157" s="149" t="s">
        <v>490</v>
      </c>
      <c r="F157" s="149">
        <f>IF(D110+F110,IF(D110,F154*2/(F110+D110),F154/F110),"na")</f>
        <v>5.1848777293194731E-2</v>
      </c>
      <c r="G157" s="149">
        <f>IF(F110+G110,IF(F110,G154*2/(G110+F110),G154/G110),"na")</f>
        <v>4.5357127922044237E-2</v>
      </c>
      <c r="H157" s="149">
        <f>IF(G110+H110,IF(G110,H154*2/(H110+G110),H154/H110),"na")</f>
        <v>4.5929255640469034E-2</v>
      </c>
      <c r="I157" s="149">
        <f>IF(H110+I110,IF(H110,I154*2/(I110+H110),I154/I110),"na")</f>
        <v>6.4925271134801912E-2</v>
      </c>
      <c r="J157" s="149">
        <f>IF(I110+J110,IF(I110,J154*2/(J110+I110),J154/J110),"na")</f>
        <v>5.7256114766747593E-2</v>
      </c>
      <c r="K157" s="149">
        <f>IF(J110+K110,IF(J110,K154*2/(K110+J110),K154/K110),"na")</f>
        <v>4.9354319431534975E-2</v>
      </c>
      <c r="L157" s="500"/>
    </row>
    <row r="158" spans="1:12" s="41" customFormat="1" ht="18" customHeight="1">
      <c r="A158" s="498"/>
      <c r="B158" s="489" t="s">
        <v>589</v>
      </c>
      <c r="C158" s="10"/>
      <c r="D158" s="10"/>
      <c r="E158" s="10"/>
      <c r="F158" s="10"/>
      <c r="G158" s="10"/>
      <c r="H158" s="10"/>
      <c r="I158" s="10"/>
      <c r="J158" s="10"/>
      <c r="K158" s="144"/>
      <c r="L158" s="500"/>
    </row>
    <row r="159" spans="1:12" s="41" customFormat="1" ht="18" customHeight="1">
      <c r="A159" s="498"/>
      <c r="B159" s="2" t="s">
        <v>629</v>
      </c>
      <c r="C159" s="149">
        <f>IF(C113,C154/C113,"na")</f>
        <v>0.2061294587752619</v>
      </c>
      <c r="D159" s="149">
        <f>IF(C113,D154/C113,"na")</f>
        <v>-6.0451403493068503E-2</v>
      </c>
      <c r="E159" s="149" t="s">
        <v>490</v>
      </c>
      <c r="F159" s="149">
        <f>IF(D113,F154/D113,"na")</f>
        <v>5.322811432312826E-2</v>
      </c>
      <c r="G159" s="149">
        <f>IF(F113,G154/F113,"na")</f>
        <v>4.6409631723492953E-2</v>
      </c>
      <c r="H159" s="149">
        <f>IF(G113,H154/G113,"na")</f>
        <v>4.7008795124787436E-2</v>
      </c>
      <c r="I159" s="149">
        <f>IF(H113,I154/H113,"na")</f>
        <v>6.7103631881830814E-2</v>
      </c>
      <c r="J159" s="149">
        <f>IF(I113,J154/I113,"na")</f>
        <v>5.8943554219318239E-2</v>
      </c>
      <c r="K159" s="149">
        <f>IF(J113,K154/J113,"na")</f>
        <v>5.0603059205659474E-2</v>
      </c>
      <c r="L159" s="500"/>
    </row>
    <row r="160" spans="1:12" s="41" customFormat="1" ht="18" customHeight="1">
      <c r="A160" s="498"/>
      <c r="B160" s="2" t="s">
        <v>630</v>
      </c>
      <c r="C160" s="149"/>
      <c r="D160" s="149">
        <f>IF(C113+D113,IF(C113,D154*2/(D113+C113),D154/D113),"na")</f>
        <v>-6.7600332800581683E-2</v>
      </c>
      <c r="E160" s="149" t="s">
        <v>490</v>
      </c>
      <c r="F160" s="149">
        <f>IF(D113+F113,IF(D113,F154*2/(F113+D113),F154/F113),"na")</f>
        <v>5.1848777293194731E-2</v>
      </c>
      <c r="G160" s="149">
        <f>IF(F113+G113,IF(F113,G154*2/(G113+F113),G154/G113),"na")</f>
        <v>4.5357127922044237E-2</v>
      </c>
      <c r="H160" s="149">
        <f>IF(G113+H113,IF(G113,H154*2/(H113+G113),H154/H113),"na")</f>
        <v>4.5929255640469034E-2</v>
      </c>
      <c r="I160" s="149">
        <f>IF(H113+I113,IF(H113,I154*2/(I113+H113),I154/I113),"na")</f>
        <v>6.4925271134801912E-2</v>
      </c>
      <c r="J160" s="149">
        <f>IF(I113+J113,IF(I113,J154*2/(J113+I113),J154/J113),"na")</f>
        <v>5.7256114766747593E-2</v>
      </c>
      <c r="K160" s="149">
        <f>IF(J113+K113,IF(J113,K154*2/(K113+J113),K154/K113),"na")</f>
        <v>4.9354319431534975E-2</v>
      </c>
      <c r="L160" s="500"/>
    </row>
    <row r="161" spans="1:1" s="41" customFormat="1" ht="18" customHeight="1">
      <c r="A161" s="40"/>
    </row>
    <row r="162" spans="1:1" s="41" customFormat="1" ht="18" customHeight="1">
      <c r="A162" s="40"/>
    </row>
    <row r="163" spans="1:1" s="41" customFormat="1" ht="18" customHeight="1">
      <c r="A163" s="40"/>
    </row>
    <row r="164" spans="1:1" s="41" customFormat="1" ht="18" customHeight="1">
      <c r="A164" s="40"/>
    </row>
    <row r="165" spans="1:1" s="41" customFormat="1" ht="18" customHeight="1">
      <c r="A165" s="40"/>
    </row>
    <row r="166" spans="1:1" s="41" customFormat="1" ht="18" customHeight="1">
      <c r="A166" s="40"/>
    </row>
    <row r="167" spans="1:1" s="41" customFormat="1" ht="18" customHeight="1">
      <c r="A167" s="40"/>
    </row>
    <row r="168" spans="1:1" s="41" customFormat="1" ht="18" customHeight="1">
      <c r="A168" s="40"/>
    </row>
    <row r="169" spans="1:1" s="41" customFormat="1" ht="18" customHeight="1">
      <c r="A169" s="40"/>
    </row>
    <row r="170" spans="1:1" s="41" customFormat="1" ht="18" customHeight="1">
      <c r="A170" s="40"/>
    </row>
    <row r="171" spans="1:1" s="41" customFormat="1" ht="18" customHeight="1">
      <c r="A171" s="40"/>
    </row>
    <row r="172" spans="1:1" s="41" customFormat="1" ht="18" customHeight="1">
      <c r="A172" s="40"/>
    </row>
    <row r="173" spans="1:1" s="41" customFormat="1" ht="18" customHeight="1">
      <c r="A173" s="40"/>
    </row>
    <row r="174" spans="1:1" s="41" customFormat="1" ht="18" customHeight="1">
      <c r="A174" s="40"/>
    </row>
    <row r="175" spans="1:1" s="41" customFormat="1" ht="18" customHeight="1">
      <c r="A175" s="40"/>
    </row>
    <row r="176" spans="1:1" s="41" customFormat="1" ht="18" customHeight="1">
      <c r="A176" s="40"/>
    </row>
    <row r="177" spans="1:1" s="41" customFormat="1" ht="18" customHeight="1">
      <c r="A177" s="40"/>
    </row>
    <row r="178" spans="1:1" s="41" customFormat="1" ht="18" customHeight="1">
      <c r="A178" s="40"/>
    </row>
    <row r="179" spans="1:1" s="41" customFormat="1" ht="18" customHeight="1">
      <c r="A179" s="40"/>
    </row>
    <row r="180" spans="1:1" s="41" customFormat="1" ht="18" customHeight="1">
      <c r="A180" s="40"/>
    </row>
    <row r="181" spans="1:1" s="41" customFormat="1" ht="18" customHeight="1">
      <c r="A181" s="40"/>
    </row>
    <row r="182" spans="1:1" s="41" customFormat="1" ht="18" customHeight="1">
      <c r="A182" s="40"/>
    </row>
    <row r="183" spans="1:1" s="41" customFormat="1" ht="18" customHeight="1">
      <c r="A183" s="40"/>
    </row>
    <row r="184" spans="1:1" s="41" customFormat="1" ht="18" customHeight="1">
      <c r="A184" s="40"/>
    </row>
    <row r="185" spans="1:1" s="41" customFormat="1" ht="18" customHeight="1">
      <c r="A185" s="40"/>
    </row>
    <row r="186" spans="1:1" s="41" customFormat="1" ht="18" customHeight="1">
      <c r="A186" s="40"/>
    </row>
    <row r="187" spans="1:1" s="41" customFormat="1" ht="18" customHeight="1">
      <c r="A187" s="40"/>
    </row>
    <row r="188" spans="1:1" s="41" customFormat="1" ht="18" customHeight="1">
      <c r="A188" s="40"/>
    </row>
    <row r="189" spans="1:1" s="41" customFormat="1" ht="18" customHeight="1">
      <c r="A189" s="40"/>
    </row>
    <row r="190" spans="1:1" s="41" customFormat="1" ht="18" customHeight="1">
      <c r="A190" s="40"/>
    </row>
    <row r="191" spans="1:1" s="41" customFormat="1" ht="18" customHeight="1">
      <c r="A191" s="40"/>
    </row>
    <row r="192" spans="1:1" s="41" customFormat="1" ht="18" customHeight="1">
      <c r="A192" s="40"/>
    </row>
    <row r="193" spans="1:1" s="41" customFormat="1" ht="18" customHeight="1">
      <c r="A193" s="40"/>
    </row>
    <row r="194" spans="1:1" s="41" customFormat="1" ht="18" customHeight="1">
      <c r="A194" s="40"/>
    </row>
    <row r="195" spans="1:1" s="41" customFormat="1" ht="18" customHeight="1">
      <c r="A195" s="40"/>
    </row>
    <row r="196" spans="1:1" s="41" customFormat="1" ht="18" customHeight="1">
      <c r="A196" s="40"/>
    </row>
    <row r="197" spans="1:1" s="41" customFormat="1" ht="18" customHeight="1">
      <c r="A197" s="40"/>
    </row>
    <row r="198" spans="1:1" s="41" customFormat="1" ht="18" customHeight="1">
      <c r="A198" s="40"/>
    </row>
    <row r="199" spans="1:1" s="41" customFormat="1" ht="18" customHeight="1">
      <c r="A199" s="40"/>
    </row>
    <row r="200" spans="1:1" s="41" customFormat="1" ht="18" customHeight="1">
      <c r="A200" s="40"/>
    </row>
    <row r="201" spans="1:1" s="41" customFormat="1" ht="18" customHeight="1">
      <c r="A201" s="40"/>
    </row>
    <row r="202" spans="1:1" s="41" customFormat="1" ht="18" customHeight="1">
      <c r="A202" s="40"/>
    </row>
    <row r="203" spans="1:1" s="41" customFormat="1" ht="18" customHeight="1">
      <c r="A203" s="40"/>
    </row>
    <row r="204" spans="1:1" s="41" customFormat="1" ht="18" customHeight="1">
      <c r="A204" s="40"/>
    </row>
    <row r="205" spans="1:1" s="41" customFormat="1" ht="18" customHeight="1">
      <c r="A205" s="40"/>
    </row>
    <row r="206" spans="1:1" s="41" customFormat="1" ht="18" customHeight="1">
      <c r="A206" s="40"/>
    </row>
    <row r="207" spans="1:1" s="41" customFormat="1" ht="18" customHeight="1">
      <c r="A207" s="40"/>
    </row>
    <row r="208" spans="1:1" s="41" customFormat="1" ht="18" customHeight="1">
      <c r="A208" s="40"/>
    </row>
    <row r="209" spans="1:1" s="41" customFormat="1" ht="18" customHeight="1">
      <c r="A209" s="40"/>
    </row>
    <row r="210" spans="1:1" s="41" customFormat="1" ht="18" customHeight="1">
      <c r="A210" s="40"/>
    </row>
    <row r="211" spans="1:1" s="41" customFormat="1" ht="18" customHeight="1">
      <c r="A211" s="40"/>
    </row>
    <row r="212" spans="1:1" s="41" customFormat="1" ht="18" customHeight="1">
      <c r="A212" s="40"/>
    </row>
    <row r="213" spans="1:1" s="41" customFormat="1" ht="18" customHeight="1">
      <c r="A213" s="40"/>
    </row>
    <row r="214" spans="1:1" s="41" customFormat="1" ht="18" customHeight="1">
      <c r="A214" s="40"/>
    </row>
    <row r="215" spans="1:1" s="41" customFormat="1" ht="18" customHeight="1">
      <c r="A215" s="40"/>
    </row>
    <row r="216" spans="1:1" s="41" customFormat="1" ht="18" customHeight="1">
      <c r="A216" s="40"/>
    </row>
    <row r="217" spans="1:1" s="41" customFormat="1" ht="18" customHeight="1">
      <c r="A217" s="40"/>
    </row>
    <row r="218" spans="1:1" s="41" customFormat="1" ht="18" customHeight="1">
      <c r="A218" s="40"/>
    </row>
    <row r="219" spans="1:1" s="41" customFormat="1" ht="18" customHeight="1">
      <c r="A219" s="40"/>
    </row>
    <row r="220" spans="1:1" s="41" customFormat="1" ht="18" customHeight="1">
      <c r="A220" s="40"/>
    </row>
    <row r="221" spans="1:1" s="41" customFormat="1" ht="18" customHeight="1">
      <c r="A221" s="40"/>
    </row>
    <row r="222" spans="1:1" s="41" customFormat="1" ht="18" customHeight="1">
      <c r="A222" s="40"/>
    </row>
    <row r="223" spans="1:1" s="41" customFormat="1" ht="18" customHeight="1">
      <c r="A223" s="40"/>
    </row>
    <row r="224" spans="1:1" s="41" customFormat="1" ht="18" customHeight="1">
      <c r="A224" s="40"/>
    </row>
    <row r="225" spans="1:1" s="41" customFormat="1" ht="18" customHeight="1">
      <c r="A225" s="40"/>
    </row>
    <row r="226" spans="1:1" s="41" customFormat="1" ht="18" customHeight="1">
      <c r="A226" s="40"/>
    </row>
    <row r="227" spans="1:1" s="41" customFormat="1" ht="18" customHeight="1">
      <c r="A227" s="40"/>
    </row>
    <row r="228" spans="1:1" s="41" customFormat="1" ht="18" customHeight="1">
      <c r="A228" s="40"/>
    </row>
    <row r="229" spans="1:1" s="41" customFormat="1" ht="18" customHeight="1">
      <c r="A229" s="40"/>
    </row>
    <row r="230" spans="1:1" s="41" customFormat="1" ht="18" customHeight="1">
      <c r="A230" s="40"/>
    </row>
    <row r="231" spans="1:1" s="41" customFormat="1" ht="18" customHeight="1">
      <c r="A231" s="40"/>
    </row>
    <row r="232" spans="1:1" s="41" customFormat="1" ht="18" customHeight="1">
      <c r="A232" s="40"/>
    </row>
    <row r="233" spans="1:1" s="41" customFormat="1" ht="18" customHeight="1">
      <c r="A233" s="40"/>
    </row>
    <row r="234" spans="1:1" s="41" customFormat="1" ht="18" customHeight="1">
      <c r="A234" s="40"/>
    </row>
    <row r="235" spans="1:1" s="41" customFormat="1" ht="18" customHeight="1">
      <c r="A235" s="40"/>
    </row>
    <row r="236" spans="1:1" s="41" customFormat="1" ht="18" customHeight="1">
      <c r="A236" s="40"/>
    </row>
    <row r="237" spans="1:1" s="41" customFormat="1" ht="18" customHeight="1">
      <c r="A237" s="40"/>
    </row>
    <row r="238" spans="1:1" s="41" customFormat="1" ht="18" customHeight="1">
      <c r="A238" s="40"/>
    </row>
    <row r="239" spans="1:1" s="41" customFormat="1" ht="18" customHeight="1">
      <c r="A239" s="40"/>
    </row>
    <row r="240" spans="1:1" s="41" customFormat="1" ht="18" customHeight="1">
      <c r="A240" s="40"/>
    </row>
    <row r="241" spans="1:1" s="41" customFormat="1" ht="18" customHeight="1">
      <c r="A241" s="40"/>
    </row>
    <row r="242" spans="1:1" s="41" customFormat="1" ht="18" customHeight="1">
      <c r="A242" s="40"/>
    </row>
    <row r="243" spans="1:1" s="41" customFormat="1" ht="18" customHeight="1">
      <c r="A243" s="40"/>
    </row>
    <row r="244" spans="1:1" s="41" customFormat="1" ht="18" customHeight="1">
      <c r="A244" s="40"/>
    </row>
    <row r="245" spans="1:1" s="41" customFormat="1" ht="18" customHeight="1">
      <c r="A245" s="40"/>
    </row>
    <row r="246" spans="1:1" s="41" customFormat="1" ht="18" customHeight="1">
      <c r="A246" s="40"/>
    </row>
    <row r="247" spans="1:1" s="41" customFormat="1" ht="18" customHeight="1">
      <c r="A247" s="40"/>
    </row>
    <row r="248" spans="1:1" s="41" customFormat="1" ht="18" customHeight="1">
      <c r="A248" s="40"/>
    </row>
    <row r="249" spans="1:1" s="41" customFormat="1" ht="18" customHeight="1">
      <c r="A249" s="40"/>
    </row>
    <row r="250" spans="1:1" s="41" customFormat="1" ht="18" customHeight="1">
      <c r="A250" s="40"/>
    </row>
    <row r="251" spans="1:1" s="41" customFormat="1" ht="18" customHeight="1">
      <c r="A251" s="40"/>
    </row>
    <row r="252" spans="1:1" s="41" customFormat="1" ht="18" customHeight="1">
      <c r="A252" s="40"/>
    </row>
    <row r="253" spans="1:1" s="41" customFormat="1" ht="18" customHeight="1">
      <c r="A253" s="40"/>
    </row>
    <row r="254" spans="1:1" s="41" customFormat="1" ht="18" customHeight="1">
      <c r="A254" s="40"/>
    </row>
    <row r="255" spans="1:1" s="41" customFormat="1" ht="18" customHeight="1">
      <c r="A255" s="40"/>
    </row>
    <row r="256" spans="1:1" s="41" customFormat="1" ht="18" customHeight="1">
      <c r="A256" s="40"/>
    </row>
  </sheetData>
  <mergeCells count="1">
    <mergeCell ref="B1:K1"/>
  </mergeCells>
  <phoneticPr fontId="6" type="noConversion"/>
  <pageMargins left="0.75" right="0.75" top="1" bottom="1" header="0.5" footer="0.5"/>
  <pageSetup paperSize="9"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6</vt:i4>
      </vt:variant>
    </vt:vector>
  </HeadingPairs>
  <TitlesOfParts>
    <vt:vector size="23" baseType="lpstr">
      <vt:lpstr>记事</vt:lpstr>
      <vt:lpstr>步骤</vt:lpstr>
      <vt:lpstr>1报表</vt:lpstr>
      <vt:lpstr>2报表调整</vt:lpstr>
      <vt:lpstr>3收入</vt:lpstr>
      <vt:lpstr>4成本</vt:lpstr>
      <vt:lpstr>5税金</vt:lpstr>
      <vt:lpstr>6销管</vt:lpstr>
      <vt:lpstr>7折旧</vt:lpstr>
      <vt:lpstr>8摊销</vt:lpstr>
      <vt:lpstr>9溢余现金</vt:lpstr>
      <vt:lpstr>10营运</vt:lpstr>
      <vt:lpstr>11财务费用</vt:lpstr>
      <vt:lpstr>12收益表</vt:lpstr>
      <vt:lpstr>13FCFF</vt:lpstr>
      <vt:lpstr>14FCFE</vt:lpstr>
      <vt:lpstr>预测财报</vt:lpstr>
      <vt:lpstr>'4成本'!Print_Area</vt:lpstr>
      <vt:lpstr>步骤!Print_Area</vt:lpstr>
      <vt:lpstr>'4成本'!Print_Titles</vt:lpstr>
      <vt:lpstr>'7折旧'!Print_Titles</vt:lpstr>
      <vt:lpstr>'8摊销'!Print_Titles</vt:lpstr>
      <vt:lpstr>步骤!Print_Titles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周鹰飞</dc:creator>
  <cp:lastModifiedBy>Windows 用户</cp:lastModifiedBy>
  <cp:lastPrinted>2018-11-05T16:21:33Z</cp:lastPrinted>
  <dcterms:created xsi:type="dcterms:W3CDTF">1996-12-17T01:32:42Z</dcterms:created>
  <dcterms:modified xsi:type="dcterms:W3CDTF">2020-07-13T06:15:36Z</dcterms:modified>
</cp:coreProperties>
</file>