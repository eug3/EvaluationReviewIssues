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2.xml" ContentType="application/vnd.openxmlformats-officedocument.drawing+xml"/>
  <Override PartName="/xl/comments6.xml" ContentType="application/vnd.openxmlformats-officedocument.spreadsheetml.comments+xml"/>
  <Override PartName="/xl/drawings/drawing3.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defaultThemeVersion="124226"/>
  <bookViews>
    <workbookView xWindow="-110" yWindow="-110" windowWidth="19420" windowHeight="10430" tabRatio="822" firstSheet="2" activeTab="8"/>
  </bookViews>
  <sheets>
    <sheet name="记事" sheetId="1" r:id="rId1"/>
    <sheet name="步骤" sheetId="45" r:id="rId2"/>
    <sheet name="1报表" sheetId="2" r:id="rId3"/>
    <sheet name="2报表调整" sheetId="50" r:id="rId4"/>
    <sheet name="3收入" sheetId="8" r:id="rId5"/>
    <sheet name="4成本" sheetId="10" r:id="rId6"/>
    <sheet name="5税金" sheetId="17" r:id="rId7"/>
    <sheet name="6销管" sheetId="18" r:id="rId8"/>
    <sheet name="7折旧" sheetId="16" r:id="rId9"/>
    <sheet name="8摊销" sheetId="53" r:id="rId10"/>
    <sheet name="9溢余现金" sheetId="54" r:id="rId11"/>
    <sheet name="10营运" sheetId="6" r:id="rId12"/>
    <sheet name="11财务费用" sheetId="51" r:id="rId13"/>
    <sheet name="12收益表" sheetId="52" r:id="rId14"/>
    <sheet name="13FCFF" sheetId="38" r:id="rId15"/>
    <sheet name="14FCFE" sheetId="49" r:id="rId16"/>
    <sheet name="预测财报" sheetId="5" r:id="rId17"/>
  </sheets>
  <externalReferences>
    <externalReference r:id="rId18"/>
    <externalReference r:id="rId19"/>
    <externalReference r:id="rId20"/>
  </externalReferences>
  <definedNames>
    <definedName name="_2003_6_25" localSheetId="13">[1]ITEM!#REF!</definedName>
    <definedName name="_2003_6_25" localSheetId="3">[1]ITEM!#REF!</definedName>
    <definedName name="_2003_6_25" localSheetId="9">[1]ITEM!#REF!</definedName>
    <definedName name="_2003_6_25" localSheetId="10">[1]ITEM!#REF!</definedName>
    <definedName name="_2003_6_25">[1]ITEM!#REF!</definedName>
    <definedName name="_BSP2" localSheetId="13">#REF!</definedName>
    <definedName name="_BSP2" localSheetId="15">#REF!</definedName>
    <definedName name="_BSP2" localSheetId="3">#REF!</definedName>
    <definedName name="_BSP2" localSheetId="9">#REF!</definedName>
    <definedName name="_BSP2" localSheetId="10">#REF!</definedName>
    <definedName name="_BSP2">#REF!</definedName>
    <definedName name="_xlnm._FilterDatabase" localSheetId="13" hidden="1">'12收益表'!$A$1:$AC$24</definedName>
    <definedName name="_xlnm._FilterDatabase" localSheetId="14" hidden="1">'13FCFF'!$A$1:$M$50</definedName>
    <definedName name="_xlnm._FilterDatabase" localSheetId="15" hidden="1">'14FCFE'!$B$1:$N$34</definedName>
    <definedName name="_xlnm._FilterDatabase" localSheetId="4" hidden="1">'3收入'!$A$4:$I$5</definedName>
    <definedName name="_xlnm._FilterDatabase" localSheetId="5" hidden="1">'4成本'!#REF!</definedName>
    <definedName name="_xlnm._FilterDatabase" localSheetId="8" hidden="1">'7折旧'!$A$1:$K$79</definedName>
    <definedName name="_xlnm._FilterDatabase" localSheetId="9" hidden="1">'8摊销'!$A$1:$K$73</definedName>
    <definedName name="_xlnm._FilterDatabase" localSheetId="16" hidden="1">预测财报!$A$1:$AC$101</definedName>
    <definedName name="_pgz101" localSheetId="13">#REF!</definedName>
    <definedName name="_pgz101" localSheetId="15">#REF!</definedName>
    <definedName name="_pgz101" localSheetId="3">#REF!</definedName>
    <definedName name="_pgz101" localSheetId="9">#REF!</definedName>
    <definedName name="_pgz101" localSheetId="10">#REF!</definedName>
    <definedName name="_pgz101">#REF!</definedName>
    <definedName name="_pgz102" localSheetId="13">#REF!</definedName>
    <definedName name="_pgz102" localSheetId="15">#REF!</definedName>
    <definedName name="_pgz102" localSheetId="3">#REF!</definedName>
    <definedName name="_pgz102" localSheetId="9">#REF!</definedName>
    <definedName name="_pgz102" localSheetId="10">#REF!</definedName>
    <definedName name="_pgz102">#REF!</definedName>
    <definedName name="_pgz103" localSheetId="13">#REF!</definedName>
    <definedName name="_pgz103" localSheetId="15">#REF!</definedName>
    <definedName name="_pgz103" localSheetId="3">#REF!</definedName>
    <definedName name="_pgz103" localSheetId="9">#REF!</definedName>
    <definedName name="_pgz103" localSheetId="10">#REF!</definedName>
    <definedName name="_pgz103">#REF!</definedName>
    <definedName name="_pgz104" localSheetId="13">#REF!</definedName>
    <definedName name="_pgz104" localSheetId="15">#REF!</definedName>
    <definedName name="_pgz104" localSheetId="3">#REF!</definedName>
    <definedName name="_pgz104" localSheetId="9">#REF!</definedName>
    <definedName name="_pgz104" localSheetId="10">#REF!</definedName>
    <definedName name="_pgz104">#REF!</definedName>
    <definedName name="_pgz105" localSheetId="13">#REF!</definedName>
    <definedName name="_pgz105" localSheetId="15">#REF!</definedName>
    <definedName name="_pgz105" localSheetId="3">#REF!</definedName>
    <definedName name="_pgz105" localSheetId="9">#REF!</definedName>
    <definedName name="_pgz105" localSheetId="10">#REF!</definedName>
    <definedName name="_pgz105">#REF!</definedName>
    <definedName name="_pgz106" localSheetId="13">#REF!</definedName>
    <definedName name="_pgz106" localSheetId="15">#REF!</definedName>
    <definedName name="_pgz106" localSheetId="3">#REF!</definedName>
    <definedName name="_pgz106" localSheetId="9">#REF!</definedName>
    <definedName name="_pgz106" localSheetId="10">#REF!</definedName>
    <definedName name="_pgz106">#REF!</definedName>
    <definedName name="_pgz511" localSheetId="13">#REF!</definedName>
    <definedName name="_pgz511" localSheetId="15">#REF!</definedName>
    <definedName name="_pgz511" localSheetId="3">#REF!</definedName>
    <definedName name="_pgz511" localSheetId="9">#REF!</definedName>
    <definedName name="_pgz511" localSheetId="10">#REF!</definedName>
    <definedName name="_pgz511">#REF!</definedName>
    <definedName name="_pgz512" localSheetId="13">#REF!</definedName>
    <definedName name="_pgz512" localSheetId="15">#REF!</definedName>
    <definedName name="_pgz512" localSheetId="3">#REF!</definedName>
    <definedName name="_pgz512" localSheetId="9">#REF!</definedName>
    <definedName name="_pgz512" localSheetId="10">#REF!</definedName>
    <definedName name="_pgz512">#REF!</definedName>
    <definedName name="_pgz513" localSheetId="13">#REF!</definedName>
    <definedName name="_pgz513" localSheetId="15">#REF!</definedName>
    <definedName name="_pgz513" localSheetId="3">#REF!</definedName>
    <definedName name="_pgz513" localSheetId="9">#REF!</definedName>
    <definedName name="_pgz513" localSheetId="10">#REF!</definedName>
    <definedName name="_pgz513">#REF!</definedName>
    <definedName name="_pgz521" localSheetId="13">#REF!</definedName>
    <definedName name="_pgz521" localSheetId="15">#REF!</definedName>
    <definedName name="_pgz521" localSheetId="3">#REF!</definedName>
    <definedName name="_pgz521" localSheetId="9">#REF!</definedName>
    <definedName name="_pgz521" localSheetId="10">#REF!</definedName>
    <definedName name="_pgz521">#REF!</definedName>
    <definedName name="_pgz522" localSheetId="13">#REF!</definedName>
    <definedName name="_pgz522" localSheetId="15">#REF!</definedName>
    <definedName name="_pgz522" localSheetId="3">#REF!</definedName>
    <definedName name="_pgz522" localSheetId="9">#REF!</definedName>
    <definedName name="_pgz522" localSheetId="10">#REF!</definedName>
    <definedName name="_pgz522">#REF!</definedName>
    <definedName name="_pgz523" localSheetId="13">#REF!</definedName>
    <definedName name="_pgz523" localSheetId="15">#REF!</definedName>
    <definedName name="_pgz523" localSheetId="3">#REF!</definedName>
    <definedName name="_pgz523" localSheetId="9">#REF!</definedName>
    <definedName name="_pgz523" localSheetId="10">#REF!</definedName>
    <definedName name="_pgz523">#REF!</definedName>
    <definedName name="_pgz53" localSheetId="13">#REF!</definedName>
    <definedName name="_pgz53" localSheetId="15">#REF!</definedName>
    <definedName name="_pgz53" localSheetId="3">#REF!</definedName>
    <definedName name="_pgz53" localSheetId="9">#REF!</definedName>
    <definedName name="_pgz53" localSheetId="10">#REF!</definedName>
    <definedName name="_pgz53">#REF!</definedName>
    <definedName name="_pgz541" localSheetId="13">#REF!</definedName>
    <definedName name="_pgz541" localSheetId="15">#REF!</definedName>
    <definedName name="_pgz541" localSheetId="3">#REF!</definedName>
    <definedName name="_pgz541" localSheetId="9">#REF!</definedName>
    <definedName name="_pgz541" localSheetId="10">#REF!</definedName>
    <definedName name="_pgz541">#REF!</definedName>
    <definedName name="_pgz542" localSheetId="13">#REF!</definedName>
    <definedName name="_pgz542" localSheetId="15">#REF!</definedName>
    <definedName name="_pgz542" localSheetId="3">#REF!</definedName>
    <definedName name="_pgz542" localSheetId="9">#REF!</definedName>
    <definedName name="_pgz542" localSheetId="10">#REF!</definedName>
    <definedName name="_pgz542">#REF!</definedName>
    <definedName name="_pgz55" localSheetId="13">#REF!</definedName>
    <definedName name="_pgz55" localSheetId="15">#REF!</definedName>
    <definedName name="_pgz55" localSheetId="3">#REF!</definedName>
    <definedName name="_pgz55" localSheetId="9">#REF!</definedName>
    <definedName name="_pgz55" localSheetId="10">#REF!</definedName>
    <definedName name="_pgz55">#REF!</definedName>
    <definedName name="_pgz56" localSheetId="13">#REF!</definedName>
    <definedName name="_pgz56" localSheetId="15">#REF!</definedName>
    <definedName name="_pgz56" localSheetId="3">#REF!</definedName>
    <definedName name="_pgz56" localSheetId="9">#REF!</definedName>
    <definedName name="_pgz56" localSheetId="10">#REF!</definedName>
    <definedName name="_pgz56">#REF!</definedName>
    <definedName name="_pgz61" localSheetId="13">#REF!</definedName>
    <definedName name="_pgz61" localSheetId="15">#REF!</definedName>
    <definedName name="_pgz61" localSheetId="3">#REF!</definedName>
    <definedName name="_pgz61" localSheetId="9">#REF!</definedName>
    <definedName name="_pgz61" localSheetId="10">#REF!</definedName>
    <definedName name="_pgz61">#REF!</definedName>
    <definedName name="_pgz62" localSheetId="13">#REF!</definedName>
    <definedName name="_pgz62" localSheetId="15">#REF!</definedName>
    <definedName name="_pgz62" localSheetId="3">#REF!</definedName>
    <definedName name="_pgz62" localSheetId="9">#REF!</definedName>
    <definedName name="_pgz62" localSheetId="10">#REF!</definedName>
    <definedName name="_pgz62">#REF!</definedName>
    <definedName name="_pgz71" localSheetId="13">#REF!</definedName>
    <definedName name="_pgz71" localSheetId="15">#REF!</definedName>
    <definedName name="_pgz71" localSheetId="3">#REF!</definedName>
    <definedName name="_pgz71" localSheetId="9">#REF!</definedName>
    <definedName name="_pgz71" localSheetId="10">#REF!</definedName>
    <definedName name="_pgz71">#REF!</definedName>
    <definedName name="_pgz72" localSheetId="13">#REF!</definedName>
    <definedName name="_pgz72" localSheetId="15">#REF!</definedName>
    <definedName name="_pgz72" localSheetId="3">#REF!</definedName>
    <definedName name="_pgz72" localSheetId="9">#REF!</definedName>
    <definedName name="_pgz72" localSheetId="10">#REF!</definedName>
    <definedName name="_pgz72">#REF!</definedName>
    <definedName name="_pgz81" localSheetId="13">#REF!</definedName>
    <definedName name="_pgz81" localSheetId="15">#REF!</definedName>
    <definedName name="_pgz81" localSheetId="3">#REF!</definedName>
    <definedName name="_pgz81" localSheetId="9">#REF!</definedName>
    <definedName name="_pgz81" localSheetId="10">#REF!</definedName>
    <definedName name="_pgz81">#REF!</definedName>
    <definedName name="_pgz82" localSheetId="13">#REF!</definedName>
    <definedName name="_pgz82" localSheetId="15">#REF!</definedName>
    <definedName name="_pgz82" localSheetId="3">#REF!</definedName>
    <definedName name="_pgz82" localSheetId="9">#REF!</definedName>
    <definedName name="_pgz82" localSheetId="10">#REF!</definedName>
    <definedName name="_pgz82">#REF!</definedName>
    <definedName name="_pgz91" localSheetId="13">#REF!</definedName>
    <definedName name="_pgz91" localSheetId="15">#REF!</definedName>
    <definedName name="_pgz91" localSheetId="3">#REF!</definedName>
    <definedName name="_pgz91" localSheetId="9">#REF!</definedName>
    <definedName name="_pgz91" localSheetId="10">#REF!</definedName>
    <definedName name="_pgz91">#REF!</definedName>
    <definedName name="_pgz910" localSheetId="13">#REF!</definedName>
    <definedName name="_pgz910" localSheetId="15">#REF!</definedName>
    <definedName name="_pgz910" localSheetId="3">#REF!</definedName>
    <definedName name="_pgz910" localSheetId="9">#REF!</definedName>
    <definedName name="_pgz910" localSheetId="10">#REF!</definedName>
    <definedName name="_pgz910">#REF!</definedName>
    <definedName name="_pgz911" localSheetId="13">#REF!</definedName>
    <definedName name="_pgz911" localSheetId="15">#REF!</definedName>
    <definedName name="_pgz911" localSheetId="3">#REF!</definedName>
    <definedName name="_pgz911" localSheetId="9">#REF!</definedName>
    <definedName name="_pgz911" localSheetId="10">#REF!</definedName>
    <definedName name="_pgz911">#REF!</definedName>
    <definedName name="_pgz912" localSheetId="13">#REF!</definedName>
    <definedName name="_pgz912" localSheetId="15">#REF!</definedName>
    <definedName name="_pgz912" localSheetId="3">#REF!</definedName>
    <definedName name="_pgz912" localSheetId="9">#REF!</definedName>
    <definedName name="_pgz912" localSheetId="10">#REF!</definedName>
    <definedName name="_pgz912">#REF!</definedName>
    <definedName name="_pgz913" localSheetId="13">#REF!</definedName>
    <definedName name="_pgz913" localSheetId="15">#REF!</definedName>
    <definedName name="_pgz913" localSheetId="3">#REF!</definedName>
    <definedName name="_pgz913" localSheetId="9">#REF!</definedName>
    <definedName name="_pgz913" localSheetId="10">#REF!</definedName>
    <definedName name="_pgz913">#REF!</definedName>
    <definedName name="_pgz92" localSheetId="13">#REF!</definedName>
    <definedName name="_pgz92" localSheetId="15">#REF!</definedName>
    <definedName name="_pgz92" localSheetId="3">#REF!</definedName>
    <definedName name="_pgz92" localSheetId="9">#REF!</definedName>
    <definedName name="_pgz92" localSheetId="10">#REF!</definedName>
    <definedName name="_pgz92">#REF!</definedName>
    <definedName name="_pgz95" localSheetId="13">#REF!</definedName>
    <definedName name="_pgz95" localSheetId="15">#REF!</definedName>
    <definedName name="_pgz95" localSheetId="3">#REF!</definedName>
    <definedName name="_pgz95" localSheetId="9">#REF!</definedName>
    <definedName name="_pgz95" localSheetId="10">#REF!</definedName>
    <definedName name="_pgz95">#REF!</definedName>
    <definedName name="_pgz97" localSheetId="13">#REF!</definedName>
    <definedName name="_pgz97" localSheetId="15">#REF!</definedName>
    <definedName name="_pgz97" localSheetId="3">#REF!</definedName>
    <definedName name="_pgz97" localSheetId="9">#REF!</definedName>
    <definedName name="_pgz97" localSheetId="10">#REF!</definedName>
    <definedName name="_pgz97">#REF!</definedName>
    <definedName name="_pgz98" localSheetId="13">#REF!</definedName>
    <definedName name="_pgz98" localSheetId="15">#REF!</definedName>
    <definedName name="_pgz98" localSheetId="3">#REF!</definedName>
    <definedName name="_pgz98" localSheetId="9">#REF!</definedName>
    <definedName name="_pgz98" localSheetId="10">#REF!</definedName>
    <definedName name="_pgz98">#REF!</definedName>
    <definedName name="_yz511" localSheetId="13">#REF!</definedName>
    <definedName name="_yz511" localSheetId="15">#REF!</definedName>
    <definedName name="_yz511" localSheetId="3">#REF!</definedName>
    <definedName name="_yz511" localSheetId="9">#REF!</definedName>
    <definedName name="_yz511" localSheetId="10">#REF!</definedName>
    <definedName name="_yz511">#REF!</definedName>
    <definedName name="_yz512" localSheetId="13">#REF!</definedName>
    <definedName name="_yz512" localSheetId="15">#REF!</definedName>
    <definedName name="_yz512" localSheetId="3">#REF!</definedName>
    <definedName name="_yz512" localSheetId="9">#REF!</definedName>
    <definedName name="_yz512" localSheetId="10">#REF!</definedName>
    <definedName name="_yz512">#REF!</definedName>
    <definedName name="_yz513" localSheetId="13">#REF!</definedName>
    <definedName name="_yz513" localSheetId="15">#REF!</definedName>
    <definedName name="_yz513" localSheetId="3">#REF!</definedName>
    <definedName name="_yz513" localSheetId="9">#REF!</definedName>
    <definedName name="_yz513" localSheetId="10">#REF!</definedName>
    <definedName name="_yz513">#REF!</definedName>
    <definedName name="_yz521" localSheetId="13">#REF!</definedName>
    <definedName name="_yz521" localSheetId="15">#REF!</definedName>
    <definedName name="_yz521" localSheetId="3">#REF!</definedName>
    <definedName name="_yz521" localSheetId="9">#REF!</definedName>
    <definedName name="_yz521" localSheetId="10">#REF!</definedName>
    <definedName name="_yz521">#REF!</definedName>
    <definedName name="_yz522" localSheetId="13">#REF!</definedName>
    <definedName name="_yz522" localSheetId="15">#REF!</definedName>
    <definedName name="_yz522" localSheetId="3">#REF!</definedName>
    <definedName name="_yz522" localSheetId="9">#REF!</definedName>
    <definedName name="_yz522" localSheetId="10">#REF!</definedName>
    <definedName name="_yz522">#REF!</definedName>
    <definedName name="_yz523" localSheetId="13">#REF!</definedName>
    <definedName name="_yz523" localSheetId="15">#REF!</definedName>
    <definedName name="_yz523" localSheetId="3">#REF!</definedName>
    <definedName name="_yz523" localSheetId="9">#REF!</definedName>
    <definedName name="_yz523" localSheetId="10">#REF!</definedName>
    <definedName name="_yz523">#REF!</definedName>
    <definedName name="A2003_2_1" localSheetId="13">#REF!</definedName>
    <definedName name="A2003_2_1" localSheetId="3">#REF!</definedName>
    <definedName name="A2003_2_1" localSheetId="9">#REF!</definedName>
    <definedName name="A2003_2_1" localSheetId="10">#REF!</definedName>
    <definedName name="A2003_2_1">#REF!</definedName>
    <definedName name="aa">[2]收入!$C$31</definedName>
    <definedName name="bb">[2]说明!$C$31</definedName>
    <definedName name="BS" localSheetId="13">#REF!</definedName>
    <definedName name="BS" localSheetId="15">#REF!</definedName>
    <definedName name="BS" localSheetId="3">#REF!</definedName>
    <definedName name="BS" localSheetId="9">#REF!</definedName>
    <definedName name="BS" localSheetId="10">#REF!</definedName>
    <definedName name="BS">#REF!</definedName>
    <definedName name="BSCS" localSheetId="13">#REF!</definedName>
    <definedName name="BSCS" localSheetId="15">#REF!</definedName>
    <definedName name="BSCS" localSheetId="3">#REF!</definedName>
    <definedName name="BSCS" localSheetId="9">#REF!</definedName>
    <definedName name="BSCS" localSheetId="10">#REF!</definedName>
    <definedName name="BSCS">#REF!</definedName>
    <definedName name="BSCSP2" localSheetId="13">#REF!</definedName>
    <definedName name="BSCSP2" localSheetId="15">#REF!</definedName>
    <definedName name="BSCSP2" localSheetId="3">#REF!</definedName>
    <definedName name="BSCSP2" localSheetId="9">#REF!</definedName>
    <definedName name="BSCSP2" localSheetId="10">#REF!</definedName>
    <definedName name="BSCSP2">#REF!</definedName>
    <definedName name="_xlnm.Database" localSheetId="13">#REF!</definedName>
    <definedName name="_xlnm.Database" localSheetId="15">#REF!</definedName>
    <definedName name="_xlnm.Database" localSheetId="3">#REF!</definedName>
    <definedName name="_xlnm.Database" localSheetId="9">#REF!</definedName>
    <definedName name="_xlnm.Database" localSheetId="10">#REF!</definedName>
    <definedName name="_xlnm.Database">#REF!</definedName>
    <definedName name="DCF打印" localSheetId="13">#REF!</definedName>
    <definedName name="DCF打印" localSheetId="15">#REF!</definedName>
    <definedName name="DCF打印" localSheetId="3">#REF!</definedName>
    <definedName name="DCF打印" localSheetId="9">#REF!</definedName>
    <definedName name="DCF打印" localSheetId="10">#REF!</definedName>
    <definedName name="DCF打印">#REF!</definedName>
    <definedName name="e3004_2" localSheetId="13">[1]ITEM!#REF!</definedName>
    <definedName name="e3004_2" localSheetId="3">[1]ITEM!#REF!</definedName>
    <definedName name="e3004_2" localSheetId="9">[1]ITEM!#REF!</definedName>
    <definedName name="e3004_2" localSheetId="10">[1]ITEM!#REF!</definedName>
    <definedName name="e3004_2">[1]ITEM!#REF!</definedName>
    <definedName name="gy" localSheetId="13">#REF!</definedName>
    <definedName name="gy" localSheetId="15">#REF!</definedName>
    <definedName name="gy" localSheetId="3">#REF!</definedName>
    <definedName name="gy" localSheetId="9">#REF!</definedName>
    <definedName name="gy" localSheetId="10">#REF!</definedName>
    <definedName name="gy">#REF!</definedName>
    <definedName name="gz" localSheetId="13">#REF!</definedName>
    <definedName name="gz" localSheetId="15">#REF!</definedName>
    <definedName name="gz" localSheetId="3">#REF!</definedName>
    <definedName name="gz" localSheetId="9">#REF!</definedName>
    <definedName name="gz" localSheetId="10">#REF!</definedName>
    <definedName name="gz">#REF!</definedName>
    <definedName name="hh">[2]收入!$A$15</definedName>
    <definedName name="hjp">[2]收入!$A$15</definedName>
    <definedName name="IS" localSheetId="13">#REF!</definedName>
    <definedName name="IS" localSheetId="15">#REF!</definedName>
    <definedName name="IS" localSheetId="3">#REF!</definedName>
    <definedName name="IS" localSheetId="9">#REF!</definedName>
    <definedName name="IS" localSheetId="10">#REF!</definedName>
    <definedName name="IS">#REF!</definedName>
    <definedName name="ISCS" localSheetId="13">#REF!</definedName>
    <definedName name="ISCS" localSheetId="15">#REF!</definedName>
    <definedName name="ISCS" localSheetId="3">#REF!</definedName>
    <definedName name="ISCS" localSheetId="9">#REF!</definedName>
    <definedName name="ISCS" localSheetId="10">#REF!</definedName>
    <definedName name="ISCS">#REF!</definedName>
    <definedName name="ISCSP" localSheetId="13">#REF!</definedName>
    <definedName name="ISCSP" localSheetId="15">#REF!</definedName>
    <definedName name="ISCSP" localSheetId="3">#REF!</definedName>
    <definedName name="ISCSP" localSheetId="9">#REF!</definedName>
    <definedName name="ISCSP" localSheetId="10">#REF!</definedName>
    <definedName name="ISCSP">#REF!</definedName>
    <definedName name="ISP" localSheetId="13">#REF!</definedName>
    <definedName name="ISP" localSheetId="15">#REF!</definedName>
    <definedName name="ISP" localSheetId="3">#REF!</definedName>
    <definedName name="ISP" localSheetId="9">#REF!</definedName>
    <definedName name="ISP" localSheetId="10">#REF!</definedName>
    <definedName name="ISP">#REF!</definedName>
    <definedName name="KMDM" localSheetId="13">#REF!</definedName>
    <definedName name="KMDM" localSheetId="3">#REF!</definedName>
    <definedName name="KMDM" localSheetId="9">#REF!</definedName>
    <definedName name="KMDM" localSheetId="10">#REF!</definedName>
    <definedName name="KMDM">#REF!</definedName>
    <definedName name="pgyz511" localSheetId="13">#REF!</definedName>
    <definedName name="pgyz511" localSheetId="15">#REF!</definedName>
    <definedName name="pgyz511" localSheetId="3">#REF!</definedName>
    <definedName name="pgyz511" localSheetId="9">#REF!</definedName>
    <definedName name="pgyz511" localSheetId="10">#REF!</definedName>
    <definedName name="pgyz511">#REF!</definedName>
    <definedName name="pgyz512" localSheetId="13">#REF!</definedName>
    <definedName name="pgyz512" localSheetId="15">#REF!</definedName>
    <definedName name="pgyz512" localSheetId="3">#REF!</definedName>
    <definedName name="pgyz512" localSheetId="9">#REF!</definedName>
    <definedName name="pgyz512" localSheetId="10">#REF!</definedName>
    <definedName name="pgyz512">#REF!</definedName>
    <definedName name="pgyz513" localSheetId="13">#REF!</definedName>
    <definedName name="pgyz513" localSheetId="15">#REF!</definedName>
    <definedName name="pgyz513" localSheetId="3">#REF!</definedName>
    <definedName name="pgyz513" localSheetId="9">#REF!</definedName>
    <definedName name="pgyz513" localSheetId="10">#REF!</definedName>
    <definedName name="pgyz513">#REF!</definedName>
    <definedName name="pgyz521" localSheetId="13">#REF!</definedName>
    <definedName name="pgyz521" localSheetId="15">#REF!</definedName>
    <definedName name="pgyz521" localSheetId="3">#REF!</definedName>
    <definedName name="pgyz521" localSheetId="9">#REF!</definedName>
    <definedName name="pgyz521" localSheetId="10">#REF!</definedName>
    <definedName name="pgyz521">#REF!</definedName>
    <definedName name="pgyz522" localSheetId="13">#REF!</definedName>
    <definedName name="pgyz522" localSheetId="15">#REF!</definedName>
    <definedName name="pgyz522" localSheetId="3">#REF!</definedName>
    <definedName name="pgyz522" localSheetId="9">#REF!</definedName>
    <definedName name="pgyz522" localSheetId="10">#REF!</definedName>
    <definedName name="pgyz522">#REF!</definedName>
    <definedName name="pgyz523" localSheetId="13">#REF!</definedName>
    <definedName name="pgyz523" localSheetId="15">#REF!</definedName>
    <definedName name="pgyz523" localSheetId="3">#REF!</definedName>
    <definedName name="pgyz523" localSheetId="9">#REF!</definedName>
    <definedName name="pgyz523" localSheetId="10">#REF!</definedName>
    <definedName name="pgyz523">#REF!</definedName>
    <definedName name="_xlnm.Print_Area" localSheetId="13">#REF!</definedName>
    <definedName name="_xlnm.Print_Area" localSheetId="15">#REF!</definedName>
    <definedName name="_xlnm.Print_Area" localSheetId="3">#REF!</definedName>
    <definedName name="_xlnm.Print_Area" localSheetId="5">'4成本'!$4:$5</definedName>
    <definedName name="_xlnm.Print_Area" localSheetId="9">#REF!</definedName>
    <definedName name="_xlnm.Print_Area" localSheetId="10">#REF!</definedName>
    <definedName name="_xlnm.Print_Area" localSheetId="1">步骤!$B$1:$E$37</definedName>
    <definedName name="_xlnm.Print_Area">#REF!</definedName>
    <definedName name="Print_Area_MI" localSheetId="13">#REF!</definedName>
    <definedName name="Print_Area_MI" localSheetId="15">#REF!</definedName>
    <definedName name="Print_Area_MI" localSheetId="3">#REF!</definedName>
    <definedName name="Print_Area_MI" localSheetId="9">#REF!</definedName>
    <definedName name="Print_Area_MI" localSheetId="10">#REF!</definedName>
    <definedName name="Print_Area_MI">#REF!</definedName>
    <definedName name="_xlnm.Print_Titles" localSheetId="13">#REF!</definedName>
    <definedName name="_xlnm.Print_Titles" localSheetId="15">#REF!</definedName>
    <definedName name="_xlnm.Print_Titles" localSheetId="3">#REF!</definedName>
    <definedName name="_xlnm.Print_Titles" localSheetId="5">'4成本'!$1:$3</definedName>
    <definedName name="_xlnm.Print_Titles" localSheetId="8">'7折旧'!$1:$3</definedName>
    <definedName name="_xlnm.Print_Titles" localSheetId="9">'8摊销'!$1:$3</definedName>
    <definedName name="_xlnm.Print_Titles" localSheetId="10">#REF!</definedName>
    <definedName name="_xlnm.Print_Titles" localSheetId="1">步骤!$1:$6</definedName>
    <definedName name="_xlnm.Print_Titles">#REF!</definedName>
    <definedName name="rose">[3]XL4Poppy!$A$15</definedName>
    <definedName name="sheet1" localSheetId="13">#REF!</definedName>
    <definedName name="sheet1" localSheetId="15">#REF!</definedName>
    <definedName name="sheet1" localSheetId="3">#REF!</definedName>
    <definedName name="sheet1" localSheetId="9">#REF!</definedName>
    <definedName name="sheet1" localSheetId="10">#REF!</definedName>
    <definedName name="sheet1">#REF!</definedName>
    <definedName name="sheet2" localSheetId="13">#REF!</definedName>
    <definedName name="sheet2" localSheetId="15">#REF!</definedName>
    <definedName name="sheet2" localSheetId="3">#REF!</definedName>
    <definedName name="sheet2" localSheetId="9">#REF!</definedName>
    <definedName name="sheet2" localSheetId="10">#REF!</definedName>
    <definedName name="sheet2">#REF!</definedName>
    <definedName name="sheet3" localSheetId="13">#REF!</definedName>
    <definedName name="sheet3" localSheetId="15">#REF!</definedName>
    <definedName name="sheet3" localSheetId="3">#REF!</definedName>
    <definedName name="sheet3" localSheetId="9">#REF!</definedName>
    <definedName name="sheet3" localSheetId="10">#REF!</definedName>
    <definedName name="sheet3">#REF!</definedName>
    <definedName name="sheet4" localSheetId="13">#REF!</definedName>
    <definedName name="sheet4" localSheetId="15">#REF!</definedName>
    <definedName name="sheet4" localSheetId="3">#REF!</definedName>
    <definedName name="sheet4" localSheetId="9">#REF!</definedName>
    <definedName name="sheet4" localSheetId="10">#REF!</definedName>
    <definedName name="sheet4">#REF!</definedName>
    <definedName name="sheet5" localSheetId="13">#REF!</definedName>
    <definedName name="sheet5" localSheetId="15">#REF!</definedName>
    <definedName name="sheet5" localSheetId="3">#REF!</definedName>
    <definedName name="sheet5" localSheetId="9">#REF!</definedName>
    <definedName name="sheet5" localSheetId="10">#REF!</definedName>
    <definedName name="sheet5">#REF!</definedName>
    <definedName name="sheet6" localSheetId="13">#REF!</definedName>
    <definedName name="sheet6" localSheetId="15">#REF!</definedName>
    <definedName name="sheet6" localSheetId="3">#REF!</definedName>
    <definedName name="sheet6" localSheetId="9">#REF!</definedName>
    <definedName name="sheet6" localSheetId="10">#REF!</definedName>
    <definedName name="sheet6">#REF!</definedName>
    <definedName name="sheet7" localSheetId="13">#REF!</definedName>
    <definedName name="sheet7" localSheetId="15">#REF!</definedName>
    <definedName name="sheet7" localSheetId="3">#REF!</definedName>
    <definedName name="sheet7" localSheetId="9">#REF!</definedName>
    <definedName name="sheet7" localSheetId="10">#REF!</definedName>
    <definedName name="sheet7">#REF!</definedName>
    <definedName name="ss">[2]收入!$A$15</definedName>
    <definedName name="tczmz72" localSheetId="13">#REF!</definedName>
    <definedName name="tczmz72" localSheetId="15">#REF!</definedName>
    <definedName name="tczmz72" localSheetId="3">#REF!</definedName>
    <definedName name="tczmz72" localSheetId="9">#REF!</definedName>
    <definedName name="tczmz72" localSheetId="10">#REF!</definedName>
    <definedName name="tczmz72">#REF!</definedName>
    <definedName name="tzyz511" localSheetId="13">#REF!</definedName>
    <definedName name="tzyz511" localSheetId="15">#REF!</definedName>
    <definedName name="tzyz511" localSheetId="3">#REF!</definedName>
    <definedName name="tzyz511" localSheetId="9">#REF!</definedName>
    <definedName name="tzyz511" localSheetId="10">#REF!</definedName>
    <definedName name="tzyz511">#REF!</definedName>
    <definedName name="tzyz512" localSheetId="13">#REF!</definedName>
    <definedName name="tzyz512" localSheetId="15">#REF!</definedName>
    <definedName name="tzyz512" localSheetId="3">#REF!</definedName>
    <definedName name="tzyz512" localSheetId="9">#REF!</definedName>
    <definedName name="tzyz512" localSheetId="10">#REF!</definedName>
    <definedName name="tzyz512">#REF!</definedName>
    <definedName name="tzyz513" localSheetId="13">#REF!</definedName>
    <definedName name="tzyz513" localSheetId="15">#REF!</definedName>
    <definedName name="tzyz513" localSheetId="3">#REF!</definedName>
    <definedName name="tzyz513" localSheetId="9">#REF!</definedName>
    <definedName name="tzyz513" localSheetId="10">#REF!</definedName>
    <definedName name="tzyz513">#REF!</definedName>
    <definedName name="tzyz521" localSheetId="13">#REF!</definedName>
    <definedName name="tzyz521" localSheetId="15">#REF!</definedName>
    <definedName name="tzyz521" localSheetId="3">#REF!</definedName>
    <definedName name="tzyz521" localSheetId="9">#REF!</definedName>
    <definedName name="tzyz521" localSheetId="10">#REF!</definedName>
    <definedName name="tzyz521">#REF!</definedName>
    <definedName name="tzyz522" localSheetId="13">#REF!</definedName>
    <definedName name="tzyz522" localSheetId="15">#REF!</definedName>
    <definedName name="tzyz522" localSheetId="3">#REF!</definedName>
    <definedName name="tzyz522" localSheetId="9">#REF!</definedName>
    <definedName name="tzyz522" localSheetId="10">#REF!</definedName>
    <definedName name="tzyz522">#REF!</definedName>
    <definedName name="tzyz523" localSheetId="13">#REF!</definedName>
    <definedName name="tzyz523" localSheetId="15">#REF!</definedName>
    <definedName name="tzyz523" localSheetId="3">#REF!</definedName>
    <definedName name="tzyz523" localSheetId="9">#REF!</definedName>
    <definedName name="tzyz523" localSheetId="10">#REF!</definedName>
    <definedName name="tzyz523">#REF!</definedName>
    <definedName name="tzzmz101" localSheetId="13">#REF!</definedName>
    <definedName name="tzzmz101" localSheetId="15">#REF!</definedName>
    <definedName name="tzzmz101" localSheetId="3">#REF!</definedName>
    <definedName name="tzzmz101" localSheetId="9">#REF!</definedName>
    <definedName name="tzzmz101" localSheetId="10">#REF!</definedName>
    <definedName name="tzzmz101">#REF!</definedName>
    <definedName name="tzzmz102" localSheetId="13">#REF!</definedName>
    <definedName name="tzzmz102" localSheetId="15">#REF!</definedName>
    <definedName name="tzzmz102" localSheetId="3">#REF!</definedName>
    <definedName name="tzzmz102" localSheetId="9">#REF!</definedName>
    <definedName name="tzzmz102" localSheetId="10">#REF!</definedName>
    <definedName name="tzzmz102">#REF!</definedName>
    <definedName name="tzzmz103" localSheetId="13">#REF!</definedName>
    <definedName name="tzzmz103" localSheetId="15">#REF!</definedName>
    <definedName name="tzzmz103" localSheetId="3">#REF!</definedName>
    <definedName name="tzzmz103" localSheetId="9">#REF!</definedName>
    <definedName name="tzzmz103" localSheetId="10">#REF!</definedName>
    <definedName name="tzzmz103">#REF!</definedName>
    <definedName name="tzzmz104" localSheetId="13">#REF!</definedName>
    <definedName name="tzzmz104" localSheetId="15">#REF!</definedName>
    <definedName name="tzzmz104" localSheetId="3">#REF!</definedName>
    <definedName name="tzzmz104" localSheetId="9">#REF!</definedName>
    <definedName name="tzzmz104" localSheetId="10">#REF!</definedName>
    <definedName name="tzzmz104">#REF!</definedName>
    <definedName name="tzzmz105" localSheetId="13">#REF!</definedName>
    <definedName name="tzzmz105" localSheetId="15">#REF!</definedName>
    <definedName name="tzzmz105" localSheetId="3">#REF!</definedName>
    <definedName name="tzzmz105" localSheetId="9">#REF!</definedName>
    <definedName name="tzzmz105" localSheetId="10">#REF!</definedName>
    <definedName name="tzzmz105">#REF!</definedName>
    <definedName name="tzzmz106" localSheetId="13">#REF!</definedName>
    <definedName name="tzzmz106" localSheetId="15">#REF!</definedName>
    <definedName name="tzzmz106" localSheetId="3">#REF!</definedName>
    <definedName name="tzzmz106" localSheetId="9">#REF!</definedName>
    <definedName name="tzzmz106" localSheetId="10">#REF!</definedName>
    <definedName name="tzzmz106">#REF!</definedName>
    <definedName name="tzzmz511" localSheetId="13">#REF!</definedName>
    <definedName name="tzzmz511" localSheetId="15">#REF!</definedName>
    <definedName name="tzzmz511" localSheetId="3">#REF!</definedName>
    <definedName name="tzzmz511" localSheetId="9">#REF!</definedName>
    <definedName name="tzzmz511" localSheetId="10">#REF!</definedName>
    <definedName name="tzzmz511">#REF!</definedName>
    <definedName name="tzzmz512" localSheetId="13">#REF!</definedName>
    <definedName name="tzzmz512" localSheetId="15">#REF!</definedName>
    <definedName name="tzzmz512" localSheetId="3">#REF!</definedName>
    <definedName name="tzzmz512" localSheetId="9">#REF!</definedName>
    <definedName name="tzzmz512" localSheetId="10">#REF!</definedName>
    <definedName name="tzzmz512">#REF!</definedName>
    <definedName name="tzzmz513" localSheetId="13">#REF!</definedName>
    <definedName name="tzzmz513" localSheetId="15">#REF!</definedName>
    <definedName name="tzzmz513" localSheetId="3">#REF!</definedName>
    <definedName name="tzzmz513" localSheetId="9">#REF!</definedName>
    <definedName name="tzzmz513" localSheetId="10">#REF!</definedName>
    <definedName name="tzzmz513">#REF!</definedName>
    <definedName name="tzzmz521" localSheetId="13">#REF!</definedName>
    <definedName name="tzzmz521" localSheetId="15">#REF!</definedName>
    <definedName name="tzzmz521" localSheetId="3">#REF!</definedName>
    <definedName name="tzzmz521" localSheetId="9">#REF!</definedName>
    <definedName name="tzzmz521" localSheetId="10">#REF!</definedName>
    <definedName name="tzzmz521">#REF!</definedName>
    <definedName name="tzzmz522" localSheetId="13">#REF!</definedName>
    <definedName name="tzzmz522" localSheetId="15">#REF!</definedName>
    <definedName name="tzzmz522" localSheetId="3">#REF!</definedName>
    <definedName name="tzzmz522" localSheetId="9">#REF!</definedName>
    <definedName name="tzzmz522" localSheetId="10">#REF!</definedName>
    <definedName name="tzzmz522">#REF!</definedName>
    <definedName name="tzzmz523" localSheetId="13">#REF!</definedName>
    <definedName name="tzzmz523" localSheetId="15">#REF!</definedName>
    <definedName name="tzzmz523" localSheetId="3">#REF!</definedName>
    <definedName name="tzzmz523" localSheetId="9">#REF!</definedName>
    <definedName name="tzzmz523" localSheetId="10">#REF!</definedName>
    <definedName name="tzzmz523">#REF!</definedName>
    <definedName name="tzzmz53" localSheetId="13">#REF!</definedName>
    <definedName name="tzzmz53" localSheetId="15">#REF!</definedName>
    <definedName name="tzzmz53" localSheetId="3">#REF!</definedName>
    <definedName name="tzzmz53" localSheetId="9">#REF!</definedName>
    <definedName name="tzzmz53" localSheetId="10">#REF!</definedName>
    <definedName name="tzzmz53">#REF!</definedName>
    <definedName name="tzzmz541" localSheetId="13">#REF!</definedName>
    <definedName name="tzzmz541" localSheetId="15">#REF!</definedName>
    <definedName name="tzzmz541" localSheetId="3">#REF!</definedName>
    <definedName name="tzzmz541" localSheetId="9">#REF!</definedName>
    <definedName name="tzzmz541" localSheetId="10">#REF!</definedName>
    <definedName name="tzzmz541">#REF!</definedName>
    <definedName name="tzzmz542" localSheetId="13">#REF!</definedName>
    <definedName name="tzzmz542" localSheetId="15">#REF!</definedName>
    <definedName name="tzzmz542" localSheetId="3">#REF!</definedName>
    <definedName name="tzzmz542" localSheetId="9">#REF!</definedName>
    <definedName name="tzzmz542" localSheetId="10">#REF!</definedName>
    <definedName name="tzzmz542">#REF!</definedName>
    <definedName name="tzzmz55" localSheetId="13">#REF!</definedName>
    <definedName name="tzzmz55" localSheetId="15">#REF!</definedName>
    <definedName name="tzzmz55" localSheetId="3">#REF!</definedName>
    <definedName name="tzzmz55" localSheetId="9">#REF!</definedName>
    <definedName name="tzzmz55" localSheetId="10">#REF!</definedName>
    <definedName name="tzzmz55">#REF!</definedName>
    <definedName name="tzzmz56" localSheetId="13">#REF!</definedName>
    <definedName name="tzzmz56" localSheetId="15">#REF!</definedName>
    <definedName name="tzzmz56" localSheetId="3">#REF!</definedName>
    <definedName name="tzzmz56" localSheetId="9">#REF!</definedName>
    <definedName name="tzzmz56" localSheetId="10">#REF!</definedName>
    <definedName name="tzzmz56">#REF!</definedName>
    <definedName name="tzzmz61" localSheetId="13">#REF!</definedName>
    <definedName name="tzzmz61" localSheetId="15">#REF!</definedName>
    <definedName name="tzzmz61" localSheetId="3">#REF!</definedName>
    <definedName name="tzzmz61" localSheetId="9">#REF!</definedName>
    <definedName name="tzzmz61" localSheetId="10">#REF!</definedName>
    <definedName name="tzzmz61">#REF!</definedName>
    <definedName name="tzzmz62" localSheetId="13">#REF!</definedName>
    <definedName name="tzzmz62" localSheetId="15">#REF!</definedName>
    <definedName name="tzzmz62" localSheetId="3">#REF!</definedName>
    <definedName name="tzzmz62" localSheetId="9">#REF!</definedName>
    <definedName name="tzzmz62" localSheetId="10">#REF!</definedName>
    <definedName name="tzzmz62">#REF!</definedName>
    <definedName name="tzzmz71" localSheetId="13">#REF!</definedName>
    <definedName name="tzzmz71" localSheetId="15">#REF!</definedName>
    <definedName name="tzzmz71" localSheetId="3">#REF!</definedName>
    <definedName name="tzzmz71" localSheetId="9">#REF!</definedName>
    <definedName name="tzzmz71" localSheetId="10">#REF!</definedName>
    <definedName name="tzzmz71">#REF!</definedName>
    <definedName name="tzzmz72" localSheetId="13">#REF!</definedName>
    <definedName name="tzzmz72" localSheetId="15">#REF!</definedName>
    <definedName name="tzzmz72" localSheetId="3">#REF!</definedName>
    <definedName name="tzzmz72" localSheetId="9">#REF!</definedName>
    <definedName name="tzzmz72" localSheetId="10">#REF!</definedName>
    <definedName name="tzzmz72">#REF!</definedName>
    <definedName name="tzzmz81" localSheetId="13">#REF!</definedName>
    <definedName name="tzzmz81" localSheetId="15">#REF!</definedName>
    <definedName name="tzzmz81" localSheetId="3">#REF!</definedName>
    <definedName name="tzzmz81" localSheetId="9">#REF!</definedName>
    <definedName name="tzzmz81" localSheetId="10">#REF!</definedName>
    <definedName name="tzzmz81">#REF!</definedName>
    <definedName name="tzzmz82" localSheetId="13">#REF!</definedName>
    <definedName name="tzzmz82" localSheetId="15">#REF!</definedName>
    <definedName name="tzzmz82" localSheetId="3">#REF!</definedName>
    <definedName name="tzzmz82" localSheetId="9">#REF!</definedName>
    <definedName name="tzzmz82" localSheetId="10">#REF!</definedName>
    <definedName name="tzzmz82">#REF!</definedName>
    <definedName name="tzzmz91" localSheetId="13">#REF!</definedName>
    <definedName name="tzzmz91" localSheetId="15">#REF!</definedName>
    <definedName name="tzzmz91" localSheetId="3">#REF!</definedName>
    <definedName name="tzzmz91" localSheetId="9">#REF!</definedName>
    <definedName name="tzzmz91" localSheetId="10">#REF!</definedName>
    <definedName name="tzzmz91">#REF!</definedName>
    <definedName name="tzzmz910" localSheetId="13">#REF!</definedName>
    <definedName name="tzzmz910" localSheetId="15">#REF!</definedName>
    <definedName name="tzzmz910" localSheetId="3">#REF!</definedName>
    <definedName name="tzzmz910" localSheetId="9">#REF!</definedName>
    <definedName name="tzzmz910" localSheetId="10">#REF!</definedName>
    <definedName name="tzzmz910">#REF!</definedName>
    <definedName name="tzzmz911" localSheetId="13">#REF!</definedName>
    <definedName name="tzzmz911" localSheetId="15">#REF!</definedName>
    <definedName name="tzzmz911" localSheetId="3">#REF!</definedName>
    <definedName name="tzzmz911" localSheetId="9">#REF!</definedName>
    <definedName name="tzzmz911" localSheetId="10">#REF!</definedName>
    <definedName name="tzzmz911">#REF!</definedName>
    <definedName name="tzzmz912" localSheetId="13">#REF!</definedName>
    <definedName name="tzzmz912" localSheetId="15">#REF!</definedName>
    <definedName name="tzzmz912" localSheetId="3">#REF!</definedName>
    <definedName name="tzzmz912" localSheetId="9">#REF!</definedName>
    <definedName name="tzzmz912" localSheetId="10">#REF!</definedName>
    <definedName name="tzzmz912">#REF!</definedName>
    <definedName name="tzzmz913" localSheetId="13">#REF!</definedName>
    <definedName name="tzzmz913" localSheetId="15">#REF!</definedName>
    <definedName name="tzzmz913" localSheetId="3">#REF!</definedName>
    <definedName name="tzzmz913" localSheetId="9">#REF!</definedName>
    <definedName name="tzzmz913" localSheetId="10">#REF!</definedName>
    <definedName name="tzzmz913">#REF!</definedName>
    <definedName name="tzzmz92" localSheetId="13">#REF!</definedName>
    <definedName name="tzzmz92" localSheetId="15">#REF!</definedName>
    <definedName name="tzzmz92" localSheetId="3">#REF!</definedName>
    <definedName name="tzzmz92" localSheetId="9">#REF!</definedName>
    <definedName name="tzzmz92" localSheetId="10">#REF!</definedName>
    <definedName name="tzzmz92">#REF!</definedName>
    <definedName name="tzzmz95" localSheetId="13">#REF!</definedName>
    <definedName name="tzzmz95" localSheetId="15">#REF!</definedName>
    <definedName name="tzzmz95" localSheetId="3">#REF!</definedName>
    <definedName name="tzzmz95" localSheetId="9">#REF!</definedName>
    <definedName name="tzzmz95" localSheetId="10">#REF!</definedName>
    <definedName name="tzzmz95">#REF!</definedName>
    <definedName name="tzzmz97" localSheetId="13">#REF!</definedName>
    <definedName name="tzzmz97" localSheetId="15">#REF!</definedName>
    <definedName name="tzzmz97" localSheetId="3">#REF!</definedName>
    <definedName name="tzzmz97" localSheetId="9">#REF!</definedName>
    <definedName name="tzzmz97" localSheetId="10">#REF!</definedName>
    <definedName name="tzzmz97">#REF!</definedName>
    <definedName name="tzzmz98" localSheetId="13">#REF!</definedName>
    <definedName name="tzzmz98" localSheetId="15">#REF!</definedName>
    <definedName name="tzzmz98" localSheetId="3">#REF!</definedName>
    <definedName name="tzzmz98" localSheetId="9">#REF!</definedName>
    <definedName name="tzzmz98" localSheetId="10">#REF!</definedName>
    <definedName name="tzzmz98">#REF!</definedName>
    <definedName name="Wedge" localSheetId="13">#REF!</definedName>
    <definedName name="Wedge" localSheetId="15">#REF!</definedName>
    <definedName name="Wedge" localSheetId="3">#REF!</definedName>
    <definedName name="Wedge" localSheetId="9">#REF!</definedName>
    <definedName name="Wedge" localSheetId="10">#REF!</definedName>
    <definedName name="Wedge">#REF!</definedName>
    <definedName name="zmz" localSheetId="13">#REF!</definedName>
    <definedName name="zmz" localSheetId="15">#REF!</definedName>
    <definedName name="zmz" localSheetId="3">#REF!</definedName>
    <definedName name="zmz" localSheetId="9">#REF!</definedName>
    <definedName name="zmz" localSheetId="10">#REF!</definedName>
    <definedName name="zmz">#REF!</definedName>
    <definedName name="zmz101" localSheetId="13">#REF!</definedName>
    <definedName name="zmz101" localSheetId="15">#REF!</definedName>
    <definedName name="zmz101" localSheetId="3">#REF!</definedName>
    <definedName name="zmz101" localSheetId="9">#REF!</definedName>
    <definedName name="zmz101" localSheetId="10">#REF!</definedName>
    <definedName name="zmz101">#REF!</definedName>
    <definedName name="zmz102" localSheetId="13">#REF!</definedName>
    <definedName name="zmz102" localSheetId="15">#REF!</definedName>
    <definedName name="zmz102" localSheetId="3">#REF!</definedName>
    <definedName name="zmz102" localSheetId="9">#REF!</definedName>
    <definedName name="zmz102" localSheetId="10">#REF!</definedName>
    <definedName name="zmz102">#REF!</definedName>
    <definedName name="zmz103" localSheetId="13">#REF!</definedName>
    <definedName name="zmz103" localSheetId="15">#REF!</definedName>
    <definedName name="zmz103" localSheetId="3">#REF!</definedName>
    <definedName name="zmz103" localSheetId="9">#REF!</definedName>
    <definedName name="zmz103" localSheetId="10">#REF!</definedName>
    <definedName name="zmz103">#REF!</definedName>
    <definedName name="zmz104" localSheetId="13">#REF!</definedName>
    <definedName name="zmz104" localSheetId="15">#REF!</definedName>
    <definedName name="zmz104" localSheetId="3">#REF!</definedName>
    <definedName name="zmz104" localSheetId="9">#REF!</definedName>
    <definedName name="zmz104" localSheetId="10">#REF!</definedName>
    <definedName name="zmz104">#REF!</definedName>
    <definedName name="zmz105" localSheetId="13">#REF!</definedName>
    <definedName name="zmz105" localSheetId="15">#REF!</definedName>
    <definedName name="zmz105" localSheetId="3">#REF!</definedName>
    <definedName name="zmz105" localSheetId="9">#REF!</definedName>
    <definedName name="zmz105" localSheetId="10">#REF!</definedName>
    <definedName name="zmz105">#REF!</definedName>
    <definedName name="zmz106" localSheetId="13">#REF!</definedName>
    <definedName name="zmz106" localSheetId="15">#REF!</definedName>
    <definedName name="zmz106" localSheetId="3">#REF!</definedName>
    <definedName name="zmz106" localSheetId="9">#REF!</definedName>
    <definedName name="zmz106" localSheetId="10">#REF!</definedName>
    <definedName name="zmz106">#REF!</definedName>
    <definedName name="zmz511" localSheetId="13">#REF!</definedName>
    <definedName name="zmz511" localSheetId="15">#REF!</definedName>
    <definedName name="zmz511" localSheetId="3">#REF!</definedName>
    <definedName name="zmz511" localSheetId="9">#REF!</definedName>
    <definedName name="zmz511" localSheetId="10">#REF!</definedName>
    <definedName name="zmz511">#REF!</definedName>
    <definedName name="zmz512" localSheetId="13">#REF!</definedName>
    <definedName name="zmz512" localSheetId="15">#REF!</definedName>
    <definedName name="zmz512" localSheetId="3">#REF!</definedName>
    <definedName name="zmz512" localSheetId="9">#REF!</definedName>
    <definedName name="zmz512" localSheetId="10">#REF!</definedName>
    <definedName name="zmz512">#REF!</definedName>
    <definedName name="zmz513" localSheetId="13">#REF!</definedName>
    <definedName name="zmz513" localSheetId="15">#REF!</definedName>
    <definedName name="zmz513" localSheetId="3">#REF!</definedName>
    <definedName name="zmz513" localSheetId="9">#REF!</definedName>
    <definedName name="zmz513" localSheetId="10">#REF!</definedName>
    <definedName name="zmz513">#REF!</definedName>
    <definedName name="zmz521" localSheetId="13">#REF!</definedName>
    <definedName name="zmz521" localSheetId="15">#REF!</definedName>
    <definedName name="zmz521" localSheetId="3">#REF!</definedName>
    <definedName name="zmz521" localSheetId="9">#REF!</definedName>
    <definedName name="zmz521" localSheetId="10">#REF!</definedName>
    <definedName name="zmz521">#REF!</definedName>
    <definedName name="zmz522" localSheetId="13">#REF!</definedName>
    <definedName name="zmz522" localSheetId="15">#REF!</definedName>
    <definedName name="zmz522" localSheetId="3">#REF!</definedName>
    <definedName name="zmz522" localSheetId="9">#REF!</definedName>
    <definedName name="zmz522" localSheetId="10">#REF!</definedName>
    <definedName name="zmz522">#REF!</definedName>
    <definedName name="zmz523" localSheetId="13">#REF!</definedName>
    <definedName name="zmz523" localSheetId="15">#REF!</definedName>
    <definedName name="zmz523" localSheetId="3">#REF!</definedName>
    <definedName name="zmz523" localSheetId="9">#REF!</definedName>
    <definedName name="zmz523" localSheetId="10">#REF!</definedName>
    <definedName name="zmz523">#REF!</definedName>
    <definedName name="zmz53" localSheetId="13">#REF!</definedName>
    <definedName name="zmz53" localSheetId="15">#REF!</definedName>
    <definedName name="zmz53" localSheetId="3">#REF!</definedName>
    <definedName name="zmz53" localSheetId="9">#REF!</definedName>
    <definedName name="zmz53" localSheetId="10">#REF!</definedName>
    <definedName name="zmz53">#REF!</definedName>
    <definedName name="zmz541" localSheetId="13">#REF!</definedName>
    <definedName name="zmz541" localSheetId="15">#REF!</definedName>
    <definedName name="zmz541" localSheetId="3">#REF!</definedName>
    <definedName name="zmz541" localSheetId="9">#REF!</definedName>
    <definedName name="zmz541" localSheetId="10">#REF!</definedName>
    <definedName name="zmz541">#REF!</definedName>
    <definedName name="zmz542" localSheetId="13">#REF!</definedName>
    <definedName name="zmz542" localSheetId="15">#REF!</definedName>
    <definedName name="zmz542" localSheetId="3">#REF!</definedName>
    <definedName name="zmz542" localSheetId="9">#REF!</definedName>
    <definedName name="zmz542" localSheetId="10">#REF!</definedName>
    <definedName name="zmz542">#REF!</definedName>
    <definedName name="zmz55" localSheetId="13">#REF!</definedName>
    <definedName name="zmz55" localSheetId="15">#REF!</definedName>
    <definedName name="zmz55" localSheetId="3">#REF!</definedName>
    <definedName name="zmz55" localSheetId="9">#REF!</definedName>
    <definedName name="zmz55" localSheetId="10">#REF!</definedName>
    <definedName name="zmz55">#REF!</definedName>
    <definedName name="zmz56" localSheetId="13">#REF!</definedName>
    <definedName name="zmz56" localSheetId="15">#REF!</definedName>
    <definedName name="zmz56" localSheetId="3">#REF!</definedName>
    <definedName name="zmz56" localSheetId="9">#REF!</definedName>
    <definedName name="zmz56" localSheetId="10">#REF!</definedName>
    <definedName name="zmz56">#REF!</definedName>
    <definedName name="zmz61" localSheetId="13">#REF!</definedName>
    <definedName name="zmz61" localSheetId="15">#REF!</definedName>
    <definedName name="zmz61" localSheetId="3">#REF!</definedName>
    <definedName name="zmz61" localSheetId="9">#REF!</definedName>
    <definedName name="zmz61" localSheetId="10">#REF!</definedName>
    <definedName name="zmz61">#REF!</definedName>
    <definedName name="zmz62" localSheetId="13">#REF!</definedName>
    <definedName name="zmz62" localSheetId="15">#REF!</definedName>
    <definedName name="zmz62" localSheetId="3">#REF!</definedName>
    <definedName name="zmz62" localSheetId="9">#REF!</definedName>
    <definedName name="zmz62" localSheetId="10">#REF!</definedName>
    <definedName name="zmz62">#REF!</definedName>
    <definedName name="zmz71" localSheetId="13">#REF!</definedName>
    <definedName name="zmz71" localSheetId="15">#REF!</definedName>
    <definedName name="zmz71" localSheetId="3">#REF!</definedName>
    <definedName name="zmz71" localSheetId="9">#REF!</definedName>
    <definedName name="zmz71" localSheetId="10">#REF!</definedName>
    <definedName name="zmz71">#REF!</definedName>
    <definedName name="zmz72" localSheetId="13">#REF!</definedName>
    <definedName name="zmz72" localSheetId="15">#REF!</definedName>
    <definedName name="zmz72" localSheetId="3">#REF!</definedName>
    <definedName name="zmz72" localSheetId="9">#REF!</definedName>
    <definedName name="zmz72" localSheetId="10">#REF!</definedName>
    <definedName name="zmz72">#REF!</definedName>
    <definedName name="zmz81" localSheetId="13">#REF!</definedName>
    <definedName name="zmz81" localSheetId="15">#REF!</definedName>
    <definedName name="zmz81" localSheetId="3">#REF!</definedName>
    <definedName name="zmz81" localSheetId="9">#REF!</definedName>
    <definedName name="zmz81" localSheetId="10">#REF!</definedName>
    <definedName name="zmz81">#REF!</definedName>
    <definedName name="zmz82" localSheetId="13">#REF!</definedName>
    <definedName name="zmz82" localSheetId="15">#REF!</definedName>
    <definedName name="zmz82" localSheetId="3">#REF!</definedName>
    <definedName name="zmz82" localSheetId="9">#REF!</definedName>
    <definedName name="zmz82" localSheetId="10">#REF!</definedName>
    <definedName name="zmz82">#REF!</definedName>
    <definedName name="zmz91" localSheetId="13">#REF!</definedName>
    <definedName name="zmz91" localSheetId="15">#REF!</definedName>
    <definedName name="zmz91" localSheetId="3">#REF!</definedName>
    <definedName name="zmz91" localSheetId="9">#REF!</definedName>
    <definedName name="zmz91" localSheetId="10">#REF!</definedName>
    <definedName name="zmz91">#REF!</definedName>
    <definedName name="zmz910" localSheetId="13">#REF!</definedName>
    <definedName name="zmz910" localSheetId="15">#REF!</definedName>
    <definedName name="zmz910" localSheetId="3">#REF!</definedName>
    <definedName name="zmz910" localSheetId="9">#REF!</definedName>
    <definedName name="zmz910" localSheetId="10">#REF!</definedName>
    <definedName name="zmz910">#REF!</definedName>
    <definedName name="zmz911" localSheetId="13">#REF!</definedName>
    <definedName name="zmz911" localSheetId="15">#REF!</definedName>
    <definedName name="zmz911" localSheetId="3">#REF!</definedName>
    <definedName name="zmz911" localSheetId="9">#REF!</definedName>
    <definedName name="zmz911" localSheetId="10">#REF!</definedName>
    <definedName name="zmz911">#REF!</definedName>
    <definedName name="zmz912" localSheetId="13">#REF!</definedName>
    <definedName name="zmz912" localSheetId="15">#REF!</definedName>
    <definedName name="zmz912" localSheetId="3">#REF!</definedName>
    <definedName name="zmz912" localSheetId="9">#REF!</definedName>
    <definedName name="zmz912" localSheetId="10">#REF!</definedName>
    <definedName name="zmz912">#REF!</definedName>
    <definedName name="zmz913" localSheetId="13">#REF!</definedName>
    <definedName name="zmz913" localSheetId="15">#REF!</definedName>
    <definedName name="zmz913" localSheetId="3">#REF!</definedName>
    <definedName name="zmz913" localSheetId="9">#REF!</definedName>
    <definedName name="zmz913" localSheetId="10">#REF!</definedName>
    <definedName name="zmz913">#REF!</definedName>
    <definedName name="zmz92" localSheetId="13">#REF!</definedName>
    <definedName name="zmz92" localSheetId="15">#REF!</definedName>
    <definedName name="zmz92" localSheetId="3">#REF!</definedName>
    <definedName name="zmz92" localSheetId="9">#REF!</definedName>
    <definedName name="zmz92" localSheetId="10">#REF!</definedName>
    <definedName name="zmz92">#REF!</definedName>
    <definedName name="zmz95" localSheetId="13">#REF!</definedName>
    <definedName name="zmz95" localSheetId="15">#REF!</definedName>
    <definedName name="zmz95" localSheetId="3">#REF!</definedName>
    <definedName name="zmz95" localSheetId="9">#REF!</definedName>
    <definedName name="zmz95" localSheetId="10">#REF!</definedName>
    <definedName name="zmz95">#REF!</definedName>
    <definedName name="zmz97" localSheetId="13">#REF!</definedName>
    <definedName name="zmz97" localSheetId="15">#REF!</definedName>
    <definedName name="zmz97" localSheetId="3">#REF!</definedName>
    <definedName name="zmz97" localSheetId="9">#REF!</definedName>
    <definedName name="zmz97" localSheetId="10">#REF!</definedName>
    <definedName name="zmz97">#REF!</definedName>
    <definedName name="zmz98" localSheetId="13">#REF!</definedName>
    <definedName name="zmz98" localSheetId="15">#REF!</definedName>
    <definedName name="zmz98" localSheetId="3">#REF!</definedName>
    <definedName name="zmz98" localSheetId="9">#REF!</definedName>
    <definedName name="zmz98" localSheetId="10">#REF!</definedName>
    <definedName name="zmz98">#REF!</definedName>
    <definedName name="销售毛利润表" localSheetId="13">#REF!</definedName>
    <definedName name="销售毛利润表" localSheetId="3">#REF!</definedName>
    <definedName name="销售毛利润表" localSheetId="9">#REF!</definedName>
    <definedName name="销售毛利润表" localSheetId="10">#REF!</definedName>
    <definedName name="销售毛利润表">#REF!</definedName>
    <definedName name="在建2" localSheetId="13">[1]ITEM!#REF!</definedName>
    <definedName name="在建2" localSheetId="3">[1]ITEM!#REF!</definedName>
    <definedName name="在建2" localSheetId="9">[1]ITEM!#REF!</definedName>
    <definedName name="在建2" localSheetId="10">[1]ITEM!#REF!</definedName>
    <definedName name="在建2">[1]ITEM!#REF!</definedName>
    <definedName name="전" localSheetId="13">#REF!</definedName>
    <definedName name="전" localSheetId="15">#REF!</definedName>
    <definedName name="전" localSheetId="3">#REF!</definedName>
    <definedName name="전" localSheetId="9">#REF!</definedName>
    <definedName name="전" localSheetId="10">#REF!</definedName>
    <definedName name="전">#REF!</definedName>
    <definedName name="주택사업본부" localSheetId="13">#REF!</definedName>
    <definedName name="주택사업본부" localSheetId="15">#REF!</definedName>
    <definedName name="주택사업본부" localSheetId="3">#REF!</definedName>
    <definedName name="주택사업본부" localSheetId="9">#REF!</definedName>
    <definedName name="주택사업본부" localSheetId="10">#REF!</definedName>
    <definedName name="주택사업본부">#REF!</definedName>
    <definedName name="철구사업본부" localSheetId="13">#REF!</definedName>
    <definedName name="철구사업본부" localSheetId="15">#REF!</definedName>
    <definedName name="철구사업본부" localSheetId="3">#REF!</definedName>
    <definedName name="철구사업본부" localSheetId="9">#REF!</definedName>
    <definedName name="철구사업본부" localSheetId="10">#REF!</definedName>
    <definedName name="철구사업본부">#REF!</definedName>
  </definedNames>
  <calcPr calcId="144525" calcMode="autoNoTable" calcOnSave="0"/>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B34" i="10" l="1"/>
  <c r="B24" i="10"/>
  <c r="B18" i="10"/>
  <c r="B12" i="10"/>
  <c r="K11" i="49" l="1"/>
  <c r="H11" i="49"/>
  <c r="I11" i="49"/>
  <c r="J11" i="49"/>
  <c r="G11" i="49"/>
  <c r="F11" i="49"/>
  <c r="G103" i="18" l="1"/>
  <c r="B96" i="18"/>
  <c r="B97" i="18"/>
  <c r="B98" i="18"/>
  <c r="B99" i="18"/>
  <c r="B100" i="18"/>
  <c r="B101" i="18"/>
  <c r="B102" i="18"/>
  <c r="B103" i="18"/>
  <c r="B104" i="18"/>
  <c r="B105" i="18"/>
  <c r="B106" i="18"/>
  <c r="B107" i="18"/>
  <c r="B108" i="18"/>
  <c r="B109" i="18"/>
  <c r="B110" i="18"/>
  <c r="B111" i="18"/>
  <c r="B112" i="18"/>
  <c r="B113" i="18"/>
  <c r="B114" i="18"/>
  <c r="B115" i="18"/>
  <c r="B95" i="18"/>
  <c r="B82" i="18"/>
  <c r="B83" i="18"/>
  <c r="B84" i="18"/>
  <c r="B85" i="18"/>
  <c r="B86" i="18"/>
  <c r="B87" i="18"/>
  <c r="B88" i="18"/>
  <c r="B89" i="18"/>
  <c r="B90" i="18"/>
  <c r="B91" i="18"/>
  <c r="B92" i="18"/>
  <c r="B73" i="18"/>
  <c r="B74" i="18"/>
  <c r="B75" i="18"/>
  <c r="B76" i="18"/>
  <c r="B77" i="18"/>
  <c r="B78" i="18"/>
  <c r="B79" i="18"/>
  <c r="B80" i="18"/>
  <c r="B81" i="18"/>
  <c r="B72" i="18"/>
  <c r="B28" i="18"/>
  <c r="B29" i="18"/>
  <c r="B30" i="18"/>
  <c r="B31" i="18"/>
  <c r="B32" i="18"/>
  <c r="B33" i="18"/>
  <c r="B34" i="18"/>
  <c r="B35" i="18"/>
  <c r="B27" i="18"/>
  <c r="D95" i="18" l="1"/>
  <c r="G22" i="17" l="1"/>
  <c r="G151" i="5" l="1"/>
  <c r="H151" i="5"/>
  <c r="I151" i="5"/>
  <c r="J151" i="5"/>
  <c r="F151" i="5"/>
  <c r="D151" i="5"/>
  <c r="E151" i="5"/>
  <c r="C151" i="5"/>
  <c r="J32" i="38"/>
  <c r="K32" i="38" s="1"/>
  <c r="G32" i="38"/>
  <c r="H32" i="38"/>
  <c r="I32" i="38"/>
  <c r="F32" i="38"/>
  <c r="J87" i="5" l="1"/>
  <c r="J86" i="5"/>
  <c r="J85" i="5"/>
  <c r="J84" i="5"/>
  <c r="J26" i="5"/>
  <c r="K23" i="49"/>
  <c r="K22" i="49"/>
  <c r="H10" i="53" l="1"/>
  <c r="J24" i="53" l="1"/>
  <c r="G24" i="53"/>
  <c r="H24" i="53"/>
  <c r="I24" i="53"/>
  <c r="F24" i="53"/>
  <c r="H27" i="16"/>
  <c r="I27" i="16"/>
  <c r="G27" i="16"/>
  <c r="J27" i="16"/>
  <c r="F27" i="16"/>
  <c r="E82" i="50"/>
  <c r="E80" i="50"/>
  <c r="F5" i="52" l="1"/>
  <c r="G5" i="52"/>
  <c r="H5" i="52"/>
  <c r="I5" i="52"/>
  <c r="J5" i="52"/>
  <c r="F11" i="52"/>
  <c r="J16" i="51"/>
  <c r="J18" i="51" s="1"/>
  <c r="J14" i="51"/>
  <c r="J15" i="51"/>
  <c r="J17" i="51"/>
  <c r="J13" i="51"/>
  <c r="J10" i="54" l="1"/>
  <c r="J28" i="5"/>
  <c r="J21" i="51"/>
  <c r="J11" i="52" s="1"/>
  <c r="J10" i="51"/>
  <c r="J29" i="38" l="1"/>
  <c r="D17" i="54" l="1"/>
  <c r="C17" i="54" s="1"/>
  <c r="C12" i="54"/>
  <c r="D12" i="54"/>
  <c r="G56" i="53" l="1"/>
  <c r="F55" i="53"/>
  <c r="F38" i="53"/>
  <c r="F17" i="5" l="1"/>
  <c r="F37" i="16" l="1"/>
  <c r="F10" i="16" s="1"/>
  <c r="G16" i="51"/>
  <c r="H16" i="51"/>
  <c r="I16" i="51"/>
  <c r="F16" i="51"/>
  <c r="F15" i="51"/>
  <c r="I40" i="38" l="1"/>
  <c r="L40" i="38" s="1"/>
  <c r="I38" i="38"/>
  <c r="L38" i="38" s="1"/>
  <c r="I37" i="38"/>
  <c r="L37" i="38" s="1"/>
  <c r="I39" i="38"/>
  <c r="L39" i="38" s="1"/>
  <c r="I36" i="38"/>
  <c r="L36" i="38" s="1"/>
  <c r="F48" i="53" l="1"/>
  <c r="D74" i="16"/>
  <c r="C76" i="16"/>
  <c r="C75" i="16"/>
  <c r="C74" i="16"/>
  <c r="F25" i="16"/>
  <c r="F28" i="16" s="1"/>
  <c r="F29" i="16" l="1"/>
  <c r="C77" i="16"/>
  <c r="C9" i="16" l="1"/>
  <c r="E9" i="16"/>
  <c r="F17" i="51" l="1"/>
  <c r="G17" i="51"/>
  <c r="H17" i="51"/>
  <c r="I17" i="51"/>
  <c r="E108" i="5" l="1"/>
  <c r="F108" i="5" s="1"/>
  <c r="G108" i="5" s="1"/>
  <c r="H108" i="5" s="1"/>
  <c r="I108" i="5" s="1"/>
  <c r="J108" i="5" s="1"/>
  <c r="F17" i="54" l="1"/>
  <c r="G17" i="54" s="1"/>
  <c r="H17" i="54" s="1"/>
  <c r="I17" i="54" s="1"/>
  <c r="J17" i="54" s="1"/>
  <c r="E12" i="54"/>
  <c r="G9" i="53"/>
  <c r="H9" i="53"/>
  <c r="I9" i="53"/>
  <c r="J9" i="53"/>
  <c r="F9" i="53"/>
  <c r="G8" i="53"/>
  <c r="H8" i="53"/>
  <c r="I8" i="53"/>
  <c r="J8" i="53"/>
  <c r="F8" i="53"/>
  <c r="J59" i="53"/>
  <c r="I58" i="53"/>
  <c r="J58" i="53" s="1"/>
  <c r="H57" i="53"/>
  <c r="I57" i="53" s="1"/>
  <c r="H56" i="53"/>
  <c r="I56" i="53" s="1"/>
  <c r="J42" i="53"/>
  <c r="J41" i="53"/>
  <c r="I41" i="53"/>
  <c r="I40" i="53"/>
  <c r="H40" i="53"/>
  <c r="H39" i="53"/>
  <c r="G39" i="53"/>
  <c r="G38" i="53"/>
  <c r="G59" i="16"/>
  <c r="G10" i="16"/>
  <c r="G18" i="38" s="1"/>
  <c r="H10" i="16"/>
  <c r="H18" i="38" s="1"/>
  <c r="I10" i="16"/>
  <c r="I18" i="38" s="1"/>
  <c r="J10" i="16"/>
  <c r="J18" i="38" s="1"/>
  <c r="F22" i="53"/>
  <c r="G22" i="53" l="1"/>
  <c r="G25" i="53" s="1"/>
  <c r="F25" i="53"/>
  <c r="F10" i="53"/>
  <c r="I10" i="53"/>
  <c r="G10" i="53"/>
  <c r="J10" i="53"/>
  <c r="J57" i="53"/>
  <c r="G55" i="53"/>
  <c r="H55" i="53" s="1"/>
  <c r="I39" i="53"/>
  <c r="J39" i="53" s="1"/>
  <c r="J40" i="53"/>
  <c r="H38" i="53"/>
  <c r="I38" i="53" s="1"/>
  <c r="J70" i="16"/>
  <c r="J69" i="16"/>
  <c r="I69" i="16"/>
  <c r="I68" i="16"/>
  <c r="H68" i="16"/>
  <c r="H67" i="16"/>
  <c r="G67" i="16"/>
  <c r="G66" i="16"/>
  <c r="F66" i="16"/>
  <c r="J62" i="16"/>
  <c r="J61" i="16"/>
  <c r="I61" i="16"/>
  <c r="I60" i="16"/>
  <c r="H60" i="16"/>
  <c r="H59" i="16"/>
  <c r="G58" i="16"/>
  <c r="F58" i="16"/>
  <c r="E15" i="16"/>
  <c r="J54" i="16"/>
  <c r="J53" i="16"/>
  <c r="I53" i="16"/>
  <c r="I52" i="16"/>
  <c r="H52" i="16"/>
  <c r="H51" i="16"/>
  <c r="G51" i="16"/>
  <c r="F36" i="16"/>
  <c r="F31" i="53"/>
  <c r="G31" i="53" s="1"/>
  <c r="H17" i="49" l="1"/>
  <c r="G17" i="49"/>
  <c r="I17" i="49"/>
  <c r="F26" i="53"/>
  <c r="G26" i="53" s="1"/>
  <c r="F18" i="38"/>
  <c r="D76" i="16"/>
  <c r="F16" i="16"/>
  <c r="F50" i="16" s="1"/>
  <c r="F55" i="16" s="1"/>
  <c r="D75" i="16"/>
  <c r="J17" i="49"/>
  <c r="G36" i="16"/>
  <c r="J38" i="53"/>
  <c r="F60" i="53"/>
  <c r="F50" i="53" s="1"/>
  <c r="J68" i="16"/>
  <c r="H66" i="16"/>
  <c r="I66" i="16" s="1"/>
  <c r="J66" i="16" s="1"/>
  <c r="I67" i="16"/>
  <c r="J60" i="16"/>
  <c r="I59" i="16"/>
  <c r="J59" i="16" s="1"/>
  <c r="H58" i="16"/>
  <c r="I58" i="16" s="1"/>
  <c r="I51" i="16"/>
  <c r="J51" i="16" s="1"/>
  <c r="J52" i="16"/>
  <c r="G60" i="53"/>
  <c r="G50" i="53" s="1"/>
  <c r="J56" i="53"/>
  <c r="G50" i="16" l="1"/>
  <c r="G55" i="16" s="1"/>
  <c r="F17" i="49"/>
  <c r="D77" i="16"/>
  <c r="F51" i="53"/>
  <c r="H31" i="53"/>
  <c r="I31" i="53" s="1"/>
  <c r="H22" i="53"/>
  <c r="H25" i="53" s="1"/>
  <c r="H26" i="53" s="1"/>
  <c r="J67" i="16"/>
  <c r="J58" i="16"/>
  <c r="J63" i="16" s="1"/>
  <c r="H60" i="53"/>
  <c r="G43" i="53"/>
  <c r="F43" i="53"/>
  <c r="I55" i="53"/>
  <c r="J55" i="53" s="1"/>
  <c r="J60" i="53" s="1"/>
  <c r="J50" i="53" s="1"/>
  <c r="D112" i="5"/>
  <c r="E112" i="5"/>
  <c r="F112" i="5" s="1"/>
  <c r="C112" i="5"/>
  <c r="D108" i="5"/>
  <c r="H50" i="16" l="1"/>
  <c r="H55" i="16" s="1"/>
  <c r="F33" i="53"/>
  <c r="F34" i="53" s="1"/>
  <c r="F6" i="53" s="1"/>
  <c r="F5" i="53"/>
  <c r="F54" i="18" s="1"/>
  <c r="H50" i="53"/>
  <c r="G33" i="53"/>
  <c r="G34" i="53" s="1"/>
  <c r="J31" i="53"/>
  <c r="I22" i="53"/>
  <c r="I25" i="53" s="1"/>
  <c r="I26" i="53" s="1"/>
  <c r="I60" i="53"/>
  <c r="H43" i="53"/>
  <c r="F7" i="53" l="1"/>
  <c r="I50" i="16"/>
  <c r="I55" i="16" s="1"/>
  <c r="F53" i="18"/>
  <c r="F35" i="53"/>
  <c r="F57" i="5" s="1"/>
  <c r="G6" i="53"/>
  <c r="I50" i="53"/>
  <c r="H33" i="53"/>
  <c r="H34" i="53" s="1"/>
  <c r="J22" i="53"/>
  <c r="J25" i="53" s="1"/>
  <c r="J26" i="53" s="1"/>
  <c r="I43" i="53"/>
  <c r="F80" i="5"/>
  <c r="G80" i="5"/>
  <c r="H80" i="5"/>
  <c r="I80" i="5"/>
  <c r="J80" i="5"/>
  <c r="F75" i="5"/>
  <c r="G75" i="5"/>
  <c r="H75" i="5"/>
  <c r="I75" i="5"/>
  <c r="J75" i="5"/>
  <c r="F76" i="5"/>
  <c r="G76" i="5"/>
  <c r="H76" i="5"/>
  <c r="I76" i="5"/>
  <c r="J76" i="5"/>
  <c r="F77" i="5"/>
  <c r="G77" i="5"/>
  <c r="H77" i="5"/>
  <c r="I77" i="5"/>
  <c r="J77" i="5"/>
  <c r="F78" i="5"/>
  <c r="G78" i="5"/>
  <c r="H78" i="5"/>
  <c r="I78" i="5"/>
  <c r="J78" i="5"/>
  <c r="F52" i="5"/>
  <c r="G52" i="5"/>
  <c r="H52" i="5"/>
  <c r="I52" i="5"/>
  <c r="J52" i="5"/>
  <c r="J50" i="16" l="1"/>
  <c r="J55" i="16" s="1"/>
  <c r="G35" i="53"/>
  <c r="G57" i="5" s="1"/>
  <c r="H6" i="53"/>
  <c r="G53" i="18"/>
  <c r="I33" i="53"/>
  <c r="I34" i="53" s="1"/>
  <c r="J43" i="53"/>
  <c r="H35" i="53" l="1"/>
  <c r="H57" i="5" s="1"/>
  <c r="I6" i="53"/>
  <c r="H53" i="18"/>
  <c r="J33" i="53"/>
  <c r="J34" i="53" s="1"/>
  <c r="I35" i="53" l="1"/>
  <c r="I57" i="5" s="1"/>
  <c r="J6" i="53"/>
  <c r="I53" i="18"/>
  <c r="J35" i="53" l="1"/>
  <c r="J57" i="5" s="1"/>
  <c r="J53" i="18"/>
  <c r="I35" i="38" l="1"/>
  <c r="F35" i="38"/>
  <c r="L35" i="38" l="1"/>
  <c r="J16" i="38"/>
  <c r="E7" i="2"/>
  <c r="C7" i="2"/>
  <c r="M40" i="50"/>
  <c r="E21" i="50"/>
  <c r="D79" i="5" l="1"/>
  <c r="D119" i="5" s="1"/>
  <c r="C79" i="5"/>
  <c r="C119" i="5" s="1"/>
  <c r="D61" i="5"/>
  <c r="C61" i="5"/>
  <c r="F33" i="49" l="1"/>
  <c r="F22" i="49" s="1"/>
  <c r="G22" i="49" s="1"/>
  <c r="H22" i="49" s="1"/>
  <c r="I22" i="49" s="1"/>
  <c r="J22" i="49" s="1"/>
  <c r="F14" i="51" l="1"/>
  <c r="G14" i="51"/>
  <c r="H14" i="51"/>
  <c r="I14" i="51"/>
  <c r="G15" i="51"/>
  <c r="H15" i="51"/>
  <c r="I15" i="51"/>
  <c r="G13" i="51"/>
  <c r="H13" i="51"/>
  <c r="I13" i="51"/>
  <c r="F13" i="51"/>
  <c r="D8" i="16" l="1"/>
  <c r="D6" i="16"/>
  <c r="F63" i="16" l="1"/>
  <c r="G25" i="16"/>
  <c r="G28" i="16" l="1"/>
  <c r="G29" i="16" s="1"/>
  <c r="F41" i="16"/>
  <c r="F40" i="16"/>
  <c r="G71" i="16"/>
  <c r="F71" i="16"/>
  <c r="G63" i="16"/>
  <c r="H63" i="16"/>
  <c r="H41" i="16" s="1"/>
  <c r="H36" i="16"/>
  <c r="H25" i="16"/>
  <c r="H28" i="16" s="1"/>
  <c r="H29" i="16" l="1"/>
  <c r="G42" i="16"/>
  <c r="F42" i="16"/>
  <c r="G41" i="16"/>
  <c r="I36" i="16"/>
  <c r="I71" i="16"/>
  <c r="I42" i="16" s="1"/>
  <c r="I63" i="16"/>
  <c r="I41" i="16" s="1"/>
  <c r="I25" i="16"/>
  <c r="I28" i="16" s="1"/>
  <c r="F43" i="16" l="1"/>
  <c r="J36" i="16"/>
  <c r="I29" i="16"/>
  <c r="H71" i="16"/>
  <c r="J71" i="16"/>
  <c r="J42" i="16" s="1"/>
  <c r="J25" i="16"/>
  <c r="J28" i="16" s="1"/>
  <c r="F9" i="16" l="1"/>
  <c r="F44" i="16"/>
  <c r="J29" i="16"/>
  <c r="H42" i="16"/>
  <c r="F8" i="16" l="1"/>
  <c r="F6" i="16"/>
  <c r="F5" i="16"/>
  <c r="F7" i="16"/>
  <c r="F17" i="38"/>
  <c r="F16" i="49"/>
  <c r="J41" i="16"/>
  <c r="L69" i="50" l="1"/>
  <c r="N69" i="50"/>
  <c r="M67" i="50"/>
  <c r="M39" i="50"/>
  <c r="G21" i="49" l="1"/>
  <c r="H21" i="49" s="1"/>
  <c r="I21" i="49" s="1"/>
  <c r="J21" i="49" s="1"/>
  <c r="G85" i="5" l="1"/>
  <c r="H85" i="5"/>
  <c r="I85" i="5"/>
  <c r="G86" i="5"/>
  <c r="H86" i="5"/>
  <c r="I86" i="5"/>
  <c r="G87" i="5"/>
  <c r="H87" i="5"/>
  <c r="I87" i="5"/>
  <c r="F85" i="5"/>
  <c r="F86" i="5"/>
  <c r="F87" i="5"/>
  <c r="F84" i="5"/>
  <c r="F68" i="5"/>
  <c r="G68" i="5"/>
  <c r="H68" i="5"/>
  <c r="I68" i="5"/>
  <c r="J68" i="5"/>
  <c r="F47" i="5"/>
  <c r="G47" i="5"/>
  <c r="H47" i="5"/>
  <c r="I47" i="5"/>
  <c r="J47" i="5"/>
  <c r="F48" i="5"/>
  <c r="G48" i="5"/>
  <c r="H48" i="5"/>
  <c r="I48" i="5"/>
  <c r="J48" i="5"/>
  <c r="G34" i="5"/>
  <c r="H34" i="5"/>
  <c r="I34" i="5"/>
  <c r="J34" i="5"/>
  <c r="F34" i="5"/>
  <c r="D34" i="5"/>
  <c r="E34" i="5"/>
  <c r="C34" i="5"/>
  <c r="F26" i="5"/>
  <c r="D35" i="6"/>
  <c r="D37" i="6" s="1"/>
  <c r="D72" i="5" s="1"/>
  <c r="C35" i="6"/>
  <c r="D32" i="6"/>
  <c r="D34" i="6" s="1"/>
  <c r="D71" i="5" s="1"/>
  <c r="C32" i="6"/>
  <c r="C34" i="6" s="1"/>
  <c r="C71" i="5" s="1"/>
  <c r="D29" i="6"/>
  <c r="D68" i="5" s="1"/>
  <c r="D30" i="6"/>
  <c r="D69" i="5" s="1"/>
  <c r="D31" i="6"/>
  <c r="D70" i="5" s="1"/>
  <c r="C31" i="6"/>
  <c r="C70" i="5" s="1"/>
  <c r="C30" i="6"/>
  <c r="C69" i="5" s="1"/>
  <c r="C29" i="6"/>
  <c r="C68" i="5" s="1"/>
  <c r="D26" i="6"/>
  <c r="D28" i="6" s="1"/>
  <c r="D67" i="5" s="1"/>
  <c r="C26" i="6"/>
  <c r="C28" i="6" s="1"/>
  <c r="C67" i="5" s="1"/>
  <c r="D23" i="6"/>
  <c r="D25" i="6" s="1"/>
  <c r="C23" i="6"/>
  <c r="D20" i="6"/>
  <c r="D49" i="5" s="1"/>
  <c r="C20" i="6"/>
  <c r="C49" i="5" s="1"/>
  <c r="D19" i="6"/>
  <c r="D48" i="5" s="1"/>
  <c r="C19" i="6"/>
  <c r="C48" i="5" s="1"/>
  <c r="D18" i="6"/>
  <c r="D47" i="5" s="1"/>
  <c r="C18" i="6"/>
  <c r="C47" i="5" s="1"/>
  <c r="D15" i="6"/>
  <c r="D17" i="6" s="1"/>
  <c r="D46" i="5" s="1"/>
  <c r="C15" i="6"/>
  <c r="C17" i="6" s="1"/>
  <c r="C46" i="5" s="1"/>
  <c r="D12" i="6"/>
  <c r="D14" i="6" s="1"/>
  <c r="D45" i="5" s="1"/>
  <c r="C12" i="6"/>
  <c r="D9" i="6"/>
  <c r="D11" i="6" s="1"/>
  <c r="D44" i="5" s="1"/>
  <c r="C9" i="6"/>
  <c r="C11" i="6" s="1"/>
  <c r="C44" i="5" s="1"/>
  <c r="G33" i="6"/>
  <c r="H33" i="6" s="1"/>
  <c r="G27" i="6"/>
  <c r="H27" i="6" s="1"/>
  <c r="I27" i="6" s="1"/>
  <c r="G24" i="6"/>
  <c r="G16" i="6"/>
  <c r="G13" i="6"/>
  <c r="H13" i="6" s="1"/>
  <c r="I13" i="6" s="1"/>
  <c r="G10" i="6"/>
  <c r="H10" i="6" s="1"/>
  <c r="G7" i="6"/>
  <c r="H7" i="6" s="1"/>
  <c r="I7" i="6" s="1"/>
  <c r="C14" i="6" l="1"/>
  <c r="C45" i="5" s="1"/>
  <c r="D66" i="5"/>
  <c r="D38" i="6"/>
  <c r="D73" i="5"/>
  <c r="C37" i="6"/>
  <c r="C72" i="5" s="1"/>
  <c r="C25" i="6"/>
  <c r="H16" i="6"/>
  <c r="H24" i="6"/>
  <c r="J27" i="6"/>
  <c r="I33" i="6"/>
  <c r="J33" i="6" s="1"/>
  <c r="J7" i="6"/>
  <c r="J13" i="6"/>
  <c r="I10" i="6"/>
  <c r="F18" i="51"/>
  <c r="G18" i="51"/>
  <c r="F10" i="51"/>
  <c r="D21" i="51"/>
  <c r="D11" i="52" s="1"/>
  <c r="E21" i="51"/>
  <c r="E11" i="52" s="1"/>
  <c r="C21" i="51"/>
  <c r="C11" i="52" s="1"/>
  <c r="D19" i="51"/>
  <c r="D29" i="5" s="1"/>
  <c r="E19" i="51"/>
  <c r="E29" i="5" s="1"/>
  <c r="C19" i="51"/>
  <c r="C29" i="5" s="1"/>
  <c r="D18" i="51"/>
  <c r="E18" i="51"/>
  <c r="E10" i="54" s="1"/>
  <c r="C18" i="51"/>
  <c r="E10" i="51"/>
  <c r="C68" i="18"/>
  <c r="E23" i="18"/>
  <c r="D5" i="18"/>
  <c r="D8" i="52" s="1"/>
  <c r="E5" i="18"/>
  <c r="E8" i="52" s="1"/>
  <c r="D6" i="18"/>
  <c r="D9" i="52" s="1"/>
  <c r="E6" i="18"/>
  <c r="E9" i="52" s="1"/>
  <c r="D7" i="18"/>
  <c r="E7" i="18"/>
  <c r="C6" i="18"/>
  <c r="C9" i="52" s="1"/>
  <c r="C7" i="18"/>
  <c r="C5" i="18"/>
  <c r="C8" i="52" s="1"/>
  <c r="B153" i="18"/>
  <c r="D5" i="17"/>
  <c r="E5" i="17"/>
  <c r="C5" i="17"/>
  <c r="C58" i="10"/>
  <c r="C57" i="10"/>
  <c r="F51" i="10"/>
  <c r="D34" i="10"/>
  <c r="E34" i="10"/>
  <c r="C34" i="10"/>
  <c r="D18" i="10"/>
  <c r="E18" i="10"/>
  <c r="C18" i="10"/>
  <c r="C24" i="10"/>
  <c r="D24" i="10"/>
  <c r="E24" i="10"/>
  <c r="C12" i="10"/>
  <c r="D12" i="10"/>
  <c r="E12" i="10"/>
  <c r="D5" i="10"/>
  <c r="D6" i="52" s="1"/>
  <c r="E5" i="10"/>
  <c r="E6" i="52" s="1"/>
  <c r="C5" i="10"/>
  <c r="C6" i="52" s="1"/>
  <c r="D5" i="8"/>
  <c r="D5" i="52" s="1"/>
  <c r="E5" i="8"/>
  <c r="E5" i="52" s="1"/>
  <c r="C5" i="8"/>
  <c r="D132" i="2"/>
  <c r="E132" i="2"/>
  <c r="E127" i="2"/>
  <c r="E141" i="2"/>
  <c r="D141" i="2"/>
  <c r="C141" i="2"/>
  <c r="C132" i="2"/>
  <c r="E131" i="2"/>
  <c r="D131" i="2"/>
  <c r="C131" i="2"/>
  <c r="E130" i="2"/>
  <c r="D130" i="2"/>
  <c r="C130" i="2"/>
  <c r="D127" i="2"/>
  <c r="E113" i="2"/>
  <c r="E133" i="2" s="1"/>
  <c r="D113" i="2"/>
  <c r="D116" i="2" s="1"/>
  <c r="D118" i="2" s="1"/>
  <c r="D134" i="2" s="1"/>
  <c r="C113" i="2"/>
  <c r="C133" i="2" s="1"/>
  <c r="D6" i="54" l="1"/>
  <c r="D7" i="52"/>
  <c r="C9" i="54"/>
  <c r="C10" i="52"/>
  <c r="E6" i="54"/>
  <c r="E7" i="52"/>
  <c r="E9" i="54"/>
  <c r="E10" i="52"/>
  <c r="C6" i="54"/>
  <c r="C7" i="52"/>
  <c r="D9" i="54"/>
  <c r="D10" i="52"/>
  <c r="G19" i="49"/>
  <c r="G10" i="54"/>
  <c r="G16" i="38"/>
  <c r="F10" i="54"/>
  <c r="F16" i="38"/>
  <c r="D28" i="5"/>
  <c r="D10" i="54"/>
  <c r="C28" i="5"/>
  <c r="C10" i="54"/>
  <c r="E8" i="54"/>
  <c r="C8" i="54"/>
  <c r="E7" i="54"/>
  <c r="D7" i="54"/>
  <c r="D8" i="54"/>
  <c r="C7" i="54"/>
  <c r="F19" i="49"/>
  <c r="F34" i="38"/>
  <c r="C66" i="5"/>
  <c r="C73" i="5" s="1"/>
  <c r="C38" i="6"/>
  <c r="E29" i="52"/>
  <c r="C11" i="17"/>
  <c r="D41" i="6"/>
  <c r="E11" i="17"/>
  <c r="C29" i="52"/>
  <c r="C41" i="6"/>
  <c r="C5" i="52"/>
  <c r="E41" i="6"/>
  <c r="D29" i="52"/>
  <c r="D11" i="17"/>
  <c r="E28" i="5"/>
  <c r="D38" i="10"/>
  <c r="C38" i="10"/>
  <c r="E38" i="10"/>
  <c r="C42" i="6"/>
  <c r="E42" i="6"/>
  <c r="D42" i="6"/>
  <c r="G26" i="5"/>
  <c r="E20" i="51"/>
  <c r="E26" i="5" s="1"/>
  <c r="D133" i="2"/>
  <c r="F58" i="38"/>
  <c r="D20" i="51"/>
  <c r="D26" i="5" s="1"/>
  <c r="C20" i="51"/>
  <c r="C26" i="5" s="1"/>
  <c r="E116" i="2"/>
  <c r="E118" i="2" s="1"/>
  <c r="E134" i="2" s="1"/>
  <c r="C116" i="2"/>
  <c r="C118" i="2" s="1"/>
  <c r="C134" i="2" s="1"/>
  <c r="G28" i="5"/>
  <c r="G10" i="51"/>
  <c r="G84" i="5"/>
  <c r="F21" i="51"/>
  <c r="F28" i="5"/>
  <c r="F153" i="5" s="1"/>
  <c r="H10" i="51"/>
  <c r="I24" i="6"/>
  <c r="J24" i="6" s="1"/>
  <c r="I16" i="6"/>
  <c r="J10" i="6"/>
  <c r="D119" i="2"/>
  <c r="D121" i="2"/>
  <c r="C14" i="54" l="1"/>
  <c r="C16" i="54" s="1"/>
  <c r="C19" i="54" s="1"/>
  <c r="C20" i="54" s="1"/>
  <c r="E14" i="54"/>
  <c r="E16" i="54" s="1"/>
  <c r="D14" i="54"/>
  <c r="D16" i="54" s="1"/>
  <c r="D19" i="54" s="1"/>
  <c r="D20" i="54" s="1"/>
  <c r="I19" i="49"/>
  <c r="H19" i="49"/>
  <c r="D5" i="6"/>
  <c r="D41" i="5" s="1"/>
  <c r="C5" i="6"/>
  <c r="C42" i="5" s="1"/>
  <c r="E12" i="52"/>
  <c r="E13" i="52" s="1"/>
  <c r="E27" i="52" s="1"/>
  <c r="E32" i="52" s="1"/>
  <c r="D12" i="52"/>
  <c r="D13" i="52" s="1"/>
  <c r="D27" i="52" s="1"/>
  <c r="D32" i="52" s="1"/>
  <c r="C27" i="6"/>
  <c r="C13" i="6"/>
  <c r="D13" i="6"/>
  <c r="D27" i="6"/>
  <c r="C12" i="52"/>
  <c r="C13" i="52" s="1"/>
  <c r="C27" i="52" s="1"/>
  <c r="C32" i="52" s="1"/>
  <c r="D33" i="6"/>
  <c r="D10" i="6"/>
  <c r="D16" i="6"/>
  <c r="D36" i="6"/>
  <c r="D24" i="6"/>
  <c r="C24" i="6"/>
  <c r="C33" i="6"/>
  <c r="C36" i="6"/>
  <c r="C10" i="6"/>
  <c r="C16" i="6"/>
  <c r="E119" i="2"/>
  <c r="E121" i="2"/>
  <c r="G21" i="51"/>
  <c r="G11" i="52" s="1"/>
  <c r="C121" i="2"/>
  <c r="C119" i="2"/>
  <c r="F11" i="38"/>
  <c r="H84" i="5"/>
  <c r="H18" i="51"/>
  <c r="J16" i="6"/>
  <c r="C34" i="52" l="1"/>
  <c r="C32" i="5" s="1"/>
  <c r="E34" i="52"/>
  <c r="E32" i="5" s="1"/>
  <c r="D34" i="52"/>
  <c r="D32" i="5" s="1"/>
  <c r="C41" i="5"/>
  <c r="D42" i="5"/>
  <c r="H10" i="54"/>
  <c r="H16" i="38"/>
  <c r="K16" i="38"/>
  <c r="G11" i="38"/>
  <c r="H26" i="5"/>
  <c r="I84" i="5"/>
  <c r="I18" i="51"/>
  <c r="I10" i="51"/>
  <c r="H28" i="5"/>
  <c r="H21" i="51"/>
  <c r="H11" i="52" s="1"/>
  <c r="J19" i="49" l="1"/>
  <c r="I10" i="54"/>
  <c r="I16" i="38"/>
  <c r="H11" i="38"/>
  <c r="I26" i="5"/>
  <c r="I28" i="5"/>
  <c r="I21" i="51"/>
  <c r="I11" i="52" s="1"/>
  <c r="I11" i="38" l="1"/>
  <c r="J11" i="38" l="1"/>
  <c r="K11" i="38"/>
  <c r="N44" i="50" l="1"/>
  <c r="C85" i="18" l="1"/>
  <c r="D86" i="18"/>
  <c r="C88" i="18"/>
  <c r="C84" i="18"/>
  <c r="D84" i="18"/>
  <c r="C73" i="18"/>
  <c r="D7" i="16" l="1"/>
  <c r="D5" i="16"/>
  <c r="C11" i="5"/>
  <c r="C80" i="5" s="1"/>
  <c r="D11" i="5"/>
  <c r="D80" i="5" s="1"/>
  <c r="C9" i="5"/>
  <c r="C77" i="5" s="1"/>
  <c r="D9" i="5"/>
  <c r="D77" i="5" s="1"/>
  <c r="C10" i="5"/>
  <c r="C78" i="5" s="1"/>
  <c r="D10" i="5"/>
  <c r="D78" i="5" s="1"/>
  <c r="C8" i="5"/>
  <c r="C76" i="5" s="1"/>
  <c r="D8" i="5"/>
  <c r="D76" i="5" s="1"/>
  <c r="C7" i="5"/>
  <c r="C75" i="5" s="1"/>
  <c r="D7" i="5"/>
  <c r="D75" i="5" s="1"/>
  <c r="C6" i="5"/>
  <c r="C62" i="5" s="1"/>
  <c r="D6" i="5"/>
  <c r="D62" i="5" s="1"/>
  <c r="C59" i="5"/>
  <c r="D59" i="5"/>
  <c r="C55" i="5"/>
  <c r="D55" i="5"/>
  <c r="C56" i="5"/>
  <c r="D56" i="5"/>
  <c r="C57" i="5"/>
  <c r="D57" i="5"/>
  <c r="C58" i="5"/>
  <c r="D58" i="5"/>
  <c r="C54" i="5"/>
  <c r="D54" i="5"/>
  <c r="C53" i="5"/>
  <c r="D53" i="5"/>
  <c r="C5" i="5"/>
  <c r="C52" i="5" s="1"/>
  <c r="D5" i="5"/>
  <c r="D52" i="5" s="1"/>
  <c r="G127" i="18"/>
  <c r="J125" i="18"/>
  <c r="I125" i="18"/>
  <c r="H125" i="18"/>
  <c r="G125" i="18"/>
  <c r="F125" i="18"/>
  <c r="E125" i="18"/>
  <c r="D125" i="18"/>
  <c r="C125" i="18"/>
  <c r="E169" i="18"/>
  <c r="D169" i="18"/>
  <c r="C169" i="18"/>
  <c r="E168" i="18"/>
  <c r="E138" i="18" s="1"/>
  <c r="D168" i="18"/>
  <c r="D138" i="18" s="1"/>
  <c r="C168" i="18"/>
  <c r="C138" i="18" s="1"/>
  <c r="F167" i="18"/>
  <c r="F166" i="18"/>
  <c r="F165" i="18"/>
  <c r="F164" i="18"/>
  <c r="F163" i="18"/>
  <c r="F162" i="18"/>
  <c r="E25" i="5"/>
  <c r="D25" i="5"/>
  <c r="C81" i="5" l="1"/>
  <c r="C115" i="5" s="1"/>
  <c r="D9" i="16"/>
  <c r="D81" i="5"/>
  <c r="D115" i="5" s="1"/>
  <c r="F138" i="18"/>
  <c r="C25" i="5"/>
  <c r="H127" i="18"/>
  <c r="I127" i="18" l="1"/>
  <c r="J127" i="18" l="1"/>
  <c r="K69" i="50" l="1"/>
  <c r="M68" i="50"/>
  <c r="M64" i="50"/>
  <c r="M65" i="50"/>
  <c r="M66" i="50"/>
  <c r="M63" i="50"/>
  <c r="K56" i="50"/>
  <c r="L56" i="50"/>
  <c r="M56" i="50"/>
  <c r="N56" i="50" s="1"/>
  <c r="K53" i="50"/>
  <c r="K54" i="50"/>
  <c r="L54" i="50"/>
  <c r="L53" i="50"/>
  <c r="M47" i="50"/>
  <c r="N47" i="50" s="1"/>
  <c r="M48" i="50"/>
  <c r="N48" i="50" s="1"/>
  <c r="M49" i="50"/>
  <c r="N49" i="50" s="1"/>
  <c r="M50" i="50"/>
  <c r="N50" i="50" s="1"/>
  <c r="M51" i="50"/>
  <c r="N51" i="50" s="1"/>
  <c r="M53" i="50"/>
  <c r="N53" i="50" s="1"/>
  <c r="M54" i="50"/>
  <c r="N54" i="50" s="1"/>
  <c r="M55" i="50"/>
  <c r="M58" i="50"/>
  <c r="N58" i="50" s="1"/>
  <c r="M46" i="50"/>
  <c r="K47" i="50"/>
  <c r="L47" i="50"/>
  <c r="K46" i="50"/>
  <c r="L46" i="50"/>
  <c r="M41" i="50"/>
  <c r="M24" i="50"/>
  <c r="M25" i="50"/>
  <c r="M26" i="50"/>
  <c r="M27" i="50"/>
  <c r="M28" i="50"/>
  <c r="M29" i="50"/>
  <c r="M30" i="50"/>
  <c r="M31" i="50"/>
  <c r="M32" i="50"/>
  <c r="M33" i="50"/>
  <c r="M34" i="50"/>
  <c r="M35" i="50"/>
  <c r="M36" i="50"/>
  <c r="M37" i="50"/>
  <c r="K31" i="50"/>
  <c r="L31" i="50"/>
  <c r="K28" i="50"/>
  <c r="K29" i="50"/>
  <c r="K30" i="50"/>
  <c r="L29" i="50"/>
  <c r="L30" i="50"/>
  <c r="L28" i="50"/>
  <c r="K25" i="50"/>
  <c r="L25" i="50"/>
  <c r="K26" i="50"/>
  <c r="L26" i="50"/>
  <c r="K23" i="50"/>
  <c r="K24" i="50"/>
  <c r="L24" i="50"/>
  <c r="L23" i="50"/>
  <c r="M23" i="50"/>
  <c r="K18" i="50"/>
  <c r="L18" i="50"/>
  <c r="M18" i="50"/>
  <c r="N18" i="50" s="1"/>
  <c r="M17" i="50"/>
  <c r="N17" i="50" s="1"/>
  <c r="M19" i="50"/>
  <c r="N19" i="50" s="1"/>
  <c r="M20" i="50"/>
  <c r="N20" i="50" s="1"/>
  <c r="M16" i="50"/>
  <c r="M15" i="50"/>
  <c r="K13" i="50"/>
  <c r="K14" i="50"/>
  <c r="L13" i="50"/>
  <c r="M14" i="50"/>
  <c r="N14" i="50" s="1"/>
  <c r="M13" i="50"/>
  <c r="N13" i="50" s="1"/>
  <c r="M12" i="50"/>
  <c r="M11" i="50"/>
  <c r="K10" i="50"/>
  <c r="L10" i="50"/>
  <c r="M10" i="50"/>
  <c r="N10" i="50" s="1"/>
  <c r="K9" i="50"/>
  <c r="L9" i="50"/>
  <c r="M9" i="50"/>
  <c r="L14" i="50"/>
  <c r="C81" i="50"/>
  <c r="D81" i="50" s="1"/>
  <c r="G81" i="50" s="1"/>
  <c r="C73" i="50"/>
  <c r="D73" i="50" s="1"/>
  <c r="C74" i="50"/>
  <c r="D74" i="50" s="1"/>
  <c r="C75" i="50"/>
  <c r="C76" i="50"/>
  <c r="D76" i="50" s="1"/>
  <c r="C77" i="50"/>
  <c r="D77" i="50" s="1"/>
  <c r="C78" i="50"/>
  <c r="D78" i="50" s="1"/>
  <c r="C79" i="50"/>
  <c r="D79" i="50" s="1"/>
  <c r="C72" i="50"/>
  <c r="D72" i="50" s="1"/>
  <c r="C62" i="50"/>
  <c r="D62" i="50" s="1"/>
  <c r="G62" i="50" s="1"/>
  <c r="C63" i="50"/>
  <c r="D63" i="50" s="1"/>
  <c r="G63" i="50" s="1"/>
  <c r="E7" i="5" s="1"/>
  <c r="E75" i="5" s="1"/>
  <c r="C64" i="50"/>
  <c r="D64" i="50" s="1"/>
  <c r="G64" i="50" s="1"/>
  <c r="E8" i="5" s="1"/>
  <c r="E76" i="5" s="1"/>
  <c r="C65" i="50"/>
  <c r="D65" i="50" s="1"/>
  <c r="G65" i="50" s="1"/>
  <c r="E9" i="5" s="1"/>
  <c r="E77" i="5" s="1"/>
  <c r="C66" i="50"/>
  <c r="D66" i="50" s="1"/>
  <c r="G66" i="50" s="1"/>
  <c r="E10" i="5" s="1"/>
  <c r="E78" i="5" s="1"/>
  <c r="C67" i="50"/>
  <c r="D67" i="50" s="1"/>
  <c r="G67" i="50" s="1"/>
  <c r="E79" i="5" s="1"/>
  <c r="C68" i="50"/>
  <c r="D68" i="50" s="1"/>
  <c r="C61" i="50"/>
  <c r="D61" i="50" s="1"/>
  <c r="C46" i="50"/>
  <c r="D46" i="50" s="1"/>
  <c r="G46" i="50" s="1"/>
  <c r="C47" i="50"/>
  <c r="D47" i="50" s="1"/>
  <c r="G47" i="50" s="1"/>
  <c r="C48" i="50"/>
  <c r="C49" i="50"/>
  <c r="D49" i="50" s="1"/>
  <c r="G49" i="50" s="1"/>
  <c r="E26" i="6" s="1"/>
  <c r="C50" i="50"/>
  <c r="D50" i="50" s="1"/>
  <c r="G50" i="50" s="1"/>
  <c r="E29" i="6" s="1"/>
  <c r="E68" i="5" s="1"/>
  <c r="C51" i="50"/>
  <c r="D51" i="50" s="1"/>
  <c r="G51" i="50" s="1"/>
  <c r="E30" i="6" s="1"/>
  <c r="C52" i="50"/>
  <c r="D52" i="50" s="1"/>
  <c r="G52" i="50" s="1"/>
  <c r="E31" i="6" s="1"/>
  <c r="C53" i="50"/>
  <c r="D53" i="50" s="1"/>
  <c r="G53" i="50" s="1"/>
  <c r="C54" i="50"/>
  <c r="D54" i="50" s="1"/>
  <c r="G54" i="50" s="1"/>
  <c r="C55" i="50"/>
  <c r="C56" i="50"/>
  <c r="D56" i="50" s="1"/>
  <c r="G56" i="50" s="1"/>
  <c r="C57" i="50"/>
  <c r="D57" i="50" s="1"/>
  <c r="G57" i="50" s="1"/>
  <c r="C58" i="50"/>
  <c r="D58" i="50" s="1"/>
  <c r="G58" i="50" s="1"/>
  <c r="E35" i="6" s="1"/>
  <c r="C45" i="50"/>
  <c r="D45" i="50" s="1"/>
  <c r="C24" i="50"/>
  <c r="D24" i="50" s="1"/>
  <c r="G24" i="50" s="1"/>
  <c r="C25" i="50"/>
  <c r="D25" i="50" s="1"/>
  <c r="G25" i="50" s="1"/>
  <c r="C26" i="50"/>
  <c r="D26" i="50" s="1"/>
  <c r="G26" i="50" s="1"/>
  <c r="C27" i="50"/>
  <c r="D27" i="50" s="1"/>
  <c r="G27" i="50" s="1"/>
  <c r="E5" i="5" s="1"/>
  <c r="E52" i="5" s="1"/>
  <c r="C28" i="50"/>
  <c r="D28" i="50" s="1"/>
  <c r="G28" i="50" s="1"/>
  <c r="C29" i="50"/>
  <c r="D29" i="50" s="1"/>
  <c r="G29" i="50" s="1"/>
  <c r="C30" i="50"/>
  <c r="D30" i="50" s="1"/>
  <c r="G30" i="50" s="1"/>
  <c r="C31" i="50"/>
  <c r="D31" i="50" s="1"/>
  <c r="G31" i="50" s="1"/>
  <c r="C32" i="50"/>
  <c r="D32" i="50" s="1"/>
  <c r="G32" i="50" s="1"/>
  <c r="E46" i="16" s="1"/>
  <c r="C33" i="50"/>
  <c r="C34" i="50"/>
  <c r="D34" i="50" s="1"/>
  <c r="G34" i="50" s="1"/>
  <c r="E55" i="5" s="1"/>
  <c r="C35" i="50"/>
  <c r="D35" i="50" s="1"/>
  <c r="G35" i="50" s="1"/>
  <c r="E56" i="5" s="1"/>
  <c r="C36" i="50"/>
  <c r="D36" i="50" s="1"/>
  <c r="G36" i="50" s="1"/>
  <c r="E63" i="53" s="1"/>
  <c r="C37" i="50"/>
  <c r="D37" i="50" s="1"/>
  <c r="G37" i="50" s="1"/>
  <c r="E15" i="53" s="1"/>
  <c r="E64" i="53" s="1"/>
  <c r="C38" i="50"/>
  <c r="D38" i="50" s="1"/>
  <c r="G38" i="50" s="1"/>
  <c r="E59" i="5" s="1"/>
  <c r="F59" i="5" s="1"/>
  <c r="F109" i="5" s="1"/>
  <c r="C39" i="50"/>
  <c r="D39" i="50" s="1"/>
  <c r="G39" i="50" s="1"/>
  <c r="E47" i="53" s="1"/>
  <c r="C40" i="50"/>
  <c r="D40" i="50" s="1"/>
  <c r="C41" i="50"/>
  <c r="C23" i="50"/>
  <c r="D23" i="50" s="1"/>
  <c r="C9" i="50"/>
  <c r="D9" i="50" s="1"/>
  <c r="G9" i="50" s="1"/>
  <c r="C10" i="50"/>
  <c r="D10" i="50" s="1"/>
  <c r="G10" i="50" s="1"/>
  <c r="C12" i="50"/>
  <c r="D12" i="50" s="1"/>
  <c r="G12" i="50" s="1"/>
  <c r="E9" i="6" s="1"/>
  <c r="C13" i="50"/>
  <c r="D13" i="50" s="1"/>
  <c r="G13" i="50" s="1"/>
  <c r="C14" i="50"/>
  <c r="D14" i="50" s="1"/>
  <c r="G14" i="50" s="1"/>
  <c r="C15" i="50"/>
  <c r="D15" i="50" s="1"/>
  <c r="G15" i="50" s="1"/>
  <c r="E12" i="6" s="1"/>
  <c r="C16" i="50"/>
  <c r="D16" i="50" s="1"/>
  <c r="G16" i="50" s="1"/>
  <c r="E15" i="6" s="1"/>
  <c r="C17" i="50"/>
  <c r="D17" i="50" s="1"/>
  <c r="G17" i="50" s="1"/>
  <c r="E18" i="6" s="1"/>
  <c r="E47" i="5" s="1"/>
  <c r="C18" i="50"/>
  <c r="D18" i="50" s="1"/>
  <c r="G18" i="50" s="1"/>
  <c r="C19" i="50"/>
  <c r="D19" i="50" s="1"/>
  <c r="G19" i="50" s="1"/>
  <c r="E19" i="6" s="1"/>
  <c r="E48" i="5" s="1"/>
  <c r="C20" i="50"/>
  <c r="D20" i="50" s="1"/>
  <c r="G20" i="50" s="1"/>
  <c r="E20" i="6" s="1"/>
  <c r="C8" i="50"/>
  <c r="E65" i="53" l="1"/>
  <c r="G48" i="53"/>
  <c r="F52" i="53"/>
  <c r="D55" i="50"/>
  <c r="G55" i="50" s="1"/>
  <c r="E32" i="6" s="1"/>
  <c r="D41" i="50"/>
  <c r="D42" i="50" s="1"/>
  <c r="D33" i="50"/>
  <c r="G33" i="50" s="1"/>
  <c r="E119" i="5"/>
  <c r="F79" i="5"/>
  <c r="F81" i="5" s="1"/>
  <c r="F115" i="5" s="1"/>
  <c r="M21" i="50"/>
  <c r="L21" i="50"/>
  <c r="K21" i="50"/>
  <c r="G40" i="50"/>
  <c r="E61" i="5" s="1"/>
  <c r="F61" i="5" s="1"/>
  <c r="C80" i="50"/>
  <c r="C82" i="50" s="1"/>
  <c r="E17" i="6"/>
  <c r="E46" i="5" s="1"/>
  <c r="E16" i="6"/>
  <c r="E11" i="6"/>
  <c r="E44" i="5" s="1"/>
  <c r="E10" i="6"/>
  <c r="E58" i="5"/>
  <c r="E14" i="6"/>
  <c r="E45" i="5" s="1"/>
  <c r="E13" i="6"/>
  <c r="F31" i="6"/>
  <c r="E70" i="5"/>
  <c r="F20" i="6"/>
  <c r="F49" i="5" s="1"/>
  <c r="E49" i="5"/>
  <c r="E28" i="6"/>
  <c r="E67" i="5" s="1"/>
  <c r="E27" i="6"/>
  <c r="F30" i="6"/>
  <c r="E69" i="5"/>
  <c r="E36" i="6"/>
  <c r="E37" i="6"/>
  <c r="E72" i="5" s="1"/>
  <c r="G68" i="50"/>
  <c r="E11" i="5" s="1"/>
  <c r="E80" i="5" s="1"/>
  <c r="E81" i="5" s="1"/>
  <c r="E115" i="5" s="1"/>
  <c r="D75" i="50"/>
  <c r="D80" i="50" s="1"/>
  <c r="E57" i="5"/>
  <c r="E53" i="5"/>
  <c r="E60" i="5"/>
  <c r="D48" i="50"/>
  <c r="G48" i="50" s="1"/>
  <c r="E23" i="6" s="1"/>
  <c r="N16" i="50"/>
  <c r="N11" i="50"/>
  <c r="L42" i="50"/>
  <c r="K59" i="50"/>
  <c r="L59" i="50"/>
  <c r="M69" i="50"/>
  <c r="M59" i="50"/>
  <c r="N46" i="50"/>
  <c r="K42" i="50"/>
  <c r="N9" i="50"/>
  <c r="C59" i="50"/>
  <c r="D8" i="50"/>
  <c r="E23" i="54" s="1"/>
  <c r="C42" i="50"/>
  <c r="D69" i="50"/>
  <c r="G45" i="50"/>
  <c r="G23" i="50"/>
  <c r="G61" i="50"/>
  <c r="C69" i="50"/>
  <c r="C87" i="2"/>
  <c r="E49" i="2"/>
  <c r="C18" i="2"/>
  <c r="D18" i="2"/>
  <c r="E18" i="2"/>
  <c r="E140" i="2" s="1"/>
  <c r="E47" i="16" l="1"/>
  <c r="E62" i="53"/>
  <c r="E54" i="5"/>
  <c r="E34" i="6"/>
  <c r="E71" i="5" s="1"/>
  <c r="E33" i="6"/>
  <c r="G41" i="50"/>
  <c r="E6" i="5" s="1"/>
  <c r="F60" i="5"/>
  <c r="H48" i="53"/>
  <c r="G51" i="53"/>
  <c r="G5" i="53" s="1"/>
  <c r="E19" i="54"/>
  <c r="F119" i="5"/>
  <c r="G79" i="5"/>
  <c r="H79" i="5" s="1"/>
  <c r="C140" i="2"/>
  <c r="C6" i="6"/>
  <c r="D140" i="2"/>
  <c r="D6" i="6"/>
  <c r="E42" i="50"/>
  <c r="E43" i="50" s="1"/>
  <c r="D82" i="50"/>
  <c r="E25" i="6"/>
  <c r="E38" i="6" s="1"/>
  <c r="E24" i="6"/>
  <c r="G20" i="6"/>
  <c r="G30" i="6"/>
  <c r="F69" i="5"/>
  <c r="G31" i="6"/>
  <c r="F70" i="5"/>
  <c r="E28" i="2"/>
  <c r="C11" i="50"/>
  <c r="D59" i="50"/>
  <c r="D70" i="50" s="1"/>
  <c r="G59" i="50"/>
  <c r="L43" i="50"/>
  <c r="M70" i="50"/>
  <c r="K43" i="50"/>
  <c r="C70" i="50"/>
  <c r="C83" i="50" s="1"/>
  <c r="G54" i="18" l="1"/>
  <c r="G7" i="53"/>
  <c r="G52" i="53"/>
  <c r="F6" i="5"/>
  <c r="F62" i="5" s="1"/>
  <c r="E62" i="5"/>
  <c r="E63" i="5" s="1"/>
  <c r="E107" i="5" s="1"/>
  <c r="E20" i="54"/>
  <c r="E24" i="54"/>
  <c r="E25" i="54" s="1"/>
  <c r="F8" i="50" s="1"/>
  <c r="E5" i="6"/>
  <c r="H51" i="53"/>
  <c r="H5" i="53" s="1"/>
  <c r="I48" i="53"/>
  <c r="H81" i="5"/>
  <c r="H115" i="5" s="1"/>
  <c r="H119" i="5"/>
  <c r="G119" i="5"/>
  <c r="G81" i="5"/>
  <c r="G115" i="5" s="1"/>
  <c r="D8" i="6"/>
  <c r="D7" i="6"/>
  <c r="C8" i="6"/>
  <c r="C7" i="6"/>
  <c r="N42" i="50"/>
  <c r="M42" i="50"/>
  <c r="M43" i="50" s="1"/>
  <c r="E66" i="5"/>
  <c r="E73" i="5" s="1"/>
  <c r="H20" i="6"/>
  <c r="G49" i="5"/>
  <c r="H30" i="6"/>
  <c r="G69" i="5"/>
  <c r="H31" i="6"/>
  <c r="G70" i="5"/>
  <c r="D11" i="50"/>
  <c r="C21" i="50"/>
  <c r="C43" i="50" s="1"/>
  <c r="C84" i="50" s="1"/>
  <c r="I79" i="5"/>
  <c r="D83" i="50"/>
  <c r="E41" i="5" l="1"/>
  <c r="E42" i="5"/>
  <c r="G60" i="5"/>
  <c r="H52" i="53"/>
  <c r="J48" i="53"/>
  <c r="J51" i="53" s="1"/>
  <c r="J5" i="53" s="1"/>
  <c r="I51" i="53"/>
  <c r="I5" i="53" s="1"/>
  <c r="H54" i="18"/>
  <c r="H7" i="53"/>
  <c r="I81" i="5"/>
  <c r="I115" i="5" s="1"/>
  <c r="I119" i="5"/>
  <c r="C43" i="5"/>
  <c r="C50" i="5" s="1"/>
  <c r="C21" i="6"/>
  <c r="C39" i="6" s="1"/>
  <c r="C43" i="6" s="1"/>
  <c r="D43" i="5"/>
  <c r="D50" i="5" s="1"/>
  <c r="D21" i="6"/>
  <c r="D39" i="6" s="1"/>
  <c r="D43" i="6" s="1"/>
  <c r="I30" i="6"/>
  <c r="H69" i="5"/>
  <c r="I31" i="6"/>
  <c r="H70" i="5"/>
  <c r="I20" i="6"/>
  <c r="H49" i="5"/>
  <c r="G11" i="50"/>
  <c r="E6" i="6" s="1"/>
  <c r="D21" i="50"/>
  <c r="D43" i="50" s="1"/>
  <c r="D84" i="50" s="1"/>
  <c r="D85" i="50" s="1"/>
  <c r="J79" i="5"/>
  <c r="I54" i="18" l="1"/>
  <c r="I7" i="53"/>
  <c r="J54" i="18"/>
  <c r="J7" i="53"/>
  <c r="H60" i="5"/>
  <c r="I52" i="53"/>
  <c r="J81" i="5"/>
  <c r="J115" i="5" s="1"/>
  <c r="J119" i="5"/>
  <c r="J20" i="6"/>
  <c r="I49" i="5"/>
  <c r="J30" i="6"/>
  <c r="I69" i="5"/>
  <c r="E8" i="6"/>
  <c r="E43" i="5" s="1"/>
  <c r="E50" i="5" s="1"/>
  <c r="E7" i="6"/>
  <c r="J31" i="6"/>
  <c r="I70" i="5"/>
  <c r="J52" i="53" l="1"/>
  <c r="J60" i="5" s="1"/>
  <c r="I60" i="5"/>
  <c r="J49" i="5"/>
  <c r="J70" i="5"/>
  <c r="J69" i="5"/>
  <c r="C8" i="18"/>
  <c r="D8" i="18"/>
  <c r="E8" i="18"/>
  <c r="E3" i="45" l="1"/>
  <c r="B11" i="2" l="1"/>
  <c r="B12" i="2"/>
  <c r="E13" i="2"/>
  <c r="E96" i="2" s="1"/>
  <c r="B3" i="54" l="1"/>
  <c r="B3" i="53"/>
  <c r="B2" i="54"/>
  <c r="B2" i="53"/>
  <c r="B95" i="2"/>
  <c r="B3" i="52"/>
  <c r="B3" i="51"/>
  <c r="B2" i="52"/>
  <c r="B2" i="51"/>
  <c r="E125" i="2"/>
  <c r="E4" i="8"/>
  <c r="B2" i="49"/>
  <c r="B94" i="2"/>
  <c r="D13" i="2"/>
  <c r="M6" i="50"/>
  <c r="M44" i="50" s="1"/>
  <c r="B2" i="18"/>
  <c r="B2" i="10"/>
  <c r="B2" i="6"/>
  <c r="B3" i="50"/>
  <c r="B2" i="17"/>
  <c r="B2" i="5"/>
  <c r="B2" i="8"/>
  <c r="B2" i="16"/>
  <c r="B2" i="38"/>
  <c r="E4" i="54" l="1"/>
  <c r="E22" i="54" s="1"/>
  <c r="E21" i="16"/>
  <c r="E32" i="16" s="1"/>
  <c r="E4" i="53"/>
  <c r="E4" i="52"/>
  <c r="E4" i="6"/>
  <c r="E12" i="51"/>
  <c r="E4" i="51"/>
  <c r="L6" i="50"/>
  <c r="L44" i="50" s="1"/>
  <c r="D96" i="2"/>
  <c r="E19" i="53" l="1"/>
  <c r="E12" i="53"/>
  <c r="D125" i="2"/>
  <c r="D4" i="8"/>
  <c r="D4" i="54" s="1"/>
  <c r="E96" i="18"/>
  <c r="E115" i="18"/>
  <c r="D115" i="18"/>
  <c r="G115" i="18" s="1"/>
  <c r="E114" i="18"/>
  <c r="D114" i="18"/>
  <c r="E113" i="18"/>
  <c r="D113" i="18"/>
  <c r="G113" i="18" s="1"/>
  <c r="E112" i="18"/>
  <c r="D112" i="18"/>
  <c r="G112" i="18" s="1"/>
  <c r="E111" i="18"/>
  <c r="D111" i="18"/>
  <c r="G111" i="18" s="1"/>
  <c r="E110" i="18"/>
  <c r="D110" i="18"/>
  <c r="E109" i="18"/>
  <c r="D109" i="18"/>
  <c r="G109" i="18" s="1"/>
  <c r="E108" i="18"/>
  <c r="D108" i="18"/>
  <c r="G108" i="18" s="1"/>
  <c r="E107" i="18"/>
  <c r="D107" i="18"/>
  <c r="G107" i="18" s="1"/>
  <c r="E106" i="18"/>
  <c r="D106" i="18"/>
  <c r="E105" i="18"/>
  <c r="D105" i="18"/>
  <c r="G105" i="18" s="1"/>
  <c r="E104" i="18"/>
  <c r="D104" i="18"/>
  <c r="G104" i="18" s="1"/>
  <c r="E102" i="18"/>
  <c r="D102" i="18"/>
  <c r="G102" i="18" s="1"/>
  <c r="E101" i="18"/>
  <c r="D101" i="18"/>
  <c r="E100" i="18"/>
  <c r="D100" i="18"/>
  <c r="G100" i="18" s="1"/>
  <c r="E99" i="18"/>
  <c r="D99" i="18"/>
  <c r="G99" i="18" s="1"/>
  <c r="E98" i="18"/>
  <c r="D98" i="18"/>
  <c r="G98" i="18" s="1"/>
  <c r="E97" i="18"/>
  <c r="D97" i="18"/>
  <c r="D96" i="18"/>
  <c r="E95" i="18"/>
  <c r="G95" i="18" s="1"/>
  <c r="G96" i="18" l="1"/>
  <c r="G97" i="18"/>
  <c r="G101" i="18"/>
  <c r="G106" i="18"/>
  <c r="G110" i="18"/>
  <c r="G114" i="18"/>
  <c r="E45" i="53"/>
  <c r="E28" i="53"/>
  <c r="D4" i="6"/>
  <c r="D4" i="52"/>
  <c r="D12" i="51"/>
  <c r="D104" i="50" l="1"/>
  <c r="N55" i="50" s="1"/>
  <c r="N59" i="50" s="1"/>
  <c r="C104" i="50"/>
  <c r="D95" i="50"/>
  <c r="N15" i="50" s="1"/>
  <c r="C95" i="50"/>
  <c r="F69" i="50"/>
  <c r="E69" i="50"/>
  <c r="F59" i="50"/>
  <c r="E59" i="50"/>
  <c r="F42" i="50"/>
  <c r="N21" i="50" l="1"/>
  <c r="N43" i="50" s="1"/>
  <c r="F55" i="38" s="1"/>
  <c r="F40" i="49"/>
  <c r="G42" i="50"/>
  <c r="E70" i="50"/>
  <c r="G69" i="50"/>
  <c r="F70" i="50"/>
  <c r="G70" i="50" l="1"/>
  <c r="C85" i="50" l="1"/>
  <c r="E159" i="18" l="1"/>
  <c r="D159" i="18"/>
  <c r="C159" i="18"/>
  <c r="E149" i="18"/>
  <c r="D149" i="18"/>
  <c r="C149" i="18"/>
  <c r="D58" i="10"/>
  <c r="E58" i="10"/>
  <c r="E57" i="10"/>
  <c r="D57" i="10"/>
  <c r="F56" i="10"/>
  <c r="F55" i="10"/>
  <c r="F54" i="10"/>
  <c r="F53" i="10"/>
  <c r="F52" i="10"/>
  <c r="E32" i="17" l="1"/>
  <c r="F143" i="18"/>
  <c r="F135" i="18"/>
  <c r="E158" i="18"/>
  <c r="E137" i="18" s="1"/>
  <c r="D158" i="18"/>
  <c r="D137" i="18" s="1"/>
  <c r="C158" i="18"/>
  <c r="C137" i="18" s="1"/>
  <c r="F157" i="18"/>
  <c r="F152" i="18"/>
  <c r="F156" i="18"/>
  <c r="F155" i="18"/>
  <c r="F154" i="18"/>
  <c r="F153" i="18"/>
  <c r="F144" i="18"/>
  <c r="F145" i="18"/>
  <c r="F146" i="18"/>
  <c r="F147" i="18"/>
  <c r="F142" i="18"/>
  <c r="C148" i="18"/>
  <c r="C136" i="18" s="1"/>
  <c r="D148" i="18"/>
  <c r="D136" i="18" s="1"/>
  <c r="E148" i="18"/>
  <c r="E136" i="18" s="1"/>
  <c r="F137" i="18" l="1"/>
  <c r="F136" i="18"/>
  <c r="Q68" i="8" l="1"/>
  <c r="O68" i="8" l="1"/>
  <c r="C122" i="5" l="1"/>
  <c r="D122" i="5"/>
  <c r="E122" i="5"/>
  <c r="F122" i="5"/>
  <c r="G112" i="5" l="1"/>
  <c r="G122" i="5" s="1"/>
  <c r="H112" i="5" l="1"/>
  <c r="H122" i="5" s="1"/>
  <c r="K31" i="38"/>
  <c r="I112" i="5" l="1"/>
  <c r="J112" i="5" s="1"/>
  <c r="I122" i="5" l="1"/>
  <c r="C5" i="50"/>
  <c r="J122" i="5" l="1"/>
  <c r="C92" i="5"/>
  <c r="D92" i="5"/>
  <c r="E92" i="5"/>
  <c r="F92" i="5" s="1"/>
  <c r="C87" i="5"/>
  <c r="D87" i="5"/>
  <c r="E87" i="5"/>
  <c r="C86" i="5"/>
  <c r="D86" i="5"/>
  <c r="E86" i="5"/>
  <c r="C85" i="5"/>
  <c r="D85" i="5"/>
  <c r="E85" i="5"/>
  <c r="C84" i="5"/>
  <c r="D84" i="5"/>
  <c r="E84" i="5"/>
  <c r="C88" i="5" l="1"/>
  <c r="E88" i="5"/>
  <c r="E116" i="5" s="1"/>
  <c r="E117" i="5" s="1"/>
  <c r="D88" i="5"/>
  <c r="D116" i="5" s="1"/>
  <c r="D117" i="5" s="1"/>
  <c r="C116" i="5"/>
  <c r="C117" i="5" s="1"/>
  <c r="C60" i="5" l="1"/>
  <c r="C63" i="5" s="1"/>
  <c r="D60" i="5"/>
  <c r="D63" i="5" s="1"/>
  <c r="C109" i="5"/>
  <c r="C111" i="5" s="1"/>
  <c r="D109" i="5"/>
  <c r="D111" i="5" s="1"/>
  <c r="E4" i="5"/>
  <c r="G27" i="17"/>
  <c r="H27" i="17" s="1"/>
  <c r="I27" i="17" s="1"/>
  <c r="J27" i="17" s="1"/>
  <c r="G28" i="17"/>
  <c r="H28" i="17" s="1"/>
  <c r="I28" i="17" s="1"/>
  <c r="J28" i="17" s="1"/>
  <c r="G66" i="18"/>
  <c r="H66" i="18" s="1"/>
  <c r="I66" i="18" s="1"/>
  <c r="J66" i="18" s="1"/>
  <c r="F64" i="18"/>
  <c r="G64" i="18" s="1"/>
  <c r="H64" i="18" s="1"/>
  <c r="I64" i="18" s="1"/>
  <c r="J64" i="18" s="1"/>
  <c r="G62" i="18"/>
  <c r="H62" i="18" s="1"/>
  <c r="I62" i="18" s="1"/>
  <c r="J62" i="18" s="1"/>
  <c r="F61" i="18"/>
  <c r="G61" i="18" s="1"/>
  <c r="H61" i="18" s="1"/>
  <c r="I61" i="18" s="1"/>
  <c r="J61" i="18" s="1"/>
  <c r="D64" i="5" l="1"/>
  <c r="D107" i="5"/>
  <c r="C64" i="5"/>
  <c r="C107" i="5"/>
  <c r="F4" i="5"/>
  <c r="F39" i="5" s="1"/>
  <c r="E39" i="5"/>
  <c r="E153" i="5"/>
  <c r="D153" i="5"/>
  <c r="F111" i="5"/>
  <c r="E109" i="5"/>
  <c r="E111" i="5" s="1"/>
  <c r="E120" i="5"/>
  <c r="C153" i="5"/>
  <c r="D120" i="5"/>
  <c r="C120" i="5"/>
  <c r="G60" i="18" l="1"/>
  <c r="H60" i="18" s="1"/>
  <c r="I60" i="18" s="1"/>
  <c r="J60" i="18" s="1"/>
  <c r="G56" i="18"/>
  <c r="H56" i="18" s="1"/>
  <c r="I56" i="18" s="1"/>
  <c r="J56" i="18" s="1"/>
  <c r="F55" i="18"/>
  <c r="G55" i="18" s="1"/>
  <c r="H55" i="18" s="1"/>
  <c r="I55" i="18" s="1"/>
  <c r="J55" i="18" s="1"/>
  <c r="F48" i="18"/>
  <c r="G48" i="18" s="1"/>
  <c r="H48" i="18" s="1"/>
  <c r="I48" i="18" s="1"/>
  <c r="J48" i="18" s="1"/>
  <c r="G47" i="18"/>
  <c r="H47" i="18" s="1"/>
  <c r="I47" i="18" s="1"/>
  <c r="J47" i="18" s="1"/>
  <c r="G46" i="18"/>
  <c r="H46" i="18" s="1"/>
  <c r="I46" i="18" s="1"/>
  <c r="J46" i="18" s="1"/>
  <c r="C23" i="5"/>
  <c r="D23" i="5"/>
  <c r="C24" i="5"/>
  <c r="D24" i="5"/>
  <c r="E24" i="5"/>
  <c r="E23" i="5"/>
  <c r="D101" i="10"/>
  <c r="E99" i="10" s="1"/>
  <c r="D22" i="5"/>
  <c r="G105" i="10"/>
  <c r="H105" i="10" s="1"/>
  <c r="I105" i="10" s="1"/>
  <c r="J105" i="10" s="1"/>
  <c r="H65" i="10"/>
  <c r="K65" i="10" s="1"/>
  <c r="O65" i="10" s="1"/>
  <c r="I65" i="10"/>
  <c r="L65" i="10" s="1"/>
  <c r="P65" i="10" s="1"/>
  <c r="J65" i="10"/>
  <c r="M65" i="10" s="1"/>
  <c r="Q65" i="10" s="1"/>
  <c r="H66" i="10"/>
  <c r="K66" i="10" s="1"/>
  <c r="O66" i="10" s="1"/>
  <c r="I66" i="10"/>
  <c r="L66" i="10" s="1"/>
  <c r="P66" i="10" s="1"/>
  <c r="J66" i="10"/>
  <c r="H67" i="10"/>
  <c r="K67" i="10" s="1"/>
  <c r="O67" i="10" s="1"/>
  <c r="I67" i="10"/>
  <c r="L67" i="10" s="1"/>
  <c r="P67" i="10" s="1"/>
  <c r="J67" i="10"/>
  <c r="M67" i="10" s="1"/>
  <c r="Q67" i="10" s="1"/>
  <c r="H68" i="10"/>
  <c r="K68" i="10" s="1"/>
  <c r="O68" i="10" s="1"/>
  <c r="I68" i="10"/>
  <c r="L68" i="10" s="1"/>
  <c r="P68" i="10" s="1"/>
  <c r="J68" i="10"/>
  <c r="M68" i="10" s="1"/>
  <c r="Q68" i="10" s="1"/>
  <c r="H69" i="10"/>
  <c r="K69" i="10" s="1"/>
  <c r="O69" i="10" s="1"/>
  <c r="I69" i="10"/>
  <c r="L69" i="10" s="1"/>
  <c r="P69" i="10" s="1"/>
  <c r="J69" i="10"/>
  <c r="M69" i="10" s="1"/>
  <c r="Q69" i="10" s="1"/>
  <c r="H70" i="10"/>
  <c r="K70" i="10" s="1"/>
  <c r="O70" i="10" s="1"/>
  <c r="I70" i="10"/>
  <c r="L70" i="10" s="1"/>
  <c r="P70" i="10" s="1"/>
  <c r="J70" i="10"/>
  <c r="M70" i="10" s="1"/>
  <c r="Q70" i="10" s="1"/>
  <c r="I64" i="10"/>
  <c r="L64" i="10" s="1"/>
  <c r="P64" i="10" s="1"/>
  <c r="J64" i="10"/>
  <c r="M64" i="10" s="1"/>
  <c r="Q64" i="10" s="1"/>
  <c r="H64" i="10"/>
  <c r="D75" i="10"/>
  <c r="E75" i="10"/>
  <c r="D76" i="10"/>
  <c r="E76" i="10"/>
  <c r="D77" i="10"/>
  <c r="E77" i="10"/>
  <c r="C77" i="10"/>
  <c r="C76" i="10"/>
  <c r="C75" i="10"/>
  <c r="E71" i="10"/>
  <c r="D93" i="10" s="1"/>
  <c r="F71" i="10"/>
  <c r="E94" i="10" s="1"/>
  <c r="D71" i="10"/>
  <c r="C94" i="10" s="1"/>
  <c r="E98" i="10" l="1"/>
  <c r="E22" i="5"/>
  <c r="C22" i="5"/>
  <c r="E81" i="10"/>
  <c r="E101" i="10"/>
  <c r="E100" i="10"/>
  <c r="E83" i="10"/>
  <c r="D78" i="10"/>
  <c r="D88" i="10" s="1"/>
  <c r="E82" i="10"/>
  <c r="D94" i="10"/>
  <c r="G75" i="10"/>
  <c r="K75" i="10" s="1"/>
  <c r="C78" i="10"/>
  <c r="C93" i="10"/>
  <c r="E93" i="10"/>
  <c r="I75" i="10"/>
  <c r="M75" i="10" s="1"/>
  <c r="G77" i="10"/>
  <c r="K77" i="10" s="1"/>
  <c r="N77" i="10" s="1"/>
  <c r="G76" i="10"/>
  <c r="K76" i="10" s="1"/>
  <c r="N76" i="10" s="1"/>
  <c r="D82" i="10"/>
  <c r="D81" i="10"/>
  <c r="H77" i="10"/>
  <c r="L77" i="10" s="1"/>
  <c r="K64" i="10"/>
  <c r="O64" i="10" s="1"/>
  <c r="I77" i="10"/>
  <c r="M77" i="10" s="1"/>
  <c r="I76" i="10"/>
  <c r="H76" i="10"/>
  <c r="M66" i="10"/>
  <c r="Q66" i="10" s="1"/>
  <c r="H75" i="10"/>
  <c r="H71" i="10"/>
  <c r="J71" i="10"/>
  <c r="L71" i="10"/>
  <c r="I71" i="10"/>
  <c r="E78" i="10"/>
  <c r="E87" i="10" s="1"/>
  <c r="D83" i="10"/>
  <c r="D84" i="10" l="1"/>
  <c r="D87" i="10"/>
  <c r="D89" i="10"/>
  <c r="C89" i="10"/>
  <c r="H83" i="10"/>
  <c r="K71" i="10"/>
  <c r="O71" i="10" s="1"/>
  <c r="I78" i="10"/>
  <c r="C88" i="10"/>
  <c r="E84" i="10"/>
  <c r="E88" i="10"/>
  <c r="P71" i="10"/>
  <c r="I83" i="10"/>
  <c r="G78" i="10"/>
  <c r="C87" i="10"/>
  <c r="E89" i="10"/>
  <c r="L76" i="10"/>
  <c r="H82" i="10"/>
  <c r="M83" i="10"/>
  <c r="P77" i="10"/>
  <c r="M71" i="10"/>
  <c r="Q71" i="10" s="1"/>
  <c r="L83" i="10"/>
  <c r="O77" i="10"/>
  <c r="O83" i="10" s="1"/>
  <c r="P75" i="10"/>
  <c r="H78" i="10"/>
  <c r="H81" i="10"/>
  <c r="L75" i="10"/>
  <c r="M81" i="10" s="1"/>
  <c r="I82" i="10"/>
  <c r="J82" i="10" s="1"/>
  <c r="M76" i="10"/>
  <c r="M78" i="10" s="1"/>
  <c r="I81" i="10"/>
  <c r="K78" i="10"/>
  <c r="N75" i="10"/>
  <c r="N78" i="10" l="1"/>
  <c r="H84" i="10"/>
  <c r="P78" i="10"/>
  <c r="L78" i="10"/>
  <c r="O76" i="10"/>
  <c r="O82" i="10" s="1"/>
  <c r="L82" i="10"/>
  <c r="L81" i="10"/>
  <c r="O75" i="10"/>
  <c r="O81" i="10" s="1"/>
  <c r="P76" i="10"/>
  <c r="M82" i="10"/>
  <c r="P83" i="10"/>
  <c r="I84" i="10"/>
  <c r="Q82" i="10" l="1"/>
  <c r="P81" i="10"/>
  <c r="O78" i="10"/>
  <c r="O84" i="10" s="1"/>
  <c r="L84" i="10"/>
  <c r="P82" i="10"/>
  <c r="M84" i="10"/>
  <c r="P84" i="10" l="1"/>
  <c r="G76" i="8" l="1"/>
  <c r="H76" i="8" s="1"/>
  <c r="I76" i="8" s="1"/>
  <c r="J76" i="8" s="1"/>
  <c r="G77" i="8"/>
  <c r="H77" i="8" s="1"/>
  <c r="I77" i="8" s="1"/>
  <c r="J77" i="8" s="1"/>
  <c r="G75" i="8"/>
  <c r="H75" i="8" s="1"/>
  <c r="I75" i="8" s="1"/>
  <c r="F78" i="8"/>
  <c r="D59" i="8"/>
  <c r="E59" i="8"/>
  <c r="F59" i="8" s="1"/>
  <c r="G59" i="8" s="1"/>
  <c r="H59" i="8" s="1"/>
  <c r="C59" i="8"/>
  <c r="E22" i="8"/>
  <c r="E58" i="8" s="1"/>
  <c r="C21" i="8"/>
  <c r="C57" i="8" s="1"/>
  <c r="D21" i="8"/>
  <c r="D57" i="8" s="1"/>
  <c r="E21" i="8"/>
  <c r="E57" i="8" s="1"/>
  <c r="H44" i="8" s="1"/>
  <c r="C22" i="8"/>
  <c r="C58" i="8" s="1"/>
  <c r="D22" i="8"/>
  <c r="D58" i="8" s="1"/>
  <c r="D20" i="8"/>
  <c r="E20" i="8"/>
  <c r="C20" i="8"/>
  <c r="E16" i="8"/>
  <c r="D38" i="8" s="1"/>
  <c r="F16" i="8"/>
  <c r="E38" i="8" s="1"/>
  <c r="D16" i="8"/>
  <c r="C39" i="8" s="1"/>
  <c r="I59" i="8" l="1"/>
  <c r="J59" i="8" s="1"/>
  <c r="E6" i="10"/>
  <c r="C6" i="10"/>
  <c r="C39" i="10" s="1"/>
  <c r="E6" i="8"/>
  <c r="D6" i="10"/>
  <c r="G40" i="16"/>
  <c r="G43" i="16" s="1"/>
  <c r="G44" i="16" s="1"/>
  <c r="D6" i="8"/>
  <c r="E21" i="5"/>
  <c r="E147" i="5" s="1"/>
  <c r="D106" i="10"/>
  <c r="D21" i="5"/>
  <c r="D147" i="5" s="1"/>
  <c r="C106" i="10"/>
  <c r="C21" i="5"/>
  <c r="C147" i="5" s="1"/>
  <c r="E20" i="5"/>
  <c r="C20" i="5"/>
  <c r="C9" i="18"/>
  <c r="D20" i="5"/>
  <c r="D9" i="18"/>
  <c r="E106" i="10"/>
  <c r="D23" i="8"/>
  <c r="D33" i="8" s="1"/>
  <c r="D76" i="8" s="1"/>
  <c r="C23" i="8"/>
  <c r="C32" i="8" s="1"/>
  <c r="C75" i="8" s="1"/>
  <c r="C56" i="8"/>
  <c r="D56" i="8"/>
  <c r="D60" i="8" s="1"/>
  <c r="E23" i="8"/>
  <c r="E34" i="8" s="1"/>
  <c r="E77" i="8" s="1"/>
  <c r="D26" i="8"/>
  <c r="D68" i="8" s="1"/>
  <c r="D39" i="8"/>
  <c r="E56" i="8"/>
  <c r="I78" i="8"/>
  <c r="J75" i="8"/>
  <c r="H78" i="8"/>
  <c r="G78" i="8"/>
  <c r="D27" i="8"/>
  <c r="D69" i="8" s="1"/>
  <c r="C38" i="8"/>
  <c r="E39" i="8"/>
  <c r="E26" i="8"/>
  <c r="E68" i="8" s="1"/>
  <c r="D28" i="8"/>
  <c r="D70" i="8" s="1"/>
  <c r="E27" i="8"/>
  <c r="E69" i="8" s="1"/>
  <c r="E28" i="8"/>
  <c r="E70" i="8" s="1"/>
  <c r="G9" i="16" l="1"/>
  <c r="G17" i="38" s="1"/>
  <c r="E137" i="5"/>
  <c r="E146" i="5"/>
  <c r="D137" i="5"/>
  <c r="E133" i="5"/>
  <c r="D146" i="5"/>
  <c r="C137" i="5"/>
  <c r="C146" i="5"/>
  <c r="C30" i="5"/>
  <c r="D127" i="18"/>
  <c r="D90" i="18"/>
  <c r="D92" i="18"/>
  <c r="D79" i="18"/>
  <c r="D82" i="18"/>
  <c r="D73" i="18"/>
  <c r="D88" i="18"/>
  <c r="D75" i="18"/>
  <c r="D77" i="18"/>
  <c r="D74" i="18"/>
  <c r="D72" i="18"/>
  <c r="D85" i="18"/>
  <c r="D87" i="18"/>
  <c r="D76" i="18"/>
  <c r="D78" i="18"/>
  <c r="D89" i="18"/>
  <c r="D91" i="18"/>
  <c r="D81" i="18"/>
  <c r="D83" i="18"/>
  <c r="D27" i="18"/>
  <c r="D31" i="18"/>
  <c r="D33" i="18"/>
  <c r="D35" i="18"/>
  <c r="D28" i="18"/>
  <c r="D30" i="18"/>
  <c r="D32" i="18"/>
  <c r="D34" i="18"/>
  <c r="D29" i="18"/>
  <c r="C127" i="18"/>
  <c r="C87" i="18"/>
  <c r="C76" i="18"/>
  <c r="C78" i="18"/>
  <c r="C89" i="18"/>
  <c r="C91" i="18"/>
  <c r="C81" i="18"/>
  <c r="C86" i="18"/>
  <c r="C74" i="18"/>
  <c r="C90" i="18"/>
  <c r="C92" i="18"/>
  <c r="C79" i="18"/>
  <c r="C82" i="18"/>
  <c r="C83" i="18"/>
  <c r="C75" i="18"/>
  <c r="C77" i="18"/>
  <c r="C72" i="18"/>
  <c r="C30" i="18"/>
  <c r="C32" i="18"/>
  <c r="C34" i="18"/>
  <c r="C29" i="18"/>
  <c r="C31" i="18"/>
  <c r="C28" i="18"/>
  <c r="C27" i="18"/>
  <c r="C33" i="18"/>
  <c r="C35" i="18"/>
  <c r="E30" i="5"/>
  <c r="D30" i="5"/>
  <c r="E7" i="10"/>
  <c r="E104" i="10"/>
  <c r="E105" i="10" s="1"/>
  <c r="E47" i="10"/>
  <c r="C47" i="10"/>
  <c r="C7" i="10"/>
  <c r="C104" i="10"/>
  <c r="C105" i="10" s="1"/>
  <c r="D47" i="10"/>
  <c r="D7" i="10"/>
  <c r="E60" i="8"/>
  <c r="E61" i="8" s="1"/>
  <c r="B4" i="50"/>
  <c r="B3" i="49"/>
  <c r="B3" i="45"/>
  <c r="B3" i="38"/>
  <c r="B3" i="6"/>
  <c r="B3" i="5"/>
  <c r="B3" i="17"/>
  <c r="B3" i="18"/>
  <c r="B3" i="16"/>
  <c r="B3" i="10"/>
  <c r="D104" i="10"/>
  <c r="C138" i="5"/>
  <c r="D133" i="5"/>
  <c r="C136" i="5"/>
  <c r="E138" i="5"/>
  <c r="E136" i="5"/>
  <c r="D138" i="5"/>
  <c r="D136" i="5"/>
  <c r="D32" i="8"/>
  <c r="D75" i="8" s="1"/>
  <c r="D82" i="8" s="1"/>
  <c r="D34" i="8"/>
  <c r="D77" i="8" s="1"/>
  <c r="D84" i="8" s="1"/>
  <c r="D29" i="8"/>
  <c r="D71" i="8" s="1"/>
  <c r="C34" i="8"/>
  <c r="C77" i="8" s="1"/>
  <c r="C33" i="8"/>
  <c r="C76" i="8" s="1"/>
  <c r="E33" i="8"/>
  <c r="E76" i="8" s="1"/>
  <c r="E83" i="8" s="1"/>
  <c r="D83" i="8"/>
  <c r="E32" i="8"/>
  <c r="E75" i="8" s="1"/>
  <c r="E82" i="8" s="1"/>
  <c r="E29" i="8"/>
  <c r="E71" i="8" s="1"/>
  <c r="C60" i="8"/>
  <c r="E84" i="8"/>
  <c r="D61" i="8"/>
  <c r="J78" i="8"/>
  <c r="B3" i="8"/>
  <c r="G7" i="16" l="1"/>
  <c r="G6" i="16"/>
  <c r="G5" i="16"/>
  <c r="G8" i="16"/>
  <c r="G16" i="49"/>
  <c r="H40" i="16"/>
  <c r="H43" i="16" s="1"/>
  <c r="H44" i="16" s="1"/>
  <c r="I40" i="16"/>
  <c r="I43" i="16" s="1"/>
  <c r="I9" i="16" s="1"/>
  <c r="I17" i="38" s="1"/>
  <c r="E31" i="5"/>
  <c r="E139" i="5"/>
  <c r="D31" i="5"/>
  <c r="D139" i="5"/>
  <c r="C31" i="5"/>
  <c r="C139" i="5"/>
  <c r="D78" i="8"/>
  <c r="D105" i="10"/>
  <c r="C13" i="2"/>
  <c r="D4" i="5"/>
  <c r="D39" i="5" s="1"/>
  <c r="G4" i="5"/>
  <c r="C78" i="8"/>
  <c r="F71" i="8"/>
  <c r="E78" i="8"/>
  <c r="C61" i="8"/>
  <c r="F84" i="8"/>
  <c r="F83" i="8"/>
  <c r="F82" i="8"/>
  <c r="I44" i="16" l="1"/>
  <c r="I6" i="16"/>
  <c r="I8" i="16"/>
  <c r="I5" i="16"/>
  <c r="I7" i="16"/>
  <c r="I16" i="49"/>
  <c r="H9" i="16"/>
  <c r="H17" i="38" s="1"/>
  <c r="H4" i="5"/>
  <c r="G39" i="5"/>
  <c r="K6" i="50"/>
  <c r="K44" i="50" s="1"/>
  <c r="C96" i="2"/>
  <c r="C4" i="5"/>
  <c r="C39" i="5" s="1"/>
  <c r="F85" i="8"/>
  <c r="G82" i="8" s="1"/>
  <c r="D10" i="18"/>
  <c r="C10" i="18"/>
  <c r="H8" i="16" l="1"/>
  <c r="H5" i="16"/>
  <c r="H7" i="16"/>
  <c r="H6" i="16"/>
  <c r="H16" i="49"/>
  <c r="J40" i="16"/>
  <c r="J43" i="16" s="1"/>
  <c r="C125" i="2"/>
  <c r="C4" i="8"/>
  <c r="C4" i="54" s="1"/>
  <c r="I4" i="5"/>
  <c r="H39" i="5"/>
  <c r="G84" i="8"/>
  <c r="D33" i="5"/>
  <c r="D4" i="17"/>
  <c r="F4" i="8"/>
  <c r="E19" i="5"/>
  <c r="D4" i="18"/>
  <c r="D135" i="18" s="1"/>
  <c r="E4" i="18"/>
  <c r="E135" i="18" s="1"/>
  <c r="E4" i="10"/>
  <c r="D4" i="10"/>
  <c r="E4" i="16"/>
  <c r="D19" i="5"/>
  <c r="E4" i="17"/>
  <c r="J68" i="8"/>
  <c r="F68" i="8"/>
  <c r="F56" i="8" s="1"/>
  <c r="G83" i="8"/>
  <c r="G71" i="8"/>
  <c r="G85" i="8"/>
  <c r="J9" i="16" l="1"/>
  <c r="J17" i="38" s="1"/>
  <c r="K17" i="38" s="1"/>
  <c r="K18" i="38" s="1"/>
  <c r="J44" i="16"/>
  <c r="F4" i="54"/>
  <c r="F21" i="16"/>
  <c r="F32" i="16" s="1"/>
  <c r="F4" i="53"/>
  <c r="D4" i="16"/>
  <c r="B74" i="16"/>
  <c r="B75" i="16"/>
  <c r="J8" i="16"/>
  <c r="J7" i="16"/>
  <c r="J6" i="16"/>
  <c r="J5" i="16"/>
  <c r="J16" i="49"/>
  <c r="K16" i="49" s="1"/>
  <c r="K17" i="49" s="1"/>
  <c r="F4" i="49"/>
  <c r="F4" i="38"/>
  <c r="F31" i="38" s="1"/>
  <c r="F4" i="52"/>
  <c r="F4" i="6"/>
  <c r="F4" i="51"/>
  <c r="F12" i="51"/>
  <c r="C4" i="52"/>
  <c r="C4" i="6"/>
  <c r="C12" i="51"/>
  <c r="J4" i="5"/>
  <c r="I39" i="5"/>
  <c r="G69" i="8"/>
  <c r="D152" i="5"/>
  <c r="D154" i="5" s="1"/>
  <c r="D140" i="5"/>
  <c r="D37" i="10"/>
  <c r="E37" i="10"/>
  <c r="D35" i="5"/>
  <c r="C33" i="5"/>
  <c r="D131" i="5"/>
  <c r="E150" i="5"/>
  <c r="C19" i="5"/>
  <c r="G4" i="8"/>
  <c r="F19" i="5"/>
  <c r="F4" i="18"/>
  <c r="F4" i="17"/>
  <c r="F36" i="17" s="1"/>
  <c r="F4" i="16"/>
  <c r="B76" i="16" s="1"/>
  <c r="F4" i="10"/>
  <c r="E131" i="5"/>
  <c r="E31" i="10"/>
  <c r="D27" i="10"/>
  <c r="E103" i="5"/>
  <c r="D103" i="10"/>
  <c r="D21" i="10"/>
  <c r="D50" i="10"/>
  <c r="E27" i="10"/>
  <c r="D15" i="10"/>
  <c r="E103" i="10"/>
  <c r="E21" i="10"/>
  <c r="E15" i="10"/>
  <c r="D31" i="10"/>
  <c r="E50" i="10"/>
  <c r="D150" i="5"/>
  <c r="D103" i="5"/>
  <c r="C4" i="10"/>
  <c r="C4" i="17"/>
  <c r="C4" i="18"/>
  <c r="C135" i="18" s="1"/>
  <c r="J70" i="8"/>
  <c r="F70" i="8"/>
  <c r="F58" i="8" s="1"/>
  <c r="J69" i="8"/>
  <c r="F69" i="8"/>
  <c r="F57" i="8" s="1"/>
  <c r="H71" i="8"/>
  <c r="G70" i="8"/>
  <c r="G68" i="8"/>
  <c r="G56" i="8" s="1"/>
  <c r="C28" i="2"/>
  <c r="C49" i="2"/>
  <c r="C66" i="2"/>
  <c r="C76" i="2"/>
  <c r="C89" i="2"/>
  <c r="D87" i="2"/>
  <c r="E87" i="2"/>
  <c r="E91" i="5" s="1"/>
  <c r="D76" i="2"/>
  <c r="E76" i="2"/>
  <c r="D66" i="2"/>
  <c r="E66" i="2"/>
  <c r="D49" i="2"/>
  <c r="D28" i="2"/>
  <c r="F19" i="53" l="1"/>
  <c r="F12" i="53"/>
  <c r="G4" i="54"/>
  <c r="G4" i="53"/>
  <c r="F57" i="16"/>
  <c r="B58" i="16" s="1"/>
  <c r="F65" i="16"/>
  <c r="H4" i="8"/>
  <c r="G21" i="16"/>
  <c r="G4" i="49"/>
  <c r="G4" i="38"/>
  <c r="G31" i="38" s="1"/>
  <c r="G4" i="52"/>
  <c r="G4" i="6"/>
  <c r="G4" i="51"/>
  <c r="G12" i="51"/>
  <c r="F49" i="16"/>
  <c r="B50" i="16" s="1"/>
  <c r="J39" i="5"/>
  <c r="C140" i="5"/>
  <c r="C50" i="10"/>
  <c r="E137" i="2"/>
  <c r="E136" i="2"/>
  <c r="C137" i="2"/>
  <c r="C136" i="2"/>
  <c r="D136" i="2"/>
  <c r="D137" i="2"/>
  <c r="C152" i="5"/>
  <c r="C154" i="5" s="1"/>
  <c r="C150" i="5"/>
  <c r="C35" i="5"/>
  <c r="C103" i="5"/>
  <c r="C131" i="5"/>
  <c r="F37" i="10"/>
  <c r="F103" i="10"/>
  <c r="F27" i="10"/>
  <c r="F15" i="10"/>
  <c r="F31" i="10"/>
  <c r="F21" i="10"/>
  <c r="F150" i="5"/>
  <c r="F103" i="5"/>
  <c r="F131" i="5"/>
  <c r="G19" i="5"/>
  <c r="G4" i="16"/>
  <c r="G4" i="18"/>
  <c r="G4" i="17"/>
  <c r="G36" i="17" s="1"/>
  <c r="G4" i="10"/>
  <c r="C31" i="10"/>
  <c r="C15" i="10"/>
  <c r="C27" i="10"/>
  <c r="C37" i="10"/>
  <c r="C103" i="10"/>
  <c r="C21" i="10"/>
  <c r="D89" i="2"/>
  <c r="E89" i="2"/>
  <c r="F60" i="8"/>
  <c r="F5" i="8" s="1"/>
  <c r="G58" i="8"/>
  <c r="G57" i="8"/>
  <c r="I71" i="8"/>
  <c r="H68" i="8"/>
  <c r="H56" i="8" s="1"/>
  <c r="H69" i="8"/>
  <c r="H70" i="8"/>
  <c r="C77" i="2"/>
  <c r="C90" i="2" s="1"/>
  <c r="C50" i="2"/>
  <c r="E50" i="2"/>
  <c r="D50" i="2"/>
  <c r="E77" i="2"/>
  <c r="D77" i="2"/>
  <c r="B157" i="18"/>
  <c r="B167" i="18" s="1"/>
  <c r="B163" i="18"/>
  <c r="B154" i="18"/>
  <c r="B164" i="18" s="1"/>
  <c r="B155" i="18"/>
  <c r="B165" i="18" s="1"/>
  <c r="B156" i="18"/>
  <c r="B166" i="18" s="1"/>
  <c r="B152" i="18"/>
  <c r="B162" i="18" s="1"/>
  <c r="C139" i="18"/>
  <c r="D139" i="18"/>
  <c r="E139" i="18"/>
  <c r="I4" i="8" l="1"/>
  <c r="I4" i="49" s="1"/>
  <c r="H4" i="54"/>
  <c r="H4" i="53"/>
  <c r="H4" i="17"/>
  <c r="H36" i="17" s="1"/>
  <c r="H4" i="10"/>
  <c r="H37" i="10" s="1"/>
  <c r="G19" i="53"/>
  <c r="G12" i="53"/>
  <c r="H19" i="5"/>
  <c r="H131" i="5" s="1"/>
  <c r="H4" i="16"/>
  <c r="F37" i="53"/>
  <c r="B38" i="53" s="1"/>
  <c r="F45" i="53"/>
  <c r="F28" i="53"/>
  <c r="F54" i="53"/>
  <c r="B55" i="53" s="1"/>
  <c r="G32" i="16"/>
  <c r="G65" i="16" s="1"/>
  <c r="H4" i="18"/>
  <c r="F41" i="6"/>
  <c r="I21" i="16"/>
  <c r="I4" i="38"/>
  <c r="I4" i="52"/>
  <c r="I4" i="6"/>
  <c r="I12" i="51"/>
  <c r="I4" i="51"/>
  <c r="H21" i="16"/>
  <c r="H4" i="49"/>
  <c r="H4" i="38"/>
  <c r="H31" i="38" s="1"/>
  <c r="H4" i="6"/>
  <c r="H4" i="52"/>
  <c r="H4" i="51"/>
  <c r="H12" i="51"/>
  <c r="D128" i="2"/>
  <c r="E128" i="2"/>
  <c r="E142" i="2"/>
  <c r="E138" i="2"/>
  <c r="C142" i="2"/>
  <c r="C138" i="2"/>
  <c r="D138" i="2"/>
  <c r="D142" i="2"/>
  <c r="F9" i="18"/>
  <c r="F6" i="10"/>
  <c r="F30" i="17"/>
  <c r="F20" i="5"/>
  <c r="F139" i="18"/>
  <c r="I4" i="16"/>
  <c r="D90" i="2"/>
  <c r="D91" i="2" s="1"/>
  <c r="I4" i="18"/>
  <c r="I19" i="5"/>
  <c r="H103" i="10"/>
  <c r="I4" i="17"/>
  <c r="I36" i="17" s="1"/>
  <c r="G37" i="10"/>
  <c r="G31" i="10"/>
  <c r="G15" i="10"/>
  <c r="G103" i="10"/>
  <c r="G21" i="10"/>
  <c r="G27" i="10"/>
  <c r="G131" i="5"/>
  <c r="G150" i="5"/>
  <c r="G103" i="5"/>
  <c r="I4" i="10"/>
  <c r="I37" i="10" s="1"/>
  <c r="J4" i="8"/>
  <c r="J4" i="51" s="1"/>
  <c r="E90" i="2"/>
  <c r="E91" i="2" s="1"/>
  <c r="G60" i="8"/>
  <c r="G5" i="8" s="1"/>
  <c r="F6" i="8"/>
  <c r="C91" i="2"/>
  <c r="C92" i="2" s="1"/>
  <c r="H57" i="8"/>
  <c r="H58" i="8"/>
  <c r="I68" i="8"/>
  <c r="I56" i="8" s="1"/>
  <c r="I69" i="8"/>
  <c r="I70" i="8"/>
  <c r="H103" i="5" l="1"/>
  <c r="H150" i="5"/>
  <c r="H21" i="10"/>
  <c r="H31" i="10"/>
  <c r="H15" i="10"/>
  <c r="H27" i="10"/>
  <c r="G28" i="53"/>
  <c r="G45" i="53"/>
  <c r="G37" i="53"/>
  <c r="B39" i="53" s="1"/>
  <c r="G54" i="53"/>
  <c r="B56" i="53" s="1"/>
  <c r="J4" i="54"/>
  <c r="J4" i="53"/>
  <c r="H19" i="53"/>
  <c r="H12" i="53"/>
  <c r="I4" i="54"/>
  <c r="I4" i="53"/>
  <c r="G49" i="16"/>
  <c r="B51" i="16" s="1"/>
  <c r="G57" i="16"/>
  <c r="B59" i="16" s="1"/>
  <c r="I32" i="16"/>
  <c r="I65" i="16" s="1"/>
  <c r="H32" i="16"/>
  <c r="H65" i="16" s="1"/>
  <c r="J21" i="16"/>
  <c r="J4" i="49"/>
  <c r="J4" i="38"/>
  <c r="J4" i="52"/>
  <c r="J4" i="6"/>
  <c r="G41" i="6"/>
  <c r="B66" i="16"/>
  <c r="F28" i="6"/>
  <c r="F67" i="5" s="1"/>
  <c r="F14" i="6"/>
  <c r="F45" i="5" s="1"/>
  <c r="F8" i="6"/>
  <c r="F43" i="5" s="1"/>
  <c r="F5" i="38"/>
  <c r="F5" i="49"/>
  <c r="F12" i="10"/>
  <c r="F13" i="10" s="1"/>
  <c r="F133" i="5"/>
  <c r="F128" i="18"/>
  <c r="F7" i="18" s="1"/>
  <c r="F49" i="18"/>
  <c r="F13" i="18"/>
  <c r="F50" i="18"/>
  <c r="F51" i="18"/>
  <c r="F58" i="18"/>
  <c r="F20" i="18"/>
  <c r="F17" i="18"/>
  <c r="F57" i="18"/>
  <c r="F16" i="18"/>
  <c r="F65" i="18"/>
  <c r="F21" i="18"/>
  <c r="F15" i="18"/>
  <c r="F40" i="17" s="1"/>
  <c r="F63" i="18"/>
  <c r="F18" i="18"/>
  <c r="F14" i="18"/>
  <c r="F59" i="18"/>
  <c r="F19" i="18"/>
  <c r="G6" i="8"/>
  <c r="G6" i="10"/>
  <c r="G20" i="5"/>
  <c r="G30" i="17"/>
  <c r="G9" i="18"/>
  <c r="F34" i="10"/>
  <c r="F35" i="10" s="1"/>
  <c r="F18" i="10"/>
  <c r="F19" i="10" s="1"/>
  <c r="F104" i="10"/>
  <c r="F106" i="10" s="1"/>
  <c r="F5" i="10" s="1"/>
  <c r="F6" i="52" s="1"/>
  <c r="F24" i="10"/>
  <c r="F25" i="10" s="1"/>
  <c r="I103" i="10"/>
  <c r="I31" i="38"/>
  <c r="I150" i="5"/>
  <c r="J19" i="5"/>
  <c r="I103" i="5"/>
  <c r="J4" i="10"/>
  <c r="J37" i="10" s="1"/>
  <c r="J4" i="18"/>
  <c r="I15" i="10"/>
  <c r="J4" i="16"/>
  <c r="I131" i="5"/>
  <c r="I21" i="10"/>
  <c r="I31" i="10"/>
  <c r="I27" i="10"/>
  <c r="J4" i="17"/>
  <c r="J36" i="17" s="1"/>
  <c r="H60" i="8"/>
  <c r="O69" i="8" s="1"/>
  <c r="I57" i="8"/>
  <c r="J57" i="8" s="1"/>
  <c r="I58" i="8"/>
  <c r="J58" i="8" s="1"/>
  <c r="J56" i="8"/>
  <c r="F6" i="17"/>
  <c r="F9" i="54" l="1"/>
  <c r="F10" i="52"/>
  <c r="H28" i="53"/>
  <c r="H45" i="53"/>
  <c r="H54" i="53"/>
  <c r="B57" i="53" s="1"/>
  <c r="H37" i="53"/>
  <c r="B40" i="53" s="1"/>
  <c r="J19" i="53"/>
  <c r="J12" i="53"/>
  <c r="I19" i="53"/>
  <c r="I12" i="53"/>
  <c r="F146" i="5"/>
  <c r="I49" i="16"/>
  <c r="B53" i="16" s="1"/>
  <c r="I57" i="16"/>
  <c r="H57" i="16"/>
  <c r="B60" i="16" s="1"/>
  <c r="H49" i="16"/>
  <c r="B52" i="16" s="1"/>
  <c r="J32" i="16"/>
  <c r="J65" i="16" s="1"/>
  <c r="J12" i="51"/>
  <c r="F15" i="52"/>
  <c r="B67" i="16"/>
  <c r="G5" i="38"/>
  <c r="G5" i="49"/>
  <c r="G14" i="6"/>
  <c r="G45" i="5" s="1"/>
  <c r="G28" i="6"/>
  <c r="G67" i="5" s="1"/>
  <c r="G8" i="6"/>
  <c r="G43" i="5" s="1"/>
  <c r="G146" i="5" s="1"/>
  <c r="F47" i="10"/>
  <c r="F42" i="6"/>
  <c r="G133" i="5"/>
  <c r="F23" i="18"/>
  <c r="F39" i="18" s="1"/>
  <c r="F41" i="17"/>
  <c r="F7" i="10"/>
  <c r="G34" i="10"/>
  <c r="G35" i="10" s="1"/>
  <c r="G24" i="10"/>
  <c r="G25" i="10" s="1"/>
  <c r="G104" i="10"/>
  <c r="G106" i="10" s="1"/>
  <c r="G5" i="10" s="1"/>
  <c r="G6" i="52" s="1"/>
  <c r="G18" i="10"/>
  <c r="G19" i="10" s="1"/>
  <c r="G12" i="10"/>
  <c r="F21" i="5"/>
  <c r="F39" i="17"/>
  <c r="F129" i="18"/>
  <c r="G128" i="18"/>
  <c r="G7" i="18" s="1"/>
  <c r="G63" i="18"/>
  <c r="G20" i="18"/>
  <c r="G14" i="18"/>
  <c r="G59" i="18"/>
  <c r="G57" i="18"/>
  <c r="G21" i="18"/>
  <c r="G58" i="18"/>
  <c r="G49" i="18"/>
  <c r="G13" i="18"/>
  <c r="G16" i="18"/>
  <c r="G19" i="18"/>
  <c r="G18" i="18"/>
  <c r="G15" i="18"/>
  <c r="G40" i="17" s="1"/>
  <c r="G17" i="18"/>
  <c r="G51" i="18"/>
  <c r="G65" i="18"/>
  <c r="G50" i="18"/>
  <c r="F25" i="5"/>
  <c r="J103" i="10"/>
  <c r="J131" i="5"/>
  <c r="J103" i="5"/>
  <c r="J31" i="38"/>
  <c r="J150" i="5"/>
  <c r="J27" i="10"/>
  <c r="J15" i="10"/>
  <c r="J21" i="10"/>
  <c r="J31" i="10"/>
  <c r="H5" i="8"/>
  <c r="F10" i="17"/>
  <c r="F37" i="17"/>
  <c r="I60" i="8"/>
  <c r="I5" i="8" s="1"/>
  <c r="J60" i="8"/>
  <c r="J5" i="8" s="1"/>
  <c r="G9" i="54" l="1"/>
  <c r="G10" i="52"/>
  <c r="I45" i="53"/>
  <c r="I28" i="53"/>
  <c r="I54" i="53"/>
  <c r="B58" i="53" s="1"/>
  <c r="I37" i="53"/>
  <c r="B41" i="53" s="1"/>
  <c r="J45" i="53"/>
  <c r="J28" i="53"/>
  <c r="J37" i="53"/>
  <c r="B42" i="53" s="1"/>
  <c r="J54" i="53"/>
  <c r="B59" i="53" s="1"/>
  <c r="J49" i="16"/>
  <c r="B54" i="16" s="1"/>
  <c r="J57" i="16"/>
  <c r="B62" i="16" s="1"/>
  <c r="B61" i="16"/>
  <c r="H41" i="6"/>
  <c r="B68" i="16"/>
  <c r="I41" i="6"/>
  <c r="G15" i="52"/>
  <c r="F10" i="49"/>
  <c r="F10" i="38"/>
  <c r="B69" i="16"/>
  <c r="J41" i="6"/>
  <c r="G13" i="10"/>
  <c r="G7" i="10"/>
  <c r="G42" i="6"/>
  <c r="F34" i="6"/>
  <c r="F71" i="5" s="1"/>
  <c r="F37" i="6"/>
  <c r="F72" i="5" s="1"/>
  <c r="F17" i="6"/>
  <c r="F46" i="5" s="1"/>
  <c r="F147" i="5" s="1"/>
  <c r="F11" i="6"/>
  <c r="F44" i="5" s="1"/>
  <c r="F25" i="6"/>
  <c r="F6" i="49"/>
  <c r="F6" i="38"/>
  <c r="F47" i="17"/>
  <c r="F48" i="17" s="1"/>
  <c r="F24" i="17" s="1"/>
  <c r="G129" i="18"/>
  <c r="F138" i="5"/>
  <c r="J6" i="10"/>
  <c r="J9" i="18"/>
  <c r="J30" i="17"/>
  <c r="J20" i="5"/>
  <c r="I6" i="10"/>
  <c r="I20" i="5"/>
  <c r="I30" i="17"/>
  <c r="I9" i="18"/>
  <c r="G41" i="17"/>
  <c r="G25" i="5"/>
  <c r="G21" i="5"/>
  <c r="G39" i="17"/>
  <c r="H6" i="8"/>
  <c r="H30" i="17"/>
  <c r="H20" i="5"/>
  <c r="H6" i="10"/>
  <c r="H9" i="18"/>
  <c r="G47" i="10"/>
  <c r="J6" i="8"/>
  <c r="I6" i="8"/>
  <c r="O70" i="8"/>
  <c r="P74" i="8"/>
  <c r="I28" i="6" l="1"/>
  <c r="I67" i="5" s="1"/>
  <c r="I14" i="6"/>
  <c r="I45" i="5" s="1"/>
  <c r="I8" i="6"/>
  <c r="I43" i="5" s="1"/>
  <c r="I146" i="5" s="1"/>
  <c r="J5" i="38"/>
  <c r="K5" i="38" s="1"/>
  <c r="J5" i="49"/>
  <c r="K5" i="49" s="1"/>
  <c r="G10" i="38"/>
  <c r="G10" i="49"/>
  <c r="H5" i="38"/>
  <c r="H5" i="49"/>
  <c r="B70" i="16"/>
  <c r="H14" i="6"/>
  <c r="H45" i="5" s="1"/>
  <c r="H8" i="6"/>
  <c r="H43" i="5" s="1"/>
  <c r="H146" i="5" s="1"/>
  <c r="H28" i="6"/>
  <c r="H67" i="5" s="1"/>
  <c r="J8" i="6"/>
  <c r="J43" i="5" s="1"/>
  <c r="J146" i="5" s="1"/>
  <c r="J14" i="6"/>
  <c r="J45" i="5" s="1"/>
  <c r="J28" i="6"/>
  <c r="J67" i="5" s="1"/>
  <c r="I5" i="38"/>
  <c r="I5" i="49"/>
  <c r="F66" i="5"/>
  <c r="F73" i="5" s="1"/>
  <c r="F38" i="6"/>
  <c r="G37" i="6"/>
  <c r="G72" i="5" s="1"/>
  <c r="G25" i="6"/>
  <c r="G34" i="6"/>
  <c r="G71" i="5" s="1"/>
  <c r="G17" i="6"/>
  <c r="G46" i="5" s="1"/>
  <c r="G147" i="5" s="1"/>
  <c r="G11" i="6"/>
  <c r="G44" i="5" s="1"/>
  <c r="G6" i="49"/>
  <c r="G6" i="38"/>
  <c r="I133" i="5"/>
  <c r="H133" i="5"/>
  <c r="J133" i="5"/>
  <c r="F26" i="17"/>
  <c r="G47" i="17"/>
  <c r="I34" i="10"/>
  <c r="I35" i="10" s="1"/>
  <c r="I24" i="10"/>
  <c r="I25" i="10" s="1"/>
  <c r="I12" i="10"/>
  <c r="I104" i="10"/>
  <c r="I106" i="10" s="1"/>
  <c r="I5" i="10" s="1"/>
  <c r="I6" i="52" s="1"/>
  <c r="I18" i="10"/>
  <c r="I19" i="10" s="1"/>
  <c r="J63" i="18"/>
  <c r="J65" i="18"/>
  <c r="J50" i="18"/>
  <c r="J21" i="18"/>
  <c r="J128" i="18"/>
  <c r="J7" i="18" s="1"/>
  <c r="J14" i="18"/>
  <c r="J59" i="18"/>
  <c r="J15" i="18"/>
  <c r="J40" i="17" s="1"/>
  <c r="J16" i="18"/>
  <c r="J57" i="18"/>
  <c r="J18" i="18"/>
  <c r="J51" i="18"/>
  <c r="J20" i="18"/>
  <c r="J49" i="18"/>
  <c r="J13" i="18"/>
  <c r="J19" i="18"/>
  <c r="J17" i="18"/>
  <c r="J58" i="18"/>
  <c r="J104" i="10"/>
  <c r="J106" i="10" s="1"/>
  <c r="J5" i="10" s="1"/>
  <c r="J6" i="52" s="1"/>
  <c r="J12" i="10"/>
  <c r="J24" i="10"/>
  <c r="J25" i="10" s="1"/>
  <c r="J34" i="10"/>
  <c r="J35" i="10" s="1"/>
  <c r="J18" i="10"/>
  <c r="J19" i="10" s="1"/>
  <c r="G138" i="5"/>
  <c r="H17" i="18"/>
  <c r="H18" i="18"/>
  <c r="H59" i="18"/>
  <c r="H57" i="18"/>
  <c r="H63" i="18"/>
  <c r="H128" i="18"/>
  <c r="H7" i="18" s="1"/>
  <c r="H49" i="18"/>
  <c r="H50" i="18"/>
  <c r="H21" i="18"/>
  <c r="H15" i="18"/>
  <c r="H40" i="17" s="1"/>
  <c r="H51" i="18"/>
  <c r="H14" i="18"/>
  <c r="H58" i="18"/>
  <c r="H65" i="18"/>
  <c r="H13" i="18"/>
  <c r="H19" i="18"/>
  <c r="H20" i="18"/>
  <c r="H16" i="18"/>
  <c r="H104" i="10"/>
  <c r="H106" i="10" s="1"/>
  <c r="H5" i="10" s="1"/>
  <c r="H6" i="52" s="1"/>
  <c r="H24" i="10"/>
  <c r="H25" i="10" s="1"/>
  <c r="H12" i="10"/>
  <c r="H18" i="10"/>
  <c r="H19" i="10" s="1"/>
  <c r="H34" i="10"/>
  <c r="H35" i="10" s="1"/>
  <c r="I16" i="18"/>
  <c r="I59" i="18"/>
  <c r="I19" i="18"/>
  <c r="I13" i="18"/>
  <c r="I128" i="18"/>
  <c r="I7" i="18" s="1"/>
  <c r="I51" i="18"/>
  <c r="I58" i="18"/>
  <c r="I17" i="18"/>
  <c r="I63" i="18"/>
  <c r="I14" i="18"/>
  <c r="I49" i="18"/>
  <c r="I65" i="18"/>
  <c r="I50" i="18"/>
  <c r="I20" i="18"/>
  <c r="I18" i="18"/>
  <c r="I57" i="18"/>
  <c r="I21" i="18"/>
  <c r="I15" i="18"/>
  <c r="I40" i="17" s="1"/>
  <c r="H9" i="54" l="1"/>
  <c r="H10" i="52"/>
  <c r="J9" i="54"/>
  <c r="J10" i="52"/>
  <c r="I9" i="54"/>
  <c r="I10" i="52"/>
  <c r="I15" i="52"/>
  <c r="H15" i="52"/>
  <c r="J15" i="52"/>
  <c r="J13" i="10"/>
  <c r="I13" i="10"/>
  <c r="H13" i="10"/>
  <c r="G66" i="5"/>
  <c r="G73" i="5" s="1"/>
  <c r="G38" i="6"/>
  <c r="H47" i="10"/>
  <c r="H42" i="6"/>
  <c r="I7" i="10"/>
  <c r="I42" i="6"/>
  <c r="J7" i="10"/>
  <c r="J42" i="6"/>
  <c r="J47" i="10"/>
  <c r="H129" i="18"/>
  <c r="H41" i="17"/>
  <c r="H7" i="10"/>
  <c r="I129" i="18"/>
  <c r="I39" i="17"/>
  <c r="I21" i="5"/>
  <c r="I41" i="17"/>
  <c r="H25" i="5"/>
  <c r="J21" i="5"/>
  <c r="J39" i="17"/>
  <c r="J129" i="18"/>
  <c r="J41" i="17"/>
  <c r="I47" i="10"/>
  <c r="I25" i="5"/>
  <c r="H21" i="5"/>
  <c r="H39" i="17"/>
  <c r="J25" i="5"/>
  <c r="D23" i="18"/>
  <c r="E24" i="18"/>
  <c r="E25" i="18" s="1"/>
  <c r="G23" i="18"/>
  <c r="G39" i="18" s="1"/>
  <c r="D68" i="18"/>
  <c r="D69" i="18" s="1"/>
  <c r="D70" i="18" s="1"/>
  <c r="E68" i="18"/>
  <c r="E69" i="18" s="1"/>
  <c r="E70" i="18" s="1"/>
  <c r="C33" i="10"/>
  <c r="D33" i="10"/>
  <c r="E33" i="10"/>
  <c r="J10" i="38" l="1"/>
  <c r="K10" i="38" s="1"/>
  <c r="J10" i="49"/>
  <c r="K10" i="49" s="1"/>
  <c r="I10" i="38"/>
  <c r="I10" i="49"/>
  <c r="H10" i="49"/>
  <c r="H10" i="38"/>
  <c r="H47" i="17"/>
  <c r="J37" i="6"/>
  <c r="J72" i="5" s="1"/>
  <c r="J34" i="6"/>
  <c r="J71" i="5" s="1"/>
  <c r="J11" i="6"/>
  <c r="J44" i="5" s="1"/>
  <c r="J25" i="6"/>
  <c r="J17" i="6"/>
  <c r="J46" i="5" s="1"/>
  <c r="J147" i="5" s="1"/>
  <c r="I37" i="6"/>
  <c r="I72" i="5" s="1"/>
  <c r="I34" i="6"/>
  <c r="I71" i="5" s="1"/>
  <c r="I11" i="6"/>
  <c r="I44" i="5" s="1"/>
  <c r="I25" i="6"/>
  <c r="I17" i="6"/>
  <c r="I46" i="5" s="1"/>
  <c r="I147" i="5" s="1"/>
  <c r="H37" i="6"/>
  <c r="H72" i="5" s="1"/>
  <c r="H11" i="6"/>
  <c r="H44" i="5" s="1"/>
  <c r="H34" i="6"/>
  <c r="H71" i="5" s="1"/>
  <c r="H17" i="6"/>
  <c r="H46" i="5" s="1"/>
  <c r="H147" i="5" s="1"/>
  <c r="H25" i="6"/>
  <c r="J6" i="49"/>
  <c r="K6" i="49" s="1"/>
  <c r="J6" i="38"/>
  <c r="K6" i="38" s="1"/>
  <c r="I6" i="49"/>
  <c r="I6" i="38"/>
  <c r="H6" i="49"/>
  <c r="H6" i="38"/>
  <c r="I47" i="17"/>
  <c r="J47" i="17"/>
  <c r="H138" i="5"/>
  <c r="J138" i="5"/>
  <c r="I138" i="5"/>
  <c r="D24" i="18"/>
  <c r="D25" i="18" s="1"/>
  <c r="I6" i="17"/>
  <c r="G6" i="17"/>
  <c r="J6" i="17"/>
  <c r="H6" i="17"/>
  <c r="I66" i="5" l="1"/>
  <c r="I73" i="5" s="1"/>
  <c r="I38" i="6"/>
  <c r="J38" i="6"/>
  <c r="J66" i="5"/>
  <c r="J73" i="5" s="1"/>
  <c r="H66" i="5"/>
  <c r="H73" i="5" s="1"/>
  <c r="H38" i="6"/>
  <c r="G10" i="17"/>
  <c r="I10" i="17"/>
  <c r="H10" i="17"/>
  <c r="J10" i="17"/>
  <c r="H37" i="17"/>
  <c r="H48" i="17" s="1"/>
  <c r="J37" i="17"/>
  <c r="J48" i="17" s="1"/>
  <c r="I37" i="17"/>
  <c r="I48" i="17" s="1"/>
  <c r="G37" i="17"/>
  <c r="G48" i="17" s="1"/>
  <c r="G26" i="17" l="1"/>
  <c r="G24" i="17"/>
  <c r="I24" i="17"/>
  <c r="I26" i="17"/>
  <c r="J26" i="17"/>
  <c r="J24" i="17"/>
  <c r="H24" i="17"/>
  <c r="H26" i="17"/>
  <c r="G12" i="5" l="1"/>
  <c r="H12" i="5" s="1"/>
  <c r="I12" i="5" s="1"/>
  <c r="J12" i="5" s="1"/>
  <c r="F106" i="5" l="1"/>
  <c r="J106" i="5"/>
  <c r="I106" i="5"/>
  <c r="H106" i="5"/>
  <c r="G106" i="5" l="1"/>
  <c r="C6" i="17"/>
  <c r="C7" i="17" l="1"/>
  <c r="C10" i="17"/>
  <c r="G21" i="38" l="1"/>
  <c r="H21" i="38" s="1"/>
  <c r="I21" i="38" s="1"/>
  <c r="J21" i="38" s="1"/>
  <c r="C17" i="10" l="1"/>
  <c r="D17" i="10"/>
  <c r="E17" i="10"/>
  <c r="F41" i="18" l="1"/>
  <c r="F42" i="18" s="1"/>
  <c r="J23" i="18"/>
  <c r="J39" i="18" s="1"/>
  <c r="I23" i="18"/>
  <c r="I39" i="18" s="1"/>
  <c r="H23" i="18"/>
  <c r="H39" i="18" s="1"/>
  <c r="C32" i="17"/>
  <c r="D32" i="17"/>
  <c r="F5" i="18" l="1"/>
  <c r="E39" i="10"/>
  <c r="E40" i="10" s="1"/>
  <c r="D39" i="10"/>
  <c r="D40" i="10" s="1"/>
  <c r="C40" i="10"/>
  <c r="F7" i="54" l="1"/>
  <c r="F8" i="52"/>
  <c r="F23" i="5"/>
  <c r="E6" i="17"/>
  <c r="D6" i="17"/>
  <c r="F8" i="49" l="1"/>
  <c r="F8" i="38"/>
  <c r="D7" i="17"/>
  <c r="D10" i="17"/>
  <c r="E7" i="17"/>
  <c r="E10" i="17"/>
  <c r="F28" i="10" l="1"/>
  <c r="F29" i="10" l="1"/>
  <c r="F38" i="10"/>
  <c r="E20" i="17"/>
  <c r="E22" i="17" s="1"/>
  <c r="D20" i="17"/>
  <c r="D22" i="17" s="1"/>
  <c r="C20" i="17"/>
  <c r="C22" i="17" s="1"/>
  <c r="F120" i="5" l="1"/>
  <c r="G6" i="5" l="1"/>
  <c r="G62" i="5" s="1"/>
  <c r="H6" i="5" l="1"/>
  <c r="H62" i="5" s="1"/>
  <c r="C106" i="5"/>
  <c r="D106" i="5"/>
  <c r="E106" i="5" l="1"/>
  <c r="I6" i="5"/>
  <c r="I62" i="5" s="1"/>
  <c r="C89" i="5"/>
  <c r="D89" i="5"/>
  <c r="J6" i="5" l="1"/>
  <c r="J62" i="5" s="1"/>
  <c r="C23" i="18" l="1"/>
  <c r="C39" i="18" s="1"/>
  <c r="C23" i="10"/>
  <c r="D23" i="10"/>
  <c r="E23" i="10"/>
  <c r="C11" i="10"/>
  <c r="D11" i="10"/>
  <c r="E11" i="10"/>
  <c r="E29" i="10" l="1"/>
  <c r="D29" i="10"/>
  <c r="C29" i="10"/>
  <c r="C24" i="18"/>
  <c r="C25" i="18" s="1"/>
  <c r="E39" i="18"/>
  <c r="D39" i="18"/>
  <c r="D40" i="18" s="1"/>
  <c r="C40" i="18"/>
  <c r="E119" i="18" l="1"/>
  <c r="D119" i="18"/>
  <c r="D120" i="18" s="1"/>
  <c r="C69" i="18"/>
  <c r="C70" i="18" s="1"/>
  <c r="C119" i="18" l="1"/>
  <c r="C120" i="18" s="1"/>
  <c r="E45" i="18" l="1"/>
  <c r="E141" i="18"/>
  <c r="E151" i="18" s="1"/>
  <c r="E118" i="18"/>
  <c r="E161" i="18" l="1"/>
  <c r="F12" i="18"/>
  <c r="F118" i="18"/>
  <c r="F45" i="18"/>
  <c r="G12" i="18" l="1"/>
  <c r="D118" i="18"/>
  <c r="D141" i="18"/>
  <c r="D151" i="18" s="1"/>
  <c r="G118" i="18"/>
  <c r="G45" i="18"/>
  <c r="D45" i="18"/>
  <c r="D161" i="18" l="1"/>
  <c r="H12" i="18"/>
  <c r="H118" i="18"/>
  <c r="H45" i="18"/>
  <c r="I12" i="18" l="1"/>
  <c r="I45" i="18"/>
  <c r="J12" i="18"/>
  <c r="I118" i="18"/>
  <c r="J118" i="18" l="1"/>
  <c r="J45" i="18"/>
  <c r="E9" i="18" l="1"/>
  <c r="C12" i="17"/>
  <c r="D12" i="17"/>
  <c r="E12" i="17"/>
  <c r="E127" i="18" l="1"/>
  <c r="E86" i="18"/>
  <c r="F86" i="18" s="1"/>
  <c r="E88" i="18"/>
  <c r="F88" i="18" s="1"/>
  <c r="E75" i="18"/>
  <c r="F75" i="18" s="1"/>
  <c r="E77" i="18"/>
  <c r="F77" i="18" s="1"/>
  <c r="E74" i="18"/>
  <c r="F74" i="18" s="1"/>
  <c r="E72" i="18"/>
  <c r="E90" i="18"/>
  <c r="F90" i="18" s="1"/>
  <c r="E92" i="18"/>
  <c r="F92" i="18" s="1"/>
  <c r="E79" i="18"/>
  <c r="F79" i="18" s="1"/>
  <c r="E82" i="18"/>
  <c r="F82" i="18" s="1"/>
  <c r="E87" i="18"/>
  <c r="F87" i="18" s="1"/>
  <c r="E73" i="18"/>
  <c r="F73" i="18" s="1"/>
  <c r="E89" i="18"/>
  <c r="F89" i="18" s="1"/>
  <c r="E91" i="18"/>
  <c r="F91" i="18" s="1"/>
  <c r="E81" i="18"/>
  <c r="F81" i="18" s="1"/>
  <c r="E83" i="18"/>
  <c r="F83" i="18" s="1"/>
  <c r="E85" i="18"/>
  <c r="F85" i="18" s="1"/>
  <c r="E76" i="18"/>
  <c r="F76" i="18" s="1"/>
  <c r="E78" i="18"/>
  <c r="F78" i="18" s="1"/>
  <c r="E84" i="18"/>
  <c r="F84" i="18" s="1"/>
  <c r="E31" i="18"/>
  <c r="E33" i="18"/>
  <c r="E35" i="18"/>
  <c r="E28" i="18"/>
  <c r="E30" i="18"/>
  <c r="E29" i="18"/>
  <c r="E27" i="18"/>
  <c r="E32" i="18"/>
  <c r="E34" i="18"/>
  <c r="E10" i="18"/>
  <c r="E120" i="18"/>
  <c r="E40" i="18"/>
  <c r="F72" i="18" l="1"/>
  <c r="G72" i="18"/>
  <c r="G30" i="18"/>
  <c r="F30" i="18"/>
  <c r="G27" i="18"/>
  <c r="F27" i="18"/>
  <c r="G35" i="18"/>
  <c r="F35" i="18"/>
  <c r="G29" i="18"/>
  <c r="F29" i="18"/>
  <c r="F33" i="18"/>
  <c r="G33" i="18"/>
  <c r="F34" i="18"/>
  <c r="G34" i="18"/>
  <c r="G31" i="18"/>
  <c r="F31" i="18"/>
  <c r="F32" i="18"/>
  <c r="G32" i="18"/>
  <c r="G28" i="18"/>
  <c r="F28" i="18"/>
  <c r="G78" i="18"/>
  <c r="G89" i="18"/>
  <c r="G88" i="18"/>
  <c r="G75" i="18"/>
  <c r="G81" i="18"/>
  <c r="G90" i="18"/>
  <c r="G85" i="18"/>
  <c r="G76" i="18"/>
  <c r="G82" i="18"/>
  <c r="G83" i="18"/>
  <c r="G91" i="18"/>
  <c r="G86" i="18"/>
  <c r="G77" i="18"/>
  <c r="G87" i="18"/>
  <c r="G74" i="18"/>
  <c r="G79" i="18"/>
  <c r="G73" i="18"/>
  <c r="G92" i="18"/>
  <c r="G84" i="18"/>
  <c r="I12" i="16"/>
  <c r="G12" i="16"/>
  <c r="H12" i="16"/>
  <c r="J12" i="16"/>
  <c r="E12" i="16" l="1"/>
  <c r="F12" i="16"/>
  <c r="F53" i="5" l="1"/>
  <c r="F63" i="5" s="1"/>
  <c r="F107" i="5" s="1"/>
  <c r="J17" i="17"/>
  <c r="J43" i="10"/>
  <c r="J9" i="10" l="1"/>
  <c r="J38" i="18"/>
  <c r="J9" i="17"/>
  <c r="F13" i="17" l="1"/>
  <c r="F14" i="17" s="1"/>
  <c r="G41" i="18" l="1"/>
  <c r="G42" i="18" s="1"/>
  <c r="G5" i="18" l="1"/>
  <c r="G13" i="17"/>
  <c r="G14" i="17" s="1"/>
  <c r="H13" i="17"/>
  <c r="H14" i="17" s="1"/>
  <c r="H20" i="17"/>
  <c r="H41" i="18"/>
  <c r="H42" i="18" s="1"/>
  <c r="J41" i="18"/>
  <c r="J42" i="18" s="1"/>
  <c r="G7" i="54" l="1"/>
  <c r="G8" i="52"/>
  <c r="G23" i="5"/>
  <c r="H5" i="18"/>
  <c r="J5" i="18"/>
  <c r="H22" i="17"/>
  <c r="I13" i="17"/>
  <c r="I14" i="17" s="1"/>
  <c r="I20" i="17"/>
  <c r="J13" i="17"/>
  <c r="J14" i="17" s="1"/>
  <c r="J20" i="17"/>
  <c r="J22" i="17" s="1"/>
  <c r="I41" i="18"/>
  <c r="I42" i="18" s="1"/>
  <c r="J7" i="54" l="1"/>
  <c r="J8" i="52"/>
  <c r="H7" i="54"/>
  <c r="H8" i="52"/>
  <c r="G8" i="38"/>
  <c r="G8" i="49"/>
  <c r="J23" i="5"/>
  <c r="H23" i="5"/>
  <c r="I5" i="18"/>
  <c r="I22" i="17"/>
  <c r="I7" i="54" l="1"/>
  <c r="I8" i="52"/>
  <c r="H8" i="49"/>
  <c r="H8" i="38"/>
  <c r="J8" i="38"/>
  <c r="K8" i="38" s="1"/>
  <c r="J8" i="49"/>
  <c r="K8" i="49" s="1"/>
  <c r="I23" i="5"/>
  <c r="J32" i="17"/>
  <c r="I8" i="49" l="1"/>
  <c r="I8" i="38"/>
  <c r="J5" i="17"/>
  <c r="J33" i="17"/>
  <c r="J6" i="54" l="1"/>
  <c r="J7" i="52"/>
  <c r="J7" i="17"/>
  <c r="J22" i="5"/>
  <c r="J136" i="5" s="1"/>
  <c r="G28" i="10" l="1"/>
  <c r="J7" i="38"/>
  <c r="K7" i="38" s="1"/>
  <c r="J7" i="49"/>
  <c r="K7" i="49" s="1"/>
  <c r="G29" i="10" l="1"/>
  <c r="G38" i="10"/>
  <c r="G53" i="5"/>
  <c r="D17" i="17"/>
  <c r="G43" i="10" l="1"/>
  <c r="F43" i="10"/>
  <c r="I43" i="10"/>
  <c r="E43" i="10"/>
  <c r="H43" i="10"/>
  <c r="D43" i="10"/>
  <c r="G17" i="17"/>
  <c r="H17" i="17"/>
  <c r="F17" i="17"/>
  <c r="I17" i="17"/>
  <c r="E17" i="17"/>
  <c r="I9" i="10"/>
  <c r="G9" i="10"/>
  <c r="F9" i="10"/>
  <c r="H9" i="10"/>
  <c r="G61" i="5"/>
  <c r="E9" i="10"/>
  <c r="D9" i="10"/>
  <c r="H38" i="18"/>
  <c r="G38" i="18"/>
  <c r="F38" i="18"/>
  <c r="I38" i="18"/>
  <c r="I9" i="17"/>
  <c r="H9" i="17"/>
  <c r="E9" i="17"/>
  <c r="G9" i="17"/>
  <c r="D9" i="17"/>
  <c r="F9" i="17"/>
  <c r="E12" i="18"/>
  <c r="E38" i="18"/>
  <c r="D12" i="18"/>
  <c r="D38" i="18"/>
  <c r="G120" i="5" l="1"/>
  <c r="G59" i="5"/>
  <c r="H61" i="5"/>
  <c r="G63" i="5" l="1"/>
  <c r="G107" i="5" s="1"/>
  <c r="G109" i="5"/>
  <c r="E33" i="5"/>
  <c r="H120" i="5"/>
  <c r="G111" i="5"/>
  <c r="H59" i="5"/>
  <c r="I61" i="5"/>
  <c r="E140" i="5" l="1"/>
  <c r="E152" i="5"/>
  <c r="E154" i="5" s="1"/>
  <c r="E35" i="5"/>
  <c r="H109" i="5"/>
  <c r="H111" i="5" s="1"/>
  <c r="I120" i="5"/>
  <c r="I59" i="5"/>
  <c r="J61" i="5"/>
  <c r="I109" i="5" l="1"/>
  <c r="I111" i="5" s="1"/>
  <c r="J120" i="5"/>
  <c r="J59" i="5"/>
  <c r="E89" i="5" l="1"/>
  <c r="J109" i="5"/>
  <c r="J111" i="5" s="1"/>
  <c r="H32" i="17" l="1"/>
  <c r="H5" i="17" s="1"/>
  <c r="F20" i="17"/>
  <c r="F22" i="17" s="1"/>
  <c r="H6" i="54" l="1"/>
  <c r="H7" i="52"/>
  <c r="H33" i="17"/>
  <c r="G20" i="17"/>
  <c r="I32" i="17"/>
  <c r="H7" i="17" l="1"/>
  <c r="H22" i="5"/>
  <c r="I5" i="17"/>
  <c r="I33" i="17"/>
  <c r="F32" i="17"/>
  <c r="I6" i="54" l="1"/>
  <c r="I7" i="52"/>
  <c r="I7" i="17"/>
  <c r="H7" i="49"/>
  <c r="H7" i="38"/>
  <c r="I22" i="5"/>
  <c r="H136" i="5"/>
  <c r="F5" i="17"/>
  <c r="F33" i="17"/>
  <c r="G32" i="17"/>
  <c r="F6" i="54" l="1"/>
  <c r="F7" i="52"/>
  <c r="F7" i="17"/>
  <c r="I7" i="49"/>
  <c r="I7" i="38"/>
  <c r="I136" i="5"/>
  <c r="G5" i="17"/>
  <c r="G33" i="17"/>
  <c r="F22" i="5"/>
  <c r="G6" i="54" l="1"/>
  <c r="G7" i="52"/>
  <c r="G7" i="17"/>
  <c r="F7" i="49"/>
  <c r="F7" i="38"/>
  <c r="G22" i="5"/>
  <c r="G136" i="5" s="1"/>
  <c r="F136" i="5"/>
  <c r="I28" i="10" l="1"/>
  <c r="G7" i="49"/>
  <c r="G7" i="38"/>
  <c r="H28" i="10" l="1"/>
  <c r="H29" i="10" s="1"/>
  <c r="I29" i="10"/>
  <c r="I38" i="10"/>
  <c r="J28" i="10"/>
  <c r="H38" i="10" l="1"/>
  <c r="H53" i="5"/>
  <c r="H63" i="5" s="1"/>
  <c r="H107" i="5" s="1"/>
  <c r="J29" i="10"/>
  <c r="J38" i="10"/>
  <c r="I53" i="5" l="1"/>
  <c r="I63" i="5" s="1"/>
  <c r="I107" i="5" s="1"/>
  <c r="J53" i="5" l="1"/>
  <c r="J63" i="5" s="1"/>
  <c r="J107" i="5" s="1"/>
  <c r="D92" i="2" l="1"/>
  <c r="E92" i="2"/>
  <c r="C17" i="17" l="1"/>
  <c r="C9" i="17"/>
  <c r="C38" i="18"/>
  <c r="C45" i="18"/>
  <c r="E71" i="18" s="1"/>
  <c r="C141" i="18"/>
  <c r="C151" i="18" s="1"/>
  <c r="C12" i="18"/>
  <c r="E26" i="18" s="1"/>
  <c r="C118" i="18"/>
  <c r="C9" i="10"/>
  <c r="C43" i="10"/>
  <c r="C161" i="18" l="1"/>
  <c r="F52" i="18" l="1"/>
  <c r="F12" i="54" s="1"/>
  <c r="F68" i="18" l="1"/>
  <c r="F119" i="18" s="1"/>
  <c r="F121" i="18" s="1"/>
  <c r="F122" i="18" s="1"/>
  <c r="G52" i="18"/>
  <c r="G12" i="54" s="1"/>
  <c r="F6" i="18" l="1"/>
  <c r="F9" i="52" s="1"/>
  <c r="G68" i="18"/>
  <c r="G119" i="18" s="1"/>
  <c r="G121" i="18" s="1"/>
  <c r="G122" i="18" s="1"/>
  <c r="H52" i="18"/>
  <c r="H12" i="54" s="1"/>
  <c r="F8" i="18" l="1"/>
  <c r="F10" i="18" s="1"/>
  <c r="F8" i="54"/>
  <c r="F14" i="54" s="1"/>
  <c r="F16" i="54" s="1"/>
  <c r="F19" i="54" s="1"/>
  <c r="F12" i="52"/>
  <c r="F13" i="52" s="1"/>
  <c r="F24" i="5"/>
  <c r="F137" i="5" s="1"/>
  <c r="G6" i="18"/>
  <c r="H68" i="18"/>
  <c r="H119" i="18" s="1"/>
  <c r="H121" i="18" s="1"/>
  <c r="H122" i="18" s="1"/>
  <c r="F39" i="10"/>
  <c r="F40" i="10" s="1"/>
  <c r="I52" i="18"/>
  <c r="F18" i="52" l="1"/>
  <c r="F20" i="52" s="1"/>
  <c r="G8" i="54"/>
  <c r="G14" i="54" s="1"/>
  <c r="G16" i="54" s="1"/>
  <c r="G19" i="54" s="1"/>
  <c r="G42" i="5" s="1"/>
  <c r="G98" i="5" s="1"/>
  <c r="G9" i="52"/>
  <c r="I12" i="54"/>
  <c r="I68" i="18"/>
  <c r="I119" i="18" s="1"/>
  <c r="I121" i="18" s="1"/>
  <c r="I122" i="18" s="1"/>
  <c r="F42" i="5"/>
  <c r="F98" i="5" s="1"/>
  <c r="F20" i="54"/>
  <c r="F5" i="6"/>
  <c r="F21" i="6" s="1"/>
  <c r="F39" i="6" s="1"/>
  <c r="G39" i="10"/>
  <c r="G40" i="10" s="1"/>
  <c r="F9" i="38"/>
  <c r="F12" i="38" s="1"/>
  <c r="F13" i="38" s="1"/>
  <c r="F9" i="49"/>
  <c r="F12" i="49" s="1"/>
  <c r="H6" i="18"/>
  <c r="H9" i="52" s="1"/>
  <c r="G8" i="18"/>
  <c r="G10" i="18" s="1"/>
  <c r="G24" i="5"/>
  <c r="G137" i="5" s="1"/>
  <c r="J52" i="18"/>
  <c r="F21" i="52" l="1"/>
  <c r="F32" i="5"/>
  <c r="G20" i="54"/>
  <c r="G5" i="6"/>
  <c r="J12" i="54"/>
  <c r="J68" i="18"/>
  <c r="J119" i="18" s="1"/>
  <c r="J121" i="18" s="1"/>
  <c r="F43" i="6"/>
  <c r="H12" i="52"/>
  <c r="H13" i="52" s="1"/>
  <c r="H8" i="54"/>
  <c r="H14" i="54" s="1"/>
  <c r="H16" i="54" s="1"/>
  <c r="H19" i="54" s="1"/>
  <c r="H8" i="18"/>
  <c r="H10" i="18" s="1"/>
  <c r="H24" i="5"/>
  <c r="H137" i="5" s="1"/>
  <c r="I6" i="18"/>
  <c r="I9" i="52" s="1"/>
  <c r="G9" i="49"/>
  <c r="G12" i="49" s="1"/>
  <c r="G9" i="38"/>
  <c r="G12" i="52"/>
  <c r="G13" i="52" s="1"/>
  <c r="G21" i="6"/>
  <c r="G39" i="6" s="1"/>
  <c r="H39" i="10"/>
  <c r="H40" i="10" s="1"/>
  <c r="H18" i="52" l="1"/>
  <c r="H20" i="52" s="1"/>
  <c r="G18" i="52"/>
  <c r="G20" i="52" s="1"/>
  <c r="G12" i="38"/>
  <c r="G13" i="38" s="1"/>
  <c r="H9" i="49"/>
  <c r="H12" i="49" s="1"/>
  <c r="H9" i="38"/>
  <c r="H12" i="38" s="1"/>
  <c r="H13" i="38" s="1"/>
  <c r="I8" i="18"/>
  <c r="I10" i="18" s="1"/>
  <c r="I8" i="54"/>
  <c r="I14" i="54" s="1"/>
  <c r="I16" i="54" s="1"/>
  <c r="I19" i="54" s="1"/>
  <c r="H42" i="5"/>
  <c r="H98" i="5" s="1"/>
  <c r="H5" i="6"/>
  <c r="H21" i="6" s="1"/>
  <c r="H39" i="6" s="1"/>
  <c r="H43" i="6" s="1"/>
  <c r="H20" i="54"/>
  <c r="F23" i="52"/>
  <c r="I39" i="10"/>
  <c r="I40" i="10" s="1"/>
  <c r="I12" i="52"/>
  <c r="I13" i="52" s="1"/>
  <c r="I24" i="5"/>
  <c r="I137" i="5" s="1"/>
  <c r="G43" i="6"/>
  <c r="G40" i="6"/>
  <c r="J122" i="18"/>
  <c r="J6" i="18"/>
  <c r="G21" i="52" l="1"/>
  <c r="G32" i="5"/>
  <c r="H21" i="52"/>
  <c r="H32" i="5"/>
  <c r="I18" i="52"/>
  <c r="I20" i="52" s="1"/>
  <c r="G19" i="38"/>
  <c r="G18" i="49"/>
  <c r="J8" i="54"/>
  <c r="J14" i="54" s="1"/>
  <c r="J9" i="52"/>
  <c r="H40" i="6"/>
  <c r="I42" i="5"/>
  <c r="I98" i="5" s="1"/>
  <c r="I5" i="6"/>
  <c r="I21" i="6" s="1"/>
  <c r="I39" i="6" s="1"/>
  <c r="I43" i="6" s="1"/>
  <c r="I20" i="54"/>
  <c r="F14" i="49"/>
  <c r="F14" i="38"/>
  <c r="F15" i="38" s="1"/>
  <c r="J39" i="10"/>
  <c r="J40" i="10" s="1"/>
  <c r="I9" i="49"/>
  <c r="I12" i="49" s="1"/>
  <c r="I9" i="38"/>
  <c r="I12" i="38" s="1"/>
  <c r="I13" i="38" s="1"/>
  <c r="J8" i="18"/>
  <c r="J10" i="18" s="1"/>
  <c r="J24" i="5"/>
  <c r="J137" i="5" s="1"/>
  <c r="I21" i="52" l="1"/>
  <c r="I32" i="5"/>
  <c r="H18" i="49"/>
  <c r="H19" i="38"/>
  <c r="I40" i="6"/>
  <c r="J16" i="54"/>
  <c r="G14" i="38"/>
  <c r="G15" i="38" s="1"/>
  <c r="G20" i="38" s="1"/>
  <c r="J9" i="49"/>
  <c r="J9" i="38"/>
  <c r="J12" i="52"/>
  <c r="J13" i="52" s="1"/>
  <c r="J18" i="52" l="1"/>
  <c r="J20" i="52" s="1"/>
  <c r="J12" i="49"/>
  <c r="K9" i="49"/>
  <c r="K12" i="49" s="1"/>
  <c r="I18" i="49"/>
  <c r="I19" i="38"/>
  <c r="J12" i="38"/>
  <c r="J13" i="38" s="1"/>
  <c r="K9" i="38"/>
  <c r="K12" i="38" s="1"/>
  <c r="K13" i="38" s="1"/>
  <c r="K14" i="38" s="1"/>
  <c r="K15" i="38" s="1"/>
  <c r="K20" i="38" s="1"/>
  <c r="J19" i="54"/>
  <c r="G14" i="49"/>
  <c r="G23" i="52"/>
  <c r="H14" i="49"/>
  <c r="J21" i="52" l="1"/>
  <c r="J32" i="5"/>
  <c r="J42" i="5"/>
  <c r="J98" i="5" s="1"/>
  <c r="J20" i="54"/>
  <c r="J5" i="6"/>
  <c r="J21" i="6" s="1"/>
  <c r="J39" i="6" s="1"/>
  <c r="H14" i="38"/>
  <c r="H15" i="38" s="1"/>
  <c r="H20" i="38" s="1"/>
  <c r="H23" i="52"/>
  <c r="J40" i="6" l="1"/>
  <c r="J43" i="6"/>
  <c r="N70" i="50"/>
  <c r="L70" i="50"/>
  <c r="D91" i="5" s="1"/>
  <c r="D93" i="5" s="1"/>
  <c r="K70" i="50"/>
  <c r="C91" i="5" s="1"/>
  <c r="C93" i="5" l="1"/>
  <c r="C125" i="5" s="1"/>
  <c r="J18" i="49"/>
  <c r="J19" i="38"/>
  <c r="I14" i="38"/>
  <c r="I15" i="38" s="1"/>
  <c r="I20" i="38" s="1"/>
  <c r="F41" i="49"/>
  <c r="F56" i="38"/>
  <c r="C94" i="5"/>
  <c r="C95" i="5" s="1"/>
  <c r="C96" i="5" s="1"/>
  <c r="D134" i="5" l="1"/>
  <c r="D94" i="5"/>
  <c r="D95" i="5" s="1"/>
  <c r="D96" i="5" s="1"/>
  <c r="I23" i="52"/>
  <c r="I14" i="49"/>
  <c r="D125" i="5"/>
  <c r="J14" i="38" l="1"/>
  <c r="J15" i="38" s="1"/>
  <c r="J20" i="38" s="1"/>
  <c r="J23" i="52" l="1"/>
  <c r="J14" i="49"/>
  <c r="G92" i="5"/>
  <c r="H13" i="49" l="1"/>
  <c r="H92" i="5" l="1"/>
  <c r="I13" i="49" l="1"/>
  <c r="I92" i="5" l="1"/>
  <c r="J92" i="5" s="1"/>
  <c r="J13" i="49" l="1"/>
  <c r="K13" i="49" l="1"/>
  <c r="K14" i="49" s="1"/>
  <c r="K15" i="49" l="1"/>
  <c r="K20" i="49" s="1"/>
  <c r="K24" i="49" s="1"/>
  <c r="F23" i="49"/>
  <c r="G23" i="49" l="1"/>
  <c r="H23" i="49" l="1"/>
  <c r="I23" i="49" l="1"/>
  <c r="J23" i="49" l="1"/>
  <c r="J15" i="49" l="1"/>
  <c r="J20" i="49" s="1"/>
  <c r="J24" i="49" s="1"/>
  <c r="I15" i="49"/>
  <c r="I20" i="49" s="1"/>
  <c r="I24" i="49" s="1"/>
  <c r="H15" i="49"/>
  <c r="H20" i="49" s="1"/>
  <c r="H24" i="49" s="1"/>
  <c r="G13" i="49"/>
  <c r="G15" i="49" s="1"/>
  <c r="G20" i="49" s="1"/>
  <c r="G24" i="49" s="1"/>
  <c r="F13" i="49"/>
  <c r="F15" i="49" s="1"/>
  <c r="E21" i="6" l="1"/>
  <c r="E39" i="6" s="1"/>
  <c r="F40" i="6" s="1"/>
  <c r="E43" i="6" l="1"/>
  <c r="C105" i="5"/>
  <c r="C142" i="5"/>
  <c r="C143" i="5"/>
  <c r="D105" i="5"/>
  <c r="D110" i="5" s="1"/>
  <c r="D142" i="5"/>
  <c r="D143" i="5"/>
  <c r="F19" i="38" l="1"/>
  <c r="F20" i="38" s="1"/>
  <c r="F18" i="49"/>
  <c r="D144" i="5"/>
  <c r="D148" i="5"/>
  <c r="C144" i="5"/>
  <c r="C148" i="5"/>
  <c r="F20" i="49" l="1"/>
  <c r="F24" i="49" s="1"/>
  <c r="F25" i="49" s="1"/>
  <c r="F38" i="49" s="1"/>
  <c r="G8" i="50"/>
  <c r="E105" i="5" s="1"/>
  <c r="E110" i="5" s="1"/>
  <c r="F21" i="50"/>
  <c r="F43" i="50" s="1"/>
  <c r="F82" i="50" l="1"/>
  <c r="G82" i="50" s="1"/>
  <c r="F80" i="50"/>
  <c r="G80" i="50" s="1"/>
  <c r="G21" i="50"/>
  <c r="G43" i="50" s="1"/>
  <c r="E143" i="5"/>
  <c r="E64" i="5"/>
  <c r="E142" i="5"/>
  <c r="F54" i="38"/>
  <c r="F39" i="49" l="1"/>
  <c r="F42" i="49" s="1"/>
  <c r="F46" i="49" s="1"/>
  <c r="F47" i="49" s="1"/>
  <c r="F51" i="49" s="1"/>
  <c r="E148" i="5"/>
  <c r="E144" i="5"/>
  <c r="G83" i="50"/>
  <c r="E93" i="5"/>
  <c r="G84" i="50" l="1"/>
  <c r="G85" i="50" s="1"/>
  <c r="E125" i="5"/>
  <c r="E94" i="5"/>
  <c r="E95" i="5" s="1"/>
  <c r="E96" i="5" s="1"/>
  <c r="E134" i="5"/>
  <c r="F30" i="5" l="1"/>
  <c r="F31" i="5" s="1"/>
  <c r="F33" i="5" s="1"/>
  <c r="F152" i="5" s="1"/>
  <c r="F154" i="5" s="1"/>
  <c r="F35" i="5" l="1"/>
  <c r="F37" i="5" s="1"/>
  <c r="F91" i="5" s="1"/>
  <c r="F140" i="5"/>
  <c r="F139" i="5"/>
  <c r="F121" i="5" l="1"/>
  <c r="F123" i="5" s="1"/>
  <c r="D113" i="5"/>
  <c r="E113" i="5"/>
  <c r="D121" i="5"/>
  <c r="D123" i="5" s="1"/>
  <c r="D126" i="5" s="1"/>
  <c r="E121" i="5"/>
  <c r="E123" i="5" s="1"/>
  <c r="E126" i="5" s="1"/>
  <c r="E159" i="5" l="1"/>
  <c r="D127" i="5"/>
  <c r="D128" i="5" s="1"/>
  <c r="F156" i="5"/>
  <c r="E156" i="5"/>
  <c r="E160" i="5"/>
  <c r="E127" i="5"/>
  <c r="E128" i="5" s="1"/>
  <c r="F159" i="5"/>
  <c r="E157" i="5"/>
  <c r="G121" i="5" l="1"/>
  <c r="G123" i="5" s="1"/>
  <c r="H121" i="5" l="1"/>
  <c r="H123" i="5" s="1"/>
  <c r="I121" i="5" l="1"/>
  <c r="I123" i="5" s="1"/>
  <c r="J121" i="5" l="1"/>
  <c r="J123" i="5" s="1"/>
  <c r="C108" i="5" l="1"/>
  <c r="C110" i="5" s="1"/>
  <c r="C113" i="5" s="1"/>
  <c r="D156" i="5" l="1"/>
  <c r="D157" i="5"/>
  <c r="C156" i="5"/>
  <c r="C121" i="5"/>
  <c r="C123" i="5" l="1"/>
  <c r="C126" i="5" s="1"/>
  <c r="C127" i="5" s="1"/>
  <c r="C128" i="5" s="1"/>
  <c r="D160" i="5"/>
  <c r="C159" i="5"/>
  <c r="D159" i="5"/>
  <c r="F93" i="5" l="1"/>
  <c r="F99" i="5" s="1"/>
  <c r="F134" i="5" l="1"/>
  <c r="F100" i="5"/>
  <c r="F83" i="5" s="1"/>
  <c r="F125" i="5"/>
  <c r="F23" i="51" l="1"/>
  <c r="F24" i="51" s="1"/>
  <c r="G27" i="5"/>
  <c r="F88" i="5"/>
  <c r="F116" i="5" s="1"/>
  <c r="F117" i="5" s="1"/>
  <c r="F41" i="5"/>
  <c r="F50" i="5" s="1"/>
  <c r="F143" i="5" l="1"/>
  <c r="G36" i="5"/>
  <c r="F89" i="5"/>
  <c r="F94" i="5" s="1"/>
  <c r="G30" i="5"/>
  <c r="G153" i="5"/>
  <c r="F126" i="5" l="1"/>
  <c r="F105" i="5"/>
  <c r="F142" i="5"/>
  <c r="F64" i="5"/>
  <c r="G31" i="5"/>
  <c r="G33" i="5" s="1"/>
  <c r="G139" i="5"/>
  <c r="F148" i="5" l="1"/>
  <c r="F95" i="5"/>
  <c r="F96" i="5" s="1"/>
  <c r="F110" i="5"/>
  <c r="F157" i="5" s="1"/>
  <c r="F144" i="5"/>
  <c r="G35" i="5"/>
  <c r="G37" i="5" s="1"/>
  <c r="G91" i="5" s="1"/>
  <c r="G152" i="5"/>
  <c r="G154" i="5" s="1"/>
  <c r="G140" i="5"/>
  <c r="G93" i="5" l="1"/>
  <c r="G125" i="5" s="1"/>
  <c r="G156" i="5"/>
  <c r="F113" i="5"/>
  <c r="F160" i="5" s="1"/>
  <c r="G99" i="5" l="1"/>
  <c r="G100" i="5" s="1"/>
  <c r="G83" i="5" s="1"/>
  <c r="G23" i="51" s="1"/>
  <c r="G24" i="51" s="1"/>
  <c r="G134" i="5"/>
  <c r="G159" i="5"/>
  <c r="F127" i="5"/>
  <c r="F128" i="5" s="1"/>
  <c r="G41" i="5" l="1"/>
  <c r="G50" i="5" s="1"/>
  <c r="G143" i="5" s="1"/>
  <c r="H27" i="5"/>
  <c r="H30" i="5" s="1"/>
  <c r="G88" i="5"/>
  <c r="G116" i="5" s="1"/>
  <c r="G117" i="5" s="1"/>
  <c r="H153" i="5" l="1"/>
  <c r="G89" i="5"/>
  <c r="G94" i="5" s="1"/>
  <c r="H36" i="5"/>
  <c r="G126" i="5"/>
  <c r="G105" i="5"/>
  <c r="G142" i="5"/>
  <c r="G64" i="5"/>
  <c r="H31" i="5"/>
  <c r="H33" i="5" s="1"/>
  <c r="H139" i="5"/>
  <c r="G144" i="5" l="1"/>
  <c r="G95" i="5"/>
  <c r="G96" i="5" s="1"/>
  <c r="G110" i="5"/>
  <c r="G157" i="5" s="1"/>
  <c r="G148" i="5"/>
  <c r="H152" i="5"/>
  <c r="H154" i="5" s="1"/>
  <c r="H35" i="5"/>
  <c r="H37" i="5" s="1"/>
  <c r="H140" i="5"/>
  <c r="H91" i="5" l="1"/>
  <c r="H93" i="5" s="1"/>
  <c r="H156" i="5"/>
  <c r="G113" i="5"/>
  <c r="G127" i="5" s="1"/>
  <c r="G128" i="5" s="1"/>
  <c r="H99" i="5" l="1"/>
  <c r="H100" i="5" s="1"/>
  <c r="H83" i="5" s="1"/>
  <c r="H134" i="5"/>
  <c r="H125" i="5"/>
  <c r="H159" i="5"/>
  <c r="G160" i="5"/>
  <c r="H41" i="5" l="1"/>
  <c r="H50" i="5" s="1"/>
  <c r="H142" i="5" s="1"/>
  <c r="I27" i="5"/>
  <c r="H23" i="51"/>
  <c r="H24" i="51" s="1"/>
  <c r="H88" i="5"/>
  <c r="H116" i="5" s="1"/>
  <c r="H117" i="5" s="1"/>
  <c r="I36" i="5" l="1"/>
  <c r="H105" i="5"/>
  <c r="H64" i="5"/>
  <c r="H143" i="5"/>
  <c r="I30" i="5"/>
  <c r="I153" i="5"/>
  <c r="H89" i="5"/>
  <c r="H94" i="5" s="1"/>
  <c r="H148" i="5" l="1"/>
  <c r="H95" i="5"/>
  <c r="H96" i="5" s="1"/>
  <c r="H126" i="5"/>
  <c r="H110" i="5"/>
  <c r="H113" i="5" s="1"/>
  <c r="I31" i="5"/>
  <c r="I33" i="5" s="1"/>
  <c r="I139" i="5"/>
  <c r="H144" i="5"/>
  <c r="H127" i="5" l="1"/>
  <c r="H128" i="5" s="1"/>
  <c r="H160" i="5"/>
  <c r="H157" i="5"/>
  <c r="I152" i="5"/>
  <c r="I154" i="5" s="1"/>
  <c r="I35" i="5"/>
  <c r="I37" i="5" s="1"/>
  <c r="I91" i="5" s="1"/>
  <c r="I140" i="5"/>
  <c r="I93" i="5" l="1"/>
  <c r="I125" i="5" s="1"/>
  <c r="I156" i="5"/>
  <c r="I159" i="5"/>
  <c r="I134" i="5" l="1"/>
  <c r="I99" i="5"/>
  <c r="I100" i="5" s="1"/>
  <c r="I83" i="5" s="1"/>
  <c r="J27" i="5" l="1"/>
  <c r="J30" i="5" s="1"/>
  <c r="I23" i="51"/>
  <c r="I24" i="51" s="1"/>
  <c r="I41" i="5"/>
  <c r="I50" i="5" s="1"/>
  <c r="I105" i="5" s="1"/>
  <c r="I110" i="5" s="1"/>
  <c r="I88" i="5"/>
  <c r="I116" i="5" s="1"/>
  <c r="I117" i="5" s="1"/>
  <c r="J36" i="5" l="1"/>
  <c r="I64" i="5"/>
  <c r="I143" i="5"/>
  <c r="I142" i="5"/>
  <c r="J153" i="5"/>
  <c r="I113" i="5"/>
  <c r="I157" i="5"/>
  <c r="I89" i="5"/>
  <c r="I94" i="5" s="1"/>
  <c r="I148" i="5" l="1"/>
  <c r="I95" i="5"/>
  <c r="I96" i="5" s="1"/>
  <c r="I160" i="5"/>
  <c r="J31" i="5"/>
  <c r="J33" i="5" s="1"/>
  <c r="J139" i="5"/>
  <c r="I144" i="5"/>
  <c r="I126" i="5" l="1"/>
  <c r="I127" i="5" s="1"/>
  <c r="I128" i="5" s="1"/>
  <c r="J152" i="5"/>
  <c r="J154" i="5" s="1"/>
  <c r="J156" i="5" s="1"/>
  <c r="J35" i="5"/>
  <c r="J37" i="5" s="1"/>
  <c r="J140" i="5"/>
  <c r="J91" i="5" l="1"/>
  <c r="J93" i="5" s="1"/>
  <c r="J159" i="5"/>
  <c r="J125" i="5" l="1"/>
  <c r="J134" i="5"/>
  <c r="J99" i="5"/>
  <c r="J100" i="5" s="1"/>
  <c r="J83" i="5" s="1"/>
  <c r="J88" i="5" l="1"/>
  <c r="J116" i="5" s="1"/>
  <c r="J117" i="5" s="1"/>
  <c r="J23" i="51"/>
  <c r="J24" i="51" s="1"/>
  <c r="J41" i="5"/>
  <c r="J50" i="5" s="1"/>
  <c r="J64" i="5" l="1"/>
  <c r="J143" i="5"/>
  <c r="J105" i="5"/>
  <c r="J110" i="5" s="1"/>
  <c r="J89" i="5"/>
  <c r="J94" i="5" s="1"/>
  <c r="J126" i="5"/>
  <c r="J148" i="5" l="1"/>
  <c r="J95" i="5"/>
  <c r="J96" i="5" s="1"/>
  <c r="J113" i="5"/>
  <c r="J127" i="5" s="1"/>
  <c r="J128" i="5" s="1"/>
  <c r="J157" i="5"/>
  <c r="J142" i="5"/>
  <c r="J144" i="5"/>
  <c r="J160" i="5" l="1"/>
  <c r="G45" i="38" l="1"/>
  <c r="F45" i="38" s="1"/>
  <c r="F41" i="38"/>
  <c r="F42" i="38" s="1"/>
  <c r="G46" i="38" l="1"/>
  <c r="F46" i="38" s="1"/>
  <c r="H46" i="38" s="1"/>
  <c r="H45" i="38"/>
  <c r="F48" i="38" l="1"/>
  <c r="F22" i="38" l="1"/>
  <c r="F25" i="38"/>
  <c r="F26" i="38" s="1"/>
  <c r="F27" i="38" l="1"/>
  <c r="F23" i="38"/>
  <c r="G22" i="38"/>
  <c r="H22" i="38" s="1"/>
  <c r="I22" i="38" s="1"/>
  <c r="J22" i="38" s="1"/>
  <c r="K22" i="38" s="1"/>
  <c r="G23" i="38" l="1"/>
  <c r="F24" i="38"/>
  <c r="G24" i="38" l="1"/>
  <c r="H23" i="38"/>
  <c r="I23" i="38" l="1"/>
  <c r="H24" i="38"/>
  <c r="J23" i="38" l="1"/>
  <c r="I24" i="38"/>
  <c r="J45" i="38"/>
  <c r="I45" i="38" s="1"/>
  <c r="I41" i="38"/>
  <c r="I42" i="38" s="1"/>
  <c r="J24" i="38" l="1"/>
  <c r="K23" i="38"/>
  <c r="K24" i="38" s="1"/>
  <c r="J46" i="38"/>
  <c r="I46" i="38" s="1"/>
  <c r="K46" i="38" s="1"/>
  <c r="K45" i="38"/>
  <c r="I48" i="38" l="1"/>
  <c r="G25" i="38" l="1"/>
  <c r="G26" i="38" s="1"/>
  <c r="H25" i="38"/>
  <c r="I25" i="38"/>
  <c r="G27" i="38" l="1"/>
  <c r="H26" i="38"/>
  <c r="H27" i="38" l="1"/>
  <c r="I26" i="38"/>
  <c r="I27" i="38" l="1"/>
  <c r="M45" i="38"/>
  <c r="L45" i="38" s="1"/>
  <c r="L41" i="38"/>
  <c r="L42" i="38" s="1"/>
  <c r="N45" i="38" l="1"/>
  <c r="M46" i="38"/>
  <c r="L46" i="38" s="1"/>
  <c r="N46" i="38" s="1"/>
  <c r="L48" i="38" l="1"/>
  <c r="K25" i="38" l="1"/>
  <c r="J25" i="38"/>
  <c r="J26" i="38" s="1"/>
  <c r="J27" i="38" l="1"/>
  <c r="K26" i="38"/>
  <c r="K27" i="38" s="1"/>
  <c r="J44" i="38" l="1"/>
  <c r="K44" i="38" s="1"/>
  <c r="G44" i="38"/>
  <c r="H44" i="38" s="1"/>
  <c r="F28" i="38"/>
  <c r="F29" i="38" s="1"/>
  <c r="F53" i="38" s="1"/>
  <c r="F57" i="38" s="1"/>
  <c r="F62" i="38" s="1"/>
  <c r="M44" i="38"/>
  <c r="N44" i="38" s="1"/>
  <c r="F63" i="38" l="1"/>
  <c r="F67" i="38" s="1"/>
</calcChain>
</file>

<file path=xl/comments1.xml><?xml version="1.0" encoding="utf-8"?>
<comments xmlns="http://schemas.openxmlformats.org/spreadsheetml/2006/main">
  <authors>
    <author>周鹰飞</author>
    <author>zhou</author>
  </authors>
  <commentList>
    <comment ref="E5" authorId="0">
      <text>
        <r>
          <rPr>
            <b/>
            <sz val="9"/>
            <color indexed="81"/>
            <rFont val="宋体"/>
            <family val="3"/>
            <charset val="134"/>
          </rPr>
          <t>周鹰飞:</t>
        </r>
        <r>
          <rPr>
            <sz val="9"/>
            <color indexed="81"/>
            <rFont val="宋体"/>
            <family val="3"/>
            <charset val="134"/>
          </rPr>
          <t xml:space="preserve">
</t>
        </r>
        <r>
          <rPr>
            <sz val="9"/>
            <color indexed="10"/>
            <rFont val="宋体"/>
            <family val="3"/>
            <charset val="134"/>
          </rPr>
          <t>该套表只适用于整年评估,非整年用另一套表格!</t>
        </r>
      </text>
    </comment>
    <comment ref="E12" authorId="0">
      <text>
        <r>
          <rPr>
            <b/>
            <sz val="9"/>
            <color indexed="81"/>
            <rFont val="宋体"/>
            <family val="3"/>
            <charset val="134"/>
          </rPr>
          <t>周鹰飞:</t>
        </r>
        <r>
          <rPr>
            <sz val="9"/>
            <color indexed="81"/>
            <rFont val="宋体"/>
            <family val="3"/>
            <charset val="134"/>
          </rPr>
          <t xml:space="preserve">
以万元数字录入</t>
        </r>
      </text>
    </comment>
    <comment ref="E13" authorId="1">
      <text>
        <r>
          <rPr>
            <b/>
            <sz val="9"/>
            <color indexed="81"/>
            <rFont val="宋体"/>
            <family val="3"/>
            <charset val="134"/>
          </rPr>
          <t>zhou:</t>
        </r>
        <r>
          <rPr>
            <sz val="9"/>
            <color indexed="81"/>
            <rFont val="宋体"/>
            <family val="3"/>
            <charset val="134"/>
          </rPr>
          <t xml:space="preserve">
期中数据(日期格式)
格式：2017/12/31</t>
        </r>
      </text>
    </comment>
    <comment ref="C15" authorId="0">
      <text>
        <r>
          <rPr>
            <b/>
            <sz val="9"/>
            <color indexed="81"/>
            <rFont val="宋体"/>
            <family val="3"/>
            <charset val="134"/>
          </rPr>
          <t>周鹰飞:</t>
        </r>
        <r>
          <rPr>
            <sz val="9"/>
            <color indexed="81"/>
            <rFont val="宋体"/>
            <family val="3"/>
            <charset val="134"/>
          </rPr>
          <t xml:space="preserve">
蓝色数字为手工录入。
数据小数点后保留6位，到分。</t>
        </r>
      </text>
    </comment>
    <comment ref="B69" authorId="0">
      <text>
        <r>
          <rPr>
            <b/>
            <sz val="9"/>
            <color indexed="81"/>
            <rFont val="宋体"/>
            <family val="3"/>
            <charset val="134"/>
          </rPr>
          <t>周鹰飞:</t>
        </r>
        <r>
          <rPr>
            <sz val="9"/>
            <color indexed="81"/>
            <rFont val="宋体"/>
            <family val="3"/>
            <charset val="134"/>
          </rPr>
          <t xml:space="preserve">
包括：优先股、永续债</t>
        </r>
      </text>
    </comment>
    <comment ref="B80" authorId="0">
      <text>
        <r>
          <rPr>
            <b/>
            <sz val="9"/>
            <color indexed="81"/>
            <rFont val="宋体"/>
            <family val="3"/>
            <charset val="134"/>
          </rPr>
          <t>周鹰飞:</t>
        </r>
        <r>
          <rPr>
            <sz val="9"/>
            <color indexed="81"/>
            <rFont val="宋体"/>
            <family val="3"/>
            <charset val="134"/>
          </rPr>
          <t xml:space="preserve">
包括：优先股、永续债</t>
        </r>
      </text>
    </comment>
  </commentList>
</comments>
</file>

<file path=xl/comments2.xml><?xml version="1.0" encoding="utf-8"?>
<comments xmlns="http://schemas.openxmlformats.org/spreadsheetml/2006/main">
  <authors>
    <author>周鹰飞</author>
  </authors>
  <commentList>
    <comment ref="B62" authorId="0">
      <text>
        <r>
          <rPr>
            <b/>
            <sz val="9"/>
            <color indexed="81"/>
            <rFont val="宋体"/>
            <family val="3"/>
            <charset val="134"/>
          </rPr>
          <t>周鹰飞:</t>
        </r>
        <r>
          <rPr>
            <sz val="9"/>
            <color indexed="81"/>
            <rFont val="宋体"/>
            <family val="3"/>
            <charset val="134"/>
          </rPr>
          <t xml:space="preserve">
包括：优先股、永续债</t>
        </r>
      </text>
    </comment>
    <comment ref="J62" authorId="0">
      <text>
        <r>
          <rPr>
            <b/>
            <sz val="9"/>
            <color indexed="81"/>
            <rFont val="宋体"/>
            <family val="3"/>
            <charset val="134"/>
          </rPr>
          <t>周鹰飞:</t>
        </r>
        <r>
          <rPr>
            <sz val="9"/>
            <color indexed="81"/>
            <rFont val="宋体"/>
            <family val="3"/>
            <charset val="134"/>
          </rPr>
          <t xml:space="preserve">
包括：优先股、永续债</t>
        </r>
      </text>
    </comment>
    <comment ref="B73" authorId="0">
      <text>
        <r>
          <rPr>
            <b/>
            <sz val="9"/>
            <color indexed="81"/>
            <rFont val="宋体"/>
            <family val="3"/>
            <charset val="134"/>
          </rPr>
          <t>周鹰飞:</t>
        </r>
        <r>
          <rPr>
            <sz val="9"/>
            <color indexed="81"/>
            <rFont val="宋体"/>
            <family val="3"/>
            <charset val="134"/>
          </rPr>
          <t xml:space="preserve">
包括：优先股、永续债</t>
        </r>
      </text>
    </comment>
  </commentList>
</comments>
</file>

<file path=xl/comments3.xml><?xml version="1.0" encoding="utf-8"?>
<comments xmlns="http://schemas.openxmlformats.org/spreadsheetml/2006/main">
  <authors>
    <author>周鹰飞</author>
  </authors>
  <commentList>
    <comment ref="F67" authorId="0">
      <text>
        <r>
          <rPr>
            <b/>
            <sz val="9"/>
            <color indexed="81"/>
            <rFont val="宋体"/>
            <family val="3"/>
            <charset val="134"/>
          </rPr>
          <t>周鹰飞:</t>
        </r>
        <r>
          <rPr>
            <sz val="9"/>
            <color indexed="81"/>
            <rFont val="宋体"/>
            <family val="3"/>
            <charset val="134"/>
          </rPr>
          <t xml:space="preserve">
18年的增长需要与资本性支出匹配</t>
        </r>
      </text>
    </comment>
    <comment ref="F71" authorId="0">
      <text>
        <r>
          <rPr>
            <b/>
            <sz val="9"/>
            <color indexed="81"/>
            <rFont val="宋体"/>
            <family val="3"/>
            <charset val="134"/>
          </rPr>
          <t>周鹰飞:</t>
        </r>
        <r>
          <rPr>
            <sz val="9"/>
            <color indexed="81"/>
            <rFont val="宋体"/>
            <family val="3"/>
            <charset val="134"/>
          </rPr>
          <t xml:space="preserve">
16、17年增长率变化不大，取2年平均值作为粗步预测起点</t>
        </r>
      </text>
    </comment>
  </commentList>
</comments>
</file>

<file path=xl/comments4.xml><?xml version="1.0" encoding="utf-8"?>
<comments xmlns="http://schemas.openxmlformats.org/spreadsheetml/2006/main">
  <authors>
    <author>周鹰飞</author>
  </authors>
  <commentList>
    <comment ref="B16" authorId="0">
      <text>
        <r>
          <rPr>
            <b/>
            <sz val="9"/>
            <rFont val="宋体"/>
            <family val="3"/>
            <charset val="134"/>
          </rPr>
          <t>周鹰飞:</t>
        </r>
        <r>
          <rPr>
            <sz val="9"/>
            <rFont val="宋体"/>
            <family val="3"/>
            <charset val="134"/>
          </rPr>
          <t xml:space="preserve">
对于此项金额较大的公司适用</t>
        </r>
      </text>
    </comment>
    <comment ref="B22" authorId="0">
      <text>
        <r>
          <rPr>
            <b/>
            <sz val="9"/>
            <color indexed="81"/>
            <rFont val="宋体"/>
            <family val="3"/>
            <charset val="134"/>
          </rPr>
          <t>周鹰飞:</t>
        </r>
        <r>
          <rPr>
            <sz val="9"/>
            <color indexed="81"/>
            <rFont val="宋体"/>
            <family val="3"/>
            <charset val="134"/>
          </rPr>
          <t xml:space="preserve">
所有与生产人员有关的成本，包括计入营业成本的工资、福利、补贴、奖金等</t>
        </r>
      </text>
    </comment>
    <comment ref="B28" authorId="0">
      <text>
        <r>
          <rPr>
            <b/>
            <sz val="9"/>
            <color indexed="81"/>
            <rFont val="宋体"/>
            <family val="3"/>
            <charset val="134"/>
          </rPr>
          <t>周鹰飞:</t>
        </r>
        <r>
          <rPr>
            <sz val="9"/>
            <color indexed="81"/>
            <rFont val="宋体"/>
            <family val="3"/>
            <charset val="134"/>
          </rPr>
          <t xml:space="preserve">
注意核实有无摊销费用，如无则删除“及摊销”。</t>
        </r>
      </text>
    </comment>
  </commentList>
</comments>
</file>

<file path=xl/comments5.xml><?xml version="1.0" encoding="utf-8"?>
<comments xmlns="http://schemas.openxmlformats.org/spreadsheetml/2006/main">
  <authors>
    <author>zhou</author>
  </authors>
  <commentList>
    <comment ref="F26" authorId="0">
      <text>
        <r>
          <rPr>
            <b/>
            <sz val="9"/>
            <color indexed="81"/>
            <rFont val="宋体"/>
            <family val="3"/>
            <charset val="134"/>
          </rPr>
          <t>zhou:</t>
        </r>
        <r>
          <rPr>
            <sz val="9"/>
            <color indexed="81"/>
            <rFont val="宋体"/>
            <family val="3"/>
            <charset val="134"/>
          </rPr>
          <t xml:space="preserve">
相关是采用占比预测的基础。</t>
        </r>
      </text>
    </comment>
    <comment ref="F71" authorId="0">
      <text>
        <r>
          <rPr>
            <b/>
            <sz val="9"/>
            <color indexed="81"/>
            <rFont val="宋体"/>
            <family val="3"/>
            <charset val="134"/>
          </rPr>
          <t>zhou:</t>
        </r>
        <r>
          <rPr>
            <sz val="9"/>
            <color indexed="81"/>
            <rFont val="宋体"/>
            <family val="3"/>
            <charset val="134"/>
          </rPr>
          <t xml:space="preserve">
相关是采用占比预测的基础。</t>
        </r>
      </text>
    </comment>
  </commentList>
</comments>
</file>

<file path=xl/comments6.xml><?xml version="1.0" encoding="utf-8"?>
<comments xmlns="http://schemas.openxmlformats.org/spreadsheetml/2006/main">
  <authors>
    <author>zhou</author>
    <author>周鹰飞</author>
  </authors>
  <commentList>
    <comment ref="C12" authorId="0">
      <text>
        <r>
          <rPr>
            <b/>
            <sz val="9"/>
            <color indexed="81"/>
            <rFont val="宋体"/>
            <family val="3"/>
            <charset val="134"/>
          </rPr>
          <t>zhou:</t>
        </r>
        <r>
          <rPr>
            <sz val="9"/>
            <color indexed="81"/>
            <rFont val="宋体"/>
            <family val="3"/>
            <charset val="134"/>
          </rPr>
          <t xml:space="preserve">
采用综合折旧率</t>
        </r>
      </text>
    </comment>
    <comment ref="D12" authorId="0">
      <text>
        <r>
          <rPr>
            <b/>
            <sz val="9"/>
            <color indexed="81"/>
            <rFont val="宋体"/>
            <family val="3"/>
            <charset val="134"/>
          </rPr>
          <t>zhou:</t>
        </r>
        <r>
          <rPr>
            <sz val="9"/>
            <color indexed="81"/>
            <rFont val="宋体"/>
            <family val="3"/>
            <charset val="134"/>
          </rPr>
          <t xml:space="preserve">
采用综合折旧年限</t>
        </r>
      </text>
    </comment>
    <comment ref="B13" authorId="0">
      <text>
        <r>
          <rPr>
            <b/>
            <sz val="9"/>
            <color indexed="81"/>
            <rFont val="宋体"/>
            <family val="3"/>
            <charset val="134"/>
          </rPr>
          <t>zhou:</t>
        </r>
        <r>
          <rPr>
            <sz val="9"/>
            <color indexed="81"/>
            <rFont val="宋体"/>
            <family val="3"/>
            <charset val="134"/>
          </rPr>
          <t xml:space="preserve">
在建工程、其他科目中属于房屋建（构）筑物相关支出</t>
        </r>
      </text>
    </comment>
    <comment ref="D13" authorId="1">
      <text>
        <r>
          <rPr>
            <b/>
            <sz val="9"/>
            <color indexed="81"/>
            <rFont val="宋体"/>
            <family val="3"/>
            <charset val="134"/>
          </rPr>
          <t>周鹰飞:</t>
        </r>
        <r>
          <rPr>
            <sz val="9"/>
            <color indexed="81"/>
            <rFont val="宋体"/>
            <family val="3"/>
            <charset val="134"/>
          </rPr>
          <t xml:space="preserve">
以年限填列，综合的平均年限大于预测期，则不必考虑退出资产的减少额，这种计算才正确。</t>
        </r>
        <r>
          <rPr>
            <sz val="9"/>
            <color indexed="10"/>
            <rFont val="宋体"/>
            <family val="3"/>
            <charset val="134"/>
          </rPr>
          <t>否则不可用。</t>
        </r>
      </text>
    </comment>
    <comment ref="B15" authorId="0">
      <text>
        <r>
          <rPr>
            <b/>
            <sz val="9"/>
            <color indexed="81"/>
            <rFont val="宋体"/>
            <family val="3"/>
            <charset val="134"/>
          </rPr>
          <t>zhou:</t>
        </r>
        <r>
          <rPr>
            <sz val="9"/>
            <color indexed="81"/>
            <rFont val="宋体"/>
            <family val="3"/>
            <charset val="134"/>
          </rPr>
          <t xml:space="preserve">
在建工程、其他科目中属于设备类账面值</t>
        </r>
      </text>
    </comment>
    <comment ref="C21" authorId="0">
      <text>
        <r>
          <rPr>
            <b/>
            <sz val="9"/>
            <color indexed="81"/>
            <rFont val="宋体"/>
            <family val="3"/>
            <charset val="134"/>
          </rPr>
          <t>zhou:</t>
        </r>
        <r>
          <rPr>
            <sz val="9"/>
            <color indexed="81"/>
            <rFont val="宋体"/>
            <family val="3"/>
            <charset val="134"/>
          </rPr>
          <t xml:space="preserve">
采用综合折旧率</t>
        </r>
      </text>
    </comment>
    <comment ref="D21" authorId="0">
      <text>
        <r>
          <rPr>
            <b/>
            <sz val="9"/>
            <color indexed="81"/>
            <rFont val="宋体"/>
            <family val="3"/>
            <charset val="134"/>
          </rPr>
          <t>zhou:</t>
        </r>
        <r>
          <rPr>
            <sz val="9"/>
            <color indexed="81"/>
            <rFont val="宋体"/>
            <family val="3"/>
            <charset val="134"/>
          </rPr>
          <t xml:space="preserve">
采用综合折旧年限</t>
        </r>
      </text>
    </comment>
    <comment ref="C25" authorId="1">
      <text>
        <r>
          <rPr>
            <b/>
            <sz val="9"/>
            <color indexed="81"/>
            <rFont val="宋体"/>
            <family val="3"/>
            <charset val="134"/>
          </rPr>
          <t>周鹰飞:</t>
        </r>
        <r>
          <rPr>
            <sz val="9"/>
            <color indexed="81"/>
            <rFont val="宋体"/>
            <family val="3"/>
            <charset val="134"/>
          </rPr>
          <t xml:space="preserve">
综合折旧率，以百分比形式填列。</t>
        </r>
      </text>
    </comment>
    <comment ref="D27" authorId="1">
      <text>
        <r>
          <rPr>
            <b/>
            <sz val="9"/>
            <color indexed="81"/>
            <rFont val="宋体"/>
            <family val="3"/>
            <charset val="134"/>
          </rPr>
          <t>周鹰飞:</t>
        </r>
        <r>
          <rPr>
            <sz val="9"/>
            <color indexed="81"/>
            <rFont val="宋体"/>
            <family val="3"/>
            <charset val="134"/>
          </rPr>
          <t xml:space="preserve">
以年限填列，综合的平均年限大于预测期，则不必考虑退出资产的减少额，这种计算才正确。</t>
        </r>
        <r>
          <rPr>
            <sz val="9"/>
            <color indexed="10"/>
            <rFont val="宋体"/>
            <family val="3"/>
            <charset val="134"/>
          </rPr>
          <t>否则不可用。</t>
        </r>
      </text>
    </comment>
    <comment ref="C32" authorId="0">
      <text>
        <r>
          <rPr>
            <b/>
            <sz val="9"/>
            <color indexed="81"/>
            <rFont val="宋体"/>
            <family val="3"/>
            <charset val="134"/>
          </rPr>
          <t>zhou:</t>
        </r>
        <r>
          <rPr>
            <sz val="9"/>
            <color indexed="81"/>
            <rFont val="宋体"/>
            <family val="3"/>
            <charset val="134"/>
          </rPr>
          <t xml:space="preserve">
采用综合折旧率</t>
        </r>
      </text>
    </comment>
    <comment ref="D32" authorId="0">
      <text>
        <r>
          <rPr>
            <b/>
            <sz val="9"/>
            <color indexed="81"/>
            <rFont val="宋体"/>
            <family val="3"/>
            <charset val="134"/>
          </rPr>
          <t>zhou:</t>
        </r>
        <r>
          <rPr>
            <sz val="9"/>
            <color indexed="81"/>
            <rFont val="宋体"/>
            <family val="3"/>
            <charset val="134"/>
          </rPr>
          <t xml:space="preserve">
采用综合折旧年限</t>
        </r>
      </text>
    </comment>
    <comment ref="C36" authorId="1">
      <text>
        <r>
          <rPr>
            <b/>
            <sz val="9"/>
            <color indexed="81"/>
            <rFont val="宋体"/>
            <family val="3"/>
            <charset val="134"/>
          </rPr>
          <t>周鹰飞:</t>
        </r>
        <r>
          <rPr>
            <sz val="9"/>
            <color indexed="81"/>
            <rFont val="宋体"/>
            <family val="3"/>
            <charset val="134"/>
          </rPr>
          <t xml:space="preserve">
综合折旧率，以百分比形式填列。</t>
        </r>
      </text>
    </comment>
    <comment ref="F50" authorId="1">
      <text>
        <r>
          <rPr>
            <b/>
            <sz val="9"/>
            <color indexed="81"/>
            <rFont val="宋体"/>
            <family val="3"/>
            <charset val="134"/>
          </rPr>
          <t>周鹰飞:</t>
        </r>
        <r>
          <rPr>
            <sz val="9"/>
            <color indexed="81"/>
            <rFont val="宋体"/>
            <family val="3"/>
            <charset val="134"/>
          </rPr>
          <t xml:space="preserve">
折旧可根据企业预期投出时间调整</t>
        </r>
      </text>
    </comment>
    <comment ref="G51" authorId="1">
      <text>
        <r>
          <rPr>
            <b/>
            <sz val="9"/>
            <color indexed="81"/>
            <rFont val="宋体"/>
            <family val="3"/>
            <charset val="134"/>
          </rPr>
          <t>周鹰飞:</t>
        </r>
        <r>
          <rPr>
            <sz val="9"/>
            <color indexed="81"/>
            <rFont val="宋体"/>
            <family val="3"/>
            <charset val="134"/>
          </rPr>
          <t xml:space="preserve">
折旧可根据企业预期投出时间调整</t>
        </r>
      </text>
    </comment>
    <comment ref="H52" authorId="1">
      <text>
        <r>
          <rPr>
            <b/>
            <sz val="9"/>
            <color indexed="81"/>
            <rFont val="宋体"/>
            <family val="3"/>
            <charset val="134"/>
          </rPr>
          <t>周鹰飞:</t>
        </r>
        <r>
          <rPr>
            <sz val="9"/>
            <color indexed="81"/>
            <rFont val="宋体"/>
            <family val="3"/>
            <charset val="134"/>
          </rPr>
          <t xml:space="preserve">
折旧可根据企业预期投出时间调整</t>
        </r>
      </text>
    </comment>
    <comment ref="I53" authorId="1">
      <text>
        <r>
          <rPr>
            <b/>
            <sz val="9"/>
            <color indexed="81"/>
            <rFont val="宋体"/>
            <family val="3"/>
            <charset val="134"/>
          </rPr>
          <t>周鹰飞:</t>
        </r>
        <r>
          <rPr>
            <sz val="9"/>
            <color indexed="81"/>
            <rFont val="宋体"/>
            <family val="3"/>
            <charset val="134"/>
          </rPr>
          <t xml:space="preserve">
折旧可根据企业预期投出时间调整</t>
        </r>
      </text>
    </comment>
    <comment ref="J54" authorId="1">
      <text>
        <r>
          <rPr>
            <b/>
            <sz val="9"/>
            <color indexed="81"/>
            <rFont val="宋体"/>
            <family val="3"/>
            <charset val="134"/>
          </rPr>
          <t>周鹰飞:</t>
        </r>
        <r>
          <rPr>
            <sz val="9"/>
            <color indexed="81"/>
            <rFont val="宋体"/>
            <family val="3"/>
            <charset val="134"/>
          </rPr>
          <t xml:space="preserve">
折旧可根据企业预期投出时间调整</t>
        </r>
      </text>
    </comment>
    <comment ref="F58" authorId="1">
      <text>
        <r>
          <rPr>
            <b/>
            <sz val="9"/>
            <color indexed="81"/>
            <rFont val="宋体"/>
            <family val="3"/>
            <charset val="134"/>
          </rPr>
          <t>周鹰飞:</t>
        </r>
        <r>
          <rPr>
            <sz val="9"/>
            <color indexed="81"/>
            <rFont val="宋体"/>
            <family val="3"/>
            <charset val="134"/>
          </rPr>
          <t xml:space="preserve">
折旧可根据企业预期投出时间调整</t>
        </r>
      </text>
    </comment>
    <comment ref="G59" authorId="1">
      <text>
        <r>
          <rPr>
            <b/>
            <sz val="9"/>
            <color indexed="81"/>
            <rFont val="宋体"/>
            <family val="3"/>
            <charset val="134"/>
          </rPr>
          <t>周鹰飞:</t>
        </r>
        <r>
          <rPr>
            <sz val="9"/>
            <color indexed="81"/>
            <rFont val="宋体"/>
            <family val="3"/>
            <charset val="134"/>
          </rPr>
          <t xml:space="preserve">
折旧可根据企业预期投出时间调整</t>
        </r>
      </text>
    </comment>
    <comment ref="H60" authorId="1">
      <text>
        <r>
          <rPr>
            <b/>
            <sz val="9"/>
            <color indexed="81"/>
            <rFont val="宋体"/>
            <family val="3"/>
            <charset val="134"/>
          </rPr>
          <t>周鹰飞:</t>
        </r>
        <r>
          <rPr>
            <sz val="9"/>
            <color indexed="81"/>
            <rFont val="宋体"/>
            <family val="3"/>
            <charset val="134"/>
          </rPr>
          <t xml:space="preserve">
折旧可根据企业预期投出时间调整</t>
        </r>
      </text>
    </comment>
    <comment ref="I61" authorId="1">
      <text>
        <r>
          <rPr>
            <b/>
            <sz val="9"/>
            <color indexed="81"/>
            <rFont val="宋体"/>
            <family val="3"/>
            <charset val="134"/>
          </rPr>
          <t>周鹰飞:</t>
        </r>
        <r>
          <rPr>
            <sz val="9"/>
            <color indexed="81"/>
            <rFont val="宋体"/>
            <family val="3"/>
            <charset val="134"/>
          </rPr>
          <t xml:space="preserve">
折旧可根据企业预期投出时间调整</t>
        </r>
      </text>
    </comment>
    <comment ref="J62" authorId="1">
      <text>
        <r>
          <rPr>
            <b/>
            <sz val="9"/>
            <color indexed="81"/>
            <rFont val="宋体"/>
            <family val="3"/>
            <charset val="134"/>
          </rPr>
          <t>周鹰飞:</t>
        </r>
        <r>
          <rPr>
            <sz val="9"/>
            <color indexed="81"/>
            <rFont val="宋体"/>
            <family val="3"/>
            <charset val="134"/>
          </rPr>
          <t xml:space="preserve">
折旧可根据企业预期投出时间调整</t>
        </r>
      </text>
    </comment>
    <comment ref="F66" authorId="1">
      <text>
        <r>
          <rPr>
            <b/>
            <sz val="9"/>
            <color indexed="81"/>
            <rFont val="宋体"/>
            <family val="3"/>
            <charset val="134"/>
          </rPr>
          <t>周鹰飞:</t>
        </r>
        <r>
          <rPr>
            <sz val="9"/>
            <color indexed="81"/>
            <rFont val="宋体"/>
            <family val="3"/>
            <charset val="134"/>
          </rPr>
          <t xml:space="preserve">
折旧可根据企业预期投出时间调整</t>
        </r>
      </text>
    </comment>
    <comment ref="G67" authorId="1">
      <text>
        <r>
          <rPr>
            <b/>
            <sz val="9"/>
            <color indexed="81"/>
            <rFont val="宋体"/>
            <family val="3"/>
            <charset val="134"/>
          </rPr>
          <t>周鹰飞:</t>
        </r>
        <r>
          <rPr>
            <sz val="9"/>
            <color indexed="81"/>
            <rFont val="宋体"/>
            <family val="3"/>
            <charset val="134"/>
          </rPr>
          <t xml:space="preserve">
折旧可根据企业预期投出时间调整</t>
        </r>
      </text>
    </comment>
    <comment ref="H68" authorId="1">
      <text>
        <r>
          <rPr>
            <b/>
            <sz val="9"/>
            <color indexed="81"/>
            <rFont val="宋体"/>
            <family val="3"/>
            <charset val="134"/>
          </rPr>
          <t>周鹰飞:</t>
        </r>
        <r>
          <rPr>
            <sz val="9"/>
            <color indexed="81"/>
            <rFont val="宋体"/>
            <family val="3"/>
            <charset val="134"/>
          </rPr>
          <t xml:space="preserve">
折旧可根据企业预期投出时间调整</t>
        </r>
      </text>
    </comment>
    <comment ref="I69" authorId="1">
      <text>
        <r>
          <rPr>
            <b/>
            <sz val="9"/>
            <color indexed="81"/>
            <rFont val="宋体"/>
            <family val="3"/>
            <charset val="134"/>
          </rPr>
          <t>周鹰飞:</t>
        </r>
        <r>
          <rPr>
            <sz val="9"/>
            <color indexed="81"/>
            <rFont val="宋体"/>
            <family val="3"/>
            <charset val="134"/>
          </rPr>
          <t xml:space="preserve">
折旧可根据企业预期投出时间调整</t>
        </r>
      </text>
    </comment>
    <comment ref="J70" authorId="1">
      <text>
        <r>
          <rPr>
            <b/>
            <sz val="9"/>
            <color indexed="81"/>
            <rFont val="宋体"/>
            <family val="3"/>
            <charset val="134"/>
          </rPr>
          <t>周鹰飞:</t>
        </r>
        <r>
          <rPr>
            <sz val="9"/>
            <color indexed="81"/>
            <rFont val="宋体"/>
            <family val="3"/>
            <charset val="134"/>
          </rPr>
          <t xml:space="preserve">
折旧可根据企业预期投出时间调整</t>
        </r>
      </text>
    </comment>
  </commentList>
</comments>
</file>

<file path=xl/comments7.xml><?xml version="1.0" encoding="utf-8"?>
<comments xmlns="http://schemas.openxmlformats.org/spreadsheetml/2006/main">
  <authors>
    <author>zhou</author>
    <author>周鹰飞</author>
  </authors>
  <commentList>
    <comment ref="B13" authorId="0">
      <text>
        <r>
          <rPr>
            <b/>
            <sz val="9"/>
            <color indexed="81"/>
            <rFont val="宋体"/>
            <family val="3"/>
            <charset val="134"/>
          </rPr>
          <t>zhou:</t>
        </r>
        <r>
          <rPr>
            <sz val="9"/>
            <color indexed="81"/>
            <rFont val="宋体"/>
            <family val="3"/>
            <charset val="134"/>
          </rPr>
          <t xml:space="preserve">
在建工程、其他科目中属于土地使用权的账面值</t>
        </r>
      </text>
    </comment>
    <comment ref="B15" authorId="0">
      <text>
        <r>
          <rPr>
            <b/>
            <sz val="9"/>
            <color indexed="81"/>
            <rFont val="宋体"/>
            <family val="3"/>
            <charset val="134"/>
          </rPr>
          <t>zhou:</t>
        </r>
        <r>
          <rPr>
            <sz val="9"/>
            <color indexed="81"/>
            <rFont val="宋体"/>
            <family val="3"/>
            <charset val="134"/>
          </rPr>
          <t xml:space="preserve">
开发支出、其他科目中属于无形资产的账面值</t>
        </r>
      </text>
    </comment>
    <comment ref="D24" authorId="0">
      <text>
        <r>
          <rPr>
            <b/>
            <sz val="9"/>
            <color indexed="81"/>
            <rFont val="宋体"/>
            <family val="3"/>
            <charset val="134"/>
          </rPr>
          <t>zhou:</t>
        </r>
        <r>
          <rPr>
            <sz val="9"/>
            <color indexed="81"/>
            <rFont val="宋体"/>
            <family val="3"/>
            <charset val="134"/>
          </rPr>
          <t xml:space="preserve">
新增土地使用年限</t>
        </r>
      </text>
    </comment>
    <comment ref="F38" authorId="1">
      <text>
        <r>
          <rPr>
            <b/>
            <sz val="9"/>
            <color indexed="81"/>
            <rFont val="宋体"/>
            <family val="3"/>
            <charset val="134"/>
          </rPr>
          <t>周鹰飞:</t>
        </r>
        <r>
          <rPr>
            <sz val="9"/>
            <color indexed="81"/>
            <rFont val="宋体"/>
            <family val="3"/>
            <charset val="134"/>
          </rPr>
          <t xml:space="preserve">
摊销年限可根据企业预期受益时间调整</t>
        </r>
      </text>
    </comment>
    <comment ref="G39" authorId="1">
      <text>
        <r>
          <rPr>
            <b/>
            <sz val="9"/>
            <color indexed="81"/>
            <rFont val="宋体"/>
            <family val="3"/>
            <charset val="134"/>
          </rPr>
          <t>周鹰飞:</t>
        </r>
        <r>
          <rPr>
            <sz val="9"/>
            <color indexed="81"/>
            <rFont val="宋体"/>
            <family val="3"/>
            <charset val="134"/>
          </rPr>
          <t xml:space="preserve">
摊销年限可根据企业预期受益时间调整</t>
        </r>
      </text>
    </comment>
    <comment ref="H40" authorId="1">
      <text>
        <r>
          <rPr>
            <b/>
            <sz val="9"/>
            <color indexed="81"/>
            <rFont val="宋体"/>
            <family val="3"/>
            <charset val="134"/>
          </rPr>
          <t>周鹰飞:</t>
        </r>
        <r>
          <rPr>
            <sz val="9"/>
            <color indexed="81"/>
            <rFont val="宋体"/>
            <family val="3"/>
            <charset val="134"/>
          </rPr>
          <t xml:space="preserve">
摊销年限可根据企业预期受益时间调整</t>
        </r>
      </text>
    </comment>
    <comment ref="I41" authorId="1">
      <text>
        <r>
          <rPr>
            <b/>
            <sz val="9"/>
            <color indexed="81"/>
            <rFont val="宋体"/>
            <family val="3"/>
            <charset val="134"/>
          </rPr>
          <t>周鹰飞:</t>
        </r>
        <r>
          <rPr>
            <sz val="9"/>
            <color indexed="81"/>
            <rFont val="宋体"/>
            <family val="3"/>
            <charset val="134"/>
          </rPr>
          <t xml:space="preserve">
摊销年限可根据企业预期受益时间调整</t>
        </r>
      </text>
    </comment>
    <comment ref="J42" authorId="1">
      <text>
        <r>
          <rPr>
            <b/>
            <sz val="9"/>
            <color indexed="81"/>
            <rFont val="宋体"/>
            <family val="3"/>
            <charset val="134"/>
          </rPr>
          <t>周鹰飞:</t>
        </r>
        <r>
          <rPr>
            <sz val="9"/>
            <color indexed="81"/>
            <rFont val="宋体"/>
            <family val="3"/>
            <charset val="134"/>
          </rPr>
          <t xml:space="preserve">
摊销年限可根据企业预期受益时间调整</t>
        </r>
      </text>
    </comment>
  </commentList>
</comments>
</file>

<file path=xl/comments8.xml><?xml version="1.0" encoding="utf-8"?>
<comments xmlns="http://schemas.openxmlformats.org/spreadsheetml/2006/main">
  <authors>
    <author>周鹰飞</author>
  </authors>
  <commentList>
    <comment ref="E15" authorId="0">
      <text>
        <r>
          <rPr>
            <b/>
            <sz val="9"/>
            <color indexed="81"/>
            <rFont val="宋体"/>
            <family val="3"/>
            <charset val="134"/>
          </rPr>
          <t>周鹰飞:</t>
        </r>
        <r>
          <rPr>
            <sz val="9"/>
            <color indexed="81"/>
            <rFont val="宋体"/>
            <family val="3"/>
            <charset val="134"/>
          </rPr>
          <t xml:space="preserve">
非整年的用期中那套表。</t>
        </r>
      </text>
    </comment>
  </commentList>
</comments>
</file>

<file path=xl/comments9.xml><?xml version="1.0" encoding="utf-8"?>
<comments xmlns="http://schemas.openxmlformats.org/spreadsheetml/2006/main">
  <authors>
    <author>周鹰飞</author>
    <author>zhou</author>
  </authors>
  <commentList>
    <comment ref="B6" authorId="0">
      <text>
        <r>
          <rPr>
            <b/>
            <sz val="9"/>
            <color indexed="81"/>
            <rFont val="宋体"/>
            <family val="3"/>
            <charset val="134"/>
          </rPr>
          <t>周鹰飞:</t>
        </r>
        <r>
          <rPr>
            <sz val="9"/>
            <color indexed="81"/>
            <rFont val="宋体"/>
            <family val="3"/>
            <charset val="134"/>
          </rPr>
          <t xml:space="preserve">
分析公司的赊销政策确定</t>
        </r>
      </text>
    </comment>
    <comment ref="F6" authorId="1">
      <text>
        <r>
          <rPr>
            <b/>
            <sz val="9"/>
            <color indexed="81"/>
            <rFont val="宋体"/>
            <family val="3"/>
            <charset val="134"/>
          </rPr>
          <t>zhou:</t>
        </r>
        <r>
          <rPr>
            <sz val="9"/>
            <color indexed="81"/>
            <rFont val="宋体"/>
            <family val="3"/>
            <charset val="134"/>
          </rPr>
          <t xml:space="preserve">
绝对额预测行，下同。</t>
        </r>
      </text>
    </comment>
    <comment ref="F7" authorId="1">
      <text>
        <r>
          <rPr>
            <b/>
            <sz val="9"/>
            <color indexed="81"/>
            <rFont val="宋体"/>
            <family val="3"/>
            <charset val="134"/>
          </rPr>
          <t>zhou:</t>
        </r>
        <r>
          <rPr>
            <sz val="9"/>
            <color indexed="81"/>
            <rFont val="宋体"/>
            <family val="3"/>
            <charset val="134"/>
          </rPr>
          <t xml:space="preserve">
周转天数预测行，下同。</t>
        </r>
      </text>
    </comment>
    <comment ref="B10" authorId="0">
      <text>
        <r>
          <rPr>
            <b/>
            <sz val="9"/>
            <color indexed="81"/>
            <rFont val="宋体"/>
            <family val="3"/>
            <charset val="134"/>
          </rPr>
          <t>周鹰飞:</t>
        </r>
        <r>
          <rPr>
            <sz val="9"/>
            <color indexed="81"/>
            <rFont val="宋体"/>
            <family val="3"/>
            <charset val="134"/>
          </rPr>
          <t xml:space="preserve">
与成本挂钩</t>
        </r>
      </text>
    </comment>
    <comment ref="B16" authorId="0">
      <text>
        <r>
          <rPr>
            <b/>
            <sz val="9"/>
            <color indexed="81"/>
            <rFont val="宋体"/>
            <family val="3"/>
            <charset val="134"/>
          </rPr>
          <t>周鹰飞:</t>
        </r>
        <r>
          <rPr>
            <sz val="9"/>
            <color indexed="81"/>
            <rFont val="宋体"/>
            <family val="3"/>
            <charset val="134"/>
          </rPr>
          <t xml:space="preserve">
与成本挂钩</t>
        </r>
      </text>
    </comment>
    <comment ref="B27" authorId="0">
      <text>
        <r>
          <rPr>
            <b/>
            <sz val="9"/>
            <color indexed="81"/>
            <rFont val="宋体"/>
            <family val="3"/>
            <charset val="134"/>
          </rPr>
          <t>周鹰飞:</t>
        </r>
        <r>
          <rPr>
            <sz val="9"/>
            <color indexed="81"/>
            <rFont val="宋体"/>
            <family val="3"/>
            <charset val="134"/>
          </rPr>
          <t xml:space="preserve">
与收入挂钩</t>
        </r>
      </text>
    </comment>
  </commentList>
</comments>
</file>

<file path=xl/comments10.xml><?xml version="1.0" encoding="utf-8"?>
<comments xmlns="http://schemas.openxmlformats.org/spreadsheetml/2006/main">
  <authors>
    <author>周鹰飞</author>
  </authors>
  <commentList>
    <comment ref="F19" authorId="0">
      <text>
        <r>
          <rPr>
            <b/>
            <sz val="9"/>
            <color indexed="81"/>
            <rFont val="宋体"/>
            <family val="3"/>
            <charset val="134"/>
          </rPr>
          <t>周鹰飞:</t>
        </r>
        <r>
          <rPr>
            <sz val="9"/>
            <color indexed="81"/>
            <rFont val="宋体"/>
            <family val="3"/>
            <charset val="134"/>
          </rPr>
          <t xml:space="preserve">
法定税率或
优惠期间的优惠税率</t>
        </r>
      </text>
    </comment>
  </commentList>
</comments>
</file>

<file path=xl/comments11.xml><?xml version="1.0" encoding="utf-8"?>
<comments xmlns="http://schemas.openxmlformats.org/spreadsheetml/2006/main">
  <authors>
    <author>周鹰飞</author>
    <author>zhou</author>
  </authors>
  <commentList>
    <comment ref="K4" authorId="0">
      <text>
        <r>
          <rPr>
            <b/>
            <sz val="9"/>
            <color indexed="81"/>
            <rFont val="宋体"/>
            <family val="3"/>
            <charset val="134"/>
          </rPr>
          <t>周鹰飞:</t>
        </r>
        <r>
          <rPr>
            <sz val="9"/>
            <color indexed="81"/>
            <rFont val="宋体"/>
            <family val="3"/>
            <charset val="134"/>
          </rPr>
          <t xml:space="preserve">
插入列在稳定期前进行</t>
        </r>
      </text>
    </comment>
    <comment ref="K18" authorId="0">
      <text>
        <r>
          <rPr>
            <b/>
            <sz val="9"/>
            <color indexed="81"/>
            <rFont val="宋体"/>
            <family val="3"/>
            <charset val="134"/>
          </rPr>
          <t>周鹰飞:</t>
        </r>
        <r>
          <rPr>
            <sz val="9"/>
            <color indexed="81"/>
            <rFont val="宋体"/>
            <family val="3"/>
            <charset val="134"/>
          </rPr>
          <t xml:space="preserve">
稳定期间增长率g一般取零。提取的折旧全部用于维护性资本支出，所以：折旧与摊销=资本性支出。</t>
        </r>
      </text>
    </comment>
    <comment ref="F44" authorId="1">
      <text>
        <r>
          <rPr>
            <b/>
            <sz val="9"/>
            <color indexed="81"/>
            <rFont val="宋体"/>
            <family val="3"/>
            <charset val="134"/>
          </rPr>
          <t>zhou:</t>
        </r>
        <r>
          <rPr>
            <sz val="9"/>
            <color indexed="81"/>
            <rFont val="宋体"/>
            <family val="3"/>
            <charset val="134"/>
          </rPr>
          <t xml:space="preserve">
选择性粘贴</t>
        </r>
      </text>
    </comment>
    <comment ref="G44" authorId="1">
      <text>
        <r>
          <rPr>
            <b/>
            <sz val="9"/>
            <color indexed="81"/>
            <rFont val="宋体"/>
            <family val="3"/>
            <charset val="134"/>
          </rPr>
          <t>zhou:</t>
        </r>
        <r>
          <rPr>
            <sz val="9"/>
            <color indexed="81"/>
            <rFont val="宋体"/>
            <family val="3"/>
            <charset val="134"/>
          </rPr>
          <t xml:space="preserve">
公式不要破坏！
送审前检查该单元格应为公式，</t>
        </r>
        <r>
          <rPr>
            <b/>
            <sz val="9"/>
            <color indexed="10"/>
            <rFont val="宋体"/>
            <family val="3"/>
            <charset val="134"/>
          </rPr>
          <t>不是数值</t>
        </r>
        <r>
          <rPr>
            <sz val="9"/>
            <color indexed="81"/>
            <rFont val="宋体"/>
            <family val="3"/>
            <charset val="134"/>
          </rPr>
          <t>！</t>
        </r>
      </text>
    </comment>
    <comment ref="I44" authorId="1">
      <text>
        <r>
          <rPr>
            <b/>
            <sz val="9"/>
            <color indexed="81"/>
            <rFont val="宋体"/>
            <family val="3"/>
            <charset val="134"/>
          </rPr>
          <t>zhou:</t>
        </r>
        <r>
          <rPr>
            <sz val="9"/>
            <color indexed="81"/>
            <rFont val="宋体"/>
            <family val="3"/>
            <charset val="134"/>
          </rPr>
          <t xml:space="preserve">
选择性粘贴</t>
        </r>
      </text>
    </comment>
    <comment ref="J44" authorId="1">
      <text>
        <r>
          <rPr>
            <b/>
            <sz val="9"/>
            <color indexed="81"/>
            <rFont val="宋体"/>
            <family val="3"/>
            <charset val="134"/>
          </rPr>
          <t>zhou:</t>
        </r>
        <r>
          <rPr>
            <sz val="9"/>
            <color indexed="81"/>
            <rFont val="宋体"/>
            <family val="3"/>
            <charset val="134"/>
          </rPr>
          <t xml:space="preserve">
公式不要破坏！
送审前检查该单元格应为公式，</t>
        </r>
        <r>
          <rPr>
            <b/>
            <sz val="9"/>
            <color indexed="10"/>
            <rFont val="宋体"/>
            <family val="3"/>
            <charset val="134"/>
          </rPr>
          <t>不是数值！</t>
        </r>
      </text>
    </comment>
    <comment ref="L44" authorId="1">
      <text>
        <r>
          <rPr>
            <b/>
            <sz val="9"/>
            <color indexed="81"/>
            <rFont val="宋体"/>
            <family val="3"/>
            <charset val="134"/>
          </rPr>
          <t>zhou:</t>
        </r>
        <r>
          <rPr>
            <sz val="9"/>
            <color indexed="81"/>
            <rFont val="宋体"/>
            <family val="3"/>
            <charset val="134"/>
          </rPr>
          <t xml:space="preserve">
选择性粘贴</t>
        </r>
      </text>
    </comment>
    <comment ref="M44" authorId="1">
      <text>
        <r>
          <rPr>
            <b/>
            <sz val="9"/>
            <color indexed="81"/>
            <rFont val="宋体"/>
            <family val="3"/>
            <charset val="134"/>
          </rPr>
          <t>zhou:</t>
        </r>
        <r>
          <rPr>
            <sz val="9"/>
            <color indexed="81"/>
            <rFont val="宋体"/>
            <family val="3"/>
            <charset val="134"/>
          </rPr>
          <t xml:space="preserve">
公式不要破坏！
送审前检查该单元格应为公式，</t>
        </r>
        <r>
          <rPr>
            <b/>
            <sz val="9"/>
            <color indexed="10"/>
            <rFont val="宋体"/>
            <family val="3"/>
            <charset val="134"/>
          </rPr>
          <t>不是数值！</t>
        </r>
      </text>
    </comment>
  </commentList>
</comments>
</file>

<file path=xl/comments12.xml><?xml version="1.0" encoding="utf-8"?>
<comments xmlns="http://schemas.openxmlformats.org/spreadsheetml/2006/main">
  <authors>
    <author>周鹰飞</author>
  </authors>
  <commentList>
    <comment ref="B11" authorId="0">
      <text>
        <r>
          <rPr>
            <b/>
            <sz val="9"/>
            <color indexed="81"/>
            <rFont val="宋体"/>
            <family val="3"/>
            <charset val="134"/>
          </rPr>
          <t>周鹰飞:</t>
        </r>
        <r>
          <rPr>
            <sz val="9"/>
            <color indexed="81"/>
            <rFont val="宋体"/>
            <family val="3"/>
            <charset val="134"/>
          </rPr>
          <t xml:space="preserve">
不考虑企业未来不断积累的溢余现金和保有现金收益。
</t>
        </r>
        <r>
          <rPr>
            <sz val="9"/>
            <color indexed="10"/>
            <rFont val="宋体"/>
            <family val="3"/>
            <charset val="134"/>
          </rPr>
          <t>这是采用FCFE必须处理的事项。</t>
        </r>
      </text>
    </comment>
    <comment ref="K16" authorId="0">
      <text>
        <r>
          <rPr>
            <b/>
            <sz val="9"/>
            <color indexed="81"/>
            <rFont val="宋体"/>
            <family val="3"/>
            <charset val="134"/>
          </rPr>
          <t>周鹰飞:</t>
        </r>
        <r>
          <rPr>
            <sz val="9"/>
            <color indexed="81"/>
            <rFont val="宋体"/>
            <family val="3"/>
            <charset val="134"/>
          </rPr>
          <t xml:space="preserve">
折旧与摊销=资本性支出</t>
        </r>
      </text>
    </comment>
    <comment ref="K18" authorId="0">
      <text>
        <r>
          <rPr>
            <b/>
            <sz val="9"/>
            <color indexed="81"/>
            <rFont val="宋体"/>
            <family val="3"/>
            <charset val="134"/>
          </rPr>
          <t>周鹰飞:</t>
        </r>
        <r>
          <rPr>
            <sz val="9"/>
            <color indexed="81"/>
            <rFont val="宋体"/>
            <family val="3"/>
            <charset val="134"/>
          </rPr>
          <t xml:space="preserve">
净营运资金变动为零</t>
        </r>
      </text>
    </comment>
    <comment ref="B19" authorId="0">
      <text>
        <r>
          <rPr>
            <b/>
            <sz val="9"/>
            <color indexed="81"/>
            <rFont val="宋体"/>
            <family val="3"/>
            <charset val="134"/>
          </rPr>
          <t>周鹰飞:</t>
        </r>
        <r>
          <rPr>
            <sz val="9"/>
            <color indexed="81"/>
            <rFont val="宋体"/>
            <family val="3"/>
            <charset val="134"/>
          </rPr>
          <t xml:space="preserve">
正值为净借款，负值为净偿还。</t>
        </r>
      </text>
    </comment>
    <comment ref="B23" authorId="0">
      <text>
        <r>
          <rPr>
            <b/>
            <sz val="9"/>
            <color indexed="81"/>
            <rFont val="宋体"/>
            <family val="3"/>
            <charset val="134"/>
          </rPr>
          <t>周鹰飞:</t>
        </r>
        <r>
          <rPr>
            <sz val="9"/>
            <color indexed="81"/>
            <rFont val="宋体"/>
            <family val="3"/>
            <charset val="134"/>
          </rPr>
          <t xml:space="preserve">
注意：当折现率发生变化时，要这样处理。</t>
        </r>
      </text>
    </comment>
    <comment ref="B25" authorId="0">
      <text>
        <r>
          <rPr>
            <b/>
            <sz val="9"/>
            <color indexed="81"/>
            <rFont val="宋体"/>
            <family val="3"/>
            <charset val="134"/>
          </rPr>
          <t>周鹰飞:</t>
        </r>
        <r>
          <rPr>
            <sz val="9"/>
            <color indexed="81"/>
            <rFont val="宋体"/>
            <family val="3"/>
            <charset val="134"/>
          </rPr>
          <t xml:space="preserve">
整年计算方式</t>
        </r>
      </text>
    </comment>
    <comment ref="B31" authorId="0">
      <text>
        <r>
          <rPr>
            <b/>
            <sz val="9"/>
            <color indexed="81"/>
            <rFont val="宋体"/>
            <family val="3"/>
            <charset val="134"/>
          </rPr>
          <t>周鹰飞:</t>
        </r>
        <r>
          <rPr>
            <sz val="9"/>
            <color indexed="81"/>
            <rFont val="宋体"/>
            <family val="3"/>
            <charset val="134"/>
          </rPr>
          <t xml:space="preserve">
βL＝βU×[1＋(1－T) ×(D/E)]</t>
        </r>
      </text>
    </comment>
    <comment ref="B33" authorId="0">
      <text>
        <r>
          <rPr>
            <b/>
            <sz val="9"/>
            <color indexed="81"/>
            <rFont val="宋体"/>
            <family val="3"/>
            <charset val="134"/>
          </rPr>
          <t>周鹰飞:</t>
        </r>
        <r>
          <rPr>
            <sz val="9"/>
            <color indexed="81"/>
            <rFont val="宋体"/>
            <family val="3"/>
            <charset val="134"/>
          </rPr>
          <t xml:space="preserve">
Ke＝rf＋βL×MRP＋Q</t>
        </r>
      </text>
    </comment>
  </commentList>
</comments>
</file>

<file path=xl/comments13.xml><?xml version="1.0" encoding="utf-8"?>
<comments xmlns="http://schemas.openxmlformats.org/spreadsheetml/2006/main">
  <authors>
    <author>周鹰飞</author>
  </authors>
  <commentList>
    <comment ref="B12" authorId="0">
      <text>
        <r>
          <rPr>
            <b/>
            <sz val="9"/>
            <color indexed="81"/>
            <rFont val="宋体"/>
            <family val="3"/>
            <charset val="134"/>
          </rPr>
          <t>周鹰飞:</t>
        </r>
        <r>
          <rPr>
            <sz val="9"/>
            <color indexed="81"/>
            <rFont val="宋体"/>
            <family val="3"/>
            <charset val="134"/>
          </rPr>
          <t xml:space="preserve">
成熟企业，一般按利润的50%派发股息。</t>
        </r>
      </text>
    </comment>
    <comment ref="B26" authorId="0">
      <text>
        <r>
          <rPr>
            <b/>
            <sz val="9"/>
            <color indexed="81"/>
            <rFont val="宋体"/>
            <family val="3"/>
            <charset val="134"/>
          </rPr>
          <t>周鹰飞:</t>
        </r>
        <r>
          <rPr>
            <sz val="9"/>
            <color indexed="81"/>
            <rFont val="宋体"/>
            <family val="3"/>
            <charset val="134"/>
          </rPr>
          <t xml:space="preserve">
除利息外的其他财务费用预测。
未来预测只考虑手续费，不考虑汇兑损益。</t>
        </r>
      </text>
    </comment>
    <comment ref="B54" authorId="0">
      <text>
        <r>
          <rPr>
            <b/>
            <sz val="9"/>
            <color indexed="81"/>
            <rFont val="宋体"/>
            <family val="3"/>
            <charset val="134"/>
          </rPr>
          <t>周鹰飞:</t>
        </r>
        <r>
          <rPr>
            <sz val="9"/>
            <color indexed="81"/>
            <rFont val="宋体"/>
            <family val="3"/>
            <charset val="134"/>
          </rPr>
          <t xml:space="preserve">
预测期假设转固</t>
        </r>
      </text>
    </comment>
    <comment ref="B58" authorId="0">
      <text>
        <r>
          <rPr>
            <b/>
            <sz val="9"/>
            <color indexed="81"/>
            <rFont val="宋体"/>
            <family val="3"/>
            <charset val="134"/>
          </rPr>
          <t>周鹰飞:</t>
        </r>
        <r>
          <rPr>
            <sz val="9"/>
            <color indexed="81"/>
            <rFont val="宋体"/>
            <family val="3"/>
            <charset val="134"/>
          </rPr>
          <t xml:space="preserve">
预测期假设资本化或费用化</t>
        </r>
      </text>
    </comment>
    <comment ref="B59" authorId="0">
      <text>
        <r>
          <rPr>
            <b/>
            <sz val="9"/>
            <color indexed="81"/>
            <rFont val="宋体"/>
            <family val="3"/>
            <charset val="134"/>
          </rPr>
          <t>周鹰飞:</t>
        </r>
        <r>
          <rPr>
            <sz val="9"/>
            <color indexed="81"/>
            <rFont val="宋体"/>
            <family val="3"/>
            <charset val="134"/>
          </rPr>
          <t xml:space="preserve">
预测期不考虑收购，则保持不变。</t>
        </r>
      </text>
    </comment>
    <comment ref="B93" authorId="0">
      <text>
        <r>
          <rPr>
            <b/>
            <sz val="9"/>
            <color indexed="81"/>
            <rFont val="宋体"/>
            <family val="3"/>
            <charset val="134"/>
          </rPr>
          <t>周鹰飞:</t>
        </r>
        <r>
          <rPr>
            <sz val="9"/>
            <color indexed="81"/>
            <rFont val="宋体"/>
            <family val="3"/>
            <charset val="134"/>
          </rPr>
          <t xml:space="preserve">
历史数据扣除溢余现金</t>
        </r>
      </text>
    </comment>
    <comment ref="B112" authorId="0">
      <text>
        <r>
          <rPr>
            <b/>
            <sz val="9"/>
            <color indexed="81"/>
            <rFont val="宋体"/>
            <family val="3"/>
            <charset val="134"/>
          </rPr>
          <t>周鹰飞:</t>
        </r>
        <r>
          <rPr>
            <sz val="9"/>
            <color indexed="81"/>
            <rFont val="宋体"/>
            <family val="3"/>
            <charset val="134"/>
          </rPr>
          <t xml:space="preserve">
保持不变</t>
        </r>
      </text>
    </comment>
    <comment ref="C156" authorId="0">
      <text>
        <r>
          <rPr>
            <b/>
            <sz val="9"/>
            <color indexed="81"/>
            <rFont val="宋体"/>
            <family val="3"/>
            <charset val="134"/>
          </rPr>
          <t>周鹰飞:</t>
        </r>
        <r>
          <rPr>
            <sz val="9"/>
            <color indexed="81"/>
            <rFont val="宋体"/>
            <family val="3"/>
            <charset val="134"/>
          </rPr>
          <t xml:space="preserve">
基于年末</t>
        </r>
      </text>
    </comment>
    <comment ref="B159" authorId="0">
      <text>
        <r>
          <rPr>
            <b/>
            <sz val="9"/>
            <color indexed="81"/>
            <rFont val="宋体"/>
            <family val="3"/>
            <charset val="134"/>
          </rPr>
          <t>周鹰飞:</t>
        </r>
        <r>
          <rPr>
            <sz val="9"/>
            <color indexed="81"/>
            <rFont val="宋体"/>
            <family val="3"/>
            <charset val="134"/>
          </rPr>
          <t xml:space="preserve">
投入资本回报率（年初）=息前税后利润/年初投入资本</t>
        </r>
      </text>
    </comment>
    <comment ref="C159" authorId="0">
      <text>
        <r>
          <rPr>
            <b/>
            <sz val="9"/>
            <color indexed="81"/>
            <rFont val="宋体"/>
            <family val="3"/>
            <charset val="134"/>
          </rPr>
          <t>周鹰飞:</t>
        </r>
        <r>
          <rPr>
            <sz val="9"/>
            <color indexed="81"/>
            <rFont val="宋体"/>
            <family val="3"/>
            <charset val="134"/>
          </rPr>
          <t xml:space="preserve">
基于年末</t>
        </r>
      </text>
    </comment>
    <comment ref="B160" authorId="0">
      <text>
        <r>
          <rPr>
            <b/>
            <sz val="9"/>
            <color indexed="81"/>
            <rFont val="宋体"/>
            <family val="3"/>
            <charset val="134"/>
          </rPr>
          <t>周鹰飞:</t>
        </r>
        <r>
          <rPr>
            <sz val="9"/>
            <color indexed="81"/>
            <rFont val="宋体"/>
            <family val="3"/>
            <charset val="134"/>
          </rPr>
          <t xml:space="preserve">
投入资本回报率（平均）=息前税后利润/平均投入资本</t>
        </r>
      </text>
    </comment>
  </commentList>
</comments>
</file>

<file path=xl/sharedStrings.xml><?xml version="1.0" encoding="utf-8"?>
<sst xmlns="http://schemas.openxmlformats.org/spreadsheetml/2006/main" count="1420" uniqueCount="1032">
  <si>
    <t>流动资产：</t>
  </si>
  <si>
    <t>货币资金</t>
  </si>
  <si>
    <t>应收利息</t>
  </si>
  <si>
    <t>应收股利</t>
  </si>
  <si>
    <t>存货</t>
  </si>
  <si>
    <t>一年内到期的非流动资产</t>
  </si>
  <si>
    <t>流动资产合计</t>
  </si>
  <si>
    <t>非流动资产：</t>
  </si>
  <si>
    <t>可供出售金融资产</t>
  </si>
  <si>
    <t>持有至到期投资</t>
  </si>
  <si>
    <t>长期应收款</t>
  </si>
  <si>
    <t>长期股权投资</t>
  </si>
  <si>
    <t>投资性房地产</t>
  </si>
  <si>
    <t>固定资产</t>
  </si>
  <si>
    <t>在建工程</t>
  </si>
  <si>
    <t>生产性生物资产</t>
  </si>
  <si>
    <t>油气资产</t>
  </si>
  <si>
    <t>无形资产</t>
  </si>
  <si>
    <t>开发支出</t>
  </si>
  <si>
    <t>商誉</t>
  </si>
  <si>
    <t>长期待摊费用</t>
  </si>
  <si>
    <t>递延所得税资产</t>
  </si>
  <si>
    <t>其他非流动资产</t>
  </si>
  <si>
    <t>非流动资产合计</t>
  </si>
  <si>
    <t>资产总计</t>
  </si>
  <si>
    <t>流动负债：</t>
  </si>
  <si>
    <t>短期借款</t>
  </si>
  <si>
    <t>交易性金融负债</t>
  </si>
  <si>
    <t>预收款项</t>
  </si>
  <si>
    <t>应付职工薪酬</t>
  </si>
  <si>
    <t>应交税费</t>
  </si>
  <si>
    <t>应付利息</t>
  </si>
  <si>
    <t>应付股利</t>
  </si>
  <si>
    <t>其他应付款</t>
  </si>
  <si>
    <t>一年内到期的非流动负债</t>
  </si>
  <si>
    <t>其他流动负债</t>
  </si>
  <si>
    <t>流动负债合计</t>
  </si>
  <si>
    <t>非流动负债：</t>
  </si>
  <si>
    <t>长期借款</t>
  </si>
  <si>
    <t>应付债券</t>
  </si>
  <si>
    <t>长期应付款</t>
  </si>
  <si>
    <t>预计负债</t>
  </si>
  <si>
    <t>递延所得税负债</t>
  </si>
  <si>
    <t>其他非流动负债</t>
  </si>
  <si>
    <t>非流动负债合计</t>
  </si>
  <si>
    <t>负债合计</t>
  </si>
  <si>
    <t>资本公积</t>
  </si>
  <si>
    <t>减：库存股</t>
  </si>
  <si>
    <t>盈余公积</t>
  </si>
  <si>
    <t>一般风险准备</t>
  </si>
  <si>
    <t>未分配利润</t>
  </si>
  <si>
    <t>检查核对</t>
    <phoneticPr fontId="6" type="noConversion"/>
  </si>
  <si>
    <t>单位：万元</t>
    <phoneticPr fontId="6" type="noConversion"/>
  </si>
  <si>
    <t>科目</t>
    <phoneticPr fontId="6" type="noConversion"/>
  </si>
  <si>
    <t>归属于母公司所有者权益合计</t>
  </si>
  <si>
    <t>少数股东权益</t>
  </si>
  <si>
    <t>所有者权益合计</t>
  </si>
  <si>
    <t>所有者权益：</t>
    <phoneticPr fontId="6" type="noConversion"/>
  </si>
  <si>
    <t>实收资本</t>
    <phoneticPr fontId="6" type="noConversion"/>
  </si>
  <si>
    <t>负债和所有者权益总计</t>
    <phoneticPr fontId="6" type="noConversion"/>
  </si>
  <si>
    <t>加：营业外收入</t>
  </si>
  <si>
    <t>减：营业外支出</t>
  </si>
  <si>
    <t>减：所得税费用</t>
  </si>
  <si>
    <t>科目</t>
  </si>
  <si>
    <t>项目</t>
  </si>
  <si>
    <t>项目</t>
    <phoneticPr fontId="6" type="noConversion"/>
  </si>
  <si>
    <t>营业收入</t>
    <phoneticPr fontId="6" type="noConversion"/>
  </si>
  <si>
    <t>预付款项</t>
    <phoneticPr fontId="6" type="noConversion"/>
  </si>
  <si>
    <t>其他应收款</t>
    <phoneticPr fontId="6" type="noConversion"/>
  </si>
  <si>
    <t>非经营性其他应收款</t>
    <phoneticPr fontId="6" type="noConversion"/>
  </si>
  <si>
    <t>折现率</t>
  </si>
  <si>
    <t>折现系数</t>
  </si>
  <si>
    <t>管理费用</t>
  </si>
  <si>
    <t>评估值</t>
    <phoneticPr fontId="6" type="noConversion"/>
  </si>
  <si>
    <t>备注</t>
    <phoneticPr fontId="6" type="noConversion"/>
  </si>
  <si>
    <t>未考虑</t>
    <phoneticPr fontId="6" type="noConversion"/>
  </si>
  <si>
    <t>交易性金融资产</t>
    <phoneticPr fontId="6" type="noConversion"/>
  </si>
  <si>
    <t>其他流动资产</t>
    <phoneticPr fontId="6" type="noConversion"/>
  </si>
  <si>
    <t>非经营性其他流动资产</t>
    <phoneticPr fontId="6" type="noConversion"/>
  </si>
  <si>
    <t>合计</t>
  </si>
  <si>
    <t>毛利率</t>
    <phoneticPr fontId="6" type="noConversion"/>
  </si>
  <si>
    <t>权益等价物小计</t>
  </si>
  <si>
    <t>非经营性其他非流动资产</t>
    <phoneticPr fontId="6" type="noConversion"/>
  </si>
  <si>
    <t>权益等价物：</t>
    <phoneticPr fontId="6" type="noConversion"/>
  </si>
  <si>
    <t>应付股利</t>
    <phoneticPr fontId="6" type="noConversion"/>
  </si>
  <si>
    <r>
      <t>所有者权益</t>
    </r>
    <r>
      <rPr>
        <b/>
        <sz val="10"/>
        <color rgb="FF0000FF"/>
        <rFont val="宋体"/>
        <family val="3"/>
        <charset val="134"/>
      </rPr>
      <t>：</t>
    </r>
    <phoneticPr fontId="6" type="noConversion"/>
  </si>
  <si>
    <t>其他综合收益</t>
  </si>
  <si>
    <t>差旅费</t>
  </si>
  <si>
    <t>其他</t>
  </si>
  <si>
    <t>加：公允价值变动收益</t>
    <phoneticPr fontId="6" type="noConversion"/>
  </si>
  <si>
    <t>年度</t>
    <phoneticPr fontId="6" type="noConversion"/>
  </si>
  <si>
    <t>年度</t>
    <phoneticPr fontId="6" type="noConversion"/>
  </si>
  <si>
    <t>占收入比</t>
    <phoneticPr fontId="38" type="noConversion"/>
  </si>
  <si>
    <t>单位：万元</t>
    <phoneticPr fontId="6" type="noConversion"/>
  </si>
  <si>
    <t>营业收入</t>
    <phoneticPr fontId="6" type="noConversion"/>
  </si>
  <si>
    <t>付息负债</t>
    <phoneticPr fontId="6" type="noConversion"/>
  </si>
  <si>
    <t>付息负债合计</t>
    <phoneticPr fontId="6" type="noConversion"/>
  </si>
  <si>
    <r>
      <t>减</t>
    </r>
    <r>
      <rPr>
        <sz val="10"/>
        <rFont val="Arial Narrow"/>
        <family val="2"/>
      </rPr>
      <t>:</t>
    </r>
    <r>
      <rPr>
        <sz val="10"/>
        <rFont val="宋体"/>
        <family val="3"/>
        <charset val="134"/>
      </rPr>
      <t>营业成本</t>
    </r>
    <phoneticPr fontId="6" type="noConversion"/>
  </si>
  <si>
    <t>减:少数股东损益</t>
    <phoneticPr fontId="6" type="noConversion"/>
  </si>
  <si>
    <t>占收入比</t>
  </si>
  <si>
    <t>非经营性资产合计</t>
    <phoneticPr fontId="6" type="noConversion"/>
  </si>
  <si>
    <t>非经营性负债合计</t>
    <phoneticPr fontId="6" type="noConversion"/>
  </si>
  <si>
    <t>扣除溢余现金的资产</t>
    <phoneticPr fontId="6" type="noConversion"/>
  </si>
  <si>
    <t>报表是否平衡？</t>
    <phoneticPr fontId="6" type="noConversion"/>
  </si>
  <si>
    <t>营业收入</t>
    <phoneticPr fontId="6" type="noConversion"/>
  </si>
  <si>
    <t>非经营性流动资产小计</t>
    <phoneticPr fontId="6" type="noConversion"/>
  </si>
  <si>
    <t>非经营性一年内到期的非流动资产</t>
    <phoneticPr fontId="6" type="noConversion"/>
  </si>
  <si>
    <t>非经营性固定资产</t>
    <phoneticPr fontId="6" type="noConversion"/>
  </si>
  <si>
    <t>非经营性在建工程</t>
    <phoneticPr fontId="6" type="noConversion"/>
  </si>
  <si>
    <t>非经营性生产性生物资产</t>
    <phoneticPr fontId="6" type="noConversion"/>
  </si>
  <si>
    <t>非经营性油气资产</t>
    <phoneticPr fontId="6" type="noConversion"/>
  </si>
  <si>
    <t>非经营性无形资产</t>
    <phoneticPr fontId="6" type="noConversion"/>
  </si>
  <si>
    <t>非经营性开发支出</t>
    <phoneticPr fontId="6" type="noConversion"/>
  </si>
  <si>
    <t>非经营性长期待摊费用</t>
    <phoneticPr fontId="6" type="noConversion"/>
  </si>
  <si>
    <t>非经营性其他流动负债</t>
    <phoneticPr fontId="6" type="noConversion"/>
  </si>
  <si>
    <t>非经营性长期应付款</t>
    <phoneticPr fontId="6" type="noConversion"/>
  </si>
  <si>
    <t>非经营性其他非流动负债</t>
    <phoneticPr fontId="6" type="noConversion"/>
  </si>
  <si>
    <t>一年内到期的非流动负债</t>
    <phoneticPr fontId="6" type="noConversion"/>
  </si>
  <si>
    <t>加：溢余资产评估值</t>
    <phoneticPr fontId="6" type="noConversion"/>
  </si>
  <si>
    <t>加：非经营性资产评估值</t>
    <phoneticPr fontId="6" type="noConversion"/>
  </si>
  <si>
    <t>减：非经营性负债评估值</t>
    <phoneticPr fontId="6" type="noConversion"/>
  </si>
  <si>
    <t>企业整体资产价值</t>
    <phoneticPr fontId="6" type="noConversion"/>
  </si>
  <si>
    <t>减：付息负债价值</t>
    <phoneticPr fontId="6" type="noConversion"/>
  </si>
  <si>
    <t>减：股票期权</t>
    <phoneticPr fontId="6" type="noConversion"/>
  </si>
  <si>
    <t>减：可转换债券</t>
    <phoneticPr fontId="6" type="noConversion"/>
  </si>
  <si>
    <t>减：少数股东权益</t>
    <phoneticPr fontId="6" type="noConversion"/>
  </si>
  <si>
    <t>股东全部权益价值</t>
    <phoneticPr fontId="6" type="noConversion"/>
  </si>
  <si>
    <t>股东全部权益价值（取整）</t>
    <phoneticPr fontId="6" type="noConversion"/>
  </si>
  <si>
    <t>控制权对评估对象价值的影响</t>
    <phoneticPr fontId="6" type="noConversion"/>
  </si>
  <si>
    <t>流动性对评估对象价值的影响</t>
    <phoneticPr fontId="6" type="noConversion"/>
  </si>
  <si>
    <t>本次评估股权比例</t>
    <phoneticPr fontId="6" type="noConversion"/>
  </si>
  <si>
    <t>部分股权评估值</t>
    <phoneticPr fontId="6" type="noConversion"/>
  </si>
  <si>
    <t>减：商誉</t>
    <phoneticPr fontId="6" type="noConversion"/>
  </si>
  <si>
    <t>资产：</t>
    <phoneticPr fontId="6" type="noConversion"/>
  </si>
  <si>
    <t>负债：</t>
    <phoneticPr fontId="6" type="noConversion"/>
  </si>
  <si>
    <t>减：递延所得税资产</t>
    <phoneticPr fontId="6" type="noConversion"/>
  </si>
  <si>
    <t>加：商誉</t>
    <phoneticPr fontId="6" type="noConversion"/>
  </si>
  <si>
    <t>资产负债表</t>
    <phoneticPr fontId="6" type="noConversion"/>
  </si>
  <si>
    <t>利润表</t>
    <phoneticPr fontId="6" type="noConversion"/>
  </si>
  <si>
    <r>
      <rPr>
        <sz val="10"/>
        <rFont val="宋体"/>
        <family val="3"/>
        <charset val="134"/>
      </rPr>
      <t>行业</t>
    </r>
    <r>
      <rPr>
        <sz val="10"/>
        <rFont val="Arial Narrow"/>
        <family val="2"/>
      </rPr>
      <t>β</t>
    </r>
    <r>
      <rPr>
        <vertAlign val="subscript"/>
        <sz val="10"/>
        <rFont val="Arial Narrow"/>
        <family val="2"/>
      </rPr>
      <t>U</t>
    </r>
    <phoneticPr fontId="6" type="noConversion"/>
  </si>
  <si>
    <t>评估实务中还应当对原材料的变化趋势作一说明，公司消化原材料价格变化的经营措施。</t>
    <phoneticPr fontId="6" type="noConversion"/>
  </si>
  <si>
    <t>员工人数是否会随着收入增长而增加，消化人工成本的措施。</t>
    <phoneticPr fontId="6" type="noConversion"/>
  </si>
  <si>
    <t>所得税税率</t>
  </si>
  <si>
    <t>项目</t>
    <phoneticPr fontId="6" type="noConversion"/>
  </si>
  <si>
    <t>项目</t>
    <phoneticPr fontId="6" type="noConversion"/>
  </si>
  <si>
    <t>科目</t>
    <phoneticPr fontId="6" type="noConversion"/>
  </si>
  <si>
    <t>管理费用中的折旧</t>
    <phoneticPr fontId="6" type="noConversion"/>
  </si>
  <si>
    <t>固定资产折旧额</t>
    <phoneticPr fontId="6" type="noConversion"/>
  </si>
  <si>
    <t>平均值</t>
    <phoneticPr fontId="6" type="noConversion"/>
  </si>
  <si>
    <t>管理费用分析</t>
    <phoneticPr fontId="6" type="noConversion"/>
  </si>
  <si>
    <t>营业收入增长率</t>
    <phoneticPr fontId="6" type="noConversion"/>
  </si>
  <si>
    <t>应收账款周转率（次）</t>
  </si>
  <si>
    <t>存货周转率（次）</t>
  </si>
  <si>
    <t>成长能力分析</t>
    <phoneticPr fontId="6" type="noConversion"/>
  </si>
  <si>
    <t>应用前提</t>
    <phoneticPr fontId="6" type="noConversion"/>
  </si>
  <si>
    <r>
      <t>2</t>
    </r>
    <r>
      <rPr>
        <sz val="11"/>
        <rFont val="宋体"/>
        <family val="3"/>
        <charset val="134"/>
      </rPr>
      <t>、未考虑预测期内被评估企业依靠收购所创造的收入增长。</t>
    </r>
    <phoneticPr fontId="6" type="noConversion"/>
  </si>
  <si>
    <r>
      <rPr>
        <sz val="11"/>
        <rFont val="宋体"/>
        <family val="3"/>
        <charset val="134"/>
      </rPr>
      <t>同一年的数据在不同表中均在同一列中，方便查找错误。</t>
    </r>
    <phoneticPr fontId="6" type="noConversion"/>
  </si>
  <si>
    <t>实务中如果企业产品不单一，每种产品或服务适用的税率不同，以及金额较大，应分项目评估。示例如下</t>
    <phoneticPr fontId="6" type="noConversion"/>
  </si>
  <si>
    <t>税率</t>
  </si>
  <si>
    <t>应交流转税项</t>
  </si>
  <si>
    <t>(1)-(2)</t>
    <phoneticPr fontId="6" type="noConversion"/>
  </si>
  <si>
    <t>应缴增值税</t>
    <phoneticPr fontId="6" type="noConversion"/>
  </si>
  <si>
    <t>应缴营业税</t>
    <phoneticPr fontId="6" type="noConversion"/>
  </si>
  <si>
    <t>应缴流转税合计</t>
    <phoneticPr fontId="6" type="noConversion"/>
  </si>
  <si>
    <t>(3)+(4)</t>
    <phoneticPr fontId="6" type="noConversion"/>
  </si>
  <si>
    <t>合计</t>
    <phoneticPr fontId="6" type="noConversion"/>
  </si>
  <si>
    <t>计税公式</t>
    <phoneticPr fontId="6" type="noConversion"/>
  </si>
  <si>
    <t>计税依据的主要内容</t>
    <phoneticPr fontId="6" type="noConversion"/>
  </si>
  <si>
    <t>城市维护建设税</t>
    <phoneticPr fontId="6" type="noConversion"/>
  </si>
  <si>
    <t>消费税</t>
    <phoneticPr fontId="6" type="noConversion"/>
  </si>
  <si>
    <t>资源税</t>
    <phoneticPr fontId="6" type="noConversion"/>
  </si>
  <si>
    <t>房产税</t>
    <phoneticPr fontId="6" type="noConversion"/>
  </si>
  <si>
    <t>土地使用税</t>
    <phoneticPr fontId="6" type="noConversion"/>
  </si>
  <si>
    <t>车船使用税</t>
    <phoneticPr fontId="6" type="noConversion"/>
  </si>
  <si>
    <t>印花税</t>
    <phoneticPr fontId="6" type="noConversion"/>
  </si>
  <si>
    <r>
      <rPr>
        <sz val="10"/>
        <rFont val="宋体"/>
        <family val="3"/>
        <charset val="134"/>
      </rPr>
      <t>减</t>
    </r>
    <r>
      <rPr>
        <sz val="10"/>
        <rFont val="Arial Narrow"/>
        <family val="2"/>
      </rPr>
      <t>:</t>
    </r>
    <r>
      <rPr>
        <sz val="10"/>
        <rFont val="宋体"/>
        <family val="3"/>
        <charset val="134"/>
      </rPr>
      <t>税金及附加</t>
    </r>
    <phoneticPr fontId="6" type="noConversion"/>
  </si>
  <si>
    <t>税金及附加</t>
    <phoneticPr fontId="6" type="noConversion"/>
  </si>
  <si>
    <t>按科目进行分析</t>
    <phoneticPr fontId="6" type="noConversion"/>
  </si>
  <si>
    <t>综合毛利率</t>
    <phoneticPr fontId="6" type="noConversion"/>
  </si>
  <si>
    <t>注意资本性支出中设备的增值税要加上</t>
    <phoneticPr fontId="6" type="noConversion"/>
  </si>
  <si>
    <t>特殊行业要具实考虑</t>
    <phoneticPr fontId="6" type="noConversion"/>
  </si>
  <si>
    <t>表中数字</t>
    <phoneticPr fontId="6" type="noConversion"/>
  </si>
  <si>
    <t>二、营业利润</t>
    <phoneticPr fontId="6" type="noConversion"/>
  </si>
  <si>
    <t>净利润</t>
    <phoneticPr fontId="6" type="noConversion"/>
  </si>
  <si>
    <t>税后利息费用</t>
    <phoneticPr fontId="6" type="noConversion"/>
  </si>
  <si>
    <t>三、利润总额</t>
    <phoneticPr fontId="6" type="noConversion"/>
  </si>
  <si>
    <r>
      <rPr>
        <sz val="10"/>
        <rFont val="宋体"/>
        <family val="3"/>
        <charset val="134"/>
      </rPr>
      <t>税金及附加</t>
    </r>
    <r>
      <rPr>
        <sz val="10"/>
        <rFont val="Arial Narrow"/>
        <family val="2"/>
      </rPr>
      <t>/</t>
    </r>
    <r>
      <rPr>
        <sz val="10"/>
        <rFont val="宋体"/>
        <family val="3"/>
        <charset val="134"/>
      </rPr>
      <t>收入</t>
    </r>
    <phoneticPr fontId="6" type="noConversion"/>
  </si>
  <si>
    <r>
      <rPr>
        <b/>
        <sz val="12"/>
        <rFont val="宋体"/>
        <family val="3"/>
        <charset val="134"/>
      </rPr>
      <t>索引号：</t>
    </r>
    <r>
      <rPr>
        <b/>
        <sz val="12"/>
        <rFont val="Arial Narrow"/>
        <family val="2"/>
      </rPr>
      <t>SY1</t>
    </r>
    <phoneticPr fontId="38" type="noConversion"/>
  </si>
  <si>
    <r>
      <rPr>
        <sz val="10"/>
        <rFont val="宋体"/>
        <family val="3"/>
        <charset val="134"/>
      </rPr>
      <t>备注：</t>
    </r>
    <phoneticPr fontId="6" type="noConversion"/>
  </si>
  <si>
    <r>
      <rPr>
        <sz val="10"/>
        <rFont val="宋体"/>
        <family val="3"/>
        <charset val="134"/>
      </rPr>
      <t>经营活动一般指主营业务活动以及与与主营业务活动相关的活动。以上活动之外的活动称为其他活动，如：</t>
    </r>
    <phoneticPr fontId="6" type="noConversion"/>
  </si>
  <si>
    <r>
      <rPr>
        <sz val="10"/>
        <rFont val="宋体"/>
        <family val="3"/>
        <charset val="134"/>
      </rPr>
      <t>金融资产、未并表的长期股权投资、投资性房地产以及溢余及非经营资产、负债等相关活动。</t>
    </r>
    <phoneticPr fontId="6" type="noConversion"/>
  </si>
  <si>
    <r>
      <rPr>
        <sz val="10"/>
        <rFont val="宋体"/>
        <family val="3"/>
        <charset val="134"/>
      </rPr>
      <t>评估人员</t>
    </r>
  </si>
  <si>
    <r>
      <rPr>
        <sz val="10"/>
        <rFont val="宋体"/>
        <family val="3"/>
        <charset val="134"/>
      </rPr>
      <t>现场工作日期</t>
    </r>
  </si>
  <si>
    <r>
      <rPr>
        <sz val="10"/>
        <rFont val="宋体"/>
        <family val="3"/>
        <charset val="134"/>
      </rPr>
      <t>复核日期</t>
    </r>
    <phoneticPr fontId="6" type="noConversion"/>
  </si>
  <si>
    <t>复核人</t>
    <phoneticPr fontId="6" type="noConversion"/>
  </si>
  <si>
    <r>
      <rPr>
        <b/>
        <sz val="10"/>
        <color indexed="8"/>
        <rFont val="宋体"/>
        <family val="3"/>
        <charset val="134"/>
      </rPr>
      <t>操作步骤与要求</t>
    </r>
  </si>
  <si>
    <r>
      <rPr>
        <b/>
        <sz val="10"/>
        <color indexed="8"/>
        <rFont val="宋体"/>
        <family val="3"/>
        <charset val="134"/>
      </rPr>
      <t>不适用</t>
    </r>
  </si>
  <si>
    <r>
      <rPr>
        <b/>
        <sz val="10"/>
        <color indexed="8"/>
        <rFont val="宋体"/>
        <family val="3"/>
        <charset val="134"/>
      </rPr>
      <t>是</t>
    </r>
    <phoneticPr fontId="38" type="noConversion"/>
  </si>
  <si>
    <t>说明与备注：</t>
    <phoneticPr fontId="6" type="noConversion"/>
  </si>
  <si>
    <t>项目</t>
    <phoneticPr fontId="6" type="noConversion"/>
  </si>
  <si>
    <t>管理费用率</t>
    <phoneticPr fontId="6" type="noConversion"/>
  </si>
  <si>
    <t>平均值</t>
    <phoneticPr fontId="6" type="noConversion"/>
  </si>
  <si>
    <r>
      <rPr>
        <sz val="10"/>
        <rFont val="宋体"/>
        <family val="3"/>
        <charset val="134"/>
      </rPr>
      <t>管理费用率</t>
    </r>
    <r>
      <rPr>
        <sz val="10"/>
        <rFont val="Arial Narrow"/>
        <family val="2"/>
      </rPr>
      <t xml:space="preserve"> </t>
    </r>
    <phoneticPr fontId="6" type="noConversion"/>
  </si>
  <si>
    <r>
      <rPr>
        <sz val="10"/>
        <rFont val="宋体"/>
        <family val="3"/>
        <charset val="134"/>
      </rPr>
      <t>减</t>
    </r>
    <r>
      <rPr>
        <sz val="10"/>
        <rFont val="Arial Narrow"/>
        <family val="2"/>
      </rPr>
      <t>:</t>
    </r>
    <r>
      <rPr>
        <sz val="10"/>
        <rFont val="宋体"/>
        <family val="3"/>
        <charset val="134"/>
      </rPr>
      <t>管理费用</t>
    </r>
    <phoneticPr fontId="6" type="noConversion"/>
  </si>
  <si>
    <t>经营最低保有现金</t>
  </si>
  <si>
    <t>项目</t>
    <phoneticPr fontId="6" type="noConversion"/>
  </si>
  <si>
    <t>项目</t>
    <phoneticPr fontId="6" type="noConversion"/>
  </si>
  <si>
    <t>股东权益价值测算表</t>
    <phoneticPr fontId="6" type="noConversion"/>
  </si>
  <si>
    <t>收入分解</t>
    <phoneticPr fontId="6" type="noConversion"/>
  </si>
  <si>
    <t>销量？</t>
    <phoneticPr fontId="6" type="noConversion"/>
  </si>
  <si>
    <t>蓝字黄底表示手动录入数据</t>
    <phoneticPr fontId="6" type="noConversion"/>
  </si>
  <si>
    <t>衍生金融资产</t>
    <phoneticPr fontId="6" type="noConversion"/>
  </si>
  <si>
    <t>持有待售资产</t>
    <phoneticPr fontId="6" type="noConversion"/>
  </si>
  <si>
    <t>衍生金融负债</t>
    <phoneticPr fontId="6" type="noConversion"/>
  </si>
  <si>
    <t>持有待售负债</t>
    <phoneticPr fontId="6" type="noConversion"/>
  </si>
  <si>
    <t>递延收益</t>
    <phoneticPr fontId="6" type="noConversion"/>
  </si>
  <si>
    <t>其他权益工具</t>
    <phoneticPr fontId="6" type="noConversion"/>
  </si>
  <si>
    <t>加：投资收益（损失）</t>
    <phoneticPr fontId="6" type="noConversion"/>
  </si>
  <si>
    <t>加：其他收益</t>
    <phoneticPr fontId="6" type="noConversion"/>
  </si>
  <si>
    <t>(一)持续经营净利润</t>
    <phoneticPr fontId="6" type="noConversion"/>
  </si>
  <si>
    <t>(二)终止经营净利润</t>
    <phoneticPr fontId="6" type="noConversion"/>
  </si>
  <si>
    <t>合并</t>
  </si>
  <si>
    <t>以公允价值计量且其变动计入当期损益的金融资产</t>
    <phoneticPr fontId="6" type="noConversion"/>
  </si>
  <si>
    <t>长期应付职工薪酬</t>
    <phoneticPr fontId="6" type="noConversion"/>
  </si>
  <si>
    <t>销售费用中的折旧</t>
    <phoneticPr fontId="6" type="noConversion"/>
  </si>
  <si>
    <t>归属于母公司所有者的净利润</t>
    <phoneticPr fontId="6" type="noConversion"/>
  </si>
  <si>
    <t>少数股东损益</t>
    <phoneticPr fontId="6" type="noConversion"/>
  </si>
  <si>
    <t>销售费用</t>
    <phoneticPr fontId="6" type="noConversion"/>
  </si>
  <si>
    <t>输入信息</t>
    <phoneticPr fontId="6" type="noConversion"/>
  </si>
  <si>
    <t>评估基准日：</t>
    <phoneticPr fontId="6" type="noConversion"/>
  </si>
  <si>
    <t>被评估单位：</t>
    <phoneticPr fontId="6" type="noConversion"/>
  </si>
  <si>
    <t>预测期间：</t>
    <phoneticPr fontId="6" type="noConversion"/>
  </si>
  <si>
    <t>To</t>
    <phoneticPr fontId="6" type="noConversion"/>
  </si>
  <si>
    <t>2015年</t>
  </si>
  <si>
    <t>2016年</t>
  </si>
  <si>
    <t>2017年</t>
  </si>
  <si>
    <t>内销</t>
  </si>
  <si>
    <t>可拆</t>
  </si>
  <si>
    <t>钎焊</t>
  </si>
  <si>
    <t>外销</t>
  </si>
  <si>
    <t>材料及板片</t>
  </si>
  <si>
    <t>按产品分类</t>
    <phoneticPr fontId="6" type="noConversion"/>
  </si>
  <si>
    <t>小计</t>
    <phoneticPr fontId="6" type="noConversion"/>
  </si>
  <si>
    <t>主要产品</t>
    <phoneticPr fontId="6" type="noConversion"/>
  </si>
  <si>
    <t>产品结构占比</t>
    <phoneticPr fontId="6" type="noConversion"/>
  </si>
  <si>
    <t>产品增长率</t>
    <phoneticPr fontId="6" type="noConversion"/>
  </si>
  <si>
    <t>产品结构下降，核实是否转型？比例继续下降？</t>
    <phoneticPr fontId="6" type="noConversion"/>
  </si>
  <si>
    <t>按销售分类</t>
    <phoneticPr fontId="6" type="noConversion"/>
  </si>
  <si>
    <t>主要市场在国内</t>
    <phoneticPr fontId="6" type="noConversion"/>
  </si>
  <si>
    <t>外销比例在下降</t>
    <phoneticPr fontId="6" type="noConversion"/>
  </si>
  <si>
    <t>内外销影响的是销售毛利的多少，了解这个比例为确定毛利率水平和销售费用的变化。</t>
    <phoneticPr fontId="6" type="noConversion"/>
  </si>
  <si>
    <t>采用一种分类方式预测，两种方式组合增加了预测难度</t>
    <phoneticPr fontId="6" type="noConversion"/>
  </si>
  <si>
    <t>尽调结论</t>
    <phoneticPr fontId="6" type="noConversion"/>
  </si>
  <si>
    <t>1、17年全年产能利用率约65%，产能瓶颈在烧结用炉子和检测设备，已订购相关设备，18年产能可以提高40%；</t>
  </si>
  <si>
    <t>2、目前的主要产品仍是钎焊换热器，18年销量的主要增长也在钎焊换热器；</t>
  </si>
  <si>
    <t>3、计划订购一台3万吨液压机，主要用于生产可拆换热器，可拆换热器的销量19年开始大幅增加，预计销量增加额在2000万左右；</t>
  </si>
  <si>
    <t>4、15~17年外销金额基本维持稳定，以后年度也保持在该水平；</t>
  </si>
  <si>
    <t>5、由于大量国家环保政策、标准的出台，变热器的市场需求增加；</t>
  </si>
  <si>
    <r>
      <t>6</t>
    </r>
    <r>
      <rPr>
        <sz val="10"/>
        <color theme="1"/>
        <rFont val="宋体"/>
        <family val="3"/>
        <charset val="134"/>
      </rPr>
      <t>、产品有明显的季节性，每年的</t>
    </r>
    <r>
      <rPr>
        <sz val="10"/>
        <color theme="1"/>
        <rFont val="Arial Narrow"/>
        <family val="2"/>
      </rPr>
      <t>5~11</t>
    </r>
    <r>
      <rPr>
        <sz val="10"/>
        <color theme="1"/>
        <rFont val="宋体"/>
        <family val="3"/>
        <charset val="134"/>
      </rPr>
      <t>月为旺季。</t>
    </r>
    <r>
      <rPr>
        <sz val="10"/>
        <color rgb="FFFF0000"/>
        <rFont val="宋体"/>
        <family val="3"/>
        <charset val="134"/>
      </rPr>
      <t>（这个不影响预测值）</t>
    </r>
    <phoneticPr fontId="6" type="noConversion"/>
  </si>
  <si>
    <t>组合单价？</t>
    <phoneticPr fontId="6" type="noConversion"/>
  </si>
  <si>
    <t>销售单价的变化？</t>
    <phoneticPr fontId="6" type="noConversion"/>
  </si>
  <si>
    <t>设备产能→→销量？</t>
    <phoneticPr fontId="6" type="noConversion"/>
  </si>
  <si>
    <t>市场容量→→市场占有率？</t>
    <phoneticPr fontId="6" type="noConversion"/>
  </si>
  <si>
    <t>自下而上</t>
    <phoneticPr fontId="6" type="noConversion"/>
  </si>
  <si>
    <t>自上而下，考虑竞争</t>
    <phoneticPr fontId="6" type="noConversion"/>
  </si>
  <si>
    <t>收入合计</t>
    <phoneticPr fontId="6" type="noConversion"/>
  </si>
  <si>
    <t>项目</t>
    <phoneticPr fontId="6" type="noConversion"/>
  </si>
  <si>
    <t>主要产品在增加，进一步核实驱动因素是组合单价、还是数量？</t>
    <phoneticPr fontId="6" type="noConversion"/>
  </si>
  <si>
    <t>两种预测的思路</t>
    <phoneticPr fontId="6" type="noConversion"/>
  </si>
  <si>
    <t>每种产品的销量和价格的变化，用产能和市场占有率进行检查</t>
    <phoneticPr fontId="6" type="noConversion"/>
  </si>
  <si>
    <r>
      <t>1</t>
    </r>
    <r>
      <rPr>
        <sz val="10"/>
        <color theme="1"/>
        <rFont val="宋体"/>
        <family val="3"/>
        <charset val="134"/>
      </rPr>
      <t>、</t>
    </r>
    <phoneticPr fontId="6" type="noConversion"/>
  </si>
  <si>
    <r>
      <t>2</t>
    </r>
    <r>
      <rPr>
        <sz val="10"/>
        <color theme="1"/>
        <rFont val="宋体"/>
        <family val="3"/>
        <charset val="134"/>
      </rPr>
      <t>、</t>
    </r>
    <phoneticPr fontId="6" type="noConversion"/>
  </si>
  <si>
    <t>每种产品销售增长率和结构占比预测，同样用产能和市场占有率进行检查</t>
    <phoneticPr fontId="6" type="noConversion"/>
  </si>
  <si>
    <t>2018年</t>
  </si>
  <si>
    <t>2019年</t>
  </si>
  <si>
    <t>2020年</t>
  </si>
  <si>
    <t>2021年</t>
  </si>
  <si>
    <t>2022年</t>
  </si>
  <si>
    <t>假设产品结构不变</t>
    <phoneticPr fontId="6" type="noConversion"/>
  </si>
  <si>
    <t>平均值</t>
    <phoneticPr fontId="6" type="noConversion"/>
  </si>
  <si>
    <t>权重</t>
    <phoneticPr fontId="6" type="noConversion"/>
  </si>
  <si>
    <t>产品收入</t>
    <phoneticPr fontId="6" type="noConversion"/>
  </si>
  <si>
    <t>合计</t>
    <phoneticPr fontId="6" type="noConversion"/>
  </si>
  <si>
    <t>没超产能</t>
    <phoneticPr fontId="6" type="noConversion"/>
  </si>
  <si>
    <t>可从可比公司的预期增长率上进行比较修正，或从规模上看可比公司的历史增长率变化</t>
    <phoneticPr fontId="6" type="noConversion"/>
  </si>
  <si>
    <t>制造费用</t>
  </si>
  <si>
    <t>生产成本中的折旧</t>
    <phoneticPr fontId="6" type="noConversion"/>
  </si>
  <si>
    <t>数据汇总</t>
  </si>
  <si>
    <t>数据汇总</t>
    <phoneticPr fontId="6" type="noConversion"/>
  </si>
  <si>
    <t>数据汇总</t>
    <phoneticPr fontId="6" type="noConversion"/>
  </si>
  <si>
    <t>成本分析</t>
  </si>
  <si>
    <t>成本按产品大类进行分解分析，可先进行毛利率分析，再到成本。</t>
    <phoneticPr fontId="6" type="noConversion"/>
  </si>
  <si>
    <t>成本</t>
    <phoneticPr fontId="6" type="noConversion"/>
  </si>
  <si>
    <t>收入</t>
    <phoneticPr fontId="6" type="noConversion"/>
  </si>
  <si>
    <t>毛利</t>
    <phoneticPr fontId="6" type="noConversion"/>
  </si>
  <si>
    <t>毛利率</t>
    <phoneticPr fontId="6" type="noConversion"/>
  </si>
  <si>
    <t>定制产品</t>
    <phoneticPr fontId="6" type="noConversion"/>
  </si>
  <si>
    <t>毛利率增长</t>
    <phoneticPr fontId="6" type="noConversion"/>
  </si>
  <si>
    <t>收入增长率</t>
    <phoneticPr fontId="6" type="noConversion"/>
  </si>
  <si>
    <t>成本增长率</t>
    <phoneticPr fontId="6" type="noConversion"/>
  </si>
  <si>
    <t>毛利增长率</t>
    <phoneticPr fontId="6" type="noConversion"/>
  </si>
  <si>
    <r>
      <t>1</t>
    </r>
    <r>
      <rPr>
        <sz val="10"/>
        <rFont val="宋体"/>
        <family val="3"/>
        <charset val="134"/>
      </rPr>
      <t>、</t>
    </r>
    <phoneticPr fontId="6" type="noConversion"/>
  </si>
  <si>
    <r>
      <t>2016</t>
    </r>
    <r>
      <rPr>
        <sz val="10"/>
        <rFont val="宋体"/>
        <family val="3"/>
        <charset val="134"/>
      </rPr>
      <t>年成本增长与收入、毛利增长基本持平，到</t>
    </r>
    <r>
      <rPr>
        <sz val="10"/>
        <rFont val="Arial Narrow"/>
        <family val="2"/>
      </rPr>
      <t>2017</t>
    </r>
    <r>
      <rPr>
        <sz val="10"/>
        <rFont val="宋体"/>
        <family val="3"/>
        <charset val="134"/>
      </rPr>
      <t>年收入增长比成本高</t>
    </r>
    <r>
      <rPr>
        <sz val="10"/>
        <rFont val="Arial Narrow"/>
        <family val="2"/>
      </rPr>
      <t>7.7</t>
    </r>
    <r>
      <rPr>
        <sz val="10"/>
        <rFont val="宋体"/>
        <family val="3"/>
        <charset val="134"/>
      </rPr>
      <t>百分点，毛利率提高</t>
    </r>
    <r>
      <rPr>
        <sz val="10"/>
        <rFont val="Arial Narrow"/>
        <family val="2"/>
      </rPr>
      <t>3.7</t>
    </r>
    <r>
      <rPr>
        <sz val="10"/>
        <rFont val="宋体"/>
        <family val="3"/>
        <charset val="134"/>
      </rPr>
      <t>个百分点，</t>
    </r>
    <phoneticPr fontId="6" type="noConversion"/>
  </si>
  <si>
    <t>直观的反映是组合价格的提高，需核实毛利率提高的驱动因素。</t>
    <phoneticPr fontId="6" type="noConversion"/>
  </si>
  <si>
    <r>
      <t>2015~2017</t>
    </r>
    <r>
      <rPr>
        <sz val="10"/>
        <rFont val="宋体"/>
        <family val="3"/>
        <charset val="134"/>
      </rPr>
      <t>年毛利率在下降，</t>
    </r>
    <phoneticPr fontId="6" type="noConversion"/>
  </si>
  <si>
    <t>2015-2016年公司生产不稳定，有股权纠纷等因素影响，2017年数据更有参考性</t>
  </si>
  <si>
    <r>
      <t>2</t>
    </r>
    <r>
      <rPr>
        <sz val="10"/>
        <rFont val="宋体"/>
        <family val="3"/>
        <charset val="134"/>
      </rPr>
      <t>、</t>
    </r>
    <phoneticPr fontId="6" type="noConversion"/>
  </si>
  <si>
    <t>定制产品，毛利率在下降</t>
    <phoneticPr fontId="6" type="noConversion"/>
  </si>
  <si>
    <r>
      <t>3</t>
    </r>
    <r>
      <rPr>
        <sz val="10"/>
        <rFont val="宋体"/>
        <family val="3"/>
        <charset val="134"/>
      </rPr>
      <t>、</t>
    </r>
    <phoneticPr fontId="6" type="noConversion"/>
  </si>
  <si>
    <r>
      <t>4</t>
    </r>
    <r>
      <rPr>
        <sz val="10"/>
        <rFont val="宋体"/>
        <family val="3"/>
        <charset val="134"/>
      </rPr>
      <t>、</t>
    </r>
    <phoneticPr fontId="6" type="noConversion"/>
  </si>
  <si>
    <r>
      <t>2017</t>
    </r>
    <r>
      <rPr>
        <sz val="10"/>
        <rFont val="宋体"/>
        <family val="3"/>
        <charset val="134"/>
      </rPr>
      <t>年全年产能利用率约</t>
    </r>
    <r>
      <rPr>
        <sz val="10"/>
        <rFont val="Arial Narrow"/>
        <family val="2"/>
      </rPr>
      <t>65%</t>
    </r>
    <r>
      <rPr>
        <sz val="10"/>
        <rFont val="宋体"/>
        <family val="3"/>
        <charset val="134"/>
      </rPr>
      <t>，产能瓶颈在烧结用炉子和检测设备，已订购相关设备，</t>
    </r>
    <r>
      <rPr>
        <sz val="10"/>
        <rFont val="Arial Narrow"/>
        <family val="2"/>
      </rPr>
      <t>18</t>
    </r>
    <r>
      <rPr>
        <sz val="10"/>
        <rFont val="宋体"/>
        <family val="3"/>
        <charset val="134"/>
      </rPr>
      <t>年产能可以提高</t>
    </r>
    <r>
      <rPr>
        <sz val="10"/>
        <rFont val="Arial Narrow"/>
        <family val="2"/>
      </rPr>
      <t>40%</t>
    </r>
    <r>
      <rPr>
        <sz val="10"/>
        <rFont val="宋体"/>
        <family val="3"/>
        <charset val="134"/>
      </rPr>
      <t>；</t>
    </r>
    <phoneticPr fontId="6" type="noConversion"/>
  </si>
  <si>
    <t>这样即使销售价格下降，由于产能的提高，分摊固定费用，毛利率也可维持不变或略有上升。</t>
    <phoneticPr fontId="6" type="noConversion"/>
  </si>
  <si>
    <t>假设未来毛利率水平保持不变</t>
    <phoneticPr fontId="6" type="noConversion"/>
  </si>
  <si>
    <t>毛利率</t>
    <phoneticPr fontId="6" type="noConversion"/>
  </si>
  <si>
    <r>
      <rPr>
        <b/>
        <sz val="10"/>
        <rFont val="宋体"/>
        <family val="3"/>
        <charset val="134"/>
      </rPr>
      <t>成本</t>
    </r>
    <r>
      <rPr>
        <sz val="10"/>
        <rFont val="Arial Narrow"/>
        <family val="2"/>
      </rPr>
      <t/>
    </r>
    <phoneticPr fontId="6" type="noConversion"/>
  </si>
  <si>
    <t>其他</t>
    <phoneticPr fontId="6" type="noConversion"/>
  </si>
  <si>
    <t>直接材料</t>
  </si>
  <si>
    <t>直接人工</t>
  </si>
  <si>
    <t>成本结构分析</t>
    <phoneticPr fontId="6" type="noConversion"/>
  </si>
  <si>
    <r>
      <t>2017</t>
    </r>
    <r>
      <rPr>
        <sz val="10"/>
        <rFont val="宋体"/>
        <family val="3"/>
        <charset val="134"/>
      </rPr>
      <t>年</t>
    </r>
    <phoneticPr fontId="6" type="noConversion"/>
  </si>
  <si>
    <t>占比</t>
  </si>
  <si>
    <t>金额</t>
    <phoneticPr fontId="6" type="noConversion"/>
  </si>
  <si>
    <t>合计</t>
    <phoneticPr fontId="6" type="noConversion"/>
  </si>
  <si>
    <t>这个数据用于计算进项税额，</t>
    <phoneticPr fontId="6" type="noConversion"/>
  </si>
  <si>
    <t>需要核实境外销售的销项税额是否退税？</t>
    <phoneticPr fontId="6" type="noConversion"/>
  </si>
  <si>
    <t>销售费用</t>
    <phoneticPr fontId="6" type="noConversion"/>
  </si>
  <si>
    <t>数据汇总</t>
    <phoneticPr fontId="6" type="noConversion"/>
  </si>
  <si>
    <t>招待费</t>
  </si>
  <si>
    <t>原底稿中预测了生产人员薪酬，需要考虑如何将薪酬与毛利率的变化关联起来。</t>
    <phoneticPr fontId="6" type="noConversion"/>
  </si>
  <si>
    <t>制造费用与折旧相关，需要考虑如何将折旧与毛利率的变化关联起来。</t>
    <phoneticPr fontId="6" type="noConversion"/>
  </si>
  <si>
    <t>SGA/Sale</t>
  </si>
  <si>
    <t>相关系数</t>
    <phoneticPr fontId="6" type="noConversion"/>
  </si>
  <si>
    <t>平均值</t>
    <phoneticPr fontId="6" type="noConversion"/>
  </si>
  <si>
    <t>评估取值</t>
    <phoneticPr fontId="6" type="noConversion"/>
  </si>
  <si>
    <t>占收入比例</t>
    <phoneticPr fontId="6" type="noConversion"/>
  </si>
  <si>
    <t>销售费用分析</t>
    <phoneticPr fontId="6" type="noConversion"/>
  </si>
  <si>
    <t>服务费</t>
  </si>
  <si>
    <t>劳务费</t>
  </si>
  <si>
    <t>咨询顾问费</t>
  </si>
  <si>
    <t>水费、污水费</t>
  </si>
  <si>
    <r>
      <rPr>
        <sz val="10"/>
        <rFont val="Arial Narrow"/>
        <family val="2"/>
      </rPr>
      <t>17</t>
    </r>
    <r>
      <rPr>
        <sz val="10"/>
        <rFont val="宋体"/>
        <family val="3"/>
        <charset val="134"/>
      </rPr>
      <t>年：有</t>
    </r>
    <r>
      <rPr>
        <sz val="10"/>
        <rFont val="Arial Narrow"/>
        <family val="2"/>
      </rPr>
      <t>21</t>
    </r>
    <r>
      <rPr>
        <sz val="10"/>
        <rFont val="宋体"/>
        <family val="3"/>
        <charset val="134"/>
      </rPr>
      <t>万为电脑、家具、软件、监控等应计入固定资产，但企业做了当期费用化处理</t>
    </r>
    <phoneticPr fontId="6" type="noConversion"/>
  </si>
  <si>
    <r>
      <rPr>
        <sz val="10"/>
        <rFont val="Arial Narrow"/>
        <family val="2"/>
      </rPr>
      <t>17</t>
    </r>
    <r>
      <rPr>
        <sz val="10"/>
        <rFont val="宋体"/>
        <family val="3"/>
        <charset val="134"/>
      </rPr>
      <t>年：其中</t>
    </r>
    <r>
      <rPr>
        <sz val="10"/>
        <rFont val="Arial Narrow"/>
        <family val="2"/>
      </rPr>
      <t>127</t>
    </r>
    <r>
      <rPr>
        <sz val="10"/>
        <rFont val="宋体"/>
        <family val="3"/>
        <charset val="134"/>
      </rPr>
      <t>万为</t>
    </r>
    <r>
      <rPr>
        <sz val="10"/>
        <rFont val="Arial Narrow"/>
        <family val="2"/>
      </rPr>
      <t>17</t>
    </r>
    <r>
      <rPr>
        <sz val="10"/>
        <rFont val="宋体"/>
        <family val="3"/>
        <charset val="134"/>
      </rPr>
      <t>年新三板的券商费用</t>
    </r>
    <phoneticPr fontId="6" type="noConversion"/>
  </si>
  <si>
    <t>工业设计服务费、专利代理费、软件服务费等</t>
  </si>
  <si>
    <t>增长比例</t>
    <phoneticPr fontId="6" type="noConversion"/>
  </si>
  <si>
    <t>固定费用</t>
    <phoneticPr fontId="6" type="noConversion"/>
  </si>
  <si>
    <r>
      <rPr>
        <sz val="10"/>
        <color theme="1"/>
        <rFont val="宋体"/>
        <family val="3"/>
        <charset val="134"/>
      </rPr>
      <t>销售收入</t>
    </r>
    <r>
      <rPr>
        <sz val="10"/>
        <color theme="1"/>
        <rFont val="Arial"/>
        <family val="2"/>
      </rPr>
      <t>*0.8*0.03%</t>
    </r>
    <phoneticPr fontId="92" type="noConversion"/>
  </si>
  <si>
    <r>
      <rPr>
        <sz val="10"/>
        <color theme="1"/>
        <rFont val="宋体"/>
        <family val="3"/>
        <charset val="134"/>
      </rPr>
      <t>土地面积</t>
    </r>
    <r>
      <rPr>
        <sz val="10"/>
        <color theme="1"/>
        <rFont val="Arial"/>
        <family val="2"/>
      </rPr>
      <t>*6</t>
    </r>
    <r>
      <rPr>
        <sz val="10"/>
        <color theme="1"/>
        <rFont val="宋体"/>
        <family val="3"/>
        <charset val="134"/>
      </rPr>
      <t>元</t>
    </r>
    <r>
      <rPr>
        <sz val="10"/>
        <color theme="1"/>
        <rFont val="Arial"/>
        <family val="2"/>
      </rPr>
      <t>/</t>
    </r>
    <r>
      <rPr>
        <sz val="10"/>
        <color theme="1"/>
        <rFont val="宋体"/>
        <family val="3"/>
        <charset val="134"/>
      </rPr>
      <t>平方米</t>
    </r>
    <phoneticPr fontId="92" type="noConversion"/>
  </si>
  <si>
    <t>（土地原值+房屋原值）*0.7*1.2%</t>
  </si>
  <si>
    <r>
      <rPr>
        <sz val="10"/>
        <rFont val="宋体"/>
        <family val="3"/>
        <charset val="134"/>
      </rPr>
      <t>减</t>
    </r>
    <r>
      <rPr>
        <sz val="10"/>
        <rFont val="Arial Narrow"/>
        <family val="2"/>
      </rPr>
      <t>:</t>
    </r>
    <r>
      <rPr>
        <sz val="10"/>
        <rFont val="宋体"/>
        <family val="3"/>
        <charset val="134"/>
      </rPr>
      <t>销售费用</t>
    </r>
    <phoneticPr fontId="6" type="noConversion"/>
  </si>
  <si>
    <t>五、归母净利润</t>
    <phoneticPr fontId="6" type="noConversion"/>
  </si>
  <si>
    <t>持有待售资产</t>
  </si>
  <si>
    <t>衍生金融资产</t>
  </si>
  <si>
    <t>长期应付职工薪酬</t>
  </si>
  <si>
    <t>递延收益</t>
  </si>
  <si>
    <t>新增借款</t>
    <phoneticPr fontId="6" type="noConversion"/>
  </si>
  <si>
    <t>溢余现金（新增借款）</t>
    <phoneticPr fontId="6" type="noConversion"/>
  </si>
  <si>
    <t>评估值</t>
    <phoneticPr fontId="6" type="noConversion"/>
  </si>
  <si>
    <t>盈利能力分析</t>
    <phoneticPr fontId="6" type="noConversion"/>
  </si>
  <si>
    <t>偿债能力分析</t>
    <phoneticPr fontId="6" type="noConversion"/>
  </si>
  <si>
    <t>营运能力分析</t>
    <phoneticPr fontId="6" type="noConversion"/>
  </si>
  <si>
    <t>加：累计减值的商誉</t>
    <phoneticPr fontId="6" type="noConversion"/>
  </si>
  <si>
    <t>调整后财务报表是否平衡？</t>
    <phoneticPr fontId="6" type="noConversion"/>
  </si>
  <si>
    <t>评估基准日</t>
    <phoneticPr fontId="6" type="noConversion"/>
  </si>
  <si>
    <r>
      <rPr>
        <sz val="10"/>
        <rFont val="宋体"/>
        <family val="3"/>
        <charset val="134"/>
      </rPr>
      <t>未来销售比例</t>
    </r>
    <r>
      <rPr>
        <sz val="10"/>
        <rFont val="Arial Narrow"/>
        <family val="2"/>
      </rPr>
      <t>90:10</t>
    </r>
    <phoneticPr fontId="6" type="noConversion"/>
  </si>
  <si>
    <t>外销费用不应大幅变动，即销售费用的外销费用</t>
    <phoneticPr fontId="6" type="noConversion"/>
  </si>
  <si>
    <t>行业分析</t>
    <phoneticPr fontId="6" type="noConversion"/>
  </si>
  <si>
    <r>
      <t>2015</t>
    </r>
    <r>
      <rPr>
        <sz val="10"/>
        <rFont val="宋体"/>
        <family val="3"/>
        <charset val="134"/>
      </rPr>
      <t>年，我国换热器产业的市场规模为</t>
    </r>
    <r>
      <rPr>
        <sz val="10"/>
        <rFont val="Arial Narrow"/>
        <family val="2"/>
      </rPr>
      <t>769</t>
    </r>
    <r>
      <rPr>
        <sz val="10"/>
        <rFont val="宋体"/>
        <family val="3"/>
        <charset val="134"/>
      </rPr>
      <t>亿元，同比增长</t>
    </r>
    <r>
      <rPr>
        <sz val="10"/>
        <rFont val="Arial Narrow"/>
        <family val="2"/>
      </rPr>
      <t>8.92%</t>
    </r>
    <r>
      <rPr>
        <sz val="10"/>
        <rFont val="宋体"/>
        <family val="3"/>
        <charset val="134"/>
      </rPr>
      <t>。</t>
    </r>
    <phoneticPr fontId="6" type="noConversion"/>
  </si>
  <si>
    <r>
      <t>2015~2020</t>
    </r>
    <r>
      <rPr>
        <sz val="10"/>
        <rFont val="宋体"/>
        <family val="3"/>
        <charset val="134"/>
      </rPr>
      <t>年复合增长率</t>
    </r>
    <phoneticPr fontId="6" type="noConversion"/>
  </si>
  <si>
    <t>2015~2020被评估企业复合增长率</t>
    <phoneticPr fontId="6" type="noConversion"/>
  </si>
  <si>
    <r>
      <t>2018~2022</t>
    </r>
    <r>
      <rPr>
        <sz val="10"/>
        <rFont val="宋体"/>
        <family val="3"/>
        <charset val="134"/>
      </rPr>
      <t>被评估企业复合增长率</t>
    </r>
    <phoneticPr fontId="6" type="noConversion"/>
  </si>
  <si>
    <t>可比上市公司分析</t>
    <phoneticPr fontId="6" type="noConversion"/>
  </si>
  <si>
    <t>板式换热器</t>
  </si>
  <si>
    <r>
      <t>2022</t>
    </r>
    <r>
      <rPr>
        <sz val="10"/>
        <rFont val="宋体"/>
        <family val="3"/>
        <charset val="134"/>
      </rPr>
      <t>年被评估企业预计市场占有率</t>
    </r>
    <phoneticPr fontId="6" type="noConversion"/>
  </si>
  <si>
    <t>先粗估，然后根据后续信息再修正。</t>
    <phoneticPr fontId="6" type="noConversion"/>
  </si>
  <si>
    <r>
      <rPr>
        <sz val="10"/>
        <color rgb="FFFF0000"/>
        <rFont val="宋体"/>
        <family val="3"/>
        <charset val="134"/>
      </rPr>
      <t>原底稿中的</t>
    </r>
    <r>
      <rPr>
        <sz val="10"/>
        <color rgb="FFFF0000"/>
        <rFont val="Arial Narrow"/>
        <family val="2"/>
      </rPr>
      <t>5341.41</t>
    </r>
    <r>
      <rPr>
        <sz val="10"/>
        <color rgb="FFFF0000"/>
        <rFont val="宋体"/>
        <family val="3"/>
        <charset val="134"/>
      </rPr>
      <t>与</t>
    </r>
    <r>
      <rPr>
        <sz val="10"/>
        <color rgb="FFFF0000"/>
        <rFont val="Arial Narrow"/>
        <family val="2"/>
      </rPr>
      <t>2017</t>
    </r>
    <r>
      <rPr>
        <sz val="10"/>
        <color rgb="FFFF0000"/>
        <rFont val="宋体"/>
        <family val="3"/>
        <charset val="134"/>
      </rPr>
      <t>年</t>
    </r>
    <r>
      <rPr>
        <sz val="10"/>
        <color rgb="FFFF0000"/>
        <rFont val="Arial Narrow"/>
        <family val="2"/>
      </rPr>
      <t>5762.99</t>
    </r>
    <r>
      <rPr>
        <sz val="10"/>
        <color rgb="FFFF0000"/>
        <rFont val="宋体"/>
        <family val="3"/>
        <charset val="134"/>
      </rPr>
      <t>（总成本）不匹配，这是一个风险点。</t>
    </r>
    <phoneticPr fontId="6" type="noConversion"/>
  </si>
  <si>
    <t>当然，也有可能竞争加剧，毛利率下降。</t>
    <phoneticPr fontId="6" type="noConversion"/>
  </si>
  <si>
    <t>购买无形资产进项税</t>
    <phoneticPr fontId="6" type="noConversion"/>
  </si>
  <si>
    <t>购买设备进项税</t>
    <phoneticPr fontId="6" type="noConversion"/>
  </si>
  <si>
    <t>xx公司</t>
    <phoneticPr fontId="6" type="noConversion"/>
  </si>
  <si>
    <t>检查核对</t>
  </si>
  <si>
    <t>与报表一致?</t>
    <phoneticPr fontId="6" type="noConversion"/>
  </si>
  <si>
    <t>项目</t>
    <phoneticPr fontId="6" type="noConversion"/>
  </si>
  <si>
    <t>管理费用</t>
    <phoneticPr fontId="6" type="noConversion"/>
  </si>
  <si>
    <t>占收入比</t>
    <phoneticPr fontId="38" type="noConversion"/>
  </si>
  <si>
    <t>管理费用</t>
    <phoneticPr fontId="6" type="noConversion"/>
  </si>
  <si>
    <t>毛利率</t>
    <phoneticPr fontId="6" type="noConversion"/>
  </si>
  <si>
    <t>增长率</t>
    <phoneticPr fontId="6" type="noConversion"/>
  </si>
  <si>
    <t>占收入比</t>
    <phoneticPr fontId="38" type="noConversion"/>
  </si>
  <si>
    <t>营业成本</t>
  </si>
  <si>
    <t>毛利率</t>
    <phoneticPr fontId="6" type="noConversion"/>
  </si>
  <si>
    <r>
      <rPr>
        <sz val="10"/>
        <rFont val="宋体"/>
        <family val="3"/>
        <charset val="134"/>
      </rPr>
      <t>产品</t>
    </r>
    <r>
      <rPr>
        <sz val="10"/>
        <rFont val="Arial Narrow"/>
        <family val="2"/>
      </rPr>
      <t>a</t>
    </r>
    <phoneticPr fontId="6" type="noConversion"/>
  </si>
  <si>
    <r>
      <rPr>
        <sz val="10"/>
        <rFont val="宋体"/>
        <family val="3"/>
        <charset val="134"/>
      </rPr>
      <t>产品</t>
    </r>
    <r>
      <rPr>
        <sz val="10"/>
        <rFont val="Arial Narrow"/>
        <family val="2"/>
      </rPr>
      <t>b</t>
    </r>
    <phoneticPr fontId="6" type="noConversion"/>
  </si>
  <si>
    <r>
      <rPr>
        <sz val="10"/>
        <rFont val="宋体"/>
        <family val="3"/>
        <charset val="134"/>
      </rPr>
      <t>产品</t>
    </r>
    <r>
      <rPr>
        <sz val="10"/>
        <rFont val="Arial Narrow"/>
        <family val="2"/>
      </rPr>
      <t>c</t>
    </r>
    <phoneticPr fontId="6" type="noConversion"/>
  </si>
  <si>
    <t>中位数</t>
    <phoneticPr fontId="6" type="noConversion"/>
  </si>
  <si>
    <t>平均值</t>
    <phoneticPr fontId="6" type="noConversion"/>
  </si>
  <si>
    <t>中位数</t>
    <phoneticPr fontId="6" type="noConversion"/>
  </si>
  <si>
    <t>销售费用</t>
    <phoneticPr fontId="6" type="noConversion"/>
  </si>
  <si>
    <t>年末</t>
    <phoneticPr fontId="6" type="noConversion"/>
  </si>
  <si>
    <t>永续期</t>
  </si>
  <si>
    <t>永续期</t>
    <phoneticPr fontId="6" type="noConversion"/>
  </si>
  <si>
    <t>一、营业收入</t>
    <phoneticPr fontId="6" type="noConversion"/>
  </si>
  <si>
    <t>减：营业成本</t>
    <phoneticPr fontId="6" type="noConversion"/>
  </si>
  <si>
    <t>四、净利润</t>
    <phoneticPr fontId="6" type="noConversion"/>
  </si>
  <si>
    <t>经营性资产价值</t>
    <phoneticPr fontId="6" type="noConversion"/>
  </si>
  <si>
    <t>股东全部权益价值E1</t>
    <phoneticPr fontId="6" type="noConversion"/>
  </si>
  <si>
    <t>月数</t>
  </si>
  <si>
    <t>财务费用中的利息支出</t>
    <phoneticPr fontId="6" type="noConversion"/>
  </si>
  <si>
    <t>生产成本的人工费用</t>
    <phoneticPr fontId="6" type="noConversion"/>
  </si>
  <si>
    <t>减：销售费用中折旧与摊销</t>
    <phoneticPr fontId="6" type="noConversion"/>
  </si>
  <si>
    <t>减：管理费用中折旧与摊销</t>
    <phoneticPr fontId="6" type="noConversion"/>
  </si>
  <si>
    <t>月均付现成本</t>
    <phoneticPr fontId="6" type="noConversion"/>
  </si>
  <si>
    <t>估计的付现成本合计</t>
    <phoneticPr fontId="6" type="noConversion"/>
  </si>
  <si>
    <r>
      <t>保有现金系数</t>
    </r>
    <r>
      <rPr>
        <sz val="10"/>
        <rFont val="Arial Narrow"/>
        <family val="2"/>
      </rPr>
      <t>(</t>
    </r>
    <r>
      <rPr>
        <sz val="10"/>
        <rFont val="宋体"/>
        <family val="3"/>
        <charset val="134"/>
      </rPr>
      <t>月）</t>
    </r>
    <phoneticPr fontId="6" type="noConversion"/>
  </si>
  <si>
    <t>加：折旧与摊销</t>
    <phoneticPr fontId="6" type="noConversion"/>
  </si>
  <si>
    <t>二、营业利润</t>
    <phoneticPr fontId="6" type="noConversion"/>
  </si>
  <si>
    <t>三、利润总额</t>
    <phoneticPr fontId="6" type="noConversion"/>
  </si>
  <si>
    <t>一、营业收入</t>
    <phoneticPr fontId="6" type="noConversion"/>
  </si>
  <si>
    <t>账面值</t>
    <phoneticPr fontId="6" type="noConversion"/>
  </si>
  <si>
    <t>其中：非经营性资产、负债</t>
    <phoneticPr fontId="6" type="noConversion"/>
  </si>
  <si>
    <t>溢余资产</t>
    <phoneticPr fontId="6" type="noConversion"/>
  </si>
  <si>
    <t>调整原因</t>
    <phoneticPr fontId="6" type="noConversion"/>
  </si>
  <si>
    <t>费用性质无票挂账款项</t>
  </si>
  <si>
    <t>合计</t>
    <phoneticPr fontId="6" type="noConversion"/>
  </si>
  <si>
    <t>评估值</t>
    <phoneticPr fontId="6" type="noConversion"/>
  </si>
  <si>
    <t>理财产品</t>
  </si>
  <si>
    <t>平衡检查？</t>
    <phoneticPr fontId="6" type="noConversion"/>
  </si>
  <si>
    <t>不要隐藏行和列，采用数据中的创建组和取消组合处理，易于查找数据。</t>
    <phoneticPr fontId="6" type="noConversion"/>
  </si>
  <si>
    <t>折旧年限</t>
    <phoneticPr fontId="6" type="noConversion"/>
  </si>
  <si>
    <t>建模的规则</t>
    <phoneticPr fontId="6" type="noConversion"/>
  </si>
  <si>
    <t>红字表示在该单元格中的公式左右不一样，或强调关注。</t>
    <phoneticPr fontId="6" type="noConversion"/>
  </si>
  <si>
    <t>单元格中的公式不要直接写入数据，数据由表外单元格链入。</t>
    <phoneticPr fontId="6" type="noConversion"/>
  </si>
  <si>
    <t>工作底稿完成后无关数据全部删除，只保留有关数据。</t>
    <phoneticPr fontId="6" type="noConversion"/>
  </si>
  <si>
    <t>减:利息支出(新增借款)</t>
    <phoneticPr fontId="6" type="noConversion"/>
  </si>
  <si>
    <t>JSBD公司</t>
    <phoneticPr fontId="6" type="noConversion"/>
  </si>
  <si>
    <r>
      <t>2015</t>
    </r>
    <r>
      <rPr>
        <b/>
        <sz val="10"/>
        <color rgb="FF0000FF"/>
        <rFont val="宋体"/>
        <family val="3"/>
        <charset val="134"/>
      </rPr>
      <t>年</t>
    </r>
    <phoneticPr fontId="6" type="noConversion"/>
  </si>
  <si>
    <r>
      <rPr>
        <sz val="11"/>
        <rFont val="宋体"/>
        <family val="3"/>
        <charset val="134"/>
      </rPr>
      <t>北京</t>
    </r>
    <r>
      <rPr>
        <sz val="11"/>
        <rFont val="Arial Narrow"/>
        <family val="2"/>
      </rPr>
      <t>xxx</t>
    </r>
    <r>
      <rPr>
        <sz val="11"/>
        <rFont val="宋体"/>
        <family val="3"/>
        <charset val="134"/>
      </rPr>
      <t>机械制造有限责任公司</t>
    </r>
    <phoneticPr fontId="6" type="noConversion"/>
  </si>
  <si>
    <r>
      <t>xx</t>
    </r>
    <r>
      <rPr>
        <sz val="11"/>
        <rFont val="宋体"/>
        <family val="3"/>
        <charset val="134"/>
      </rPr>
      <t>市财政局非税收入专户</t>
    </r>
    <phoneticPr fontId="6" type="noConversion"/>
  </si>
  <si>
    <t>该项增长率</t>
    <phoneticPr fontId="6" type="noConversion"/>
  </si>
  <si>
    <r>
      <t>xl</t>
    </r>
    <r>
      <rPr>
        <sz val="11"/>
        <rFont val="宋体"/>
        <family val="3"/>
        <charset val="134"/>
      </rPr>
      <t>个人</t>
    </r>
    <phoneticPr fontId="6" type="noConversion"/>
  </si>
  <si>
    <r>
      <t>glq</t>
    </r>
    <r>
      <rPr>
        <sz val="11"/>
        <rFont val="宋体"/>
        <family val="3"/>
        <charset val="134"/>
      </rPr>
      <t>个人</t>
    </r>
    <phoneticPr fontId="6" type="noConversion"/>
  </si>
  <si>
    <r>
      <t>xp</t>
    </r>
    <r>
      <rPr>
        <sz val="11"/>
        <rFont val="宋体"/>
        <family val="3"/>
        <charset val="134"/>
      </rPr>
      <t>个人</t>
    </r>
    <phoneticPr fontId="6" type="noConversion"/>
  </si>
  <si>
    <t>增值税计算</t>
    <phoneticPr fontId="6" type="noConversion"/>
  </si>
  <si>
    <t>科目内容只是示例，根据具体项目改动！</t>
    <phoneticPr fontId="6" type="noConversion"/>
  </si>
  <si>
    <r>
      <rPr>
        <sz val="10"/>
        <rFont val="宋体"/>
        <family val="3"/>
        <charset val="134"/>
      </rPr>
      <t>减</t>
    </r>
    <r>
      <rPr>
        <sz val="10"/>
        <rFont val="Arial Narrow"/>
        <family val="2"/>
      </rPr>
      <t>:</t>
    </r>
    <r>
      <rPr>
        <sz val="10"/>
        <rFont val="宋体"/>
        <family val="3"/>
        <charset val="134"/>
      </rPr>
      <t>手续费和汇兑损益等</t>
    </r>
    <phoneticPr fontId="6" type="noConversion"/>
  </si>
  <si>
    <t>销售费用率</t>
    <phoneticPr fontId="6" type="noConversion"/>
  </si>
  <si>
    <t>营业收入预测表</t>
    <phoneticPr fontId="6" type="noConversion"/>
  </si>
  <si>
    <t>营业成本预测表</t>
    <phoneticPr fontId="6" type="noConversion"/>
  </si>
  <si>
    <t>税金及附加预测表</t>
    <phoneticPr fontId="6" type="noConversion"/>
  </si>
  <si>
    <t>企业自由现金流量测算表</t>
    <phoneticPr fontId="6" type="noConversion"/>
  </si>
  <si>
    <t>资产负债表（经营性）</t>
    <phoneticPr fontId="6" type="noConversion"/>
  </si>
  <si>
    <t>利润表（经营性）</t>
    <phoneticPr fontId="6" type="noConversion"/>
  </si>
  <si>
    <t>减:利息支出(原有债务)</t>
    <phoneticPr fontId="6" type="noConversion"/>
  </si>
  <si>
    <t>加:利息收入(保有、溢余现金)</t>
    <phoneticPr fontId="6" type="noConversion"/>
  </si>
  <si>
    <t>递延所得税资产</t>
    <phoneticPr fontId="6" type="noConversion"/>
  </si>
  <si>
    <t>财务指标分析（经营性资产）</t>
    <phoneticPr fontId="6" type="noConversion"/>
  </si>
  <si>
    <t>其他科目转入进项税</t>
    <phoneticPr fontId="6" type="noConversion"/>
  </si>
  <si>
    <t>其他应付款</t>
    <phoneticPr fontId="6" type="noConversion"/>
  </si>
  <si>
    <t>评估对象：</t>
    <phoneticPr fontId="6" type="noConversion"/>
  </si>
  <si>
    <t>股东全部权益价值</t>
    <phoneticPr fontId="6" type="noConversion"/>
  </si>
  <si>
    <r>
      <rPr>
        <b/>
        <sz val="10"/>
        <rFont val="宋体"/>
        <family val="3"/>
        <charset val="134"/>
      </rPr>
      <t>一、前期工作</t>
    </r>
    <phoneticPr fontId="6" type="noConversion"/>
  </si>
  <si>
    <r>
      <t>1.</t>
    </r>
    <r>
      <rPr>
        <sz val="10"/>
        <rFont val="宋体"/>
        <family val="3"/>
        <charset val="134"/>
      </rPr>
      <t>取得被评估企业前</t>
    </r>
    <r>
      <rPr>
        <sz val="10"/>
        <rFont val="Arial Narrow"/>
        <family val="2"/>
      </rPr>
      <t>3~5</t>
    </r>
    <r>
      <rPr>
        <sz val="10"/>
        <rFont val="宋体"/>
        <family val="3"/>
        <charset val="134"/>
      </rPr>
      <t>年和本期审计报告、会计报表、科目明细表，以及相关收入、成本、费用等统计资料</t>
    </r>
    <phoneticPr fontId="6" type="noConversion"/>
  </si>
  <si>
    <r>
      <rPr>
        <b/>
        <sz val="10"/>
        <rFont val="宋体"/>
        <family val="3"/>
        <charset val="134"/>
      </rPr>
      <t>二、统计、调整</t>
    </r>
    <phoneticPr fontId="6" type="noConversion"/>
  </si>
  <si>
    <r>
      <t>3.</t>
    </r>
    <r>
      <rPr>
        <sz val="10"/>
        <rFont val="宋体"/>
        <family val="3"/>
        <charset val="134"/>
      </rPr>
      <t>根据评估业务的具体情况，在分析企业各科目明细的基础上，分析和调整被评估企业（</t>
    </r>
    <r>
      <rPr>
        <sz val="10"/>
        <rFont val="Arial Narrow"/>
        <family val="2"/>
      </rPr>
      <t>1</t>
    </r>
    <r>
      <rPr>
        <sz val="10"/>
        <rFont val="宋体"/>
        <family val="3"/>
        <charset val="134"/>
      </rPr>
      <t>）财务报表编制基础；（</t>
    </r>
    <r>
      <rPr>
        <sz val="10"/>
        <rFont val="Arial Narrow"/>
        <family val="2"/>
      </rPr>
      <t>2</t>
    </r>
    <r>
      <rPr>
        <sz val="10"/>
        <rFont val="宋体"/>
        <family val="3"/>
        <charset val="134"/>
      </rPr>
      <t>）非经常性收入和支出；（</t>
    </r>
    <r>
      <rPr>
        <sz val="10"/>
        <rFont val="Arial Narrow"/>
        <family val="2"/>
      </rPr>
      <t>3</t>
    </r>
    <r>
      <rPr>
        <sz val="10"/>
        <rFont val="宋体"/>
        <family val="3"/>
        <charset val="134"/>
      </rPr>
      <t>）非经营性资产、负债和溢余资产及其相关的收入和支出。如涉及可比企业同理处理。</t>
    </r>
    <phoneticPr fontId="38" type="noConversion"/>
  </si>
  <si>
    <r>
      <t>5.</t>
    </r>
    <r>
      <rPr>
        <sz val="10"/>
        <rFont val="宋体"/>
        <family val="3"/>
        <charset val="134"/>
      </rPr>
      <t>区分经营活动和其他活动，编制利润调整表</t>
    </r>
    <phoneticPr fontId="6" type="noConversion"/>
  </si>
  <si>
    <r>
      <t>6.</t>
    </r>
    <r>
      <rPr>
        <sz val="10"/>
        <rFont val="宋体"/>
        <family val="3"/>
        <charset val="134"/>
      </rPr>
      <t>计算经营最低保有现金，测算溢余现金</t>
    </r>
    <phoneticPr fontId="38" type="noConversion"/>
  </si>
  <si>
    <r>
      <t>7.</t>
    </r>
    <r>
      <rPr>
        <sz val="10"/>
        <rFont val="宋体"/>
        <family val="3"/>
        <charset val="134"/>
      </rPr>
      <t>区分经营活动和其他活动编制资产负债调整表</t>
    </r>
    <phoneticPr fontId="6" type="noConversion"/>
  </si>
  <si>
    <r>
      <t>8.</t>
    </r>
    <r>
      <rPr>
        <sz val="10"/>
        <rFont val="宋体"/>
        <family val="3"/>
        <charset val="134"/>
      </rPr>
      <t>根据调整后的资产负债表、利润表，分析历史财务指标。</t>
    </r>
    <phoneticPr fontId="6" type="noConversion"/>
  </si>
  <si>
    <r>
      <t>9.</t>
    </r>
    <r>
      <rPr>
        <sz val="10"/>
        <rFont val="宋体"/>
        <family val="3"/>
        <charset val="134"/>
      </rPr>
      <t>正确识别被评估企业所属行业，审慎选择参考上市公司，并统计相关财务指标</t>
    </r>
    <phoneticPr fontId="6" type="noConversion"/>
  </si>
  <si>
    <r>
      <rPr>
        <b/>
        <sz val="10"/>
        <rFont val="宋体"/>
        <family val="3"/>
        <charset val="134"/>
      </rPr>
      <t>三、分析、预测</t>
    </r>
    <phoneticPr fontId="6" type="noConversion"/>
  </si>
  <si>
    <r>
      <t>10.</t>
    </r>
    <r>
      <rPr>
        <sz val="10"/>
        <rFont val="宋体"/>
        <family val="3"/>
        <charset val="134"/>
      </rPr>
      <t>根据历史统计数据、财务指标、参考上市公司平均财务指标、宏观经济状况、行业经济状况、企业发展状况等，调整企业预测的经营活动营业收入、营业成本、税金及附加、销售费用、管理费用等利润表项目</t>
    </r>
    <phoneticPr fontId="38" type="noConversion"/>
  </si>
  <si>
    <r>
      <t>12.</t>
    </r>
    <r>
      <rPr>
        <sz val="10"/>
        <rFont val="宋体"/>
        <family val="3"/>
        <charset val="134"/>
      </rPr>
      <t>根据历史情况，选择恰当的融资政策、现有借款合同等预测付息债务及利息费用，以及债务资本成本</t>
    </r>
    <phoneticPr fontId="38" type="noConversion"/>
  </si>
  <si>
    <r>
      <rPr>
        <b/>
        <sz val="10"/>
        <rFont val="宋体"/>
        <family val="3"/>
        <charset val="134"/>
      </rPr>
      <t>四、评估计算</t>
    </r>
    <phoneticPr fontId="6" type="noConversion"/>
  </si>
  <si>
    <r>
      <t>15.</t>
    </r>
    <r>
      <rPr>
        <sz val="10"/>
        <rFont val="宋体"/>
        <family val="3"/>
        <charset val="134"/>
      </rPr>
      <t>计算折现率涉及的</t>
    </r>
    <r>
      <rPr>
        <sz val="10"/>
        <rFont val="Arial Narrow"/>
        <family val="2"/>
      </rPr>
      <t>(Ke</t>
    </r>
    <r>
      <rPr>
        <sz val="10"/>
        <rFont val="宋体"/>
        <family val="3"/>
        <charset val="134"/>
      </rPr>
      <t>、</t>
    </r>
    <r>
      <rPr>
        <sz val="10"/>
        <rFont val="Arial Narrow"/>
        <family val="2"/>
      </rPr>
      <t>Kd</t>
    </r>
    <r>
      <rPr>
        <sz val="10"/>
        <rFont val="宋体"/>
        <family val="3"/>
        <charset val="134"/>
      </rPr>
      <t>、</t>
    </r>
    <r>
      <rPr>
        <sz val="10"/>
        <rFont val="Arial Narrow"/>
        <family val="2"/>
      </rPr>
      <t>WACC)</t>
    </r>
    <r>
      <rPr>
        <sz val="10"/>
        <rFont val="宋体"/>
        <family val="3"/>
        <charset val="134"/>
      </rPr>
      <t>等参数</t>
    </r>
    <phoneticPr fontId="6" type="noConversion"/>
  </si>
  <si>
    <r>
      <t>16.</t>
    </r>
    <r>
      <rPr>
        <sz val="10"/>
        <rFont val="宋体"/>
        <family val="3"/>
        <charset val="134"/>
      </rPr>
      <t>采用现金流量折现法对债务融资现金流量进行折现，计算付息债务市场价值</t>
    </r>
    <phoneticPr fontId="6" type="noConversion"/>
  </si>
  <si>
    <r>
      <t>17.</t>
    </r>
    <r>
      <rPr>
        <sz val="10"/>
        <rFont val="宋体"/>
        <family val="3"/>
        <charset val="134"/>
      </rPr>
      <t>计算企业经营资产价值</t>
    </r>
    <phoneticPr fontId="6" type="noConversion"/>
  </si>
  <si>
    <r>
      <t>18.</t>
    </r>
    <r>
      <rPr>
        <sz val="10"/>
        <rFont val="宋体"/>
        <family val="3"/>
        <charset val="134"/>
      </rPr>
      <t>选用恰当的评估方法，计算其他活动涉及的资产、负债价值，计算子公司少数股东权益价值</t>
    </r>
    <phoneticPr fontId="6" type="noConversion"/>
  </si>
  <si>
    <r>
      <t>19.</t>
    </r>
    <r>
      <rPr>
        <sz val="10"/>
        <rFont val="宋体"/>
        <family val="3"/>
        <charset val="134"/>
      </rPr>
      <t>计算企业整体价值，股东全部权益价值</t>
    </r>
    <phoneticPr fontId="6" type="noConversion"/>
  </si>
  <si>
    <r>
      <t>20.</t>
    </r>
    <r>
      <rPr>
        <sz val="10"/>
        <rFont val="宋体"/>
        <family val="3"/>
        <charset val="134"/>
      </rPr>
      <t>如涉及股东部分权益价值，恰当考虑股权流动性折扣、控制权的溢折价等并计算之。</t>
    </r>
    <phoneticPr fontId="6" type="noConversion"/>
  </si>
  <si>
    <r>
      <rPr>
        <b/>
        <sz val="10"/>
        <rFont val="宋体"/>
        <family val="3"/>
        <charset val="134"/>
      </rPr>
      <t>五、检查、分析</t>
    </r>
    <phoneticPr fontId="6" type="noConversion"/>
  </si>
  <si>
    <r>
      <t>21.</t>
    </r>
    <r>
      <rPr>
        <sz val="10"/>
        <rFont val="宋体"/>
        <family val="3"/>
        <charset val="134"/>
      </rPr>
      <t>检查收益法的逻辑计算过程及分析评估结果的合理性</t>
    </r>
    <phoneticPr fontId="6" type="noConversion"/>
  </si>
  <si>
    <r>
      <t>22.</t>
    </r>
    <r>
      <rPr>
        <sz val="10"/>
        <rFont val="宋体"/>
        <family val="3"/>
        <charset val="134"/>
      </rPr>
      <t>以计算表为基础，编写收益法评估说明</t>
    </r>
    <phoneticPr fontId="6" type="noConversion"/>
  </si>
  <si>
    <r>
      <t>23.</t>
    </r>
    <r>
      <rPr>
        <sz val="10"/>
        <rFont val="宋体"/>
        <family val="3"/>
        <charset val="134"/>
      </rPr>
      <t>撰写本项目中需要特别关注的事项和需要披露的特别事项。</t>
    </r>
    <phoneticPr fontId="6" type="noConversion"/>
  </si>
  <si>
    <t>企业价值评估现金流量折现法(DCF)计算及步骤复核表</t>
    <phoneticPr fontId="6" type="noConversion"/>
  </si>
  <si>
    <t>一般取1，取其他数据应结合行业特点说明</t>
  </si>
  <si>
    <t>四、净利润</t>
    <phoneticPr fontId="6" type="noConversion"/>
  </si>
  <si>
    <t>加：资产处置收益</t>
    <phoneticPr fontId="6" type="noConversion"/>
  </si>
  <si>
    <t>应收票据及应收账款</t>
  </si>
  <si>
    <t>保留</t>
    <phoneticPr fontId="6" type="noConversion"/>
  </si>
  <si>
    <t>应付票据及应付账款</t>
  </si>
  <si>
    <t>合同资产</t>
    <phoneticPr fontId="6" type="noConversion"/>
  </si>
  <si>
    <t>新准则</t>
    <phoneticPr fontId="6" type="noConversion"/>
  </si>
  <si>
    <t>债权投资</t>
  </si>
  <si>
    <t>债权投资</t>
    <phoneticPr fontId="6" type="noConversion"/>
  </si>
  <si>
    <t>其他债权投资</t>
  </si>
  <si>
    <t>其他债权投资</t>
    <phoneticPr fontId="6" type="noConversion"/>
  </si>
  <si>
    <t>其他权益工具投资</t>
  </si>
  <si>
    <t>其他权益工具投资</t>
    <phoneticPr fontId="6" type="noConversion"/>
  </si>
  <si>
    <t>其他非流动金融资产</t>
  </si>
  <si>
    <t>其他非流动金融资产</t>
    <phoneticPr fontId="6" type="noConversion"/>
  </si>
  <si>
    <t>合同负债</t>
    <phoneticPr fontId="6" type="noConversion"/>
  </si>
  <si>
    <t xml:space="preserve">    税金及附加</t>
    <phoneticPr fontId="6" type="noConversion"/>
  </si>
  <si>
    <t xml:space="preserve">    销售费用</t>
    <phoneticPr fontId="6" type="noConversion"/>
  </si>
  <si>
    <t xml:space="preserve">    管理费用</t>
    <phoneticPr fontId="6" type="noConversion"/>
  </si>
  <si>
    <t xml:space="preserve">    财务费用</t>
    <phoneticPr fontId="6" type="noConversion"/>
  </si>
  <si>
    <t xml:space="preserve">    资产减值损失</t>
    <phoneticPr fontId="6" type="noConversion"/>
  </si>
  <si>
    <t xml:space="preserve">    其中：利息费用</t>
    <phoneticPr fontId="6" type="noConversion"/>
  </si>
  <si>
    <t xml:space="preserve">          利息收入</t>
    <phoneticPr fontId="6" type="noConversion"/>
  </si>
  <si>
    <t xml:space="preserve">    信用减值损失</t>
    <phoneticPr fontId="6" type="noConversion"/>
  </si>
  <si>
    <t>加：净敞口套期收益</t>
    <phoneticPr fontId="6" type="noConversion"/>
  </si>
  <si>
    <t xml:space="preserve">    研发费用</t>
    <phoneticPr fontId="6" type="noConversion"/>
  </si>
  <si>
    <t>重分类</t>
  </si>
  <si>
    <t>非经营性资产和负债分析表</t>
    <phoneticPr fontId="6" type="noConversion"/>
  </si>
  <si>
    <t>非经营性资产</t>
    <phoneticPr fontId="6" type="noConversion"/>
  </si>
  <si>
    <t>非经营性预付款项</t>
  </si>
  <si>
    <t>非经营、报废的存货</t>
  </si>
  <si>
    <t>非经营性合同资产</t>
    <phoneticPr fontId="6" type="noConversion"/>
  </si>
  <si>
    <t>非经营性长期应收款</t>
  </si>
  <si>
    <t>非经营性负债</t>
    <phoneticPr fontId="6" type="noConversion"/>
  </si>
  <si>
    <t>衍生金融负债</t>
  </si>
  <si>
    <t>非经营性预收款项</t>
  </si>
  <si>
    <t>非经营性合同负债</t>
    <phoneticPr fontId="6" type="noConversion"/>
  </si>
  <si>
    <t>非经营性应付职工薪酬</t>
    <phoneticPr fontId="6" type="noConversion"/>
  </si>
  <si>
    <t>非经营性其他应付款</t>
  </si>
  <si>
    <t>非经营性长期应付职工薪酬</t>
    <phoneticPr fontId="6" type="noConversion"/>
  </si>
  <si>
    <t>非经营性预计负债</t>
    <phoneticPr fontId="6" type="noConversion"/>
  </si>
  <si>
    <t>递延收益</t>
    <phoneticPr fontId="6" type="noConversion"/>
  </si>
  <si>
    <t>非经营性递延收益</t>
    <phoneticPr fontId="6" type="noConversion"/>
  </si>
  <si>
    <t>项目</t>
    <phoneticPr fontId="6" type="noConversion"/>
  </si>
  <si>
    <t>非经营性流动负债小计</t>
    <phoneticPr fontId="6" type="noConversion"/>
  </si>
  <si>
    <t>非经营性非流动负债小计</t>
    <phoneticPr fontId="6" type="noConversion"/>
  </si>
  <si>
    <t>交易性金融资产</t>
  </si>
  <si>
    <t>研发费用</t>
    <phoneticPr fontId="6" type="noConversion"/>
  </si>
  <si>
    <r>
      <rPr>
        <sz val="10"/>
        <rFont val="宋体"/>
        <family val="3"/>
        <charset val="134"/>
      </rPr>
      <t>减</t>
    </r>
    <r>
      <rPr>
        <sz val="10"/>
        <rFont val="Arial Narrow"/>
        <family val="2"/>
      </rPr>
      <t>:</t>
    </r>
    <r>
      <rPr>
        <sz val="10"/>
        <rFont val="宋体"/>
        <family val="3"/>
        <charset val="134"/>
      </rPr>
      <t>研发费用</t>
    </r>
    <phoneticPr fontId="6" type="noConversion"/>
  </si>
  <si>
    <t>研发费用</t>
    <phoneticPr fontId="6" type="noConversion"/>
  </si>
  <si>
    <t>研发费用率</t>
    <phoneticPr fontId="6" type="noConversion"/>
  </si>
  <si>
    <t>平均值</t>
  </si>
  <si>
    <t>销售费用分析（点行"+" 号展开）</t>
    <phoneticPr fontId="6" type="noConversion"/>
  </si>
  <si>
    <t>研发费用</t>
    <phoneticPr fontId="6" type="noConversion"/>
  </si>
  <si>
    <t>管理费用分析（点行 "+" 号展开）</t>
    <phoneticPr fontId="6" type="noConversion"/>
  </si>
  <si>
    <t>研发费用分析（点行 "+" 号展开）</t>
    <phoneticPr fontId="6" type="noConversion"/>
  </si>
  <si>
    <t>销售、管理、研发费用</t>
    <phoneticPr fontId="6" type="noConversion"/>
  </si>
  <si>
    <t>应收票据及应收账款</t>
    <phoneticPr fontId="6" type="noConversion"/>
  </si>
  <si>
    <t>非经营性非流动资产小计</t>
    <phoneticPr fontId="6" type="noConversion"/>
  </si>
  <si>
    <t>应付票据及应付账款</t>
    <phoneticPr fontId="6" type="noConversion"/>
  </si>
  <si>
    <r>
      <t>17</t>
    </r>
    <r>
      <rPr>
        <sz val="11"/>
        <rFont val="宋体"/>
        <family val="3"/>
        <charset val="134"/>
      </rPr>
      <t>年应付设备款</t>
    </r>
    <r>
      <rPr>
        <sz val="11"/>
        <rFont val="Arial Narrow"/>
        <family val="2"/>
      </rPr>
      <t>88.34</t>
    </r>
    <r>
      <rPr>
        <sz val="11"/>
        <rFont val="宋体"/>
        <family val="3"/>
        <charset val="134"/>
      </rPr>
      <t>万元，重分类到其他应付款</t>
    </r>
    <phoneticPr fontId="6" type="noConversion"/>
  </si>
  <si>
    <t>示例</t>
    <phoneticPr fontId="6" type="noConversion"/>
  </si>
  <si>
    <r>
      <rPr>
        <sz val="10"/>
        <rFont val="宋体"/>
        <family val="3"/>
        <charset val="134"/>
      </rPr>
      <t>研发费用率</t>
    </r>
    <r>
      <rPr>
        <sz val="10"/>
        <rFont val="Arial Narrow"/>
        <family val="2"/>
      </rPr>
      <t xml:space="preserve"> </t>
    </r>
    <phoneticPr fontId="6" type="noConversion"/>
  </si>
  <si>
    <t>三费合计</t>
    <phoneticPr fontId="6" type="noConversion"/>
  </si>
  <si>
    <t>研发费用中的折旧</t>
    <phoneticPr fontId="6" type="noConversion"/>
  </si>
  <si>
    <t>二、营业利润（亏损）</t>
    <phoneticPr fontId="6" type="noConversion"/>
  </si>
  <si>
    <t>三、利润总额（亏损）</t>
    <phoneticPr fontId="6" type="noConversion"/>
  </si>
  <si>
    <t>四、净利润（净亏损）</t>
    <phoneticPr fontId="6" type="noConversion"/>
  </si>
  <si>
    <t>减：研发费用中折旧与摊销</t>
    <phoneticPr fontId="6" type="noConversion"/>
  </si>
  <si>
    <t>扣除新增借款的负债与权益</t>
    <phoneticPr fontId="6" type="noConversion"/>
  </si>
  <si>
    <t>资产负债调整表</t>
    <phoneticPr fontId="6" type="noConversion"/>
  </si>
  <si>
    <t>销售费用、管理费用、研发费用预测表</t>
    <phoneticPr fontId="6" type="noConversion"/>
  </si>
  <si>
    <t>增长率</t>
  </si>
  <si>
    <t>结构占比</t>
  </si>
  <si>
    <t>增长贡献率</t>
  </si>
  <si>
    <t>产品结构占比</t>
  </si>
  <si>
    <t>产品增长率</t>
  </si>
  <si>
    <t>收入分析</t>
  </si>
  <si>
    <t>项目</t>
    <phoneticPr fontId="6" type="noConversion"/>
  </si>
  <si>
    <t>成长能力分析</t>
    <phoneticPr fontId="6" type="noConversion"/>
  </si>
  <si>
    <t>营业收入增长率</t>
    <phoneticPr fontId="6" type="noConversion"/>
  </si>
  <si>
    <t>净资产增长率</t>
    <phoneticPr fontId="6" type="noConversion"/>
  </si>
  <si>
    <t>盈利能力分析</t>
    <phoneticPr fontId="6" type="noConversion"/>
  </si>
  <si>
    <r>
      <rPr>
        <sz val="10"/>
        <rFont val="宋体"/>
        <family val="3"/>
        <charset val="134"/>
      </rPr>
      <t>税金及附加</t>
    </r>
    <r>
      <rPr>
        <sz val="10"/>
        <rFont val="Arial Narrow"/>
        <family val="2"/>
      </rPr>
      <t>/</t>
    </r>
    <r>
      <rPr>
        <sz val="10"/>
        <rFont val="宋体"/>
        <family val="3"/>
        <charset val="134"/>
      </rPr>
      <t>收入</t>
    </r>
    <phoneticPr fontId="6" type="noConversion"/>
  </si>
  <si>
    <r>
      <rPr>
        <sz val="10"/>
        <rFont val="宋体"/>
        <family val="3"/>
        <charset val="134"/>
      </rPr>
      <t>销售、管理、研发费用</t>
    </r>
    <r>
      <rPr>
        <sz val="10"/>
        <rFont val="Arial Narrow"/>
        <family val="2"/>
      </rPr>
      <t>/</t>
    </r>
    <r>
      <rPr>
        <sz val="10"/>
        <rFont val="宋体"/>
        <family val="3"/>
        <charset val="134"/>
      </rPr>
      <t>收入</t>
    </r>
    <phoneticPr fontId="6" type="noConversion"/>
  </si>
  <si>
    <t>毛利率</t>
    <phoneticPr fontId="6" type="noConversion"/>
  </si>
  <si>
    <t>营业利润率</t>
    <phoneticPr fontId="6" type="noConversion"/>
  </si>
  <si>
    <t>净利润率</t>
    <phoneticPr fontId="6" type="noConversion"/>
  </si>
  <si>
    <t>偿债能力分析</t>
    <phoneticPr fontId="6" type="noConversion"/>
  </si>
  <si>
    <r>
      <rPr>
        <sz val="10"/>
        <rFont val="宋体"/>
        <family val="3"/>
        <charset val="134"/>
      </rPr>
      <t>流动比率</t>
    </r>
    <r>
      <rPr>
        <sz val="10"/>
        <rFont val="Arial Narrow"/>
        <family val="2"/>
      </rPr>
      <t/>
    </r>
    <phoneticPr fontId="6" type="noConversion"/>
  </si>
  <si>
    <r>
      <rPr>
        <sz val="10"/>
        <rFont val="宋体"/>
        <family val="3"/>
        <charset val="134"/>
      </rPr>
      <t>速动比率</t>
    </r>
    <r>
      <rPr>
        <sz val="10"/>
        <rFont val="Arial Narrow"/>
        <family val="2"/>
      </rPr>
      <t/>
    </r>
    <phoneticPr fontId="6" type="noConversion"/>
  </si>
  <si>
    <r>
      <rPr>
        <sz val="10"/>
        <rFont val="宋体"/>
        <family val="3"/>
        <charset val="134"/>
      </rPr>
      <t>资产负债率（</t>
    </r>
    <r>
      <rPr>
        <sz val="10"/>
        <rFont val="Arial Narrow"/>
        <family val="2"/>
      </rPr>
      <t>%</t>
    </r>
    <r>
      <rPr>
        <sz val="10"/>
        <rFont val="宋体"/>
        <family val="3"/>
        <charset val="134"/>
      </rPr>
      <t>）</t>
    </r>
    <phoneticPr fontId="6" type="noConversion"/>
  </si>
  <si>
    <t>营运能力分析</t>
    <phoneticPr fontId="6" type="noConversion"/>
  </si>
  <si>
    <t>应收票据及应收账款周转率（次）</t>
    <phoneticPr fontId="6" type="noConversion"/>
  </si>
  <si>
    <r>
      <rPr>
        <sz val="10"/>
        <rFont val="宋体"/>
        <family val="3"/>
        <charset val="134"/>
      </rPr>
      <t>总资产周转率（</t>
    </r>
    <r>
      <rPr>
        <sz val="10"/>
        <rFont val="宋体"/>
        <family val="3"/>
        <charset val="134"/>
      </rPr>
      <t>次）</t>
    </r>
    <phoneticPr fontId="6" type="noConversion"/>
  </si>
  <si>
    <t>可比公司对比分析（可选）</t>
    <phoneticPr fontId="6" type="noConversion"/>
  </si>
  <si>
    <t>购买土地进项税</t>
  </si>
  <si>
    <t>可比公司对比分析（可选）</t>
    <phoneticPr fontId="6" type="noConversion"/>
  </si>
  <si>
    <t>金额大、变动大的科目要分析</t>
    <phoneticPr fontId="6" type="noConversion"/>
  </si>
  <si>
    <t>经营最低保有现金分析表</t>
    <phoneticPr fontId="6" type="noConversion"/>
  </si>
  <si>
    <t>财务费用预测表</t>
    <phoneticPr fontId="6" type="noConversion"/>
  </si>
  <si>
    <t>单位：万元</t>
    <phoneticPr fontId="6" type="noConversion"/>
  </si>
  <si>
    <r>
      <t>利息率</t>
    </r>
    <r>
      <rPr>
        <b/>
        <sz val="10"/>
        <color rgb="FF0000CC"/>
        <rFont val="Arial Narrow"/>
        <family val="2"/>
      </rPr>
      <t>%</t>
    </r>
  </si>
  <si>
    <t>借款起讫日期</t>
    <phoneticPr fontId="6" type="noConversion"/>
  </si>
  <si>
    <t>短期借款</t>
    <phoneticPr fontId="6" type="noConversion"/>
  </si>
  <si>
    <t>一年内到期的非流动负债</t>
    <phoneticPr fontId="6" type="noConversion"/>
  </si>
  <si>
    <t>长期借款</t>
    <phoneticPr fontId="6" type="noConversion"/>
  </si>
  <si>
    <t>付息负债合计</t>
    <phoneticPr fontId="6" type="noConversion"/>
  </si>
  <si>
    <t>财务费用测算</t>
    <phoneticPr fontId="6" type="noConversion"/>
  </si>
  <si>
    <t>利息支出</t>
  </si>
  <si>
    <t>短期借款</t>
    <phoneticPr fontId="6" type="noConversion"/>
  </si>
  <si>
    <t>长期借款</t>
    <phoneticPr fontId="6" type="noConversion"/>
  </si>
  <si>
    <t>利息支出小计</t>
  </si>
  <si>
    <t>利息收入</t>
  </si>
  <si>
    <t>汇兑损益及手续费等</t>
    <phoneticPr fontId="6" type="noConversion"/>
  </si>
  <si>
    <t>预测期只考虑手续费，不考虑汇兑损益</t>
    <phoneticPr fontId="6" type="noConversion"/>
  </si>
  <si>
    <t>财务费用合计</t>
    <phoneticPr fontId="6" type="noConversion"/>
  </si>
  <si>
    <t>单位：万元</t>
    <phoneticPr fontId="6" type="noConversion"/>
  </si>
  <si>
    <t>项目</t>
    <phoneticPr fontId="6" type="noConversion"/>
  </si>
  <si>
    <t>周转天数</t>
    <phoneticPr fontId="38" type="noConversion"/>
  </si>
  <si>
    <t>周转天数</t>
    <phoneticPr fontId="6" type="noConversion"/>
  </si>
  <si>
    <r>
      <rPr>
        <i/>
        <sz val="10"/>
        <color rgb="FF0000FF"/>
        <rFont val="宋体"/>
        <family val="3"/>
        <charset val="134"/>
      </rPr>
      <t>周转天数</t>
    </r>
    <r>
      <rPr>
        <i/>
        <sz val="10"/>
        <color rgb="FF0000FF"/>
        <rFont val="Arial Narrow"/>
        <family val="2"/>
      </rPr>
      <t/>
    </r>
    <phoneticPr fontId="6" type="noConversion"/>
  </si>
  <si>
    <r>
      <rPr>
        <i/>
        <sz val="10"/>
        <color rgb="FF0000FF"/>
        <rFont val="宋体"/>
        <family val="3"/>
        <charset val="134"/>
      </rPr>
      <t>占成本比例</t>
    </r>
    <r>
      <rPr>
        <i/>
        <sz val="10"/>
        <color rgb="FF0000FF"/>
        <rFont val="Arial Narrow"/>
        <family val="2"/>
      </rPr>
      <t/>
    </r>
    <phoneticPr fontId="6" type="noConversion"/>
  </si>
  <si>
    <t>营运资金</t>
    <phoneticPr fontId="6" type="noConversion"/>
  </si>
  <si>
    <t>营运资金增加额</t>
    <phoneticPr fontId="6" type="noConversion"/>
  </si>
  <si>
    <t>营业收入</t>
    <phoneticPr fontId="6" type="noConversion"/>
  </si>
  <si>
    <t>营业成本</t>
    <phoneticPr fontId="6" type="noConversion"/>
  </si>
  <si>
    <t>非经营性应收票据及应收账款</t>
  </si>
  <si>
    <t>非经营性应付票据及应付账款</t>
  </si>
  <si>
    <r>
      <rPr>
        <sz val="10"/>
        <rFont val="宋体"/>
        <family val="3"/>
        <charset val="134"/>
      </rPr>
      <t>减</t>
    </r>
    <r>
      <rPr>
        <sz val="10"/>
        <rFont val="Arial Narrow"/>
        <family val="2"/>
      </rPr>
      <t>:</t>
    </r>
    <r>
      <rPr>
        <sz val="10"/>
        <rFont val="宋体"/>
        <family val="3"/>
        <charset val="134"/>
      </rPr>
      <t>财务费用</t>
    </r>
    <phoneticPr fontId="6" type="noConversion"/>
  </si>
  <si>
    <t>新增借款利率</t>
    <phoneticPr fontId="6" type="noConversion"/>
  </si>
  <si>
    <t>所有者权益合计</t>
    <phoneticPr fontId="6" type="noConversion"/>
  </si>
  <si>
    <t>折现率计算表</t>
    <phoneticPr fontId="6" type="noConversion"/>
  </si>
  <si>
    <t>股权自由现金流量测算表</t>
    <phoneticPr fontId="6" type="noConversion"/>
  </si>
  <si>
    <t>永续期不考虑增长</t>
    <phoneticPr fontId="6" type="noConversion"/>
  </si>
  <si>
    <t>股权自由现金流现值</t>
    <phoneticPr fontId="6" type="noConversion"/>
  </si>
  <si>
    <r>
      <t>五、股权自由现金流</t>
    </r>
    <r>
      <rPr>
        <b/>
        <sz val="10"/>
        <rFont val="Arial Narrow"/>
        <family val="2"/>
      </rPr>
      <t xml:space="preserve"> (FCFE)</t>
    </r>
    <phoneticPr fontId="6" type="noConversion"/>
  </si>
  <si>
    <t>六、股权自由现金流现值合计</t>
    <phoneticPr fontId="6" type="noConversion"/>
  </si>
  <si>
    <t>项目</t>
    <phoneticPr fontId="6" type="noConversion"/>
  </si>
  <si>
    <t>减：营业成本</t>
    <phoneticPr fontId="6" type="noConversion"/>
  </si>
  <si>
    <t>减：税金及附加</t>
    <phoneticPr fontId="6" type="noConversion"/>
  </si>
  <si>
    <t>减：销售费用</t>
    <phoneticPr fontId="6" type="noConversion"/>
  </si>
  <si>
    <t>减：管理费用</t>
    <phoneticPr fontId="6" type="noConversion"/>
  </si>
  <si>
    <t>减：研发费用</t>
    <phoneticPr fontId="6" type="noConversion"/>
  </si>
  <si>
    <t>减：财务费用</t>
    <phoneticPr fontId="6" type="noConversion"/>
  </si>
  <si>
    <t>减:所得税费用</t>
    <phoneticPr fontId="6" type="noConversion"/>
  </si>
  <si>
    <t>四、净利润</t>
    <phoneticPr fontId="6" type="noConversion"/>
  </si>
  <si>
    <t>减：资本性支出</t>
    <phoneticPr fontId="6" type="noConversion"/>
  </si>
  <si>
    <t>减：净营运资金变动</t>
    <phoneticPr fontId="6" type="noConversion"/>
  </si>
  <si>
    <t>加：付息债务的增加</t>
    <phoneticPr fontId="6" type="noConversion"/>
  </si>
  <si>
    <t>折现期</t>
    <phoneticPr fontId="6" type="noConversion"/>
  </si>
  <si>
    <r>
      <rPr>
        <sz val="10"/>
        <rFont val="宋体"/>
        <family val="3"/>
        <charset val="134"/>
      </rPr>
      <t>无风险报酬率（</t>
    </r>
    <r>
      <rPr>
        <sz val="10"/>
        <rFont val="Arial Narrow"/>
        <family val="2"/>
      </rPr>
      <t>R</t>
    </r>
    <r>
      <rPr>
        <vertAlign val="subscript"/>
        <sz val="10"/>
        <rFont val="Arial Narrow"/>
        <family val="2"/>
      </rPr>
      <t>f</t>
    </r>
    <r>
      <rPr>
        <sz val="10"/>
        <rFont val="宋体"/>
        <family val="3"/>
        <charset val="134"/>
      </rPr>
      <t>）</t>
    </r>
    <phoneticPr fontId="6" type="noConversion"/>
  </si>
  <si>
    <r>
      <t>MRP</t>
    </r>
    <r>
      <rPr>
        <sz val="10"/>
        <rFont val="宋体"/>
        <family val="3"/>
        <charset val="134"/>
      </rPr>
      <t>（市场风险溢价）</t>
    </r>
    <r>
      <rPr>
        <sz val="10"/>
        <rFont val="Arial Narrow"/>
        <family val="2"/>
      </rPr>
      <t>=R</t>
    </r>
    <r>
      <rPr>
        <vertAlign val="subscript"/>
        <sz val="10"/>
        <rFont val="Arial Narrow"/>
        <family val="2"/>
      </rPr>
      <t>m</t>
    </r>
    <r>
      <rPr>
        <sz val="10"/>
        <rFont val="Arial Narrow"/>
        <family val="2"/>
      </rPr>
      <t>-R</t>
    </r>
    <r>
      <rPr>
        <vertAlign val="subscript"/>
        <sz val="10"/>
        <rFont val="Arial Narrow"/>
        <family val="2"/>
      </rPr>
      <t>f</t>
    </r>
    <phoneticPr fontId="6" type="noConversion"/>
  </si>
  <si>
    <t>Q</t>
    <phoneticPr fontId="6" type="noConversion"/>
  </si>
  <si>
    <t>加：溢余资产评估值</t>
    <phoneticPr fontId="6" type="noConversion"/>
  </si>
  <si>
    <t>加：非经营性资产评估值</t>
    <phoneticPr fontId="6" type="noConversion"/>
  </si>
  <si>
    <t>减：非经营性负债评估值</t>
    <phoneticPr fontId="6" type="noConversion"/>
  </si>
  <si>
    <t>减：股票期权</t>
    <phoneticPr fontId="6" type="noConversion"/>
  </si>
  <si>
    <t>减：可转换债券</t>
    <phoneticPr fontId="6" type="noConversion"/>
  </si>
  <si>
    <t>减：少数股东权益</t>
    <phoneticPr fontId="6" type="noConversion"/>
  </si>
  <si>
    <t>股东全部权益价值E2</t>
    <phoneticPr fontId="6" type="noConversion"/>
  </si>
  <si>
    <t>控制权对评估对象价值的影响</t>
    <phoneticPr fontId="6" type="noConversion"/>
  </si>
  <si>
    <t>流动性对评估对象价值的影响</t>
    <phoneticPr fontId="6" type="noConversion"/>
  </si>
  <si>
    <t>本次评估股权比例</t>
    <phoneticPr fontId="6" type="noConversion"/>
  </si>
  <si>
    <t>部分股权评估值</t>
    <phoneticPr fontId="6" type="noConversion"/>
  </si>
  <si>
    <r>
      <rPr>
        <sz val="10"/>
        <rFont val="宋体"/>
        <family val="3"/>
        <charset val="134"/>
      </rPr>
      <t>权益成本</t>
    </r>
    <r>
      <rPr>
        <sz val="10"/>
        <rFont val="Arial Narrow"/>
        <family val="2"/>
      </rPr>
      <t>Ke</t>
    </r>
    <phoneticPr fontId="6" type="noConversion"/>
  </si>
  <si>
    <t>根据资产负债核实表填写</t>
  </si>
  <si>
    <t>单位：万元</t>
  </si>
  <si>
    <t>汇总数据</t>
    <phoneticPr fontId="6" type="noConversion"/>
  </si>
  <si>
    <t>存量设备类折旧额</t>
    <phoneticPr fontId="6" type="noConversion"/>
  </si>
  <si>
    <t>基准日建筑类账面净值</t>
    <phoneticPr fontId="6" type="noConversion"/>
  </si>
  <si>
    <t>存量建筑类折旧额</t>
    <phoneticPr fontId="6" type="noConversion"/>
  </si>
  <si>
    <t>期末建筑物类账面净值</t>
    <phoneticPr fontId="6" type="noConversion"/>
  </si>
  <si>
    <t>长期待摊费用</t>
    <phoneticPr fontId="6" type="noConversion"/>
  </si>
  <si>
    <t>开发支出</t>
    <phoneticPr fontId="6" type="noConversion"/>
  </si>
  <si>
    <t>长期待摊费用账面净值</t>
  </si>
  <si>
    <t>土地使用权账面净值</t>
    <phoneticPr fontId="6" type="noConversion"/>
  </si>
  <si>
    <t>评估取值</t>
    <phoneticPr fontId="6" type="noConversion"/>
  </si>
  <si>
    <t>年度</t>
    <phoneticPr fontId="6" type="noConversion"/>
  </si>
  <si>
    <t>采用上年数计算，可根据具体发生情况填列</t>
    <phoneticPr fontId="6" type="noConversion"/>
  </si>
  <si>
    <t>收益预测表</t>
    <phoneticPr fontId="6" type="noConversion"/>
  </si>
  <si>
    <r>
      <t>2.</t>
    </r>
    <r>
      <rPr>
        <sz val="10"/>
        <rFont val="宋体"/>
        <family val="3"/>
        <charset val="134"/>
      </rPr>
      <t>取得企业资产、财务、经营状况资料，着重了解经营活动涉及的范围，收入、收益结构，资产配置情况，在此基础上区分企业经营活动和经营活动之外的其他活动涉及相关资产、负债、损益等。布置企业填报资产基础法申报表、收益预测申报表，并在资产基础法的申报表上标识经营性资产（负债）与非经营性资产（负债）。以上资料由企业盖章或签字确认。</t>
    </r>
    <phoneticPr fontId="6" type="noConversion"/>
  </si>
  <si>
    <r>
      <t>4.</t>
    </r>
    <r>
      <rPr>
        <sz val="10"/>
        <rFont val="宋体"/>
        <family val="3"/>
        <charset val="134"/>
      </rPr>
      <t xml:space="preserve">区分经营活动与其他活动，并统计、分析：
</t>
    </r>
    <r>
      <rPr>
        <sz val="10"/>
        <rFont val="Arial Narrow"/>
        <family val="2"/>
      </rPr>
      <t>a\</t>
    </r>
    <r>
      <rPr>
        <sz val="10"/>
        <rFont val="宋体"/>
        <family val="3"/>
        <charset val="134"/>
      </rPr>
      <t>营业收入；</t>
    </r>
    <r>
      <rPr>
        <sz val="10"/>
        <rFont val="Arial Narrow"/>
        <family val="2"/>
      </rPr>
      <t>b\</t>
    </r>
    <r>
      <rPr>
        <sz val="10"/>
        <rFont val="宋体"/>
        <family val="3"/>
        <charset val="134"/>
      </rPr>
      <t>营业成本</t>
    </r>
    <r>
      <rPr>
        <sz val="10"/>
        <rFont val="Arial Narrow"/>
        <family val="2"/>
      </rPr>
      <t>(</t>
    </r>
    <r>
      <rPr>
        <sz val="10"/>
        <rFont val="宋体"/>
        <family val="3"/>
        <charset val="134"/>
      </rPr>
      <t>材料、燃料动力、人工、制造费用</t>
    </r>
    <r>
      <rPr>
        <sz val="10"/>
        <rFont val="Arial Narrow"/>
        <family val="2"/>
      </rPr>
      <t>)</t>
    </r>
    <r>
      <rPr>
        <sz val="10"/>
        <rFont val="宋体"/>
        <family val="3"/>
        <charset val="134"/>
      </rPr>
      <t>；</t>
    </r>
    <r>
      <rPr>
        <sz val="10"/>
        <rFont val="Arial Narrow"/>
        <family val="2"/>
      </rPr>
      <t>c\</t>
    </r>
    <r>
      <rPr>
        <sz val="10"/>
        <rFont val="宋体"/>
        <family val="3"/>
        <charset val="134"/>
      </rPr>
      <t>税金及附加；</t>
    </r>
    <r>
      <rPr>
        <sz val="10"/>
        <rFont val="Arial Narrow"/>
        <family val="2"/>
      </rPr>
      <t>d\</t>
    </r>
    <r>
      <rPr>
        <sz val="10"/>
        <rFont val="宋体"/>
        <family val="3"/>
        <charset val="134"/>
      </rPr>
      <t>折旧及摊销、固定及无形资产、长期待摊；</t>
    </r>
    <r>
      <rPr>
        <sz val="10"/>
        <rFont val="Arial Narrow"/>
        <family val="2"/>
      </rPr>
      <t>e\</t>
    </r>
    <r>
      <rPr>
        <sz val="10"/>
        <rFont val="宋体"/>
        <family val="3"/>
        <charset val="134"/>
      </rPr>
      <t>销售、管理费用；</t>
    </r>
    <r>
      <rPr>
        <sz val="10"/>
        <rFont val="Arial Narrow"/>
        <family val="2"/>
      </rPr>
      <t>f\</t>
    </r>
    <r>
      <rPr>
        <sz val="10"/>
        <rFont val="宋体"/>
        <family val="3"/>
        <charset val="134"/>
      </rPr>
      <t>资产减值损失、公允价值变动收益；</t>
    </r>
    <r>
      <rPr>
        <sz val="10"/>
        <rFont val="Arial Narrow"/>
        <family val="2"/>
      </rPr>
      <t>g\</t>
    </r>
    <r>
      <rPr>
        <sz val="10"/>
        <rFont val="宋体"/>
        <family val="3"/>
        <charset val="134"/>
      </rPr>
      <t>营业外收支；</t>
    </r>
    <r>
      <rPr>
        <sz val="10"/>
        <rFont val="Arial Narrow"/>
        <family val="2"/>
      </rPr>
      <t>h\</t>
    </r>
    <r>
      <rPr>
        <sz val="10"/>
        <rFont val="宋体"/>
        <family val="3"/>
        <charset val="134"/>
      </rPr>
      <t>财务费用</t>
    </r>
    <phoneticPr fontId="6" type="noConversion"/>
  </si>
  <si>
    <r>
      <t>11.</t>
    </r>
    <r>
      <rPr>
        <sz val="10"/>
        <rFont val="宋体"/>
        <family val="3"/>
        <charset val="134"/>
      </rPr>
      <t>预测营运资金及其净变动；
预测固定资产【存量固定资产、新增固定资产、在建工程转入</t>
    </r>
    <r>
      <rPr>
        <sz val="10"/>
        <rFont val="宋体"/>
        <family val="3"/>
        <charset val="134"/>
      </rPr>
      <t>】、无形资产【土地使用权、技术、软件使用费、开发支出转入】、长期待摊费用、并编制资本性支出预测表。
预测其他非流动资产</t>
    </r>
    <r>
      <rPr>
        <sz val="10"/>
        <rFont val="Arial Narrow"/>
        <family val="2"/>
      </rPr>
      <t>(</t>
    </r>
    <r>
      <rPr>
        <sz val="10"/>
        <rFont val="宋体"/>
        <family val="3"/>
        <charset val="134"/>
      </rPr>
      <t>固定资产清理、商誉、递延所得税资产、其他</t>
    </r>
    <r>
      <rPr>
        <sz val="10"/>
        <rFont val="Arial Narrow"/>
        <family val="2"/>
      </rPr>
      <t>)</t>
    </r>
    <r>
      <rPr>
        <sz val="10"/>
        <rFont val="宋体"/>
        <family val="3"/>
        <charset val="134"/>
      </rPr>
      <t>、非流动负债</t>
    </r>
    <r>
      <rPr>
        <sz val="10"/>
        <rFont val="Arial Narrow"/>
        <family val="2"/>
      </rPr>
      <t>(</t>
    </r>
    <r>
      <rPr>
        <sz val="10"/>
        <rFont val="宋体"/>
        <family val="3"/>
        <charset val="134"/>
      </rPr>
      <t>长期应付款、专项应付款、预计负债、递延所得税负债、其他</t>
    </r>
    <r>
      <rPr>
        <sz val="10"/>
        <rFont val="Arial Narrow"/>
        <family val="2"/>
      </rPr>
      <t>)</t>
    </r>
    <r>
      <rPr>
        <sz val="10"/>
        <rFont val="宋体"/>
        <family val="3"/>
        <charset val="134"/>
      </rPr>
      <t>等资产负债表项目。</t>
    </r>
    <phoneticPr fontId="6" type="noConversion"/>
  </si>
  <si>
    <r>
      <t>13.</t>
    </r>
    <r>
      <rPr>
        <sz val="10"/>
        <rFont val="宋体"/>
        <family val="3"/>
        <charset val="134"/>
      </rPr>
      <t>编制收益预测表。</t>
    </r>
    <phoneticPr fontId="6" type="noConversion"/>
  </si>
  <si>
    <r>
      <t>14.</t>
    </r>
    <r>
      <rPr>
        <sz val="10"/>
        <rFont val="宋体"/>
        <family val="3"/>
        <charset val="134"/>
      </rPr>
      <t>根据收益预测表，编制自由现金流量测算表。</t>
    </r>
    <phoneticPr fontId="6" type="noConversion"/>
  </si>
  <si>
    <t>需具体分析毛利率变动原因，以及提高或降低措施，而不是仅仅列张汇总表（要有具体的纸质底稿支撑）</t>
    <phoneticPr fontId="6" type="noConversion"/>
  </si>
  <si>
    <t>财务指标分析</t>
    <phoneticPr fontId="6" type="noConversion"/>
  </si>
  <si>
    <t>（要有具体的纸质底稿支撑）</t>
    <phoneticPr fontId="6" type="noConversion"/>
  </si>
  <si>
    <t>基准日其他无形资产账面原值</t>
    <phoneticPr fontId="6" type="noConversion"/>
  </si>
  <si>
    <t>基准日其他无形资产账面净值</t>
    <phoneticPr fontId="6" type="noConversion"/>
  </si>
  <si>
    <t>存量其他无形资产摊销额</t>
    <phoneticPr fontId="6" type="noConversion"/>
  </si>
  <si>
    <t>其他无形资产账面净值</t>
    <phoneticPr fontId="6" type="noConversion"/>
  </si>
  <si>
    <t>期末设备类账面净值</t>
    <phoneticPr fontId="6" type="noConversion"/>
  </si>
  <si>
    <t>该工作表已保护！</t>
    <phoneticPr fontId="6" type="noConversion"/>
  </si>
  <si>
    <t>评估基准日溢余现金分析表</t>
    <phoneticPr fontId="6" type="noConversion"/>
  </si>
  <si>
    <r>
      <t>经营性资产财务报表预测表</t>
    </r>
    <r>
      <rPr>
        <b/>
        <sz val="20"/>
        <color rgb="FFFF0000"/>
        <rFont val="微软雅黑"/>
        <family val="2"/>
        <charset val="134"/>
      </rPr>
      <t>（检查用）</t>
    </r>
    <phoneticPr fontId="6" type="noConversion"/>
  </si>
  <si>
    <t>原材料</t>
    <phoneticPr fontId="6" type="noConversion"/>
  </si>
  <si>
    <t>燃料及动力</t>
    <phoneticPr fontId="6" type="noConversion"/>
  </si>
  <si>
    <t>其他</t>
    <phoneticPr fontId="6" type="noConversion"/>
  </si>
  <si>
    <r>
      <t>3</t>
    </r>
    <r>
      <rPr>
        <sz val="11"/>
        <rFont val="宋体"/>
        <family val="3"/>
        <charset val="134"/>
      </rPr>
      <t>、</t>
    </r>
    <r>
      <rPr>
        <sz val="11"/>
        <rFont val="Arial"/>
        <family val="2"/>
      </rPr>
      <t>FCFE</t>
    </r>
    <r>
      <rPr>
        <sz val="11"/>
        <rFont val="宋体"/>
        <family val="3"/>
        <charset val="134"/>
      </rPr>
      <t>模型只适用评估基准日及未来预测期间无付息负债的情形。</t>
    </r>
    <phoneticPr fontId="6" type="noConversion"/>
  </si>
  <si>
    <r>
      <rPr>
        <sz val="12"/>
        <rFont val="宋体"/>
        <family val="3"/>
        <charset val="134"/>
      </rPr>
      <t>密码</t>
    </r>
    <r>
      <rPr>
        <sz val="12"/>
        <rFont val="Arial"/>
        <family val="2"/>
      </rPr>
      <t>0528</t>
    </r>
    <phoneticPr fontId="6" type="noConversion"/>
  </si>
  <si>
    <t>与报表数是否相同？</t>
    <phoneticPr fontId="6" type="noConversion"/>
  </si>
  <si>
    <t>房屋建筑物</t>
    <phoneticPr fontId="6" type="noConversion"/>
  </si>
  <si>
    <t>永续期未考虑研发费用加计扣除，因为这是一个短期政策。</t>
    <phoneticPr fontId="6" type="noConversion"/>
  </si>
  <si>
    <r>
      <t>βL</t>
    </r>
    <r>
      <rPr>
        <sz val="10"/>
        <rFont val="宋体"/>
        <family val="3"/>
        <charset val="134"/>
      </rPr>
      <t>（</t>
    </r>
    <r>
      <rPr>
        <sz val="10"/>
        <rFont val="Arial Narrow"/>
        <family val="2"/>
      </rPr>
      <t>=β</t>
    </r>
    <r>
      <rPr>
        <vertAlign val="subscript"/>
        <sz val="10"/>
        <rFont val="Arial Narrow"/>
        <family val="2"/>
      </rPr>
      <t>U</t>
    </r>
    <r>
      <rPr>
        <sz val="10"/>
        <rFont val="宋体"/>
        <family val="3"/>
        <charset val="134"/>
      </rPr>
      <t>）</t>
    </r>
    <phoneticPr fontId="6" type="noConversion"/>
  </si>
  <si>
    <t>取值</t>
  </si>
  <si>
    <t>应用前提</t>
    <phoneticPr fontId="6" type="noConversion"/>
  </si>
  <si>
    <r>
      <rPr>
        <b/>
        <sz val="10"/>
        <rFont val="宋体"/>
        <family val="3"/>
        <charset val="134"/>
      </rPr>
      <t>该</t>
    </r>
    <r>
      <rPr>
        <b/>
        <sz val="10"/>
        <rFont val="Arial Narrow"/>
        <family val="2"/>
      </rPr>
      <t>FCFE</t>
    </r>
    <r>
      <rPr>
        <b/>
        <sz val="10"/>
        <rFont val="宋体"/>
        <family val="3"/>
        <charset val="134"/>
      </rPr>
      <t>模型只适用评估基准日及未来预测期间无付息负债的情形。</t>
    </r>
    <phoneticPr fontId="6" type="noConversion"/>
  </si>
  <si>
    <t>折旧（及摊销）</t>
    <phoneticPr fontId="6" type="noConversion"/>
  </si>
  <si>
    <r>
      <t>1</t>
    </r>
    <r>
      <rPr>
        <sz val="11"/>
        <rFont val="宋体"/>
        <family val="3"/>
        <charset val="134"/>
      </rPr>
      <t>、稳定期增长率假设为零，如考虑永续增长，终值需另外用价值驱动因素模型计算。</t>
    </r>
    <phoneticPr fontId="6" type="noConversion"/>
  </si>
  <si>
    <t>不含商誉</t>
    <phoneticPr fontId="6" type="noConversion"/>
  </si>
  <si>
    <t>含商誉</t>
    <phoneticPr fontId="6" type="noConversion"/>
  </si>
  <si>
    <t>EBIT(1-T)</t>
    <phoneticPr fontId="6" type="noConversion"/>
  </si>
  <si>
    <t>营业收入：主营业务收入、其他业务收入</t>
    <phoneticPr fontId="6" type="noConversion"/>
  </si>
  <si>
    <t>非经常性收入调整，形成新的增长率指标。</t>
    <phoneticPr fontId="6" type="noConversion"/>
  </si>
  <si>
    <t>核实产能的天花板：重点预测期第一年（2018）</t>
    <phoneticPr fontId="6" type="noConversion"/>
  </si>
  <si>
    <t>后期收入的增长原因分析：</t>
    <phoneticPr fontId="6" type="noConversion"/>
  </si>
  <si>
    <t>价格、产品结构调整→→组合价格的提高</t>
    <phoneticPr fontId="6" type="noConversion"/>
  </si>
  <si>
    <t>行业增长率分析→→核实验证</t>
    <phoneticPr fontId="6" type="noConversion"/>
  </si>
  <si>
    <t>增加资本性支出，提高产能→→原资本性支出不足，提高了支出金额→→ROIC</t>
    <phoneticPr fontId="6" type="noConversion"/>
  </si>
  <si>
    <t>经营最低保有现金测算</t>
    <phoneticPr fontId="6" type="noConversion"/>
  </si>
  <si>
    <r>
      <rPr>
        <sz val="10"/>
        <rFont val="宋体"/>
        <family val="3"/>
        <charset val="134"/>
      </rPr>
      <t>减</t>
    </r>
    <r>
      <rPr>
        <sz val="10"/>
        <rFont val="Arial Narrow"/>
        <family val="2"/>
      </rPr>
      <t>:</t>
    </r>
    <r>
      <rPr>
        <sz val="10"/>
        <rFont val="宋体"/>
        <family val="3"/>
        <charset val="134"/>
      </rPr>
      <t>所得税费用</t>
    </r>
    <phoneticPr fontId="6" type="noConversion"/>
  </si>
  <si>
    <t>经营性资产及负债账面值</t>
    <phoneticPr fontId="6" type="noConversion"/>
  </si>
  <si>
    <r>
      <rPr>
        <sz val="10"/>
        <rFont val="宋体"/>
        <family val="3"/>
        <charset val="134"/>
      </rPr>
      <t>减</t>
    </r>
    <r>
      <rPr>
        <sz val="10"/>
        <rFont val="Arial Narrow"/>
        <family val="2"/>
      </rPr>
      <t>:</t>
    </r>
    <r>
      <rPr>
        <sz val="10"/>
        <rFont val="宋体"/>
        <family val="3"/>
        <charset val="134"/>
      </rPr>
      <t>所得税费用</t>
    </r>
    <phoneticPr fontId="6" type="noConversion"/>
  </si>
  <si>
    <t>应收票据及应收账款</t>
    <phoneticPr fontId="6" type="noConversion"/>
  </si>
  <si>
    <t>预付款项</t>
    <phoneticPr fontId="6" type="noConversion"/>
  </si>
  <si>
    <t>其他应收款</t>
    <phoneticPr fontId="6" type="noConversion"/>
  </si>
  <si>
    <t>存货</t>
    <phoneticPr fontId="6" type="noConversion"/>
  </si>
  <si>
    <t>合同资产</t>
    <phoneticPr fontId="6" type="noConversion"/>
  </si>
  <si>
    <t>一年内到期的非流动资产</t>
    <phoneticPr fontId="6" type="noConversion"/>
  </si>
  <si>
    <t>其他流动资产</t>
    <phoneticPr fontId="6" type="noConversion"/>
  </si>
  <si>
    <t>流动资产合计</t>
    <phoneticPr fontId="6" type="noConversion"/>
  </si>
  <si>
    <t>长期应收款</t>
    <phoneticPr fontId="6" type="noConversion"/>
  </si>
  <si>
    <t>固定资产</t>
    <phoneticPr fontId="6" type="noConversion"/>
  </si>
  <si>
    <t>在建工程</t>
    <phoneticPr fontId="6" type="noConversion"/>
  </si>
  <si>
    <t>生产性生物资产</t>
    <phoneticPr fontId="6" type="noConversion"/>
  </si>
  <si>
    <t>油气资产</t>
    <phoneticPr fontId="6" type="noConversion"/>
  </si>
  <si>
    <t>无形资产</t>
    <phoneticPr fontId="6" type="noConversion"/>
  </si>
  <si>
    <t>开发支出</t>
    <phoneticPr fontId="6" type="noConversion"/>
  </si>
  <si>
    <t>其他非流动资产</t>
    <phoneticPr fontId="6" type="noConversion"/>
  </si>
  <si>
    <t>非流动资产合计</t>
    <phoneticPr fontId="6" type="noConversion"/>
  </si>
  <si>
    <t>资产总计</t>
    <phoneticPr fontId="6" type="noConversion"/>
  </si>
  <si>
    <t>应付票据及应付款项</t>
    <phoneticPr fontId="38" type="noConversion"/>
  </si>
  <si>
    <t>预收款项</t>
    <phoneticPr fontId="6" type="noConversion"/>
  </si>
  <si>
    <t>合同负债</t>
    <phoneticPr fontId="6" type="noConversion"/>
  </si>
  <si>
    <t>其他应付款</t>
    <phoneticPr fontId="6" type="noConversion"/>
  </si>
  <si>
    <t>其他流动负债</t>
    <phoneticPr fontId="6" type="noConversion"/>
  </si>
  <si>
    <t>非付息流动负债合计</t>
    <phoneticPr fontId="6" type="noConversion"/>
  </si>
  <si>
    <t>长期应付款</t>
    <phoneticPr fontId="6" type="noConversion"/>
  </si>
  <si>
    <t>预计负债</t>
    <phoneticPr fontId="6" type="noConversion"/>
  </si>
  <si>
    <t>其他非流动负债</t>
    <phoneticPr fontId="6" type="noConversion"/>
  </si>
  <si>
    <t>非付息非流动负债合计</t>
    <phoneticPr fontId="6" type="noConversion"/>
  </si>
  <si>
    <t>归母权益</t>
    <phoneticPr fontId="6" type="noConversion"/>
  </si>
  <si>
    <t>所有者权益合计</t>
    <phoneticPr fontId="6" type="noConversion"/>
  </si>
  <si>
    <t>负债和所有者权益总计</t>
    <phoneticPr fontId="6" type="noConversion"/>
  </si>
  <si>
    <t>流动资产</t>
    <phoneticPr fontId="6" type="noConversion"/>
  </si>
  <si>
    <t>流动负债</t>
    <phoneticPr fontId="6" type="noConversion"/>
  </si>
  <si>
    <t>投入资本（不含商誉）</t>
    <phoneticPr fontId="6" type="noConversion"/>
  </si>
  <si>
    <t>投入资本（含商誉）</t>
    <phoneticPr fontId="6" type="noConversion"/>
  </si>
  <si>
    <r>
      <t>ROIC</t>
    </r>
    <r>
      <rPr>
        <sz val="10"/>
        <rFont val="宋体"/>
        <family val="3"/>
        <charset val="134"/>
      </rPr>
      <t>（年初）</t>
    </r>
    <phoneticPr fontId="6" type="noConversion"/>
  </si>
  <si>
    <r>
      <t>ROIC</t>
    </r>
    <r>
      <rPr>
        <sz val="10"/>
        <rFont val="宋体"/>
        <family val="3"/>
        <charset val="134"/>
      </rPr>
      <t>（平均）</t>
    </r>
    <phoneticPr fontId="6" type="noConversion"/>
  </si>
  <si>
    <t>如果历史营业收入和成本中的其他收入和成本，未来预测收入成本中没有，则历史报表项需要调整。例如投资性房地产</t>
  </si>
  <si>
    <t>完成资产负债表剩余项目</t>
    <phoneticPr fontId="6" type="noConversion"/>
  </si>
  <si>
    <t>完成利润表剩余项目</t>
    <phoneticPr fontId="6" type="noConversion"/>
  </si>
  <si>
    <t>流动资产</t>
    <phoneticPr fontId="6" type="noConversion"/>
  </si>
  <si>
    <t>非流动资产</t>
    <phoneticPr fontId="6" type="noConversion"/>
  </si>
  <si>
    <t>非付息流动负债</t>
    <phoneticPr fontId="6" type="noConversion"/>
  </si>
  <si>
    <t>非付息非流动负债</t>
    <phoneticPr fontId="6" type="noConversion"/>
  </si>
  <si>
    <t>付息负债</t>
    <phoneticPr fontId="6" type="noConversion"/>
  </si>
  <si>
    <t>少数股东所在公司派发股利的比例</t>
    <phoneticPr fontId="6" type="noConversion"/>
  </si>
  <si>
    <t>所得税税率</t>
    <phoneticPr fontId="6" type="noConversion"/>
  </si>
  <si>
    <t>补充投入资本计算表剩余历史数据</t>
    <phoneticPr fontId="6" type="noConversion"/>
  </si>
  <si>
    <t>所有者权益</t>
    <phoneticPr fontId="6" type="noConversion"/>
  </si>
  <si>
    <t>负债合计</t>
    <phoneticPr fontId="6" type="noConversion"/>
  </si>
  <si>
    <t>营业税金及附加</t>
    <phoneticPr fontId="6" type="noConversion"/>
  </si>
  <si>
    <t>盈余现金</t>
    <phoneticPr fontId="6" type="noConversion"/>
  </si>
  <si>
    <t>折旧率</t>
    <phoneticPr fontId="6" type="noConversion"/>
  </si>
  <si>
    <t>建筑类折旧额小计</t>
    <phoneticPr fontId="6" type="noConversion"/>
  </si>
  <si>
    <t>新增建筑类折旧额</t>
    <phoneticPr fontId="6" type="noConversion"/>
  </si>
  <si>
    <t>新增机器折旧额</t>
    <phoneticPr fontId="6" type="noConversion"/>
  </si>
  <si>
    <t>新增车辆折旧额</t>
    <phoneticPr fontId="6" type="noConversion"/>
  </si>
  <si>
    <t>新增电子设备折旧额</t>
    <phoneticPr fontId="6" type="noConversion"/>
  </si>
  <si>
    <t>机器折旧额自动计算过程</t>
    <phoneticPr fontId="6" type="noConversion"/>
  </si>
  <si>
    <t>车辆折旧额自动计算过程</t>
    <phoneticPr fontId="6" type="noConversion"/>
  </si>
  <si>
    <t>电子设备折旧额自动计算过程</t>
    <phoneticPr fontId="6" type="noConversion"/>
  </si>
  <si>
    <t>固定资产支出</t>
  </si>
  <si>
    <t>设备类折旧额小计</t>
    <phoneticPr fontId="6" type="noConversion"/>
  </si>
  <si>
    <t>固定资产支出与折旧预测表</t>
    <phoneticPr fontId="6" type="noConversion"/>
  </si>
  <si>
    <t>摊销年限</t>
    <phoneticPr fontId="6" type="noConversion"/>
  </si>
  <si>
    <r>
      <t>土地使用权</t>
    </r>
    <r>
      <rPr>
        <b/>
        <sz val="10"/>
        <color rgb="FF0000FF"/>
        <rFont val="Arial Narrow"/>
        <family val="2"/>
      </rPr>
      <t/>
    </r>
    <phoneticPr fontId="6" type="noConversion"/>
  </si>
  <si>
    <r>
      <t>长期待摊费用</t>
    </r>
    <r>
      <rPr>
        <b/>
        <sz val="10"/>
        <color rgb="FF0000FF"/>
        <rFont val="Arial Narrow"/>
        <family val="2"/>
      </rPr>
      <t/>
    </r>
    <phoneticPr fontId="6" type="noConversion"/>
  </si>
  <si>
    <t>其他无形资产</t>
    <phoneticPr fontId="6" type="noConversion"/>
  </si>
  <si>
    <t>技术无形资产摊销额自动计算过程</t>
    <phoneticPr fontId="6" type="noConversion"/>
  </si>
  <si>
    <t>新增无形资产摊销额</t>
    <phoneticPr fontId="6" type="noConversion"/>
  </si>
  <si>
    <t>无形资产摊销额小计</t>
    <phoneticPr fontId="6" type="noConversion"/>
  </si>
  <si>
    <t>长摊资产摊销额自动计算过程</t>
    <phoneticPr fontId="6" type="noConversion"/>
  </si>
  <si>
    <t>长摊和无形资产支出与摊销预测表</t>
    <phoneticPr fontId="6" type="noConversion"/>
  </si>
  <si>
    <t>其中：经营最低保有现金</t>
    <phoneticPr fontId="6" type="noConversion"/>
  </si>
  <si>
    <t>溢余现金</t>
    <phoneticPr fontId="6" type="noConversion"/>
  </si>
  <si>
    <t>资产负债表中的货币资金</t>
  </si>
  <si>
    <t>限制用途现金</t>
    <phoneticPr fontId="6" type="noConversion"/>
  </si>
  <si>
    <t>调整系数</t>
    <phoneticPr fontId="6" type="noConversion"/>
  </si>
  <si>
    <t>股利支付</t>
  </si>
  <si>
    <t>扣除股利支付后净利润</t>
  </si>
  <si>
    <t>新增借款</t>
    <phoneticPr fontId="6" type="noConversion"/>
  </si>
  <si>
    <t>设备</t>
    <phoneticPr fontId="6" type="noConversion"/>
  </si>
  <si>
    <t>新增建筑物投入原值</t>
    <phoneticPr fontId="6" type="noConversion"/>
  </si>
  <si>
    <t>全部为经营性资产负债；不含非经营！</t>
    <phoneticPr fontId="6" type="noConversion"/>
  </si>
  <si>
    <t>当企业不稳定时，不能用周转天数预测！采用绝对额进行预测！</t>
    <phoneticPr fontId="6" type="noConversion"/>
  </si>
  <si>
    <t>营运资金预测表</t>
    <phoneticPr fontId="6" type="noConversion"/>
  </si>
  <si>
    <t>未转固资产的处理</t>
    <phoneticPr fontId="6" type="noConversion"/>
  </si>
  <si>
    <t>未转固建筑物的账面值</t>
    <phoneticPr fontId="6" type="noConversion"/>
  </si>
  <si>
    <t>年度转固金额</t>
    <phoneticPr fontId="6" type="noConversion"/>
  </si>
  <si>
    <t>未转固设备的账面值</t>
    <phoneticPr fontId="6" type="noConversion"/>
  </si>
  <si>
    <t>年度转固金额-机器</t>
    <phoneticPr fontId="6" type="noConversion"/>
  </si>
  <si>
    <t>年度转固金额-车辆</t>
    <phoneticPr fontId="6" type="noConversion"/>
  </si>
  <si>
    <t>年度转固金额-电子设备</t>
    <phoneticPr fontId="6" type="noConversion"/>
  </si>
  <si>
    <t>基准日设备类账面净值</t>
    <phoneticPr fontId="6" type="noConversion"/>
  </si>
  <si>
    <t>新增机器投入原值</t>
    <phoneticPr fontId="6" type="noConversion"/>
  </si>
  <si>
    <t>新增车辆投入原值</t>
    <phoneticPr fontId="6" type="noConversion"/>
  </si>
  <si>
    <t>新增电子设备投入原值</t>
    <phoneticPr fontId="6" type="noConversion"/>
  </si>
  <si>
    <t>固定资产投入分析</t>
    <phoneticPr fontId="6" type="noConversion"/>
  </si>
  <si>
    <t>建筑类</t>
    <phoneticPr fontId="6" type="noConversion"/>
  </si>
  <si>
    <t>设备类</t>
    <phoneticPr fontId="6" type="noConversion"/>
  </si>
  <si>
    <r>
      <rPr>
        <b/>
        <sz val="10"/>
        <rFont val="宋体"/>
        <family val="3"/>
        <charset val="134"/>
      </rPr>
      <t>数据汇总</t>
    </r>
    <phoneticPr fontId="6" type="noConversion"/>
  </si>
  <si>
    <r>
      <rPr>
        <sz val="10"/>
        <rFont val="宋体"/>
        <family val="3"/>
        <charset val="134"/>
      </rPr>
      <t>长摊资产支出</t>
    </r>
    <phoneticPr fontId="6" type="noConversion"/>
  </si>
  <si>
    <r>
      <rPr>
        <sz val="10"/>
        <rFont val="宋体"/>
        <family val="3"/>
        <charset val="134"/>
      </rPr>
      <t>无形资产摊销</t>
    </r>
  </si>
  <si>
    <r>
      <rPr>
        <b/>
        <sz val="10"/>
        <rFont val="宋体"/>
        <family val="3"/>
        <charset val="134"/>
      </rPr>
      <t>摊销合计</t>
    </r>
    <phoneticPr fontId="6" type="noConversion"/>
  </si>
  <si>
    <r>
      <rPr>
        <sz val="10"/>
        <rFont val="宋体"/>
        <family val="3"/>
        <charset val="134"/>
      </rPr>
      <t>无形资产支出</t>
    </r>
    <phoneticPr fontId="6" type="noConversion"/>
  </si>
  <si>
    <r>
      <rPr>
        <sz val="10"/>
        <rFont val="宋体"/>
        <family val="3"/>
        <charset val="134"/>
      </rPr>
      <t>长期待摊费用摊销</t>
    </r>
    <phoneticPr fontId="6" type="noConversion"/>
  </si>
  <si>
    <r>
      <rPr>
        <b/>
        <sz val="10"/>
        <rFont val="宋体"/>
        <family val="3"/>
        <charset val="134"/>
      </rPr>
      <t>长摊和无形资产支出</t>
    </r>
    <phoneticPr fontId="6" type="noConversion"/>
  </si>
  <si>
    <t>未资本化无形资产的处理</t>
    <phoneticPr fontId="6" type="noConversion"/>
  </si>
  <si>
    <t>未资本化的土地</t>
    <phoneticPr fontId="6" type="noConversion"/>
  </si>
  <si>
    <t>未资本化的无形资产</t>
    <phoneticPr fontId="6" type="noConversion"/>
  </si>
  <si>
    <t>年度资本化金额</t>
    <phoneticPr fontId="6" type="noConversion"/>
  </si>
  <si>
    <t>基准日土地账面原值</t>
    <phoneticPr fontId="6" type="noConversion"/>
  </si>
  <si>
    <t>基准日土地账面净值</t>
    <phoneticPr fontId="6" type="noConversion"/>
  </si>
  <si>
    <t>土地摊销额小计</t>
    <phoneticPr fontId="6" type="noConversion"/>
  </si>
  <si>
    <t>新增土地摊销额</t>
    <phoneticPr fontId="6" type="noConversion"/>
  </si>
  <si>
    <t>存量土地摊销额</t>
    <phoneticPr fontId="6" type="noConversion"/>
  </si>
  <si>
    <t>新增技术类无形资产投入原值</t>
    <phoneticPr fontId="6" type="noConversion"/>
  </si>
  <si>
    <t>新增土地投入原值</t>
    <phoneticPr fontId="6" type="noConversion"/>
  </si>
  <si>
    <t>基准日数据与资产负债表检查核对</t>
    <phoneticPr fontId="6" type="noConversion"/>
  </si>
  <si>
    <t>无形资产</t>
    <phoneticPr fontId="6" type="noConversion"/>
  </si>
  <si>
    <t>开发支出</t>
    <phoneticPr fontId="6" type="noConversion"/>
  </si>
  <si>
    <t>在建工程</t>
    <phoneticPr fontId="6" type="noConversion"/>
  </si>
  <si>
    <r>
      <rPr>
        <sz val="11"/>
        <rFont val="宋体"/>
        <family val="3"/>
        <charset val="134"/>
      </rPr>
      <t>设备款</t>
    </r>
    <r>
      <rPr>
        <sz val="11"/>
        <rFont val="Arial Narrow"/>
        <family val="2"/>
      </rPr>
      <t>153.51675</t>
    </r>
    <r>
      <rPr>
        <sz val="11"/>
        <rFont val="宋体"/>
        <family val="3"/>
        <charset val="134"/>
      </rPr>
      <t>万元，重分类到在建工程</t>
    </r>
    <phoneticPr fontId="6" type="noConversion"/>
  </si>
  <si>
    <r>
      <rPr>
        <sz val="10"/>
        <rFont val="宋体"/>
        <family val="3"/>
        <charset val="134"/>
      </rPr>
      <t>营运资金/收入</t>
    </r>
    <r>
      <rPr>
        <sz val="10"/>
        <color rgb="FFFF0000"/>
        <rFont val="宋体"/>
        <family val="3"/>
        <charset val="134"/>
      </rPr>
      <t>（检查）</t>
    </r>
    <phoneticPr fontId="38" type="noConversion"/>
  </si>
  <si>
    <t>应收票据及应收账款计算行</t>
    <phoneticPr fontId="6" type="noConversion"/>
  </si>
  <si>
    <t>应收票据及应收账款</t>
    <phoneticPr fontId="6" type="noConversion"/>
  </si>
  <si>
    <t>预付款项计算行</t>
    <phoneticPr fontId="6" type="noConversion"/>
  </si>
  <si>
    <t>其他应收款计算行</t>
    <phoneticPr fontId="6" type="noConversion"/>
  </si>
  <si>
    <t>存货计算行</t>
    <phoneticPr fontId="6" type="noConversion"/>
  </si>
  <si>
    <t>一年内到期的非流动资产</t>
    <phoneticPr fontId="6" type="noConversion"/>
  </si>
  <si>
    <t>其他流动资产</t>
    <phoneticPr fontId="6" type="noConversion"/>
  </si>
  <si>
    <t>应付票据及应付款项计算行</t>
    <phoneticPr fontId="38" type="noConversion"/>
  </si>
  <si>
    <t>应付票据及应付账款</t>
    <phoneticPr fontId="38" type="noConversion"/>
  </si>
  <si>
    <t>预收款项计算行</t>
    <phoneticPr fontId="6" type="noConversion"/>
  </si>
  <si>
    <t>其他应付款计算行</t>
    <phoneticPr fontId="6" type="noConversion"/>
  </si>
  <si>
    <r>
      <rPr>
        <sz val="11"/>
        <rFont val="宋体"/>
        <family val="3"/>
        <charset val="134"/>
      </rPr>
      <t>扣除</t>
    </r>
    <r>
      <rPr>
        <sz val="11"/>
        <rFont val="Arial Narrow"/>
        <family val="2"/>
      </rPr>
      <t>17</t>
    </r>
    <r>
      <rPr>
        <sz val="11"/>
        <rFont val="宋体"/>
        <family val="3"/>
        <charset val="134"/>
      </rPr>
      <t>年应付设备款</t>
    </r>
    <r>
      <rPr>
        <sz val="11"/>
        <rFont val="Arial Narrow"/>
        <family val="2"/>
      </rPr>
      <t>88.34</t>
    </r>
    <r>
      <rPr>
        <sz val="11"/>
        <rFont val="宋体"/>
        <family val="3"/>
        <charset val="134"/>
      </rPr>
      <t>万元后，占成本为</t>
    </r>
    <r>
      <rPr>
        <sz val="11"/>
        <rFont val="Arial Narrow"/>
        <family val="2"/>
      </rPr>
      <t>1.3%</t>
    </r>
    <phoneticPr fontId="6" type="noConversion"/>
  </si>
  <si>
    <t>其他流动负债计算行</t>
    <phoneticPr fontId="6" type="noConversion"/>
  </si>
  <si>
    <t>流动负债合计</t>
    <phoneticPr fontId="6" type="noConversion"/>
  </si>
  <si>
    <t>需要延伸剔除2015、2016年中的非经营</t>
    <phoneticPr fontId="6" type="noConversion"/>
  </si>
  <si>
    <t>如果将历史年度的非经营剔除后，营运资金占比就更清晰反映出趋势。</t>
    <phoneticPr fontId="6" type="noConversion"/>
  </si>
  <si>
    <t>是否选择年中折现？</t>
    <phoneticPr fontId="6" type="noConversion"/>
  </si>
  <si>
    <t>D/E</t>
    <phoneticPr fontId="6" type="noConversion"/>
  </si>
  <si>
    <t>企业所得税率T</t>
  </si>
  <si>
    <r>
      <rPr>
        <sz val="10"/>
        <rFont val="宋体"/>
        <family val="3"/>
        <charset val="134"/>
      </rPr>
      <t>市场风险溢价</t>
    </r>
    <r>
      <rPr>
        <sz val="10"/>
        <rFont val="Arial Narrow"/>
        <family val="2"/>
      </rPr>
      <t>MRP</t>
    </r>
    <phoneticPr fontId="6" type="noConversion"/>
  </si>
  <si>
    <r>
      <rPr>
        <b/>
        <sz val="10"/>
        <rFont val="宋体"/>
        <family val="3"/>
        <charset val="134"/>
      </rPr>
      <t>一、营业收入</t>
    </r>
  </si>
  <si>
    <r>
      <rPr>
        <sz val="10"/>
        <rFont val="宋体"/>
        <family val="3"/>
        <charset val="134"/>
      </rPr>
      <t>减：销售费用</t>
    </r>
    <phoneticPr fontId="6" type="noConversion"/>
  </si>
  <si>
    <r>
      <rPr>
        <sz val="10"/>
        <rFont val="宋体"/>
        <family val="3"/>
        <charset val="134"/>
      </rPr>
      <t>减：管理费用</t>
    </r>
    <phoneticPr fontId="6" type="noConversion"/>
  </si>
  <si>
    <r>
      <rPr>
        <sz val="10"/>
        <rFont val="宋体"/>
        <family val="3"/>
        <charset val="134"/>
      </rPr>
      <t>减：财务费用</t>
    </r>
    <phoneticPr fontId="6" type="noConversion"/>
  </si>
  <si>
    <r>
      <rPr>
        <b/>
        <sz val="10"/>
        <rFont val="宋体"/>
        <family val="3"/>
        <charset val="134"/>
      </rPr>
      <t>二、营业利润</t>
    </r>
  </si>
  <si>
    <r>
      <rPr>
        <b/>
        <sz val="10"/>
        <rFont val="宋体"/>
        <family val="3"/>
        <charset val="134"/>
      </rPr>
      <t>三、利润总额</t>
    </r>
  </si>
  <si>
    <r>
      <rPr>
        <sz val="10"/>
        <rFont val="宋体"/>
        <family val="3"/>
        <charset val="134"/>
      </rPr>
      <t>加：扣税后利息费用</t>
    </r>
    <phoneticPr fontId="6" type="noConversion"/>
  </si>
  <si>
    <r>
      <rPr>
        <sz val="10"/>
        <rFont val="宋体"/>
        <family val="3"/>
        <charset val="134"/>
      </rPr>
      <t>加：折旧与摊销</t>
    </r>
    <phoneticPr fontId="6" type="noConversion"/>
  </si>
  <si>
    <r>
      <rPr>
        <sz val="10"/>
        <rFont val="宋体"/>
        <family val="3"/>
        <charset val="134"/>
      </rPr>
      <t>折现率</t>
    </r>
  </si>
  <si>
    <r>
      <rPr>
        <b/>
        <sz val="10"/>
        <rFont val="宋体"/>
        <family val="3"/>
        <charset val="134"/>
      </rPr>
      <t>经营性资产价值</t>
    </r>
    <phoneticPr fontId="6" type="noConversion"/>
  </si>
  <si>
    <r>
      <rPr>
        <sz val="10"/>
        <rFont val="宋体"/>
        <family val="3"/>
        <charset val="134"/>
      </rPr>
      <t>折现期</t>
    </r>
    <phoneticPr fontId="6" type="noConversion"/>
  </si>
  <si>
    <r>
      <rPr>
        <sz val="10"/>
        <rFont val="宋体"/>
        <family val="3"/>
        <charset val="134"/>
      </rPr>
      <t>减：营业成本</t>
    </r>
    <phoneticPr fontId="6" type="noConversion"/>
  </si>
  <si>
    <r>
      <rPr>
        <sz val="10"/>
        <rFont val="宋体"/>
        <family val="3"/>
        <charset val="134"/>
      </rPr>
      <t>减：所得税费用</t>
    </r>
    <phoneticPr fontId="6" type="noConversion"/>
  </si>
  <si>
    <r>
      <rPr>
        <sz val="10"/>
        <rFont val="宋体"/>
        <family val="3"/>
        <charset val="134"/>
      </rPr>
      <t>减：税金及附加</t>
    </r>
    <phoneticPr fontId="6" type="noConversion"/>
  </si>
  <si>
    <r>
      <rPr>
        <sz val="10"/>
        <rFont val="宋体"/>
        <family val="3"/>
        <charset val="134"/>
      </rPr>
      <t>减：研发费用</t>
    </r>
    <phoneticPr fontId="6" type="noConversion"/>
  </si>
  <si>
    <r>
      <rPr>
        <b/>
        <sz val="10"/>
        <rFont val="宋体"/>
        <family val="3"/>
        <charset val="134"/>
      </rPr>
      <t>四、净利润</t>
    </r>
    <phoneticPr fontId="6" type="noConversion"/>
  </si>
  <si>
    <r>
      <rPr>
        <sz val="10"/>
        <rFont val="宋体"/>
        <family val="3"/>
        <charset val="134"/>
      </rPr>
      <t>减：资本性支出</t>
    </r>
    <phoneticPr fontId="6" type="noConversion"/>
  </si>
  <si>
    <r>
      <rPr>
        <sz val="10"/>
        <rFont val="宋体"/>
        <family val="3"/>
        <charset val="134"/>
      </rPr>
      <t>减：净营运资金变动</t>
    </r>
    <phoneticPr fontId="6" type="noConversion"/>
  </si>
  <si>
    <r>
      <rPr>
        <b/>
        <sz val="10"/>
        <rFont val="宋体"/>
        <family val="3"/>
        <charset val="134"/>
      </rPr>
      <t>五、企业自由现金流量</t>
    </r>
    <phoneticPr fontId="6" type="noConversion"/>
  </si>
  <si>
    <r>
      <rPr>
        <b/>
        <sz val="10"/>
        <rFont val="宋体"/>
        <family val="3"/>
        <charset val="134"/>
      </rPr>
      <t>六、企业自由现金流现值合计</t>
    </r>
    <phoneticPr fontId="6" type="noConversion"/>
  </si>
  <si>
    <r>
      <t>(</t>
    </r>
    <r>
      <rPr>
        <b/>
        <sz val="10"/>
        <rFont val="宋体"/>
        <family val="3"/>
        <charset val="134"/>
      </rPr>
      <t>计算</t>
    </r>
    <r>
      <rPr>
        <b/>
        <sz val="10"/>
        <rFont val="Arial"/>
        <family val="2"/>
      </rPr>
      <t>WACC</t>
    </r>
    <r>
      <rPr>
        <b/>
        <vertAlign val="subscript"/>
        <sz val="10"/>
        <rFont val="Arial"/>
        <family val="2"/>
      </rPr>
      <t>1</t>
    </r>
    <r>
      <rPr>
        <b/>
        <sz val="10"/>
        <rFont val="Arial"/>
        <family val="2"/>
      </rPr>
      <t>)</t>
    </r>
    <r>
      <rPr>
        <b/>
        <sz val="10"/>
        <rFont val="宋体"/>
        <family val="3"/>
        <charset val="134"/>
      </rPr>
      <t>折现值</t>
    </r>
    <phoneticPr fontId="6" type="noConversion"/>
  </si>
  <si>
    <r>
      <rPr>
        <b/>
        <sz val="12"/>
        <rFont val="Times New Roman"/>
        <family val="1"/>
      </rPr>
      <t>WACC</t>
    </r>
    <r>
      <rPr>
        <b/>
        <vertAlign val="subscript"/>
        <sz val="12"/>
        <rFont val="Times New Roman"/>
        <family val="1"/>
      </rPr>
      <t>1</t>
    </r>
    <r>
      <rPr>
        <sz val="12"/>
        <rFont val="黑体"/>
        <family val="3"/>
        <charset val="134"/>
      </rPr>
      <t>测算（</t>
    </r>
    <r>
      <rPr>
        <sz val="12"/>
        <rFont val="Times New Roman"/>
        <family val="1"/>
      </rPr>
      <t>2018</t>
    </r>
    <r>
      <rPr>
        <sz val="12"/>
        <rFont val="黑体"/>
        <family val="3"/>
        <charset val="134"/>
      </rPr>
      <t>年）</t>
    </r>
    <phoneticPr fontId="6" type="noConversion"/>
  </si>
  <si>
    <r>
      <rPr>
        <b/>
        <sz val="12"/>
        <rFont val="Times New Roman"/>
        <family val="1"/>
      </rPr>
      <t>WACC</t>
    </r>
    <r>
      <rPr>
        <b/>
        <vertAlign val="subscript"/>
        <sz val="12"/>
        <rFont val="Times New Roman"/>
        <family val="1"/>
      </rPr>
      <t>2</t>
    </r>
    <r>
      <rPr>
        <sz val="12"/>
        <rFont val="黑体"/>
        <family val="3"/>
        <charset val="134"/>
      </rPr>
      <t>测算（</t>
    </r>
    <r>
      <rPr>
        <sz val="12"/>
        <rFont val="Times New Roman"/>
        <family val="1"/>
      </rPr>
      <t>2019-2021</t>
    </r>
    <r>
      <rPr>
        <sz val="12"/>
        <rFont val="黑体"/>
        <family val="3"/>
        <charset val="134"/>
      </rPr>
      <t>年）</t>
    </r>
    <phoneticPr fontId="6" type="noConversion"/>
  </si>
  <si>
    <t>迭代后折现率</t>
    <phoneticPr fontId="6" type="noConversion"/>
  </si>
  <si>
    <t>折现系数</t>
    <phoneticPr fontId="6" type="noConversion"/>
  </si>
  <si>
    <t>迭代后折现系数</t>
    <phoneticPr fontId="6" type="noConversion"/>
  </si>
  <si>
    <t>最终评估折现值</t>
  </si>
  <si>
    <r>
      <rPr>
        <b/>
        <sz val="10"/>
        <rFont val="宋体"/>
        <family val="3"/>
        <charset val="134"/>
      </rPr>
      <t>权益成本</t>
    </r>
    <r>
      <rPr>
        <b/>
        <sz val="10"/>
        <rFont val="Arial Narrow"/>
        <family val="2"/>
      </rPr>
      <t>Ke</t>
    </r>
    <r>
      <rPr>
        <b/>
        <sz val="10"/>
        <rFont val="宋体"/>
        <family val="3"/>
        <charset val="134"/>
      </rPr>
      <t>＝</t>
    </r>
    <r>
      <rPr>
        <b/>
        <sz val="10"/>
        <rFont val="Arial Narrow"/>
        <family val="2"/>
      </rPr>
      <t>Rf</t>
    </r>
    <r>
      <rPr>
        <b/>
        <sz val="10"/>
        <rFont val="宋体"/>
        <family val="3"/>
        <charset val="134"/>
      </rPr>
      <t>＋</t>
    </r>
    <r>
      <rPr>
        <b/>
        <sz val="10"/>
        <rFont val="Arial Narrow"/>
        <family val="2"/>
      </rPr>
      <t>βL×MRP</t>
    </r>
    <r>
      <rPr>
        <b/>
        <sz val="10"/>
        <rFont val="宋体"/>
        <family val="3"/>
        <charset val="134"/>
      </rPr>
      <t>＋</t>
    </r>
    <r>
      <rPr>
        <b/>
        <sz val="10"/>
        <rFont val="Arial Narrow"/>
        <family val="2"/>
      </rPr>
      <t>Q</t>
    </r>
    <phoneticPr fontId="6" type="noConversion"/>
  </si>
  <si>
    <r>
      <rPr>
        <b/>
        <sz val="12"/>
        <rFont val="Times New Roman"/>
        <family val="1"/>
      </rPr>
      <t>WACC</t>
    </r>
    <r>
      <rPr>
        <b/>
        <vertAlign val="subscript"/>
        <sz val="12"/>
        <rFont val="Times New Roman"/>
        <family val="1"/>
      </rPr>
      <t>3</t>
    </r>
    <r>
      <rPr>
        <sz val="12"/>
        <rFont val="黑体"/>
        <family val="3"/>
        <charset val="134"/>
      </rPr>
      <t>测算（</t>
    </r>
    <r>
      <rPr>
        <sz val="12"/>
        <rFont val="Times New Roman"/>
        <family val="1"/>
      </rPr>
      <t>2022</t>
    </r>
    <r>
      <rPr>
        <sz val="12"/>
        <rFont val="黑体"/>
        <family val="3"/>
        <charset val="134"/>
      </rPr>
      <t>年及以后）</t>
    </r>
    <phoneticPr fontId="6" type="noConversion"/>
  </si>
  <si>
    <t>βL=βu[1+(1-T)D/E]</t>
    <phoneticPr fontId="6" type="noConversion"/>
  </si>
  <si>
    <r>
      <rPr>
        <sz val="10"/>
        <rFont val="宋体"/>
        <family val="3"/>
        <charset val="134"/>
      </rPr>
      <t>企业所得税率</t>
    </r>
    <r>
      <rPr>
        <sz val="10"/>
        <rFont val="Arial Narrow"/>
        <family val="2"/>
      </rPr>
      <t>T</t>
    </r>
    <phoneticPr fontId="6" type="noConversion"/>
  </si>
  <si>
    <r>
      <rPr>
        <b/>
        <sz val="10"/>
        <rFont val="宋体"/>
        <family val="3"/>
        <charset val="134"/>
      </rPr>
      <t>债务成本</t>
    </r>
    <r>
      <rPr>
        <b/>
        <sz val="10"/>
        <rFont val="Arial Narrow"/>
        <family val="2"/>
      </rPr>
      <t>K</t>
    </r>
    <r>
      <rPr>
        <b/>
        <vertAlign val="subscript"/>
        <sz val="10"/>
        <rFont val="Arial Narrow"/>
        <family val="2"/>
      </rPr>
      <t>d</t>
    </r>
    <phoneticPr fontId="6" type="noConversion"/>
  </si>
  <si>
    <r>
      <rPr>
        <sz val="10"/>
        <rFont val="宋体"/>
        <family val="3"/>
        <charset val="134"/>
      </rPr>
      <t>无风险报酬率</t>
    </r>
    <r>
      <rPr>
        <sz val="10"/>
        <rFont val="Arial Narrow"/>
        <family val="2"/>
      </rPr>
      <t>Rf</t>
    </r>
    <phoneticPr fontId="6" type="noConversion"/>
  </si>
  <si>
    <r>
      <rPr>
        <sz val="10"/>
        <rFont val="宋体"/>
        <family val="3"/>
        <charset val="134"/>
      </rPr>
      <t>个别风险调整系数</t>
    </r>
    <r>
      <rPr>
        <sz val="10"/>
        <rFont val="Arial Narrow"/>
        <family val="2"/>
      </rPr>
      <t>Q</t>
    </r>
    <phoneticPr fontId="6" type="noConversion"/>
  </si>
  <si>
    <r>
      <t>WACC=K</t>
    </r>
    <r>
      <rPr>
        <b/>
        <vertAlign val="subscript"/>
        <sz val="10"/>
        <rFont val="Arial Narrow"/>
        <family val="2"/>
      </rPr>
      <t>e</t>
    </r>
    <r>
      <rPr>
        <b/>
        <sz val="10"/>
        <rFont val="Arial Narrow"/>
        <family val="2"/>
      </rPr>
      <t>×We+(1-T)K</t>
    </r>
    <r>
      <rPr>
        <b/>
        <vertAlign val="subscript"/>
        <sz val="10"/>
        <rFont val="Arial Narrow"/>
        <family val="2"/>
      </rPr>
      <t>d</t>
    </r>
    <r>
      <rPr>
        <b/>
        <sz val="10"/>
        <rFont val="Arial Narrow"/>
        <family val="2"/>
      </rPr>
      <t>×Wd</t>
    </r>
    <phoneticPr fontId="6" type="noConversion"/>
  </si>
  <si>
    <t>报表调平自动计算公式</t>
    <phoneticPr fontId="6" type="noConversion"/>
  </si>
  <si>
    <t>经营性投入资本的计算</t>
    <phoneticPr fontId="6" type="noConversion"/>
  </si>
  <si>
    <t>We=E/(D+E)</t>
    <phoneticPr fontId="6" type="noConversion"/>
  </si>
  <si>
    <t>Wd=D/(D+E)</t>
    <phoneticPr fontId="6" type="noConversion"/>
  </si>
  <si>
    <r>
      <rPr>
        <b/>
        <sz val="10"/>
        <rFont val="宋体"/>
        <family val="3"/>
        <charset val="134"/>
      </rPr>
      <t>付息债务</t>
    </r>
    <r>
      <rPr>
        <b/>
        <sz val="10"/>
        <rFont val="Arial Narrow"/>
        <family val="2"/>
      </rPr>
      <t>D</t>
    </r>
    <phoneticPr fontId="6" type="noConversion"/>
  </si>
  <si>
    <t>基准日长摊费用原值</t>
    <phoneticPr fontId="6" type="noConversion"/>
  </si>
  <si>
    <t>基准日长摊费用净值</t>
    <phoneticPr fontId="6" type="noConversion"/>
  </si>
  <si>
    <t>存量长摊费用摊销额</t>
    <phoneticPr fontId="6" type="noConversion"/>
  </si>
  <si>
    <t>新增长摊资产投入原值</t>
    <phoneticPr fontId="6" type="noConversion"/>
  </si>
  <si>
    <t>新增长摊费用摊销额</t>
    <phoneticPr fontId="6" type="noConversion"/>
  </si>
  <si>
    <t>长期费用摊销额小计</t>
    <phoneticPr fontId="6" type="noConversion"/>
  </si>
  <si>
    <t>本公式为单一折现率使用的年中折现调整系数，多折现率的公式尚未导出。</t>
    <phoneticPr fontId="6" type="noConversion"/>
  </si>
  <si>
    <t>无付息负债，无需迭代计算！</t>
    <phoneticPr fontId="6" type="noConversion"/>
  </si>
  <si>
    <r>
      <t>经营必备现金/收入</t>
    </r>
    <r>
      <rPr>
        <sz val="10"/>
        <color rgb="FFFF0000"/>
        <rFont val="宋体"/>
        <family val="3"/>
        <charset val="134"/>
      </rPr>
      <t>（检查）</t>
    </r>
    <phoneticPr fontId="6" type="noConversion"/>
  </si>
  <si>
    <t>加：收购无形资产的累计摊销额</t>
    <phoneticPr fontId="6" type="noConversion"/>
  </si>
  <si>
    <t>加：收购无形资产的累计摊销额</t>
    <phoneticPr fontId="6" type="noConversion"/>
  </si>
  <si>
    <t>借款明细核实如下</t>
    <phoneticPr fontId="6" type="noConversion"/>
  </si>
  <si>
    <t>是否相等？</t>
    <phoneticPr fontId="6" type="noConversion"/>
  </si>
  <si>
    <t>该行迭代计算得出</t>
    <phoneticPr fontId="6" type="noConversion"/>
  </si>
  <si>
    <t>经营最低保有现金</t>
    <phoneticPr fontId="6" type="noConversion"/>
  </si>
  <si>
    <t>检查核对</t>
    <phoneticPr fontId="6" type="noConversion"/>
  </si>
  <si>
    <t>递延所得税负债</t>
    <phoneticPr fontId="6" type="noConversion"/>
  </si>
  <si>
    <t>从融资来源计算，二者数据相同</t>
    <phoneticPr fontId="6" type="noConversion"/>
  </si>
  <si>
    <t>只有通过预测资产负债表计算才能得出。</t>
    <phoneticPr fontId="6" type="noConversion"/>
  </si>
  <si>
    <t>无“预测财报”表删除</t>
    <phoneticPr fontId="6" type="noConversion"/>
  </si>
  <si>
    <t>减：弥补以前年度亏损</t>
    <phoneticPr fontId="6" type="noConversion"/>
  </si>
  <si>
    <t>减：研发费用加计扣除</t>
    <phoneticPr fontId="6" type="noConversion"/>
  </si>
  <si>
    <t>减：其他纳税调减额</t>
    <phoneticPr fontId="6" type="noConversion"/>
  </si>
  <si>
    <t>加：其他纳税调增额</t>
    <phoneticPr fontId="6" type="noConversion"/>
  </si>
  <si>
    <t>应纳税所得额</t>
    <phoneticPr fontId="6" type="noConversion"/>
  </si>
  <si>
    <t>补充预测利润表用数据，无“预测财报”表删除下列数据！</t>
    <phoneticPr fontId="6" type="noConversion"/>
  </si>
  <si>
    <t>三、利润总额</t>
    <phoneticPr fontId="6" type="noConversion"/>
  </si>
  <si>
    <t>减：其他纳税调减额</t>
    <phoneticPr fontId="6" type="noConversion"/>
  </si>
  <si>
    <t>加：其他纳税调增额</t>
    <phoneticPr fontId="6" type="noConversion"/>
  </si>
  <si>
    <r>
      <rPr>
        <sz val="10"/>
        <rFont val="宋体"/>
        <family val="3"/>
        <charset val="134"/>
      </rPr>
      <t>减</t>
    </r>
    <r>
      <rPr>
        <sz val="10"/>
        <rFont val="Arial Narrow"/>
        <family val="2"/>
      </rPr>
      <t>:</t>
    </r>
    <r>
      <rPr>
        <sz val="10"/>
        <rFont val="宋体"/>
        <family val="3"/>
        <charset val="134"/>
      </rPr>
      <t>所得税费用</t>
    </r>
    <phoneticPr fontId="6" type="noConversion"/>
  </si>
  <si>
    <t>短期预测(期)：</t>
    <phoneticPr fontId="6" type="noConversion"/>
  </si>
  <si>
    <r>
      <rPr>
        <b/>
        <sz val="10"/>
        <rFont val="宋体"/>
        <family val="3"/>
        <charset val="134"/>
      </rPr>
      <t>项目（汇总）</t>
    </r>
    <phoneticPr fontId="6" type="noConversion"/>
  </si>
  <si>
    <t>生产人员工资及附加</t>
    <phoneticPr fontId="6" type="noConversion"/>
  </si>
  <si>
    <r>
      <rPr>
        <b/>
        <sz val="10"/>
        <rFont val="宋体"/>
        <family val="3"/>
        <charset val="134"/>
      </rPr>
      <t>项目</t>
    </r>
    <r>
      <rPr>
        <b/>
        <sz val="10"/>
        <rFont val="Arial"/>
        <family val="2"/>
      </rPr>
      <t>1</t>
    </r>
    <phoneticPr fontId="6" type="noConversion"/>
  </si>
  <si>
    <r>
      <rPr>
        <b/>
        <sz val="10"/>
        <rFont val="宋体"/>
        <family val="3"/>
        <charset val="134"/>
      </rPr>
      <t>项目</t>
    </r>
    <r>
      <rPr>
        <b/>
        <sz val="10"/>
        <rFont val="Arial"/>
        <family val="2"/>
      </rPr>
      <t>2</t>
    </r>
    <phoneticPr fontId="6" type="noConversion"/>
  </si>
  <si>
    <r>
      <rPr>
        <b/>
        <sz val="10"/>
        <rFont val="宋体"/>
        <family val="3"/>
        <charset val="134"/>
      </rPr>
      <t>项目</t>
    </r>
    <r>
      <rPr>
        <b/>
        <sz val="10"/>
        <rFont val="Arial"/>
        <family val="2"/>
      </rPr>
      <t>3</t>
    </r>
    <phoneticPr fontId="6" type="noConversion"/>
  </si>
  <si>
    <r>
      <rPr>
        <b/>
        <sz val="10"/>
        <rFont val="宋体"/>
        <family val="3"/>
        <charset val="134"/>
      </rPr>
      <t>项目</t>
    </r>
    <r>
      <rPr>
        <b/>
        <sz val="10"/>
        <rFont val="Arial"/>
        <family val="2"/>
      </rPr>
      <t>4</t>
    </r>
    <phoneticPr fontId="6" type="noConversion"/>
  </si>
  <si>
    <r>
      <rPr>
        <b/>
        <sz val="10"/>
        <rFont val="宋体"/>
        <family val="3"/>
        <charset val="134"/>
      </rPr>
      <t>项目</t>
    </r>
    <r>
      <rPr>
        <b/>
        <sz val="10"/>
        <rFont val="Arial"/>
        <family val="2"/>
      </rPr>
      <t>5</t>
    </r>
    <phoneticPr fontId="6" type="noConversion"/>
  </si>
  <si>
    <r>
      <t>按产品</t>
    </r>
    <r>
      <rPr>
        <b/>
        <sz val="12"/>
        <color rgb="FF0000CC"/>
        <rFont val="Arial Narrow"/>
        <family val="2"/>
      </rPr>
      <t>/</t>
    </r>
    <r>
      <rPr>
        <b/>
        <sz val="12"/>
        <color rgb="FF0000CC"/>
        <rFont val="宋体"/>
        <family val="3"/>
        <charset val="134"/>
      </rPr>
      <t>项目毛利率分析（方式二）</t>
    </r>
    <phoneticPr fontId="6" type="noConversion"/>
  </si>
  <si>
    <t>营业成本预测（生产型企业）（方式一）</t>
    <phoneticPr fontId="6" type="noConversion"/>
  </si>
  <si>
    <t>增值税销项</t>
    <phoneticPr fontId="6" type="noConversion"/>
  </si>
  <si>
    <t>增值税进项</t>
    <phoneticPr fontId="6" type="noConversion"/>
  </si>
  <si>
    <t>教育费附加</t>
    <phoneticPr fontId="6" type="noConversion"/>
  </si>
  <si>
    <t>按收入占比分析（方式一）</t>
    <phoneticPr fontId="6" type="noConversion"/>
  </si>
  <si>
    <t>分项目进行分析（方式二）</t>
    <phoneticPr fontId="6" type="noConversion"/>
  </si>
  <si>
    <t>实务中如果历史数据比较平稳，可采用下例简化处理。</t>
    <phoneticPr fontId="6" type="noConversion"/>
  </si>
  <si>
    <t>营改增后，该项无。</t>
    <phoneticPr fontId="6" type="noConversion"/>
  </si>
  <si>
    <t>实务中如果企业产品不单一，每种产品或服务适用的增值税率不同，以及金额较大，应分项目评估。示例如下</t>
    <phoneticPr fontId="6" type="noConversion"/>
  </si>
  <si>
    <t>未抵扣进项税</t>
    <phoneticPr fontId="6" type="noConversion"/>
  </si>
  <si>
    <t>水电费</t>
    <phoneticPr fontId="6" type="noConversion"/>
  </si>
  <si>
    <t>运输费</t>
    <phoneticPr fontId="6" type="noConversion"/>
  </si>
  <si>
    <t>直接材料进项税</t>
    <phoneticPr fontId="6" type="noConversion"/>
  </si>
  <si>
    <t>增值税销项税</t>
    <phoneticPr fontId="6" type="noConversion"/>
  </si>
  <si>
    <t>增值税进项税合计</t>
    <phoneticPr fontId="6" type="noConversion"/>
  </si>
  <si>
    <t>应交增值税</t>
    <phoneticPr fontId="6" type="noConversion"/>
  </si>
  <si>
    <t>招待费</t>
    <phoneticPr fontId="6" type="noConversion"/>
  </si>
  <si>
    <r>
      <rPr>
        <sz val="10"/>
        <rFont val="宋体"/>
        <family val="3"/>
        <charset val="134"/>
      </rPr>
      <t>广告</t>
    </r>
    <r>
      <rPr>
        <sz val="10"/>
        <rFont val="Arial Narrow"/>
        <family val="2"/>
      </rPr>
      <t>/</t>
    </r>
    <r>
      <rPr>
        <sz val="10"/>
        <rFont val="宋体"/>
        <family val="3"/>
        <charset val="134"/>
      </rPr>
      <t>宣传费</t>
    </r>
    <phoneticPr fontId="6" type="noConversion"/>
  </si>
  <si>
    <r>
      <rPr>
        <sz val="10"/>
        <rFont val="宋体"/>
        <family val="3"/>
        <charset val="134"/>
      </rPr>
      <t>商检</t>
    </r>
    <r>
      <rPr>
        <sz val="10"/>
        <rFont val="Arial Narrow"/>
        <family val="2"/>
      </rPr>
      <t>/</t>
    </r>
    <r>
      <rPr>
        <sz val="10"/>
        <rFont val="宋体"/>
        <family val="3"/>
        <charset val="134"/>
      </rPr>
      <t>报关费</t>
    </r>
    <phoneticPr fontId="6" type="noConversion"/>
  </si>
  <si>
    <r>
      <rPr>
        <sz val="10"/>
        <rFont val="宋体"/>
        <family val="3"/>
        <charset val="134"/>
      </rPr>
      <t>检定费</t>
    </r>
    <r>
      <rPr>
        <sz val="10"/>
        <rFont val="Arial Narrow"/>
        <family val="2"/>
      </rPr>
      <t>/</t>
    </r>
    <r>
      <rPr>
        <sz val="10"/>
        <rFont val="宋体"/>
        <family val="3"/>
        <charset val="134"/>
      </rPr>
      <t>检测费</t>
    </r>
    <phoneticPr fontId="6" type="noConversion"/>
  </si>
  <si>
    <t>工资</t>
    <phoneticPr fontId="6" type="noConversion"/>
  </si>
  <si>
    <t>社保费</t>
    <phoneticPr fontId="6" type="noConversion"/>
  </si>
  <si>
    <t>其他</t>
    <phoneticPr fontId="6" type="noConversion"/>
  </si>
  <si>
    <t>合计</t>
    <phoneticPr fontId="6" type="noConversion"/>
  </si>
  <si>
    <t>办公费</t>
    <phoneticPr fontId="6" type="noConversion"/>
  </si>
  <si>
    <t>通讯费</t>
    <phoneticPr fontId="6" type="noConversion"/>
  </si>
  <si>
    <t>汽车费</t>
    <phoneticPr fontId="6" type="noConversion"/>
  </si>
  <si>
    <t>社会保险费</t>
    <phoneticPr fontId="6" type="noConversion"/>
  </si>
  <si>
    <t>福利费</t>
    <phoneticPr fontId="6" type="noConversion"/>
  </si>
  <si>
    <t>折旧</t>
    <phoneticPr fontId="6" type="noConversion"/>
  </si>
  <si>
    <t>无形资产摊销</t>
    <phoneticPr fontId="6" type="noConversion"/>
  </si>
  <si>
    <t>长摊资产摊销</t>
    <phoneticPr fontId="6" type="noConversion"/>
  </si>
  <si>
    <t>培训费</t>
    <phoneticPr fontId="6" type="noConversion"/>
  </si>
  <si>
    <t>诉讼律师费</t>
    <phoneticPr fontId="6" type="noConversion"/>
  </si>
  <si>
    <t>工会经费</t>
    <phoneticPr fontId="6" type="noConversion"/>
  </si>
  <si>
    <t>住房公积金</t>
    <phoneticPr fontId="6" type="noConversion"/>
  </si>
  <si>
    <t>电费</t>
    <phoneticPr fontId="6" type="noConversion"/>
  </si>
  <si>
    <t>少于3个数据，无意义</t>
    <phoneticPr fontId="6" type="noConversion"/>
  </si>
  <si>
    <t>尽可能取得明细分项，同上分析。</t>
    <phoneticPr fontId="6" type="noConversion"/>
  </si>
  <si>
    <r>
      <rPr>
        <b/>
        <sz val="10"/>
        <rFont val="宋体"/>
        <family val="3"/>
        <charset val="134"/>
      </rPr>
      <t>新增借款</t>
    </r>
    <r>
      <rPr>
        <b/>
        <sz val="10"/>
        <rFont val="Arial Narrow"/>
        <family val="2"/>
      </rPr>
      <t>(</t>
    </r>
    <r>
      <rPr>
        <b/>
        <sz val="10"/>
        <rFont val="宋体"/>
        <family val="3"/>
        <charset val="134"/>
      </rPr>
      <t>由预测资产负债表计算得出</t>
    </r>
    <r>
      <rPr>
        <b/>
        <sz val="10"/>
        <rFont val="Arial Narrow"/>
        <family val="2"/>
      </rPr>
      <t>)</t>
    </r>
    <phoneticPr fontId="6" type="noConversion"/>
  </si>
  <si>
    <t>企业未来是否有资金缺口，需要融多少资金，</t>
    <phoneticPr fontId="6" type="noConversion"/>
  </si>
  <si>
    <r>
      <rPr>
        <sz val="10"/>
        <rFont val="宋体"/>
        <family val="3"/>
        <charset val="134"/>
      </rPr>
      <t>非流动资产（扣除</t>
    </r>
    <r>
      <rPr>
        <sz val="10"/>
        <rFont val="Arial"/>
        <family val="2"/>
      </rPr>
      <t>DTA</t>
    </r>
    <r>
      <rPr>
        <sz val="10"/>
        <rFont val="宋体"/>
        <family val="3"/>
        <charset val="134"/>
      </rPr>
      <t>）</t>
    </r>
    <phoneticPr fontId="6" type="noConversion"/>
  </si>
  <si>
    <r>
      <rPr>
        <sz val="10"/>
        <rFont val="宋体"/>
        <family val="3"/>
        <charset val="134"/>
      </rPr>
      <t>非付息非流动负债（扣除</t>
    </r>
    <r>
      <rPr>
        <sz val="10"/>
        <rFont val="Arial"/>
        <family val="2"/>
      </rPr>
      <t>DTL</t>
    </r>
    <r>
      <rPr>
        <sz val="10"/>
        <rFont val="宋体"/>
        <family val="3"/>
        <charset val="134"/>
      </rPr>
      <t>）</t>
    </r>
    <phoneticPr fontId="6" type="noConversion"/>
  </si>
  <si>
    <r>
      <t>V5.0</t>
    </r>
    <r>
      <rPr>
        <b/>
        <sz val="11"/>
        <color rgb="FF0000FF"/>
        <rFont val="宋体"/>
        <family val="3"/>
        <charset val="134"/>
      </rPr>
      <t>修改记录</t>
    </r>
    <phoneticPr fontId="6" type="noConversion"/>
  </si>
  <si>
    <r>
      <rPr>
        <sz val="11"/>
        <rFont val="宋体"/>
        <family val="3"/>
        <charset val="134"/>
      </rPr>
      <t>限制用途现金位置进行了移动；“</t>
    </r>
    <r>
      <rPr>
        <sz val="11"/>
        <rFont val="Arial"/>
        <family val="2"/>
      </rPr>
      <t>9</t>
    </r>
    <r>
      <rPr>
        <sz val="11"/>
        <rFont val="宋体"/>
        <family val="3"/>
        <charset val="134"/>
      </rPr>
      <t>溢余现金”、“</t>
    </r>
    <r>
      <rPr>
        <sz val="11"/>
        <rFont val="Arial"/>
        <family val="2"/>
      </rPr>
      <t>10</t>
    </r>
    <r>
      <rPr>
        <sz val="11"/>
        <rFont val="宋体"/>
        <family val="3"/>
        <charset val="134"/>
      </rPr>
      <t>营运”，增加了历史数据分析，反映趋势变化。</t>
    </r>
    <phoneticPr fontId="6" type="noConversion"/>
  </si>
  <si>
    <t>预测资产负债表可以合理分析企业未来的借款金额。</t>
    <phoneticPr fontId="6" type="noConversion"/>
  </si>
  <si>
    <r>
      <t>1</t>
    </r>
    <r>
      <rPr>
        <sz val="11"/>
        <rFont val="宋体"/>
        <family val="3"/>
        <charset val="134"/>
      </rPr>
      <t>、表</t>
    </r>
    <r>
      <rPr>
        <sz val="11"/>
        <rFont val="Arial"/>
        <family val="2"/>
      </rPr>
      <t>“7</t>
    </r>
    <r>
      <rPr>
        <sz val="11"/>
        <rFont val="宋体"/>
        <family val="3"/>
        <charset val="134"/>
      </rPr>
      <t>折旧</t>
    </r>
    <r>
      <rPr>
        <sz val="11"/>
        <rFont val="Arial"/>
        <family val="2"/>
      </rPr>
      <t>”</t>
    </r>
    <r>
      <rPr>
        <sz val="11"/>
        <rFont val="宋体"/>
        <family val="3"/>
        <charset val="134"/>
      </rPr>
      <t>、</t>
    </r>
    <r>
      <rPr>
        <sz val="11"/>
        <rFont val="Arial"/>
        <family val="2"/>
      </rPr>
      <t>“8</t>
    </r>
    <r>
      <rPr>
        <sz val="11"/>
        <rFont val="宋体"/>
        <family val="3"/>
        <charset val="134"/>
      </rPr>
      <t>摊销</t>
    </r>
    <r>
      <rPr>
        <sz val="11"/>
        <rFont val="Arial"/>
        <family val="2"/>
      </rPr>
      <t>”</t>
    </r>
    <r>
      <rPr>
        <sz val="11"/>
        <rFont val="宋体"/>
        <family val="3"/>
        <charset val="134"/>
      </rPr>
      <t>、</t>
    </r>
    <r>
      <rPr>
        <sz val="11"/>
        <rFont val="Arial"/>
        <family val="2"/>
      </rPr>
      <t>“9</t>
    </r>
    <r>
      <rPr>
        <sz val="11"/>
        <rFont val="宋体"/>
        <family val="3"/>
        <charset val="134"/>
      </rPr>
      <t>溢余现金</t>
    </r>
    <r>
      <rPr>
        <sz val="11"/>
        <rFont val="Arial"/>
        <family val="2"/>
      </rPr>
      <t>”</t>
    </r>
    <r>
      <rPr>
        <sz val="11"/>
        <rFont val="宋体"/>
        <family val="3"/>
        <charset val="134"/>
      </rPr>
      <t>、</t>
    </r>
    <r>
      <rPr>
        <sz val="11"/>
        <rFont val="Arial"/>
        <family val="2"/>
      </rPr>
      <t>“10</t>
    </r>
    <r>
      <rPr>
        <sz val="11"/>
        <rFont val="宋体"/>
        <family val="3"/>
        <charset val="134"/>
      </rPr>
      <t>营运</t>
    </r>
    <r>
      <rPr>
        <sz val="11"/>
        <rFont val="Arial"/>
        <family val="2"/>
      </rPr>
      <t>”</t>
    </r>
    <r>
      <rPr>
        <sz val="11"/>
        <rFont val="宋体"/>
        <family val="3"/>
        <charset val="134"/>
      </rPr>
      <t>进行拆分，表“</t>
    </r>
    <r>
      <rPr>
        <sz val="11"/>
        <rFont val="Arial"/>
        <family val="2"/>
      </rPr>
      <t>7</t>
    </r>
    <r>
      <rPr>
        <sz val="11"/>
        <rFont val="宋体"/>
        <family val="3"/>
        <charset val="134"/>
      </rPr>
      <t>折旧”和“</t>
    </r>
    <r>
      <rPr>
        <sz val="11"/>
        <rFont val="Arial"/>
        <family val="2"/>
      </rPr>
      <t>8</t>
    </r>
    <r>
      <rPr>
        <sz val="11"/>
        <rFont val="宋体"/>
        <family val="3"/>
        <charset val="134"/>
      </rPr>
      <t>摊销”“</t>
    </r>
    <r>
      <rPr>
        <sz val="11"/>
        <rFont val="Arial"/>
        <family val="2"/>
      </rPr>
      <t>+</t>
    </r>
    <r>
      <rPr>
        <sz val="11"/>
        <rFont val="宋体"/>
        <family val="3"/>
        <charset val="134"/>
      </rPr>
      <t>”后隐藏的是自动计算公式，一般无需改动。</t>
    </r>
    <phoneticPr fontId="6" type="noConversion"/>
  </si>
  <si>
    <r>
      <t>2</t>
    </r>
    <r>
      <rPr>
        <sz val="11"/>
        <rFont val="宋体"/>
        <family val="3"/>
        <charset val="134"/>
      </rPr>
      <t>、表“预测财报”布局调整：增加完成资产负债表、利润表剩余项目，后面报表自动计算得出财务指标，用于分析历史与未来趋势。</t>
    </r>
    <phoneticPr fontId="6" type="noConversion"/>
  </si>
  <si>
    <r>
      <t>3</t>
    </r>
    <r>
      <rPr>
        <sz val="11"/>
        <rFont val="宋体"/>
        <family val="3"/>
        <charset val="134"/>
      </rPr>
      <t>、表</t>
    </r>
    <r>
      <rPr>
        <sz val="11"/>
        <rFont val="Arial"/>
        <family val="2"/>
      </rPr>
      <t>“9</t>
    </r>
    <r>
      <rPr>
        <sz val="11"/>
        <rFont val="宋体"/>
        <family val="3"/>
        <charset val="134"/>
      </rPr>
      <t>财务费用</t>
    </r>
    <r>
      <rPr>
        <sz val="11"/>
        <rFont val="Arial"/>
        <family val="2"/>
      </rPr>
      <t>”</t>
    </r>
    <r>
      <rPr>
        <sz val="11"/>
        <rFont val="宋体"/>
        <family val="3"/>
        <charset val="134"/>
      </rPr>
      <t>末端行增加</t>
    </r>
    <r>
      <rPr>
        <sz val="11"/>
        <rFont val="Arial"/>
        <family val="2"/>
      </rPr>
      <t>(</t>
    </r>
    <r>
      <rPr>
        <sz val="11"/>
        <rFont val="宋体"/>
        <family val="3"/>
        <charset val="134"/>
      </rPr>
      <t>由预测资产负债表计算得出</t>
    </r>
    <r>
      <rPr>
        <sz val="11"/>
        <rFont val="Arial"/>
        <family val="2"/>
      </rPr>
      <t>)</t>
    </r>
    <r>
      <rPr>
        <sz val="11"/>
        <rFont val="宋体"/>
        <family val="3"/>
        <charset val="134"/>
      </rPr>
      <t>新增借款，反映企业未来是否有资金缺口，需要融多少资金。</t>
    </r>
    <phoneticPr fontId="6" type="noConversion"/>
  </si>
  <si>
    <r>
      <t>4</t>
    </r>
    <r>
      <rPr>
        <sz val="11"/>
        <rFont val="宋体"/>
        <family val="3"/>
        <charset val="134"/>
      </rPr>
      <t>、表</t>
    </r>
    <r>
      <rPr>
        <sz val="11"/>
        <rFont val="Arial"/>
        <family val="2"/>
      </rPr>
      <t>“13FCFF”</t>
    </r>
    <r>
      <rPr>
        <sz val="11"/>
        <rFont val="宋体"/>
        <family val="3"/>
        <charset val="134"/>
      </rPr>
      <t>修改折现率计算方法</t>
    </r>
    <r>
      <rPr>
        <sz val="11"/>
        <rFont val="Arial"/>
        <family val="2"/>
      </rPr>
      <t>——</t>
    </r>
    <r>
      <rPr>
        <sz val="11"/>
        <rFont val="宋体"/>
        <family val="3"/>
        <charset val="134"/>
      </rPr>
      <t>迭代计算。</t>
    </r>
    <phoneticPr fontId="6" type="noConversion"/>
  </si>
  <si>
    <t>投资性房地产</t>
    <phoneticPr fontId="6" type="noConversion"/>
  </si>
  <si>
    <t>存货</t>
    <phoneticPr fontId="6" type="noConversion"/>
  </si>
  <si>
    <t>一年内到期的非流动资产</t>
    <phoneticPr fontId="6" type="noConversion"/>
  </si>
  <si>
    <t>流动资产合计</t>
    <phoneticPr fontId="6" type="noConversion"/>
  </si>
  <si>
    <t>可供出售金融资产</t>
    <phoneticPr fontId="6" type="noConversion"/>
  </si>
  <si>
    <t>持有至到期投资</t>
    <phoneticPr fontId="6" type="noConversion"/>
  </si>
  <si>
    <t>长期应收款</t>
    <phoneticPr fontId="6" type="noConversion"/>
  </si>
  <si>
    <t>长期股权投资</t>
    <phoneticPr fontId="6" type="noConversion"/>
  </si>
  <si>
    <t>固定资产</t>
    <phoneticPr fontId="6" type="noConversion"/>
  </si>
  <si>
    <t>在建工程</t>
    <phoneticPr fontId="6" type="noConversion"/>
  </si>
  <si>
    <t>生产性生物资产</t>
    <phoneticPr fontId="6" type="noConversion"/>
  </si>
  <si>
    <t>油气资产</t>
    <phoneticPr fontId="6" type="noConversion"/>
  </si>
  <si>
    <t>无形资产</t>
    <phoneticPr fontId="6" type="noConversion"/>
  </si>
  <si>
    <t>商誉</t>
    <phoneticPr fontId="6" type="noConversion"/>
  </si>
  <si>
    <t>长期待摊费用</t>
    <phoneticPr fontId="6" type="noConversion"/>
  </si>
  <si>
    <t>递延所得税资产</t>
    <phoneticPr fontId="6" type="noConversion"/>
  </si>
  <si>
    <t>其他非流动资产</t>
    <phoneticPr fontId="6" type="noConversion"/>
  </si>
  <si>
    <t>非流动资产合计</t>
    <phoneticPr fontId="6" type="noConversion"/>
  </si>
  <si>
    <t>资产总计</t>
    <phoneticPr fontId="6" type="noConversion"/>
  </si>
  <si>
    <t>货币资金</t>
    <phoneticPr fontId="6" type="noConversion"/>
  </si>
  <si>
    <t>应收利息</t>
    <phoneticPr fontId="6" type="noConversion"/>
  </si>
  <si>
    <t>应收股利</t>
    <phoneticPr fontId="6" type="noConversion"/>
  </si>
  <si>
    <t>非流动资产：</t>
    <phoneticPr fontId="6" type="noConversion"/>
  </si>
  <si>
    <t>流动资产：</t>
    <phoneticPr fontId="6" type="noConversion"/>
  </si>
  <si>
    <t>流动负债：</t>
    <phoneticPr fontId="6" type="noConversion"/>
  </si>
  <si>
    <t>短期借款</t>
    <phoneticPr fontId="6" type="noConversion"/>
  </si>
  <si>
    <t>以公允价值计量且其变动计入当期损益的金融负债</t>
    <phoneticPr fontId="6" type="noConversion"/>
  </si>
  <si>
    <t>预收款项</t>
    <phoneticPr fontId="6" type="noConversion"/>
  </si>
  <si>
    <t>应付职工薪酬</t>
    <phoneticPr fontId="6" type="noConversion"/>
  </si>
  <si>
    <t>应交税费</t>
    <phoneticPr fontId="6" type="noConversion"/>
  </si>
  <si>
    <t>应付利息</t>
    <phoneticPr fontId="6" type="noConversion"/>
  </si>
  <si>
    <t>应付股利</t>
    <phoneticPr fontId="6" type="noConversion"/>
  </si>
  <si>
    <t>其他应付款</t>
    <phoneticPr fontId="6" type="noConversion"/>
  </si>
  <si>
    <t>一年内到期的非流动负债</t>
    <phoneticPr fontId="6" type="noConversion"/>
  </si>
  <si>
    <t>其他流动负债</t>
    <phoneticPr fontId="6" type="noConversion"/>
  </si>
  <si>
    <t>流动负债合计</t>
    <phoneticPr fontId="6" type="noConversion"/>
  </si>
  <si>
    <t>非流动负债：</t>
    <phoneticPr fontId="6" type="noConversion"/>
  </si>
  <si>
    <t>负债和所有者权益总计</t>
    <phoneticPr fontId="6" type="noConversion"/>
  </si>
  <si>
    <r>
      <rPr>
        <sz val="11"/>
        <rFont val="宋体"/>
        <family val="3"/>
        <charset val="134"/>
      </rPr>
      <t>预付款项</t>
    </r>
  </si>
  <si>
    <r>
      <rPr>
        <sz val="11"/>
        <rFont val="宋体"/>
        <family val="3"/>
        <charset val="134"/>
      </rPr>
      <t>费用性质无票挂账款项</t>
    </r>
  </si>
  <si>
    <r>
      <rPr>
        <sz val="11"/>
        <rFont val="宋体"/>
        <family val="3"/>
        <charset val="134"/>
      </rPr>
      <t>其他应收款</t>
    </r>
  </si>
  <si>
    <r>
      <rPr>
        <sz val="11"/>
        <rFont val="宋体"/>
        <family val="3"/>
        <charset val="134"/>
      </rPr>
      <t>世博宝得冷热科技江阴有限公司</t>
    </r>
  </si>
  <si>
    <r>
      <rPr>
        <sz val="11"/>
        <rFont val="宋体"/>
        <family val="3"/>
        <charset val="134"/>
      </rPr>
      <t>员工暂借款</t>
    </r>
  </si>
  <si>
    <t>合计</t>
    <phoneticPr fontId="6" type="noConversion"/>
  </si>
  <si>
    <t>1、表“7折旧”行42即“期末设备类账面净值”公式汇总错误，已修改。该行数据不影响估值，但影响“预测财报”数据。</t>
    <phoneticPr fontId="6" type="noConversion"/>
  </si>
  <si>
    <r>
      <t>V5.1</t>
    </r>
    <r>
      <rPr>
        <b/>
        <sz val="11"/>
        <color rgb="FF0000FF"/>
        <rFont val="宋体"/>
        <family val="3"/>
        <charset val="134"/>
      </rPr>
      <t>修改记录</t>
    </r>
    <phoneticPr fontId="6" type="noConversion"/>
  </si>
  <si>
    <t>基准日已提足折旧建筑类账面原值</t>
    <phoneticPr fontId="6" type="noConversion"/>
  </si>
  <si>
    <t>基准日未提足折旧建筑类账面原值</t>
    <phoneticPr fontId="6" type="noConversion"/>
  </si>
  <si>
    <t>基准日已提足折旧设备类账面原值</t>
    <phoneticPr fontId="6" type="noConversion"/>
  </si>
  <si>
    <t>基准日未提足折旧设备类账面原值</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</si>
</sst>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1">
    <numFmt numFmtId="8" formatCode="&quot;¥&quot;#,##0.00;[Red]&quot;¥&quot;\-#,##0.00"/>
    <numFmt numFmtId="41" formatCode="_ * #,##0_ ;_ * \-#,##0_ ;_ * &quot;-&quot;_ ;_ @_ "/>
    <numFmt numFmtId="43" formatCode="_ * #,##0.00_ ;_ * \-#,##0.00_ ;_ * &quot;-&quot;??_ ;_ @_ "/>
    <numFmt numFmtId="176" formatCode="#,##0.00_ ;[Red]\-#,##0.00\ "/>
    <numFmt numFmtId="177" formatCode="#,##0.000_ ;[Red]\-#,##0.000\ "/>
    <numFmt numFmtId="178" formatCode="#,##0_ ;[Red]\-#,##0\ "/>
    <numFmt numFmtId="179" formatCode="#,##0.00_ "/>
    <numFmt numFmtId="180" formatCode="0.0%"/>
    <numFmt numFmtId="181" formatCode="#,##0.0000_ ;[Red]\-#,##0.0000\ "/>
    <numFmt numFmtId="182" formatCode="_ * #,##0_ ;_ * \-#,##0_ ;_ * &quot;-&quot;??_ ;_ @_ "/>
    <numFmt numFmtId="183" formatCode="_(&quot;$&quot;* #,##0.00_);_(&quot;$&quot;* \(#,##0.00\);_(&quot;$&quot;* &quot;-&quot;??_);_(@_)"/>
    <numFmt numFmtId="184" formatCode="_ * #,##0.00_ ;_ * \-#,##0.00_ ;_ * &quot;-&quot;_ ;_ @_ "/>
    <numFmt numFmtId="185" formatCode="0.0000_ "/>
    <numFmt numFmtId="186" formatCode="#,##0_ "/>
    <numFmt numFmtId="187" formatCode="_(&quot;$&quot;* #,##0_);_(&quot;$&quot;* \(#,##0\);_(&quot;$&quot;* &quot;-&quot;_);_(@_)"/>
    <numFmt numFmtId="188" formatCode="0.0000000"/>
    <numFmt numFmtId="189" formatCode="0.000000"/>
    <numFmt numFmtId="190" formatCode="0.00000000"/>
    <numFmt numFmtId="191" formatCode="yyyy\-mm\-dd;@"/>
    <numFmt numFmtId="192" formatCode="[$-F800]dddd\,\ mmmm\ dd\,\ yyyy"/>
    <numFmt numFmtId="193" formatCode="_ * #,##0.0_ ;_ * \-#,##0.0_ ;_ * &quot;-&quot;??_ ;_ @_ "/>
  </numFmts>
  <fonts count="125">
    <font>
      <sz val="12"/>
      <name val="宋体"/>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2"/>
      <name val="宋体"/>
      <family val="3"/>
      <charset val="134"/>
    </font>
    <font>
      <sz val="9"/>
      <name val="宋体"/>
      <family val="3"/>
      <charset val="134"/>
    </font>
    <font>
      <sz val="11"/>
      <name val="宋体"/>
      <family val="3"/>
      <charset val="134"/>
    </font>
    <font>
      <sz val="12"/>
      <name val="Arial Narrow"/>
      <family val="2"/>
    </font>
    <font>
      <sz val="10"/>
      <color indexed="10"/>
      <name val="宋体"/>
      <family val="3"/>
      <charset val="134"/>
    </font>
    <font>
      <sz val="12"/>
      <name val="宋体"/>
      <family val="3"/>
      <charset val="134"/>
    </font>
    <font>
      <sz val="10"/>
      <color indexed="10"/>
      <name val="Arial Narrow"/>
      <family val="2"/>
    </font>
    <font>
      <sz val="10"/>
      <name val="宋体"/>
      <family val="3"/>
      <charset val="134"/>
    </font>
    <font>
      <sz val="10"/>
      <name val="Arial Narrow"/>
      <family val="2"/>
    </font>
    <font>
      <sz val="11"/>
      <name val="Arial Narrow"/>
      <family val="2"/>
    </font>
    <font>
      <b/>
      <sz val="10"/>
      <name val="Arial Narrow"/>
      <family val="2"/>
    </font>
    <font>
      <b/>
      <sz val="10"/>
      <color indexed="8"/>
      <name val="Arial Narrow"/>
      <family val="2"/>
    </font>
    <font>
      <b/>
      <sz val="10"/>
      <name val="宋体"/>
      <family val="3"/>
      <charset val="134"/>
    </font>
    <font>
      <b/>
      <sz val="10"/>
      <color indexed="8"/>
      <name val="宋体"/>
      <family val="3"/>
      <charset val="134"/>
    </font>
    <font>
      <b/>
      <sz val="10"/>
      <color indexed="10"/>
      <name val="宋体"/>
      <family val="3"/>
      <charset val="134"/>
    </font>
    <font>
      <sz val="10"/>
      <name val="Arial"/>
      <family val="2"/>
    </font>
    <font>
      <vertAlign val="subscript"/>
      <sz val="10"/>
      <name val="Arial Narrow"/>
      <family val="2"/>
    </font>
    <font>
      <sz val="9"/>
      <color indexed="81"/>
      <name val="宋体"/>
      <family val="3"/>
      <charset val="134"/>
    </font>
    <font>
      <sz val="10"/>
      <color rgb="FFFF0000"/>
      <name val="Arial Narrow"/>
      <family val="2"/>
    </font>
    <font>
      <sz val="10"/>
      <color rgb="FFFF0000"/>
      <name val="宋体"/>
      <family val="3"/>
      <charset val="134"/>
    </font>
    <font>
      <sz val="10"/>
      <color rgb="FF0000FF"/>
      <name val="宋体"/>
      <family val="3"/>
      <charset val="134"/>
    </font>
    <font>
      <sz val="10"/>
      <color rgb="FF0000FF"/>
      <name val="Arial Narrow"/>
      <family val="2"/>
    </font>
    <font>
      <sz val="10"/>
      <color rgb="FF0000CC"/>
      <name val="Arial Narrow"/>
      <family val="2"/>
    </font>
    <font>
      <b/>
      <sz val="10"/>
      <color rgb="FF0000CC"/>
      <name val="宋体"/>
      <family val="3"/>
      <charset val="134"/>
    </font>
    <font>
      <sz val="10"/>
      <color rgb="FF0000CC"/>
      <name val="宋体"/>
      <family val="3"/>
      <charset val="134"/>
    </font>
    <font>
      <b/>
      <sz val="10"/>
      <color rgb="FF0000CC"/>
      <name val="Arial Narrow"/>
      <family val="2"/>
    </font>
    <font>
      <sz val="10"/>
      <color theme="1"/>
      <name val="宋体"/>
      <family val="3"/>
      <charset val="134"/>
    </font>
    <font>
      <b/>
      <sz val="9"/>
      <color indexed="81"/>
      <name val="宋体"/>
      <family val="3"/>
      <charset val="134"/>
    </font>
    <font>
      <b/>
      <sz val="10"/>
      <color rgb="FFFF0000"/>
      <name val="宋体"/>
      <family val="3"/>
      <charset val="134"/>
    </font>
    <font>
      <sz val="12"/>
      <name val="宋体"/>
      <family val="3"/>
      <charset val="134"/>
    </font>
    <font>
      <b/>
      <sz val="10"/>
      <color rgb="FF0000FF"/>
      <name val="宋体"/>
      <family val="3"/>
      <charset val="134"/>
    </font>
    <font>
      <b/>
      <sz val="10"/>
      <color theme="1"/>
      <name val="Arial Narrow"/>
      <family val="2"/>
    </font>
    <font>
      <sz val="11"/>
      <color theme="0"/>
      <name val="Arial Narrow"/>
      <family val="2"/>
    </font>
    <font>
      <sz val="9"/>
      <name val="宋体"/>
      <family val="3"/>
      <charset val="134"/>
      <scheme val="minor"/>
    </font>
    <font>
      <sz val="10"/>
      <color theme="1"/>
      <name val="Arial Narrow"/>
      <family val="2"/>
    </font>
    <font>
      <b/>
      <sz val="10"/>
      <color theme="1"/>
      <name val="宋体"/>
      <family val="3"/>
      <charset val="134"/>
    </font>
    <font>
      <b/>
      <sz val="11"/>
      <color rgb="FFFF0000"/>
      <name val="宋体"/>
      <family val="3"/>
      <charset val="134"/>
    </font>
    <font>
      <sz val="12"/>
      <name val="Arial"/>
      <family val="2"/>
    </font>
    <font>
      <b/>
      <sz val="12"/>
      <name val="宋体"/>
      <family val="3"/>
      <charset val="134"/>
    </font>
    <font>
      <sz val="11"/>
      <name val="Arial"/>
      <family val="2"/>
    </font>
    <font>
      <b/>
      <sz val="10"/>
      <color rgb="FFFF0000"/>
      <name val="Arial Narrow"/>
      <family val="2"/>
    </font>
    <font>
      <i/>
      <sz val="10"/>
      <color rgb="FF0000CC"/>
      <name val="Arial Narrow"/>
      <family val="2"/>
    </font>
    <font>
      <i/>
      <sz val="10"/>
      <color rgb="FF0000FF"/>
      <name val="Arial Narrow"/>
      <family val="2"/>
    </font>
    <font>
      <i/>
      <sz val="10"/>
      <name val="Arial Narrow"/>
      <family val="2"/>
    </font>
    <font>
      <sz val="11"/>
      <color rgb="FFFF0000"/>
      <name val="宋体"/>
      <family val="3"/>
      <charset val="134"/>
    </font>
    <font>
      <sz val="11"/>
      <color rgb="FFFF0000"/>
      <name val="Arial Narrow"/>
      <family val="2"/>
    </font>
    <font>
      <sz val="9"/>
      <color indexed="10"/>
      <name val="宋体"/>
      <family val="3"/>
      <charset val="134"/>
    </font>
    <font>
      <b/>
      <sz val="12"/>
      <color rgb="FF0000CC"/>
      <name val="宋体"/>
      <family val="3"/>
      <charset val="134"/>
    </font>
    <font>
      <b/>
      <sz val="11"/>
      <name val="Arial Narrow"/>
      <family val="2"/>
    </font>
    <font>
      <b/>
      <sz val="20"/>
      <name val="宋体"/>
      <family val="3"/>
      <charset val="134"/>
    </font>
    <font>
      <b/>
      <sz val="20"/>
      <name val="Arial"/>
      <family val="2"/>
    </font>
    <font>
      <sz val="10"/>
      <color rgb="FFFF0000"/>
      <name val="Arial"/>
      <family val="2"/>
    </font>
    <font>
      <b/>
      <sz val="12"/>
      <color rgb="FFFF0000"/>
      <name val="宋体"/>
      <family val="3"/>
      <charset val="134"/>
    </font>
    <font>
      <b/>
      <sz val="12"/>
      <name val="Arial Narrow"/>
      <family val="2"/>
    </font>
    <font>
      <b/>
      <sz val="14"/>
      <name val="Arial Narrow"/>
      <family val="2"/>
    </font>
    <font>
      <b/>
      <sz val="8"/>
      <name val="Arial"/>
      <family val="2"/>
    </font>
    <font>
      <sz val="20"/>
      <name val="Letter Gothic (W1)"/>
      <family val="1"/>
    </font>
    <font>
      <sz val="8"/>
      <name val="Arial"/>
      <family val="2"/>
    </font>
    <font>
      <sz val="7"/>
      <name val="Small Fonts"/>
      <family val="2"/>
    </font>
    <font>
      <b/>
      <i/>
      <sz val="16"/>
      <name val="Helv"/>
      <family val="2"/>
    </font>
    <font>
      <sz val="10"/>
      <name val="Times New Roman"/>
      <family val="1"/>
    </font>
    <font>
      <b/>
      <sz val="12"/>
      <name val="MS Sans Serif"/>
      <family val="2"/>
    </font>
    <font>
      <sz val="12"/>
      <name val="MS Sans Serif"/>
      <family val="2"/>
    </font>
    <font>
      <sz val="11"/>
      <color theme="1"/>
      <name val="宋体"/>
      <family val="3"/>
      <charset val="134"/>
      <scheme val="minor"/>
    </font>
    <font>
      <sz val="10"/>
      <color theme="1"/>
      <name val="宋体"/>
      <family val="3"/>
      <charset val="134"/>
      <scheme val="minor"/>
    </font>
    <font>
      <sz val="12"/>
      <name val="Times New Roman"/>
      <family val="1"/>
    </font>
    <font>
      <b/>
      <sz val="10"/>
      <name val="MS Sans Serif"/>
      <family val="2"/>
    </font>
    <font>
      <b/>
      <sz val="12"/>
      <name val="Times New Roman"/>
      <family val="1"/>
    </font>
    <font>
      <sz val="11"/>
      <name val="蹈框"/>
      <family val="2"/>
    </font>
    <font>
      <sz val="11"/>
      <name val="ＭＳ Ｐゴシック"/>
      <family val="2"/>
    </font>
    <font>
      <sz val="12"/>
      <name val="바탕체"/>
      <family val="3"/>
    </font>
    <font>
      <b/>
      <sz val="16"/>
      <name val="隶书"/>
      <family val="3"/>
      <charset val="134"/>
    </font>
    <font>
      <b/>
      <sz val="16"/>
      <name val="Arial Narrow"/>
      <family val="2"/>
    </font>
    <font>
      <sz val="11"/>
      <color rgb="FF0000FF"/>
      <name val="Arial Narrow"/>
      <family val="2"/>
    </font>
    <font>
      <b/>
      <sz val="10"/>
      <color theme="5" tint="-0.249977111117893"/>
      <name val="Arial Narrow"/>
      <family val="2"/>
    </font>
    <font>
      <b/>
      <sz val="9"/>
      <name val="宋体"/>
      <family val="3"/>
      <charset val="134"/>
    </font>
    <font>
      <b/>
      <sz val="12"/>
      <name val="微软雅黑"/>
      <family val="2"/>
      <charset val="134"/>
    </font>
    <font>
      <b/>
      <sz val="11"/>
      <color indexed="8"/>
      <name val="宋体"/>
      <family val="3"/>
      <charset val="134"/>
    </font>
    <font>
      <sz val="11"/>
      <color indexed="8"/>
      <name val="宋体"/>
      <family val="3"/>
      <charset val="134"/>
    </font>
    <font>
      <b/>
      <sz val="11"/>
      <color indexed="8"/>
      <name val="Arial Narrow"/>
      <family val="2"/>
    </font>
    <font>
      <b/>
      <sz val="11"/>
      <color indexed="12"/>
      <name val="Arial Narrow"/>
      <family val="2"/>
    </font>
    <font>
      <b/>
      <sz val="11"/>
      <name val="宋体"/>
      <family val="3"/>
      <charset val="134"/>
    </font>
    <font>
      <sz val="11"/>
      <color indexed="8"/>
      <name val="Arial Narrow"/>
      <family val="2"/>
    </font>
    <font>
      <sz val="11"/>
      <name val="微软雅黑"/>
      <family val="2"/>
      <charset val="134"/>
    </font>
    <font>
      <b/>
      <sz val="11"/>
      <color rgb="FFC00000"/>
      <name val="微软雅黑"/>
      <family val="2"/>
      <charset val="134"/>
    </font>
    <font>
      <sz val="11"/>
      <color rgb="FF0000FF"/>
      <name val="宋体"/>
      <family val="3"/>
      <charset val="134"/>
    </font>
    <font>
      <sz val="10"/>
      <color theme="1"/>
      <name val="Arial"/>
      <family val="2"/>
    </font>
    <font>
      <sz val="9"/>
      <name val="宋体"/>
      <family val="2"/>
      <charset val="134"/>
      <scheme val="minor"/>
    </font>
    <font>
      <i/>
      <sz val="10"/>
      <color rgb="FF0000FF"/>
      <name val="宋体"/>
      <family val="3"/>
      <charset val="134"/>
    </font>
    <font>
      <b/>
      <sz val="11"/>
      <color rgb="FF0000FF"/>
      <name val="宋体"/>
      <family val="3"/>
      <charset val="134"/>
    </font>
    <font>
      <b/>
      <sz val="20"/>
      <name val="微软雅黑"/>
      <family val="2"/>
      <charset val="134"/>
    </font>
    <font>
      <b/>
      <sz val="10"/>
      <color rgb="FF0000FF"/>
      <name val="Arial Narrow"/>
      <family val="2"/>
    </font>
    <font>
      <b/>
      <sz val="10"/>
      <color rgb="FFC00000"/>
      <name val="微软雅黑"/>
      <family val="2"/>
      <charset val="134"/>
    </font>
    <font>
      <b/>
      <sz val="11"/>
      <name val="微软雅黑"/>
      <family val="2"/>
      <charset val="134"/>
    </font>
    <font>
      <b/>
      <sz val="10"/>
      <color indexed="10"/>
      <name val="Arial Narrow"/>
      <family val="2"/>
    </font>
    <font>
      <sz val="11"/>
      <color rgb="FF0000CC"/>
      <name val="Arial Narrow"/>
      <family val="2"/>
    </font>
    <font>
      <b/>
      <sz val="11"/>
      <color rgb="FFFF0000"/>
      <name val="Arial Narrow"/>
      <family val="2"/>
    </font>
    <font>
      <b/>
      <sz val="10"/>
      <color rgb="FF0000CC"/>
      <name val="微软雅黑"/>
      <family val="2"/>
      <charset val="134"/>
    </font>
    <font>
      <b/>
      <sz val="10"/>
      <color rgb="FF0000FF"/>
      <name val="微软雅黑"/>
      <family val="2"/>
      <charset val="134"/>
    </font>
    <font>
      <b/>
      <sz val="11"/>
      <color rgb="FF0000FF"/>
      <name val="Arial Narrow"/>
      <family val="2"/>
    </font>
    <font>
      <b/>
      <sz val="14"/>
      <color rgb="FF0000CC"/>
      <name val="微软雅黑"/>
      <family val="2"/>
      <charset val="134"/>
    </font>
    <font>
      <i/>
      <sz val="11"/>
      <name val="Arial Narrow"/>
      <family val="2"/>
    </font>
    <font>
      <i/>
      <sz val="11"/>
      <color rgb="FF0000FF"/>
      <name val="Arial Narrow"/>
      <family val="2"/>
    </font>
    <font>
      <b/>
      <sz val="20"/>
      <color rgb="FFFF0000"/>
      <name val="微软雅黑"/>
      <family val="2"/>
      <charset val="134"/>
    </font>
    <font>
      <b/>
      <sz val="12"/>
      <color rgb="FF0000CC"/>
      <name val="Arial Narrow"/>
      <family val="2"/>
    </font>
    <font>
      <b/>
      <sz val="10"/>
      <name val="微软雅黑"/>
      <family val="2"/>
      <charset val="134"/>
    </font>
    <font>
      <b/>
      <sz val="11"/>
      <color rgb="FF0000FF"/>
      <name val="Arial"/>
      <family val="2"/>
    </font>
    <font>
      <b/>
      <sz val="11"/>
      <color rgb="FF0000CC"/>
      <name val="宋体"/>
      <family val="3"/>
      <charset val="134"/>
    </font>
    <font>
      <sz val="12"/>
      <name val="黑体"/>
      <family val="3"/>
      <charset val="134"/>
    </font>
    <font>
      <b/>
      <vertAlign val="subscript"/>
      <sz val="12"/>
      <name val="Times New Roman"/>
      <family val="1"/>
    </font>
    <font>
      <b/>
      <sz val="10"/>
      <name val="Arial"/>
      <family val="2"/>
    </font>
    <font>
      <b/>
      <vertAlign val="subscript"/>
      <sz val="10"/>
      <name val="Arial"/>
      <family val="2"/>
    </font>
    <font>
      <b/>
      <vertAlign val="subscript"/>
      <sz val="10"/>
      <name val="Arial Narrow"/>
      <family val="2"/>
    </font>
    <font>
      <sz val="10"/>
      <name val="宋体"/>
      <family val="3"/>
      <charset val="134"/>
      <scheme val="minor"/>
    </font>
    <font>
      <b/>
      <sz val="9"/>
      <color indexed="10"/>
      <name val="宋体"/>
      <family val="3"/>
      <charset val="134"/>
    </font>
    <font>
      <b/>
      <sz val="11"/>
      <color theme="0"/>
      <name val="宋体"/>
      <family val="3"/>
      <charset val="134"/>
    </font>
    <font>
      <sz val="11"/>
      <name val="宋体"/>
      <family val="3"/>
      <charset val="134"/>
      <scheme val="minor"/>
    </font>
    <font>
      <sz val="11"/>
      <color rgb="FFFF0000"/>
      <name val="宋体"/>
      <family val="3"/>
      <charset val="134"/>
      <scheme val="minor"/>
    </font>
    <font>
      <b/>
      <sz val="11"/>
      <name val="宋体"/>
      <family val="3"/>
      <charset val="134"/>
      <scheme val="minor"/>
    </font>
    <font>
      <b/>
      <sz val="11"/>
      <color theme="0"/>
      <name val="宋体"/>
      <family val="3"/>
      <charset val="134"/>
      <scheme val="minor"/>
    </font>
  </fonts>
  <fills count="17">
    <fill>
      <patternFill patternType="none"/>
    </fill>
    <fill>
      <patternFill patternType="gray125"/>
    </fill>
    <fill>
      <patternFill patternType="solid">
        <fgColor indexed="43"/>
        <bgColor indexed="64"/>
      </patternFill>
    </fill>
    <fill>
      <patternFill patternType="solid">
        <fgColor indexed="9"/>
        <bgColor indexed="64"/>
      </patternFill>
    </fill>
    <fill>
      <patternFill patternType="solid">
        <fgColor rgb="FFFFFF00"/>
        <bgColor indexed="64"/>
      </patternFill>
    </fill>
    <fill>
      <patternFill patternType="solid">
        <fgColor theme="0"/>
        <bgColor indexed="64"/>
      </patternFill>
    </fill>
    <fill>
      <patternFill patternType="solid">
        <fgColor rgb="FFFFFF99"/>
        <bgColor indexed="64"/>
      </patternFill>
    </fill>
    <fill>
      <patternFill patternType="solid">
        <fgColor theme="9" tint="0.39997558519241921"/>
        <bgColor indexed="64"/>
      </patternFill>
    </fill>
    <fill>
      <patternFill patternType="gray125">
        <fgColor auto="1"/>
        <bgColor auto="1"/>
      </patternFill>
    </fill>
    <fill>
      <patternFill patternType="solid">
        <fgColor theme="1" tint="0.34998626667073579"/>
        <bgColor indexed="64"/>
      </patternFill>
    </fill>
    <fill>
      <patternFill patternType="solid">
        <fgColor indexed="22"/>
        <bgColor indexed="64"/>
      </patternFill>
    </fill>
    <fill>
      <patternFill patternType="solid">
        <fgColor indexed="9"/>
        <bgColor indexed="9"/>
      </patternFill>
    </fill>
    <fill>
      <patternFill patternType="solid">
        <fgColor rgb="FFFFFFCC"/>
        <bgColor indexed="64"/>
      </patternFill>
    </fill>
    <fill>
      <patternFill patternType="solid">
        <fgColor indexed="41"/>
        <bgColor indexed="64"/>
      </patternFill>
    </fill>
    <fill>
      <patternFill patternType="solid">
        <fgColor indexed="11"/>
        <bgColor indexed="64"/>
      </patternFill>
    </fill>
    <fill>
      <patternFill patternType="solid">
        <fgColor theme="3" tint="0.79998168889431442"/>
        <bgColor indexed="64"/>
      </patternFill>
    </fill>
    <fill>
      <patternFill patternType="solid">
        <fgColor theme="9" tint="0.79998168889431442"/>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bottom/>
      <diagonal/>
    </border>
    <border>
      <left/>
      <right/>
      <top style="medium">
        <color indexed="64"/>
      </top>
      <bottom style="medium">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medium">
        <color indexed="64"/>
      </bottom>
      <diagonal/>
    </border>
    <border>
      <left style="thick">
        <color theme="0"/>
      </left>
      <right/>
      <top/>
      <bottom/>
      <diagonal/>
    </border>
    <border>
      <left/>
      <right style="thick">
        <color theme="0"/>
      </right>
      <top style="thin">
        <color indexed="64"/>
      </top>
      <bottom/>
      <diagonal/>
    </border>
    <border>
      <left/>
      <right style="thick">
        <color theme="0"/>
      </right>
      <top/>
      <bottom style="thin">
        <color indexed="64"/>
      </bottom>
      <diagonal/>
    </border>
    <border>
      <left/>
      <right style="thick">
        <color theme="0"/>
      </right>
      <top/>
      <bottom style="medium">
        <color indexed="64"/>
      </bottom>
      <diagonal/>
    </border>
    <border>
      <left/>
      <right/>
      <top style="medium">
        <color indexed="64"/>
      </top>
      <bottom style="thin">
        <color indexed="64"/>
      </bottom>
      <diagonal/>
    </border>
    <border>
      <left/>
      <right style="thick">
        <color theme="0"/>
      </right>
      <top style="medium">
        <color indexed="64"/>
      </top>
      <bottom style="medium">
        <color indexed="64"/>
      </bottom>
      <diagonal/>
    </border>
    <border>
      <left/>
      <right style="thick">
        <color theme="0"/>
      </right>
      <top/>
      <bottom/>
      <diagonal/>
    </border>
  </borders>
  <cellStyleXfs count="64">
    <xf numFmtId="0" fontId="0" fillId="0" borderId="0"/>
    <xf numFmtId="0" fontId="10" fillId="0" borderId="0"/>
    <xf numFmtId="9" fontId="5" fillId="0" borderId="0" applyFont="0" applyFill="0" applyBorder="0" applyAlignment="0" applyProtection="0"/>
    <xf numFmtId="0" fontId="10" fillId="0" borderId="0"/>
    <xf numFmtId="0" fontId="20" fillId="0" borderId="0"/>
    <xf numFmtId="0" fontId="10" fillId="0" borderId="0">
      <alignment vertical="center"/>
    </xf>
    <xf numFmtId="43" fontId="5" fillId="0" borderId="0" applyFont="0" applyFill="0" applyBorder="0" applyAlignment="0" applyProtection="0"/>
    <xf numFmtId="43" fontId="10" fillId="0" borderId="0" applyFont="0" applyFill="0" applyBorder="0" applyAlignment="0" applyProtection="0"/>
    <xf numFmtId="41" fontId="10" fillId="0" borderId="0" applyFont="0" applyFill="0" applyBorder="0" applyAlignment="0" applyProtection="0"/>
    <xf numFmtId="0" fontId="20" fillId="0" borderId="0"/>
    <xf numFmtId="183" fontId="20" fillId="0" borderId="0" applyFont="0" applyFill="0" applyBorder="0" applyAlignment="0" applyProtection="0"/>
    <xf numFmtId="9" fontId="20" fillId="0" borderId="0" applyFont="0" applyFill="0" applyBorder="0" applyAlignment="0" applyProtection="0"/>
    <xf numFmtId="0" fontId="4" fillId="0" borderId="0">
      <alignment vertical="center"/>
    </xf>
    <xf numFmtId="0" fontId="3" fillId="0" borderId="0">
      <alignment vertical="center"/>
    </xf>
    <xf numFmtId="0" fontId="5" fillId="0" borderId="0"/>
    <xf numFmtId="0" fontId="5" fillId="0" borderId="0"/>
    <xf numFmtId="9" fontId="5" fillId="0" borderId="0" applyFont="0" applyFill="0" applyBorder="0" applyAlignment="0" applyProtection="0"/>
    <xf numFmtId="0" fontId="5" fillId="0" borderId="0"/>
    <xf numFmtId="0" fontId="5" fillId="0" borderId="0">
      <alignment vertical="center"/>
    </xf>
    <xf numFmtId="43" fontId="5" fillId="0" borderId="0" applyFont="0" applyFill="0" applyBorder="0" applyAlignment="0" applyProtection="0"/>
    <xf numFmtId="43" fontId="5" fillId="0" borderId="0" applyFont="0" applyFill="0" applyBorder="0" applyAlignment="0" applyProtection="0"/>
    <xf numFmtId="41" fontId="5" fillId="0" borderId="0" applyFont="0" applyFill="0" applyBorder="0" applyAlignment="0" applyProtection="0"/>
    <xf numFmtId="0" fontId="3" fillId="0" borderId="0">
      <alignment vertical="center"/>
    </xf>
    <xf numFmtId="9" fontId="34" fillId="0" borderId="0" applyFont="0" applyFill="0" applyBorder="0" applyAlignment="0" applyProtection="0"/>
    <xf numFmtId="0" fontId="5" fillId="0" borderId="0"/>
    <xf numFmtId="0" fontId="60" fillId="0" borderId="3">
      <alignment horizontal="center"/>
    </xf>
    <xf numFmtId="41" fontId="20" fillId="0" borderId="0" applyFont="0" applyFill="0" applyBorder="0" applyAlignment="0" applyProtection="0"/>
    <xf numFmtId="43" fontId="20" fillId="0" borderId="0" applyFont="0" applyFill="0" applyBorder="0" applyAlignment="0" applyProtection="0"/>
    <xf numFmtId="187" fontId="61" fillId="0" borderId="0" applyFont="0" applyFill="0" applyBorder="0" applyAlignment="0" applyProtection="0"/>
    <xf numFmtId="183" fontId="61" fillId="0" borderId="0" applyFont="0" applyFill="0" applyBorder="0" applyAlignment="0" applyProtection="0"/>
    <xf numFmtId="38" fontId="62" fillId="10" borderId="0" applyNumberFormat="0" applyBorder="0" applyAlignment="0" applyProtection="0"/>
    <xf numFmtId="10" fontId="62" fillId="3" borderId="1" applyNumberFormat="0" applyBorder="0" applyAlignment="0" applyProtection="0"/>
    <xf numFmtId="37" fontId="63" fillId="0" borderId="0"/>
    <xf numFmtId="0" fontId="64" fillId="0" borderId="0"/>
    <xf numFmtId="0" fontId="65" fillId="0" borderId="0"/>
    <xf numFmtId="10" fontId="20" fillId="0" borderId="0" applyFont="0" applyFill="0" applyBorder="0" applyAlignment="0" applyProtection="0"/>
    <xf numFmtId="0" fontId="66" fillId="0" borderId="1">
      <alignment horizontal="center"/>
    </xf>
    <xf numFmtId="0" fontId="66" fillId="0" borderId="0">
      <alignment horizontal="center" vertical="center"/>
    </xf>
    <xf numFmtId="0" fontId="67" fillId="11" borderId="0" applyNumberFormat="0" applyFill="0">
      <alignment horizontal="left" vertical="center"/>
    </xf>
    <xf numFmtId="0" fontId="68" fillId="0" borderId="0">
      <alignment vertical="center"/>
    </xf>
    <xf numFmtId="0" fontId="69" fillId="0" borderId="0">
      <alignment vertical="center"/>
    </xf>
    <xf numFmtId="0" fontId="71" fillId="0" borderId="0" applyNumberFormat="0" applyFill="0" applyBorder="0" applyAlignment="0" applyProtection="0"/>
    <xf numFmtId="0" fontId="72" fillId="0" borderId="0" applyNumberFormat="0" applyFill="0" applyBorder="0" applyAlignment="0" applyProtection="0"/>
    <xf numFmtId="188" fontId="70" fillId="0" borderId="0" applyFont="0" applyFill="0" applyBorder="0" applyAlignment="0" applyProtection="0"/>
    <xf numFmtId="8" fontId="5" fillId="0" borderId="0" applyFont="0" applyFill="0" applyBorder="0" applyAlignment="0" applyProtection="0"/>
    <xf numFmtId="189" fontId="70" fillId="0" borderId="0" applyFont="0" applyFill="0" applyBorder="0" applyAlignment="0" applyProtection="0"/>
    <xf numFmtId="190" fontId="70" fillId="0" borderId="0" applyFont="0" applyFill="0" applyBorder="0" applyAlignment="0" applyProtection="0"/>
    <xf numFmtId="0" fontId="65" fillId="0" borderId="0"/>
    <xf numFmtId="41" fontId="65" fillId="0" borderId="0" applyFont="0" applyFill="0" applyBorder="0" applyAlignment="0" applyProtection="0"/>
    <xf numFmtId="43" fontId="65"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0" fontId="73" fillId="0" borderId="0"/>
    <xf numFmtId="38" fontId="74" fillId="0" borderId="0" applyFont="0" applyFill="0" applyBorder="0" applyAlignment="0" applyProtection="0"/>
    <xf numFmtId="40"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75" fillId="0" borderId="0"/>
    <xf numFmtId="0" fontId="5" fillId="0" borderId="0"/>
    <xf numFmtId="0" fontId="5" fillId="0" borderId="0"/>
    <xf numFmtId="0" fontId="2" fillId="0" borderId="0">
      <alignment vertical="center"/>
    </xf>
    <xf numFmtId="0" fontId="68" fillId="0" borderId="0"/>
    <xf numFmtId="9" fontId="1" fillId="0" borderId="0" applyFont="0" applyFill="0" applyBorder="0" applyAlignment="0" applyProtection="0">
      <alignment vertical="center"/>
    </xf>
    <xf numFmtId="0" fontId="5" fillId="0" borderId="0">
      <alignment vertical="center"/>
    </xf>
  </cellStyleXfs>
  <cellXfs count="769">
    <xf numFmtId="0" fontId="0" fillId="0" borderId="0" xfId="0"/>
    <xf numFmtId="176" fontId="14" fillId="0" borderId="0" xfId="0" applyNumberFormat="1" applyFont="1" applyProtection="1">
      <protection locked="0"/>
    </xf>
    <xf numFmtId="0" fontId="9" fillId="0" borderId="0" xfId="0" applyFont="1" applyAlignment="1" applyProtection="1">
      <alignment horizontal="left"/>
    </xf>
    <xf numFmtId="176" fontId="13" fillId="0" borderId="1" xfId="0" applyNumberFormat="1" applyFont="1" applyBorder="1" applyProtection="1"/>
    <xf numFmtId="176" fontId="14" fillId="0" borderId="0" xfId="0" applyNumberFormat="1" applyFont="1" applyProtection="1"/>
    <xf numFmtId="0" fontId="13" fillId="0" borderId="1" xfId="0" applyFont="1" applyBorder="1" applyProtection="1"/>
    <xf numFmtId="0" fontId="12" fillId="0" borderId="1" xfId="0" applyFont="1" applyBorder="1" applyProtection="1"/>
    <xf numFmtId="176" fontId="15" fillId="0" borderId="1" xfId="0" applyNumberFormat="1" applyFont="1" applyBorder="1" applyAlignment="1" applyProtection="1">
      <alignment horizontal="center"/>
    </xf>
    <xf numFmtId="176" fontId="12" fillId="0" borderId="1" xfId="0" applyNumberFormat="1" applyFont="1" applyBorder="1" applyProtection="1"/>
    <xf numFmtId="176" fontId="17" fillId="0" borderId="1" xfId="0" applyNumberFormat="1" applyFont="1" applyBorder="1" applyProtection="1"/>
    <xf numFmtId="176" fontId="15" fillId="0" borderId="1" xfId="0" applyNumberFormat="1" applyFont="1" applyBorder="1" applyProtection="1"/>
    <xf numFmtId="14" fontId="15" fillId="0" borderId="1" xfId="0" applyNumberFormat="1" applyFont="1" applyBorder="1" applyAlignment="1" applyProtection="1">
      <alignment horizontal="center"/>
    </xf>
    <xf numFmtId="180" fontId="13" fillId="0" borderId="1" xfId="2" applyNumberFormat="1" applyFont="1" applyBorder="1" applyProtection="1"/>
    <xf numFmtId="10" fontId="13" fillId="0" borderId="1" xfId="2" applyNumberFormat="1" applyFont="1" applyBorder="1" applyProtection="1"/>
    <xf numFmtId="176" fontId="13" fillId="0" borderId="0" xfId="0" applyNumberFormat="1" applyFont="1" applyProtection="1"/>
    <xf numFmtId="176" fontId="17" fillId="0" borderId="1" xfId="0" applyNumberFormat="1" applyFont="1" applyBorder="1" applyAlignment="1" applyProtection="1">
      <alignment horizontal="center"/>
    </xf>
    <xf numFmtId="176" fontId="13" fillId="0" borderId="0" xfId="0" applyNumberFormat="1" applyFont="1" applyBorder="1" applyProtection="1"/>
    <xf numFmtId="178" fontId="13" fillId="0" borderId="0" xfId="0" applyNumberFormat="1" applyFont="1" applyAlignment="1" applyProtection="1">
      <alignment horizontal="center"/>
      <protection locked="0"/>
    </xf>
    <xf numFmtId="181" fontId="13" fillId="0" borderId="1" xfId="0" applyNumberFormat="1" applyFont="1" applyBorder="1" applyProtection="1"/>
    <xf numFmtId="176" fontId="12" fillId="0" borderId="0" xfId="0" applyNumberFormat="1" applyFont="1" applyAlignment="1" applyProtection="1">
      <alignment horizontal="right"/>
    </xf>
    <xf numFmtId="176" fontId="7" fillId="0" borderId="0" xfId="0" applyNumberFormat="1" applyFont="1" applyAlignment="1" applyProtection="1">
      <alignment horizontal="center"/>
    </xf>
    <xf numFmtId="176" fontId="12" fillId="0" borderId="0" xfId="0" applyNumberFormat="1" applyFont="1" applyProtection="1"/>
    <xf numFmtId="10" fontId="13" fillId="0" borderId="0" xfId="2" applyNumberFormat="1" applyFont="1" applyProtection="1"/>
    <xf numFmtId="180" fontId="13" fillId="0" borderId="0" xfId="2" applyNumberFormat="1" applyFont="1" applyProtection="1"/>
    <xf numFmtId="176" fontId="15" fillId="0" borderId="0" xfId="0" applyNumberFormat="1" applyFont="1" applyProtection="1"/>
    <xf numFmtId="0" fontId="5" fillId="0" borderId="0" xfId="0" applyFont="1"/>
    <xf numFmtId="176" fontId="15" fillId="0" borderId="0" xfId="0" applyNumberFormat="1" applyFont="1" applyBorder="1" applyProtection="1"/>
    <xf numFmtId="176" fontId="15" fillId="0" borderId="1" xfId="0" applyNumberFormat="1" applyFont="1" applyBorder="1" applyAlignment="1" applyProtection="1">
      <alignment horizontal="center" vertical="center" wrapText="1"/>
    </xf>
    <xf numFmtId="176" fontId="17" fillId="0" borderId="1" xfId="0" applyNumberFormat="1" applyFont="1" applyBorder="1" applyAlignment="1" applyProtection="1">
      <alignment horizontal="center" vertical="center" wrapText="1"/>
    </xf>
    <xf numFmtId="178" fontId="12" fillId="0" borderId="0" xfId="0" applyNumberFormat="1" applyFont="1" applyAlignment="1" applyProtection="1">
      <alignment horizontal="left"/>
    </xf>
    <xf numFmtId="176" fontId="15" fillId="0" borderId="1" xfId="0" applyNumberFormat="1" applyFont="1" applyBorder="1" applyAlignment="1" applyProtection="1">
      <alignment horizontal="center" vertical="center"/>
    </xf>
    <xf numFmtId="0" fontId="13" fillId="5" borderId="1" xfId="0" applyFont="1" applyFill="1" applyBorder="1" applyProtection="1"/>
    <xf numFmtId="176" fontId="35" fillId="7" borderId="1" xfId="0" applyNumberFormat="1" applyFont="1" applyFill="1" applyBorder="1" applyProtection="1"/>
    <xf numFmtId="0" fontId="14" fillId="0" borderId="0" xfId="0" applyFont="1" applyAlignment="1">
      <alignment horizontal="center"/>
    </xf>
    <xf numFmtId="0" fontId="19" fillId="0" borderId="0" xfId="0" applyFont="1" applyAlignment="1" applyProtection="1">
      <alignment horizontal="left"/>
    </xf>
    <xf numFmtId="41" fontId="11" fillId="0" borderId="0" xfId="0" applyNumberFormat="1" applyFont="1" applyProtection="1"/>
    <xf numFmtId="176" fontId="14" fillId="0" borderId="0" xfId="0" applyNumberFormat="1" applyFont="1" applyAlignment="1" applyProtection="1">
      <alignment horizontal="center"/>
    </xf>
    <xf numFmtId="9" fontId="14" fillId="0" borderId="0" xfId="2" applyFont="1" applyProtection="1"/>
    <xf numFmtId="0" fontId="9" fillId="0" borderId="0" xfId="0" applyFont="1" applyAlignment="1" applyProtection="1">
      <alignment horizontal="left" shrinkToFit="1"/>
    </xf>
    <xf numFmtId="176" fontId="28" fillId="0" borderId="0" xfId="0" applyNumberFormat="1" applyFont="1" applyProtection="1"/>
    <xf numFmtId="9" fontId="13" fillId="0" borderId="0" xfId="2" applyFont="1" applyProtection="1"/>
    <xf numFmtId="10" fontId="13" fillId="0" borderId="0" xfId="2" applyNumberFormat="1" applyFont="1" applyBorder="1" applyProtection="1"/>
    <xf numFmtId="176" fontId="13" fillId="0" borderId="5" xfId="0" applyNumberFormat="1" applyFont="1" applyBorder="1" applyProtection="1"/>
    <xf numFmtId="0" fontId="17" fillId="5" borderId="1" xfId="0" applyFont="1" applyFill="1" applyBorder="1" applyProtection="1"/>
    <xf numFmtId="43" fontId="12" fillId="0" borderId="0" xfId="0" applyNumberFormat="1" applyFont="1" applyAlignment="1" applyProtection="1">
      <alignment horizontal="left"/>
    </xf>
    <xf numFmtId="43" fontId="15" fillId="0" borderId="1" xfId="0" applyNumberFormat="1" applyFont="1" applyBorder="1" applyProtection="1"/>
    <xf numFmtId="43" fontId="13" fillId="0" borderId="1" xfId="0" applyNumberFormat="1" applyFont="1" applyBorder="1" applyProtection="1"/>
    <xf numFmtId="43" fontId="13" fillId="0" borderId="0" xfId="0" applyNumberFormat="1" applyFont="1" applyBorder="1" applyProtection="1"/>
    <xf numFmtId="43" fontId="13" fillId="0" borderId="0" xfId="0" applyNumberFormat="1" applyFont="1" applyAlignment="1" applyProtection="1">
      <alignment horizontal="center"/>
    </xf>
    <xf numFmtId="43" fontId="13" fillId="0" borderId="0" xfId="0" applyNumberFormat="1" applyFont="1" applyProtection="1"/>
    <xf numFmtId="180" fontId="13" fillId="0" borderId="7" xfId="2" applyNumberFormat="1" applyFont="1" applyBorder="1" applyProtection="1"/>
    <xf numFmtId="43" fontId="13" fillId="0" borderId="7" xfId="0" applyNumberFormat="1" applyFont="1" applyBorder="1" applyProtection="1"/>
    <xf numFmtId="43" fontId="11" fillId="0" borderId="0" xfId="0" applyNumberFormat="1" applyFont="1" applyAlignment="1" applyProtection="1">
      <alignment horizontal="center"/>
    </xf>
    <xf numFmtId="176" fontId="12" fillId="0" borderId="4" xfId="0" applyNumberFormat="1" applyFont="1" applyBorder="1" applyProtection="1"/>
    <xf numFmtId="176" fontId="13" fillId="0" borderId="4" xfId="0" applyNumberFormat="1" applyFont="1" applyBorder="1" applyProtection="1"/>
    <xf numFmtId="176" fontId="15" fillId="0" borderId="0" xfId="0" applyNumberFormat="1" applyFont="1" applyBorder="1" applyAlignment="1" applyProtection="1">
      <alignment horizontal="center" vertical="center"/>
    </xf>
    <xf numFmtId="176" fontId="15" fillId="0" borderId="15" xfId="0" applyNumberFormat="1" applyFont="1" applyBorder="1" applyAlignment="1" applyProtection="1">
      <alignment horizontal="center" vertical="center"/>
    </xf>
    <xf numFmtId="176" fontId="12" fillId="0" borderId="16" xfId="0" applyNumberFormat="1" applyFont="1" applyBorder="1" applyProtection="1"/>
    <xf numFmtId="184" fontId="13" fillId="0" borderId="1" xfId="0" applyNumberFormat="1" applyFont="1" applyBorder="1" applyProtection="1"/>
    <xf numFmtId="184" fontId="15" fillId="0" borderId="1" xfId="0" applyNumberFormat="1" applyFont="1" applyBorder="1" applyProtection="1"/>
    <xf numFmtId="43" fontId="23" fillId="0" borderId="0" xfId="0" applyNumberFormat="1" applyFont="1" applyProtection="1"/>
    <xf numFmtId="176" fontId="30" fillId="0" borderId="1" xfId="0" applyNumberFormat="1" applyFont="1" applyBorder="1" applyAlignment="1" applyProtection="1">
      <alignment horizontal="center" vertical="center"/>
    </xf>
    <xf numFmtId="176" fontId="13" fillId="0" borderId="16" xfId="0" applyNumberFormat="1" applyFont="1" applyBorder="1" applyProtection="1"/>
    <xf numFmtId="176" fontId="17" fillId="0" borderId="4" xfId="0" applyNumberFormat="1" applyFont="1" applyBorder="1" applyProtection="1"/>
    <xf numFmtId="176" fontId="15" fillId="0" borderId="2" xfId="0" applyNumberFormat="1" applyFont="1" applyBorder="1" applyProtection="1"/>
    <xf numFmtId="179" fontId="13" fillId="0" borderId="0" xfId="15" applyNumberFormat="1" applyFont="1" applyBorder="1" applyProtection="1"/>
    <xf numFmtId="14" fontId="12" fillId="0" borderId="4" xfId="0" applyNumberFormat="1" applyFont="1" applyBorder="1" applyAlignment="1" applyProtection="1">
      <alignment horizontal="left"/>
    </xf>
    <xf numFmtId="14" fontId="17" fillId="0" borderId="4" xfId="0" applyNumberFormat="1" applyFont="1" applyBorder="1" applyAlignment="1" applyProtection="1">
      <alignment horizontal="left"/>
    </xf>
    <xf numFmtId="176" fontId="30" fillId="0" borderId="1" xfId="0" applyNumberFormat="1" applyFont="1" applyBorder="1" applyAlignment="1" applyProtection="1">
      <alignment horizontal="center"/>
    </xf>
    <xf numFmtId="176" fontId="30" fillId="0" borderId="1" xfId="0" applyNumberFormat="1" applyFont="1" applyBorder="1" applyAlignment="1" applyProtection="1">
      <alignment horizontal="center" vertical="center" wrapText="1"/>
    </xf>
    <xf numFmtId="14" fontId="30" fillId="0" borderId="1" xfId="0" applyNumberFormat="1" applyFont="1" applyBorder="1" applyAlignment="1" applyProtection="1">
      <alignment horizontal="center"/>
    </xf>
    <xf numFmtId="14" fontId="13" fillId="0" borderId="4" xfId="0" applyNumberFormat="1" applyFont="1" applyBorder="1" applyAlignment="1" applyProtection="1">
      <alignment horizontal="left"/>
    </xf>
    <xf numFmtId="177" fontId="13" fillId="0" borderId="0" xfId="0" applyNumberFormat="1" applyFont="1" applyBorder="1" applyProtection="1"/>
    <xf numFmtId="176" fontId="13" fillId="0" borderId="1" xfId="0" applyNumberFormat="1" applyFont="1" applyBorder="1" applyAlignment="1" applyProtection="1">
      <alignment horizontal="center"/>
    </xf>
    <xf numFmtId="43" fontId="13" fillId="8" borderId="1" xfId="0" applyNumberFormat="1" applyFont="1" applyFill="1" applyBorder="1" applyProtection="1"/>
    <xf numFmtId="176" fontId="13" fillId="0" borderId="1" xfId="2" applyNumberFormat="1" applyFont="1" applyBorder="1" applyProtection="1"/>
    <xf numFmtId="0" fontId="44" fillId="0" borderId="0" xfId="0" applyFont="1"/>
    <xf numFmtId="0" fontId="7" fillId="0" borderId="0" xfId="0" applyFont="1"/>
    <xf numFmtId="10" fontId="39" fillId="5" borderId="1" xfId="2" applyNumberFormat="1" applyFont="1" applyFill="1" applyBorder="1" applyAlignment="1" applyProtection="1">
      <alignment horizontal="right"/>
    </xf>
    <xf numFmtId="43" fontId="53" fillId="0" borderId="0" xfId="0" applyNumberFormat="1" applyFont="1" applyFill="1" applyAlignment="1" applyProtection="1">
      <alignment horizontal="left"/>
    </xf>
    <xf numFmtId="176" fontId="14" fillId="0" borderId="0" xfId="0" applyNumberFormat="1" applyFont="1" applyFill="1" applyProtection="1">
      <protection locked="0"/>
    </xf>
    <xf numFmtId="43" fontId="53" fillId="0" borderId="0" xfId="0" applyNumberFormat="1" applyFont="1" applyFill="1" applyProtection="1"/>
    <xf numFmtId="176" fontId="14" fillId="0" borderId="0" xfId="0" applyNumberFormat="1" applyFont="1" applyFill="1" applyProtection="1"/>
    <xf numFmtId="176" fontId="13" fillId="0" borderId="0" xfId="0" applyNumberFormat="1" applyFont="1" applyFill="1" applyProtection="1"/>
    <xf numFmtId="176" fontId="54" fillId="0" borderId="0" xfId="0" applyNumberFormat="1" applyFont="1" applyFill="1" applyAlignment="1" applyProtection="1">
      <alignment horizontal="left"/>
    </xf>
    <xf numFmtId="176" fontId="13" fillId="0" borderId="1" xfId="0" applyNumberFormat="1" applyFont="1" applyFill="1" applyBorder="1" applyProtection="1"/>
    <xf numFmtId="176" fontId="39" fillId="0" borderId="0" xfId="0" applyNumberFormat="1" applyFont="1" applyProtection="1"/>
    <xf numFmtId="180" fontId="13" fillId="0" borderId="0" xfId="2" applyNumberFormat="1" applyFont="1" applyBorder="1" applyProtection="1"/>
    <xf numFmtId="176" fontId="12" fillId="0" borderId="18" xfId="0" applyNumberFormat="1" applyFont="1" applyBorder="1" applyProtection="1"/>
    <xf numFmtId="180" fontId="13" fillId="0" borderId="18" xfId="2" applyNumberFormat="1" applyFont="1" applyBorder="1" applyProtection="1"/>
    <xf numFmtId="43" fontId="13" fillId="0" borderId="18" xfId="0" applyNumberFormat="1" applyFont="1" applyBorder="1" applyProtection="1"/>
    <xf numFmtId="0" fontId="28" fillId="6" borderId="0" xfId="9" applyFont="1" applyFill="1" applyAlignment="1" applyProtection="1">
      <alignment horizontal="center"/>
    </xf>
    <xf numFmtId="186" fontId="13" fillId="0" borderId="0" xfId="0" applyNumberFormat="1" applyFont="1" applyBorder="1" applyAlignment="1" applyProtection="1">
      <alignment horizontal="center"/>
    </xf>
    <xf numFmtId="176" fontId="13" fillId="0" borderId="1" xfId="0" applyNumberFormat="1" applyFont="1" applyBorder="1" applyAlignment="1" applyProtection="1">
      <alignment horizontal="right"/>
    </xf>
    <xf numFmtId="179" fontId="29" fillId="6" borderId="1" xfId="0" applyNumberFormat="1" applyFont="1" applyFill="1" applyBorder="1" applyAlignment="1" applyProtection="1">
      <alignment horizontal="center"/>
    </xf>
    <xf numFmtId="176" fontId="24" fillId="0" borderId="1" xfId="0" applyNumberFormat="1" applyFont="1" applyBorder="1" applyAlignment="1" applyProtection="1">
      <alignment horizontal="center"/>
    </xf>
    <xf numFmtId="0" fontId="42" fillId="0" borderId="0" xfId="0" applyFont="1"/>
    <xf numFmtId="10" fontId="39" fillId="5" borderId="2" xfId="2" applyNumberFormat="1" applyFont="1" applyFill="1" applyBorder="1" applyAlignment="1" applyProtection="1">
      <alignment horizontal="right"/>
    </xf>
    <xf numFmtId="181" fontId="13" fillId="0" borderId="2" xfId="0" applyNumberFormat="1" applyFont="1" applyBorder="1" applyProtection="1"/>
    <xf numFmtId="176" fontId="13" fillId="0" borderId="2" xfId="0" applyNumberFormat="1" applyFont="1" applyBorder="1" applyProtection="1"/>
    <xf numFmtId="176" fontId="50" fillId="0" borderId="0" xfId="0" applyNumberFormat="1" applyFont="1" applyProtection="1">
      <protection locked="0"/>
    </xf>
    <xf numFmtId="176" fontId="39" fillId="0" borderId="1" xfId="0" applyNumberFormat="1" applyFont="1" applyFill="1" applyBorder="1" applyProtection="1"/>
    <xf numFmtId="176" fontId="15" fillId="0" borderId="2" xfId="0" applyNumberFormat="1" applyFont="1" applyBorder="1" applyAlignment="1" applyProtection="1">
      <alignment horizontal="center" vertical="center"/>
    </xf>
    <xf numFmtId="176" fontId="15" fillId="0" borderId="5" xfId="0" applyNumberFormat="1" applyFont="1" applyBorder="1" applyAlignment="1" applyProtection="1">
      <alignment horizontal="center" vertical="center"/>
    </xf>
    <xf numFmtId="0" fontId="58" fillId="0" borderId="0" xfId="24" applyFont="1" applyAlignment="1">
      <alignment horizontal="center" vertical="center"/>
    </xf>
    <xf numFmtId="0" fontId="58" fillId="0" borderId="0" xfId="24" applyFont="1" applyAlignment="1">
      <alignment vertical="center" wrapText="1"/>
    </xf>
    <xf numFmtId="0" fontId="58" fillId="0" borderId="0" xfId="24" applyFont="1" applyAlignment="1">
      <alignment vertical="center"/>
    </xf>
    <xf numFmtId="0" fontId="58" fillId="0" borderId="0" xfId="24" applyFont="1" applyAlignment="1">
      <alignment horizontal="right" vertical="center"/>
    </xf>
    <xf numFmtId="0" fontId="59" fillId="0" borderId="0" xfId="24" applyFont="1" applyAlignment="1">
      <alignment vertical="center"/>
    </xf>
    <xf numFmtId="0" fontId="13" fillId="0" borderId="0" xfId="24" applyFont="1" applyAlignment="1">
      <alignment vertical="center" wrapText="1"/>
    </xf>
    <xf numFmtId="0" fontId="13" fillId="0" borderId="0" xfId="24" applyFont="1" applyAlignment="1">
      <alignment vertical="center"/>
    </xf>
    <xf numFmtId="0" fontId="13" fillId="0" borderId="0" xfId="24" applyFont="1" applyAlignment="1">
      <alignment horizontal="left" vertical="center"/>
    </xf>
    <xf numFmtId="0" fontId="8" fillId="0" borderId="0" xfId="24" applyFont="1" applyAlignment="1">
      <alignment vertical="center"/>
    </xf>
    <xf numFmtId="0" fontId="8" fillId="0" borderId="0" xfId="24" applyFont="1" applyAlignment="1">
      <alignment horizontal="center" vertical="center"/>
    </xf>
    <xf numFmtId="0" fontId="8" fillId="0" borderId="0" xfId="24" applyFont="1" applyAlignment="1">
      <alignment vertical="center" wrapText="1"/>
    </xf>
    <xf numFmtId="0" fontId="13" fillId="0" borderId="0" xfId="58" applyFont="1" applyAlignment="1">
      <alignment vertical="center"/>
    </xf>
    <xf numFmtId="0" fontId="13" fillId="0" borderId="1" xfId="58" applyFont="1" applyBorder="1" applyAlignment="1">
      <alignment vertical="center"/>
    </xf>
    <xf numFmtId="191" fontId="13" fillId="0" borderId="1" xfId="59" applyNumberFormat="1" applyFont="1" applyFill="1" applyBorder="1" applyAlignment="1" applyProtection="1">
      <alignment horizontal="center" vertical="center" wrapText="1"/>
    </xf>
    <xf numFmtId="0" fontId="13" fillId="0" borderId="4" xfId="59" applyFont="1" applyBorder="1" applyAlignment="1" applyProtection="1">
      <alignment vertical="center" wrapText="1"/>
      <protection locked="0"/>
    </xf>
    <xf numFmtId="0" fontId="12" fillId="0" borderId="4" xfId="59" applyFont="1" applyBorder="1" applyAlignment="1" applyProtection="1">
      <alignment vertical="center" wrapText="1"/>
      <protection locked="0"/>
    </xf>
    <xf numFmtId="0" fontId="16" fillId="0" borderId="0" xfId="0" applyFont="1" applyAlignment="1">
      <alignment horizontal="center" vertical="center"/>
    </xf>
    <xf numFmtId="0" fontId="16" fillId="0" borderId="1" xfId="0" applyFont="1" applyBorder="1" applyAlignment="1">
      <alignment horizontal="center" vertical="center"/>
    </xf>
    <xf numFmtId="0" fontId="15" fillId="0" borderId="1" xfId="24" applyFont="1" applyBorder="1" applyAlignment="1">
      <alignment vertical="center"/>
    </xf>
    <xf numFmtId="0" fontId="13" fillId="0" borderId="1" xfId="24" applyFont="1" applyBorder="1" applyAlignment="1">
      <alignment vertical="center"/>
    </xf>
    <xf numFmtId="0" fontId="13" fillId="0" borderId="1" xfId="59" applyFont="1" applyBorder="1" applyAlignment="1" applyProtection="1">
      <alignment horizontal="center" vertical="center" shrinkToFit="1"/>
      <protection locked="0"/>
    </xf>
    <xf numFmtId="0" fontId="13" fillId="0" borderId="0" xfId="24" applyFont="1" applyBorder="1" applyAlignment="1">
      <alignment horizontal="left" vertical="center" wrapText="1"/>
    </xf>
    <xf numFmtId="0" fontId="13" fillId="0" borderId="0" xfId="24" applyFont="1" applyBorder="1" applyAlignment="1">
      <alignment vertical="center"/>
    </xf>
    <xf numFmtId="0" fontId="12" fillId="0" borderId="19" xfId="24" applyFont="1" applyBorder="1" applyAlignment="1">
      <alignment horizontal="left" vertical="center" wrapText="1"/>
    </xf>
    <xf numFmtId="0" fontId="13" fillId="0" borderId="18" xfId="24" applyFont="1" applyBorder="1" applyAlignment="1">
      <alignment horizontal="left" vertical="center" wrapText="1"/>
    </xf>
    <xf numFmtId="0" fontId="13" fillId="0" borderId="18" xfId="24" applyFont="1" applyBorder="1" applyAlignment="1">
      <alignment vertical="center"/>
    </xf>
    <xf numFmtId="0" fontId="13" fillId="0" borderId="20" xfId="24" applyFont="1" applyBorder="1" applyAlignment="1">
      <alignment vertical="center"/>
    </xf>
    <xf numFmtId="0" fontId="13" fillId="0" borderId="16" xfId="24" applyFont="1" applyBorder="1" applyAlignment="1">
      <alignment horizontal="left" vertical="center" wrapText="1"/>
    </xf>
    <xf numFmtId="0" fontId="13" fillId="0" borderId="21" xfId="24" applyFont="1" applyBorder="1" applyAlignment="1">
      <alignment vertical="center"/>
    </xf>
    <xf numFmtId="0" fontId="13" fillId="0" borderId="22" xfId="24" applyFont="1" applyBorder="1" applyAlignment="1">
      <alignment horizontal="left" vertical="center" wrapText="1"/>
    </xf>
    <xf numFmtId="0" fontId="13" fillId="0" borderId="5" xfId="24" applyFont="1" applyBorder="1" applyAlignment="1">
      <alignment horizontal="left" vertical="center" wrapText="1"/>
    </xf>
    <xf numFmtId="0" fontId="13" fillId="0" borderId="5" xfId="24" applyFont="1" applyBorder="1" applyAlignment="1">
      <alignment vertical="center"/>
    </xf>
    <xf numFmtId="0" fontId="13" fillId="0" borderId="23" xfId="24" applyFont="1" applyBorder="1" applyAlignment="1">
      <alignment vertical="center"/>
    </xf>
    <xf numFmtId="176" fontId="17" fillId="0" borderId="4" xfId="0" applyNumberFormat="1" applyFont="1" applyBorder="1" applyAlignment="1" applyProtection="1">
      <alignment horizontal="center" vertical="center"/>
    </xf>
    <xf numFmtId="176" fontId="13" fillId="0" borderId="0" xfId="0" applyNumberFormat="1" applyFont="1" applyAlignment="1" applyProtection="1">
      <alignment horizontal="center"/>
    </xf>
    <xf numFmtId="10" fontId="13" fillId="0" borderId="1" xfId="2" applyNumberFormat="1" applyFont="1" applyFill="1" applyBorder="1" applyProtection="1"/>
    <xf numFmtId="43" fontId="13" fillId="0" borderId="0" xfId="0" applyNumberFormat="1" applyFont="1" applyFill="1" applyProtection="1"/>
    <xf numFmtId="0" fontId="13" fillId="0" borderId="0" xfId="0" applyNumberFormat="1" applyFont="1" applyBorder="1" applyProtection="1"/>
    <xf numFmtId="43" fontId="15" fillId="0" borderId="0" xfId="0" applyNumberFormat="1" applyFont="1" applyBorder="1" applyAlignment="1" applyProtection="1">
      <alignment horizontal="center" vertical="center" wrapText="1"/>
    </xf>
    <xf numFmtId="186" fontId="27" fillId="0" borderId="0" xfId="0" applyNumberFormat="1" applyFont="1" applyBorder="1" applyAlignment="1" applyProtection="1">
      <alignment horizontal="center"/>
    </xf>
    <xf numFmtId="0" fontId="15" fillId="0" borderId="0" xfId="0" applyNumberFormat="1" applyFont="1" applyBorder="1" applyAlignment="1" applyProtection="1">
      <alignment horizontal="center" vertical="center"/>
    </xf>
    <xf numFmtId="0" fontId="13" fillId="0" borderId="0" xfId="0" applyNumberFormat="1" applyFont="1" applyBorder="1" applyAlignment="1" applyProtection="1">
      <alignment horizontal="center"/>
    </xf>
    <xf numFmtId="0" fontId="13" fillId="0" borderId="0" xfId="0" applyNumberFormat="1" applyFont="1" applyFill="1" applyBorder="1" applyAlignment="1" applyProtection="1">
      <alignment horizontal="center"/>
    </xf>
    <xf numFmtId="0" fontId="24" fillId="0" borderId="0" xfId="0" applyNumberFormat="1" applyFont="1" applyFill="1" applyBorder="1" applyProtection="1"/>
    <xf numFmtId="43" fontId="23" fillId="0" borderId="0" xfId="0" applyNumberFormat="1" applyFont="1" applyFill="1" applyBorder="1" applyProtection="1"/>
    <xf numFmtId="43" fontId="13" fillId="0" borderId="18" xfId="0" applyNumberFormat="1" applyFont="1" applyFill="1" applyBorder="1" applyProtection="1"/>
    <xf numFmtId="186" fontId="13" fillId="0" borderId="0" xfId="0" applyNumberFormat="1" applyFont="1" applyFill="1" applyBorder="1" applyAlignment="1" applyProtection="1">
      <alignment horizontal="center"/>
    </xf>
    <xf numFmtId="43" fontId="39" fillId="5" borderId="1" xfId="0" applyNumberFormat="1" applyFont="1" applyFill="1" applyBorder="1" applyAlignment="1" applyProtection="1"/>
    <xf numFmtId="176" fontId="24" fillId="0" borderId="0" xfId="0" applyNumberFormat="1" applyFont="1" applyFill="1" applyProtection="1">
      <protection locked="0"/>
    </xf>
    <xf numFmtId="14" fontId="17" fillId="0" borderId="4" xfId="0" applyNumberFormat="1" applyFont="1" applyBorder="1" applyAlignment="1" applyProtection="1">
      <alignment horizontal="center"/>
    </xf>
    <xf numFmtId="14" fontId="17" fillId="0" borderId="1" xfId="0" applyNumberFormat="1" applyFont="1" applyBorder="1" applyAlignment="1" applyProtection="1">
      <alignment horizontal="center"/>
    </xf>
    <xf numFmtId="43" fontId="15" fillId="0" borderId="1" xfId="0" applyNumberFormat="1" applyFont="1" applyFill="1" applyBorder="1" applyProtection="1"/>
    <xf numFmtId="43" fontId="13" fillId="0" borderId="1" xfId="0" applyNumberFormat="1" applyFont="1" applyFill="1" applyBorder="1" applyProtection="1"/>
    <xf numFmtId="176" fontId="13" fillId="0" borderId="1" xfId="0" applyNumberFormat="1" applyFont="1" applyBorder="1" applyAlignment="1" applyProtection="1">
      <alignment horizontal="center" vertical="center" wrapText="1"/>
    </xf>
    <xf numFmtId="176" fontId="12" fillId="0" borderId="1" xfId="0" applyNumberFormat="1" applyFont="1" applyBorder="1" applyAlignment="1" applyProtection="1">
      <alignment horizontal="center" vertical="center" wrapText="1"/>
    </xf>
    <xf numFmtId="176" fontId="13" fillId="0" borderId="0" xfId="0" applyNumberFormat="1" applyFont="1" applyAlignment="1" applyProtection="1">
      <alignment horizontal="right"/>
    </xf>
    <xf numFmtId="176" fontId="24" fillId="0" borderId="0" xfId="0" applyNumberFormat="1" applyFont="1" applyProtection="1"/>
    <xf numFmtId="180" fontId="13" fillId="0" borderId="1" xfId="2" applyNumberFormat="1" applyFont="1" applyBorder="1" applyAlignment="1" applyProtection="1">
      <alignment horizontal="right"/>
    </xf>
    <xf numFmtId="10" fontId="13" fillId="0" borderId="1" xfId="2" applyNumberFormat="1" applyFont="1" applyBorder="1" applyAlignment="1" applyProtection="1">
      <alignment horizontal="right"/>
    </xf>
    <xf numFmtId="0" fontId="81" fillId="0" borderId="0" xfId="0" applyFont="1"/>
    <xf numFmtId="0" fontId="82" fillId="3" borderId="1" xfId="0" applyFont="1" applyFill="1" applyBorder="1" applyAlignment="1" applyProtection="1">
      <alignment horizontal="left" shrinkToFit="1"/>
    </xf>
    <xf numFmtId="176" fontId="14" fillId="0" borderId="1" xfId="0" applyNumberFormat="1" applyFont="1" applyFill="1" applyBorder="1" applyAlignment="1" applyProtection="1">
      <alignment horizontal="right" shrinkToFit="1"/>
    </xf>
    <xf numFmtId="0" fontId="83" fillId="3" borderId="1" xfId="0" applyFont="1" applyFill="1" applyBorder="1" applyAlignment="1" applyProtection="1">
      <alignment shrinkToFit="1"/>
    </xf>
    <xf numFmtId="0" fontId="49" fillId="3" borderId="1" xfId="0" applyFont="1" applyFill="1" applyBorder="1" applyAlignment="1" applyProtection="1">
      <alignment shrinkToFit="1"/>
    </xf>
    <xf numFmtId="0" fontId="83" fillId="3" borderId="1" xfId="0" applyFont="1" applyFill="1" applyBorder="1" applyAlignment="1" applyProtection="1">
      <alignment horizontal="left" shrinkToFit="1"/>
    </xf>
    <xf numFmtId="43" fontId="14" fillId="0" borderId="1" xfId="0" applyNumberFormat="1" applyFont="1" applyBorder="1" applyAlignment="1" applyProtection="1">
      <alignment horizontal="right" shrinkToFit="1"/>
    </xf>
    <xf numFmtId="0" fontId="49" fillId="0" borderId="1" xfId="0" applyFont="1" applyBorder="1" applyAlignment="1" applyProtection="1">
      <alignment shrinkToFit="1"/>
    </xf>
    <xf numFmtId="0" fontId="7" fillId="0" borderId="1" xfId="0" applyFont="1" applyBorder="1" applyAlignment="1" applyProtection="1">
      <alignment shrinkToFit="1"/>
    </xf>
    <xf numFmtId="176" fontId="84" fillId="0" borderId="1" xfId="0" applyNumberFormat="1" applyFont="1" applyFill="1" applyBorder="1" applyAlignment="1" applyProtection="1">
      <alignment horizontal="right" shrinkToFit="1"/>
    </xf>
    <xf numFmtId="0" fontId="86" fillId="0" borderId="1" xfId="0" applyFont="1" applyBorder="1" applyAlignment="1" applyProtection="1">
      <alignment shrinkToFit="1"/>
    </xf>
    <xf numFmtId="0" fontId="49" fillId="3" borderId="1" xfId="0" applyFont="1" applyFill="1" applyBorder="1" applyAlignment="1" applyProtection="1">
      <alignment horizontal="left" shrinkToFit="1"/>
    </xf>
    <xf numFmtId="0" fontId="13" fillId="0" borderId="0" xfId="0" applyFont="1" applyBorder="1" applyAlignment="1" applyProtection="1">
      <alignment horizontal="center" shrinkToFit="1"/>
    </xf>
    <xf numFmtId="178" fontId="13" fillId="0" borderId="0" xfId="0" applyNumberFormat="1" applyFont="1" applyBorder="1" applyAlignment="1" applyProtection="1">
      <alignment horizontal="center"/>
    </xf>
    <xf numFmtId="0" fontId="15" fillId="0" borderId="0" xfId="0" applyFont="1" applyFill="1" applyBorder="1" applyProtection="1"/>
    <xf numFmtId="14" fontId="12" fillId="0" borderId="0" xfId="0" applyNumberFormat="1" applyFont="1" applyBorder="1" applyAlignment="1" applyProtection="1">
      <alignment horizontal="center" vertical="center" wrapText="1"/>
    </xf>
    <xf numFmtId="0" fontId="15" fillId="0" borderId="0" xfId="0" applyFont="1" applyBorder="1" applyAlignment="1" applyProtection="1">
      <alignment horizontal="center" shrinkToFit="1"/>
    </xf>
    <xf numFmtId="176" fontId="13" fillId="0" borderId="0" xfId="0" applyNumberFormat="1" applyFont="1" applyFill="1" applyBorder="1" applyProtection="1"/>
    <xf numFmtId="176" fontId="12" fillId="0" borderId="1" xfId="0" applyNumberFormat="1" applyFont="1" applyFill="1" applyBorder="1" applyProtection="1"/>
    <xf numFmtId="43" fontId="15" fillId="0" borderId="0" xfId="0" applyNumberFormat="1" applyFont="1" applyFill="1" applyProtection="1"/>
    <xf numFmtId="43" fontId="12" fillId="0" borderId="0" xfId="0" applyNumberFormat="1" applyFont="1" applyFill="1" applyProtection="1"/>
    <xf numFmtId="176" fontId="11" fillId="0" borderId="0" xfId="0" applyNumberFormat="1" applyFont="1" applyFill="1" applyProtection="1"/>
    <xf numFmtId="176" fontId="17" fillId="0" borderId="1" xfId="0" applyNumberFormat="1" applyFont="1" applyFill="1" applyBorder="1" applyProtection="1"/>
    <xf numFmtId="176" fontId="23" fillId="0" borderId="0" xfId="0" applyNumberFormat="1" applyFont="1" applyFill="1" applyProtection="1"/>
    <xf numFmtId="176" fontId="15" fillId="0" borderId="1" xfId="0" applyNumberFormat="1" applyFont="1" applyFill="1" applyBorder="1" applyAlignment="1" applyProtection="1">
      <alignment horizontal="center"/>
    </xf>
    <xf numFmtId="43" fontId="53" fillId="0" borderId="0" xfId="0" applyNumberFormat="1" applyFont="1" applyFill="1" applyAlignment="1" applyProtection="1"/>
    <xf numFmtId="0" fontId="15" fillId="0" borderId="0" xfId="0" applyFont="1" applyFill="1" applyBorder="1" applyAlignment="1" applyProtection="1">
      <alignment horizontal="left"/>
    </xf>
    <xf numFmtId="43" fontId="15" fillId="0" borderId="0" xfId="0" applyNumberFormat="1" applyFont="1" applyFill="1" applyBorder="1" applyAlignment="1" applyProtection="1">
      <alignment horizontal="left"/>
    </xf>
    <xf numFmtId="0" fontId="24" fillId="0" borderId="0" xfId="0" applyFont="1" applyBorder="1" applyAlignment="1" applyProtection="1">
      <alignment horizontal="center" shrinkToFit="1"/>
    </xf>
    <xf numFmtId="176" fontId="87" fillId="3" borderId="1" xfId="0" applyNumberFormat="1" applyFont="1" applyFill="1" applyBorder="1" applyAlignment="1" applyProtection="1">
      <alignment horizontal="right" shrinkToFit="1"/>
    </xf>
    <xf numFmtId="176" fontId="14" fillId="0" borderId="1" xfId="0" applyNumberFormat="1" applyFont="1" applyBorder="1" applyAlignment="1" applyProtection="1">
      <alignment horizontal="right" shrinkToFit="1"/>
    </xf>
    <xf numFmtId="176" fontId="7" fillId="0" borderId="0" xfId="0" applyNumberFormat="1" applyFont="1" applyProtection="1"/>
    <xf numFmtId="176" fontId="39" fillId="0" borderId="1" xfId="0" applyNumberFormat="1" applyFont="1" applyBorder="1" applyProtection="1"/>
    <xf numFmtId="176" fontId="13" fillId="0" borderId="1" xfId="0" applyNumberFormat="1" applyFont="1" applyBorder="1" applyAlignment="1" applyProtection="1">
      <alignment horizontal="left"/>
    </xf>
    <xf numFmtId="176" fontId="15" fillId="0" borderId="1" xfId="0" applyNumberFormat="1" applyFont="1" applyBorder="1" applyAlignment="1" applyProtection="1">
      <alignment horizontal="left"/>
    </xf>
    <xf numFmtId="176" fontId="36" fillId="0" borderId="1" xfId="0" applyNumberFormat="1" applyFont="1" applyBorder="1" applyAlignment="1" applyProtection="1">
      <alignment horizontal="center"/>
    </xf>
    <xf numFmtId="176" fontId="36" fillId="0" borderId="1" xfId="0" applyNumberFormat="1" applyFont="1" applyBorder="1" applyAlignment="1" applyProtection="1">
      <alignment horizontal="center" vertical="center"/>
    </xf>
    <xf numFmtId="176" fontId="31" fillId="0" borderId="0" xfId="0" applyNumberFormat="1" applyFont="1" applyProtection="1"/>
    <xf numFmtId="176" fontId="25" fillId="0" borderId="0" xfId="0" applyNumberFormat="1" applyFont="1" applyProtection="1"/>
    <xf numFmtId="176" fontId="17" fillId="0" borderId="1" xfId="0" applyNumberFormat="1" applyFont="1" applyBorder="1" applyAlignment="1" applyProtection="1">
      <alignment horizontal="left"/>
    </xf>
    <xf numFmtId="180" fontId="15" fillId="0" borderId="1" xfId="2" applyNumberFormat="1" applyFont="1" applyBorder="1" applyProtection="1"/>
    <xf numFmtId="176" fontId="40" fillId="0" borderId="0" xfId="0" applyNumberFormat="1" applyFont="1" applyProtection="1"/>
    <xf numFmtId="176" fontId="12" fillId="0" borderId="0" xfId="0" applyNumberFormat="1" applyFont="1" applyAlignment="1" applyProtection="1">
      <alignment horizontal="left"/>
    </xf>
    <xf numFmtId="176" fontId="24" fillId="0" borderId="0" xfId="0" applyNumberFormat="1" applyFont="1" applyAlignment="1" applyProtection="1">
      <alignment horizontal="left"/>
    </xf>
    <xf numFmtId="176" fontId="23" fillId="0" borderId="0" xfId="0" applyNumberFormat="1" applyFont="1" applyProtection="1"/>
    <xf numFmtId="180" fontId="15" fillId="0" borderId="0" xfId="2" applyNumberFormat="1" applyFont="1" applyBorder="1" applyProtection="1"/>
    <xf numFmtId="10" fontId="15" fillId="0" borderId="1" xfId="2" applyNumberFormat="1" applyFont="1" applyBorder="1" applyProtection="1"/>
    <xf numFmtId="10" fontId="30" fillId="6" borderId="1" xfId="2" applyNumberFormat="1" applyFont="1" applyFill="1" applyBorder="1" applyProtection="1"/>
    <xf numFmtId="176" fontId="17" fillId="0" borderId="1" xfId="0" applyNumberFormat="1" applyFont="1" applyBorder="1" applyAlignment="1" applyProtection="1">
      <alignment horizontal="center" vertical="center"/>
    </xf>
    <xf numFmtId="176" fontId="33" fillId="0" borderId="0" xfId="0" applyNumberFormat="1" applyFont="1" applyProtection="1"/>
    <xf numFmtId="43" fontId="14" fillId="0" borderId="0" xfId="0" applyNumberFormat="1" applyFont="1" applyFill="1" applyProtection="1"/>
    <xf numFmtId="43" fontId="7" fillId="0" borderId="0" xfId="0" applyNumberFormat="1" applyFont="1" applyFill="1" applyAlignment="1" applyProtection="1">
      <alignment horizontal="right"/>
    </xf>
    <xf numFmtId="176" fontId="24" fillId="0" borderId="0" xfId="0" applyNumberFormat="1" applyFont="1" applyFill="1" applyProtection="1"/>
    <xf numFmtId="43" fontId="15" fillId="0" borderId="0" xfId="0" applyNumberFormat="1" applyFont="1" applyFill="1" applyBorder="1" applyProtection="1"/>
    <xf numFmtId="0" fontId="14" fillId="0" borderId="0" xfId="0" applyFont="1" applyProtection="1"/>
    <xf numFmtId="176" fontId="12" fillId="0" borderId="0" xfId="0" applyNumberFormat="1" applyFont="1" applyBorder="1" applyProtection="1"/>
    <xf numFmtId="176" fontId="12" fillId="0" borderId="5" xfId="0" applyNumberFormat="1" applyFont="1" applyBorder="1" applyProtection="1"/>
    <xf numFmtId="176" fontId="13" fillId="0" borderId="7" xfId="0" applyNumberFormat="1" applyFont="1" applyBorder="1" applyProtection="1"/>
    <xf numFmtId="176" fontId="13" fillId="0" borderId="18" xfId="0" applyNumberFormat="1" applyFont="1" applyBorder="1" applyProtection="1"/>
    <xf numFmtId="176" fontId="26" fillId="6" borderId="0" xfId="0" applyNumberFormat="1" applyFont="1" applyFill="1" applyProtection="1"/>
    <xf numFmtId="180" fontId="26" fillId="6" borderId="5" xfId="2" applyNumberFormat="1" applyFont="1" applyFill="1" applyBorder="1" applyProtection="1"/>
    <xf numFmtId="176" fontId="12" fillId="0" borderId="7" xfId="0" applyNumberFormat="1" applyFont="1" applyBorder="1" applyProtection="1"/>
    <xf numFmtId="176" fontId="24" fillId="4" borderId="0" xfId="0" applyNumberFormat="1" applyFont="1" applyFill="1" applyProtection="1"/>
    <xf numFmtId="176" fontId="13" fillId="4" borderId="0" xfId="0" applyNumberFormat="1" applyFont="1" applyFill="1" applyProtection="1"/>
    <xf numFmtId="176" fontId="17" fillId="0" borderId="0" xfId="0" applyNumberFormat="1" applyFont="1" applyProtection="1"/>
    <xf numFmtId="10" fontId="27" fillId="6" borderId="0" xfId="2" applyNumberFormat="1" applyFont="1" applyFill="1" applyProtection="1"/>
    <xf numFmtId="176" fontId="15" fillId="0" borderId="24" xfId="0" applyNumberFormat="1" applyFont="1" applyBorder="1" applyProtection="1"/>
    <xf numFmtId="10" fontId="26" fillId="6" borderId="5" xfId="2" applyNumberFormat="1" applyFont="1" applyFill="1" applyBorder="1" applyProtection="1"/>
    <xf numFmtId="9" fontId="13" fillId="6" borderId="1" xfId="2" applyFont="1" applyFill="1" applyBorder="1" applyAlignment="1" applyProtection="1">
      <alignment horizontal="center"/>
    </xf>
    <xf numFmtId="176" fontId="13" fillId="0" borderId="1" xfId="0" applyNumberFormat="1" applyFont="1" applyBorder="1" applyAlignment="1" applyProtection="1">
      <alignment shrinkToFit="1"/>
    </xf>
    <xf numFmtId="176" fontId="24" fillId="0" borderId="1" xfId="0" applyNumberFormat="1" applyFont="1" applyBorder="1" applyProtection="1"/>
    <xf numFmtId="9" fontId="13" fillId="0" borderId="1" xfId="2" applyFont="1" applyBorder="1" applyAlignment="1" applyProtection="1">
      <alignment horizontal="center"/>
    </xf>
    <xf numFmtId="10" fontId="13" fillId="6" borderId="1" xfId="2" applyNumberFormat="1" applyFont="1" applyFill="1" applyBorder="1" applyAlignment="1" applyProtection="1">
      <alignment horizontal="center"/>
    </xf>
    <xf numFmtId="10" fontId="12" fillId="0" borderId="1" xfId="2" applyNumberFormat="1" applyFont="1" applyBorder="1" applyAlignment="1" applyProtection="1">
      <alignment horizontal="center"/>
    </xf>
    <xf numFmtId="10" fontId="13" fillId="0" borderId="1" xfId="2" applyNumberFormat="1" applyFont="1" applyBorder="1" applyAlignment="1" applyProtection="1">
      <alignment horizontal="center"/>
    </xf>
    <xf numFmtId="9" fontId="13" fillId="0" borderId="1" xfId="2" applyNumberFormat="1" applyFont="1" applyBorder="1" applyProtection="1"/>
    <xf numFmtId="0" fontId="12" fillId="0" borderId="0" xfId="0" applyFont="1" applyBorder="1" applyAlignment="1" applyProtection="1">
      <alignment horizontal="left"/>
    </xf>
    <xf numFmtId="43" fontId="26" fillId="6" borderId="1" xfId="0" applyNumberFormat="1" applyFont="1" applyFill="1" applyBorder="1" applyProtection="1"/>
    <xf numFmtId="176" fontId="12" fillId="0" borderId="0" xfId="0" applyNumberFormat="1" applyFont="1" applyAlignment="1" applyProtection="1">
      <alignment horizontal="center"/>
    </xf>
    <xf numFmtId="176" fontId="24" fillId="0" borderId="0" xfId="0" applyNumberFormat="1" applyFont="1" applyBorder="1" applyProtection="1"/>
    <xf numFmtId="185" fontId="13" fillId="0" borderId="1" xfId="2" applyNumberFormat="1" applyFont="1" applyBorder="1" applyProtection="1"/>
    <xf numFmtId="43" fontId="23" fillId="0" borderId="0" xfId="0" applyNumberFormat="1" applyFont="1" applyFill="1" applyProtection="1"/>
    <xf numFmtId="14" fontId="13" fillId="0" borderId="0" xfId="0" applyNumberFormat="1" applyFont="1" applyFill="1" applyProtection="1"/>
    <xf numFmtId="43" fontId="14" fillId="0" borderId="0" xfId="0" applyNumberFormat="1" applyFont="1" applyAlignment="1" applyProtection="1">
      <alignment horizontal="center"/>
    </xf>
    <xf numFmtId="43" fontId="14" fillId="0" borderId="0" xfId="0" applyNumberFormat="1" applyFont="1" applyProtection="1"/>
    <xf numFmtId="43" fontId="14" fillId="0" borderId="0" xfId="0" applyNumberFormat="1" applyFont="1" applyFill="1" applyAlignment="1" applyProtection="1">
      <alignment horizontal="center"/>
    </xf>
    <xf numFmtId="43" fontId="12" fillId="0" borderId="0" xfId="0" applyNumberFormat="1" applyFont="1" applyProtection="1"/>
    <xf numFmtId="43" fontId="14" fillId="5" borderId="0" xfId="0" applyNumberFormat="1" applyFont="1" applyFill="1" applyProtection="1"/>
    <xf numFmtId="43" fontId="47" fillId="6" borderId="5" xfId="0" applyNumberFormat="1" applyFont="1" applyFill="1" applyBorder="1" applyProtection="1"/>
    <xf numFmtId="43" fontId="24" fillId="0" borderId="0" xfId="0" applyNumberFormat="1" applyFont="1" applyProtection="1"/>
    <xf numFmtId="43" fontId="25" fillId="0" borderId="0" xfId="0" applyNumberFormat="1" applyFont="1" applyProtection="1"/>
    <xf numFmtId="43" fontId="31" fillId="0" borderId="0" xfId="0" applyNumberFormat="1" applyFont="1" applyProtection="1"/>
    <xf numFmtId="43" fontId="15" fillId="0" borderId="0" xfId="0" applyNumberFormat="1" applyFont="1" applyProtection="1"/>
    <xf numFmtId="43" fontId="31" fillId="0" borderId="0" xfId="0" applyNumberFormat="1" applyFont="1" applyFill="1" applyProtection="1"/>
    <xf numFmtId="43" fontId="29" fillId="0" borderId="0" xfId="0" applyNumberFormat="1" applyFont="1" applyFill="1" applyProtection="1"/>
    <xf numFmtId="43" fontId="26" fillId="0" borderId="0" xfId="0" applyNumberFormat="1" applyFont="1" applyProtection="1"/>
    <xf numFmtId="43" fontId="25" fillId="0" borderId="0" xfId="0" applyNumberFormat="1" applyFont="1" applyFill="1" applyProtection="1"/>
    <xf numFmtId="43" fontId="7" fillId="0" borderId="0" xfId="0" applyNumberFormat="1" applyFont="1" applyFill="1" applyAlignment="1" applyProtection="1">
      <alignment horizontal="left"/>
    </xf>
    <xf numFmtId="10" fontId="47" fillId="0" borderId="0" xfId="0" applyNumberFormat="1" applyFont="1" applyFill="1" applyBorder="1" applyProtection="1"/>
    <xf numFmtId="178" fontId="13" fillId="0" borderId="0" xfId="0" applyNumberFormat="1" applyFont="1" applyAlignment="1" applyProtection="1">
      <alignment horizontal="center"/>
    </xf>
    <xf numFmtId="182" fontId="13" fillId="0" borderId="0" xfId="0" applyNumberFormat="1" applyFont="1" applyAlignment="1" applyProtection="1">
      <alignment horizontal="center"/>
    </xf>
    <xf numFmtId="43" fontId="24" fillId="0" borderId="0" xfId="0" applyNumberFormat="1" applyFont="1" applyBorder="1" applyProtection="1"/>
    <xf numFmtId="0" fontId="13" fillId="0" borderId="0" xfId="0" applyNumberFormat="1" applyFont="1" applyProtection="1"/>
    <xf numFmtId="0" fontId="91" fillId="0" borderId="0" xfId="0" applyFont="1" applyAlignment="1">
      <alignment horizontal="left" vertical="center"/>
    </xf>
    <xf numFmtId="0" fontId="91" fillId="0" borderId="0" xfId="0" applyFont="1" applyAlignment="1">
      <alignment vertical="center"/>
    </xf>
    <xf numFmtId="176" fontId="13" fillId="0" borderId="15" xfId="0" applyNumberFormat="1" applyFont="1" applyBorder="1" applyProtection="1"/>
    <xf numFmtId="176" fontId="56" fillId="0" borderId="0" xfId="0" applyNumberFormat="1" applyFont="1" applyFill="1" applyBorder="1" applyProtection="1"/>
    <xf numFmtId="0" fontId="12" fillId="0" borderId="0" xfId="0" applyFont="1" applyBorder="1" applyProtection="1"/>
    <xf numFmtId="176" fontId="24" fillId="0" borderId="0" xfId="0" applyNumberFormat="1" applyFont="1" applyFill="1" applyBorder="1" applyProtection="1"/>
    <xf numFmtId="180" fontId="13" fillId="2" borderId="1" xfId="2" applyNumberFormat="1" applyFont="1" applyFill="1" applyBorder="1" applyProtection="1"/>
    <xf numFmtId="176" fontId="13" fillId="5" borderId="0" xfId="0" applyNumberFormat="1" applyFont="1" applyFill="1" applyProtection="1"/>
    <xf numFmtId="43" fontId="41" fillId="0" borderId="1" xfId="0" applyNumberFormat="1" applyFont="1" applyBorder="1" applyProtection="1"/>
    <xf numFmtId="178" fontId="7" fillId="0" borderId="0" xfId="0" applyNumberFormat="1" applyFont="1" applyAlignment="1" applyProtection="1">
      <alignment horizontal="center"/>
    </xf>
    <xf numFmtId="178" fontId="14" fillId="0" borderId="0" xfId="0" applyNumberFormat="1" applyFont="1" applyAlignment="1" applyProtection="1">
      <alignment horizontal="center"/>
    </xf>
    <xf numFmtId="176" fontId="14" fillId="5" borderId="0" xfId="0" applyNumberFormat="1" applyFont="1" applyFill="1" applyProtection="1"/>
    <xf numFmtId="0" fontId="13" fillId="0" borderId="0" xfId="0" applyFont="1" applyFill="1" applyProtection="1"/>
    <xf numFmtId="176" fontId="13" fillId="0" borderId="1" xfId="2" applyNumberFormat="1" applyFont="1" applyBorder="1" applyAlignment="1" applyProtection="1">
      <alignment horizontal="right"/>
    </xf>
    <xf numFmtId="0" fontId="35" fillId="0" borderId="1" xfId="0" applyFont="1" applyFill="1" applyBorder="1" applyAlignment="1" applyProtection="1">
      <alignment shrinkToFit="1"/>
    </xf>
    <xf numFmtId="176" fontId="12" fillId="0" borderId="1" xfId="0" applyNumberFormat="1" applyFont="1" applyBorder="1" applyAlignment="1" applyProtection="1">
      <alignment shrinkToFit="1"/>
    </xf>
    <xf numFmtId="43" fontId="30" fillId="0" borderId="1" xfId="0" applyNumberFormat="1" applyFont="1" applyBorder="1" applyAlignment="1" applyProtection="1">
      <alignment horizontal="center"/>
    </xf>
    <xf numFmtId="43" fontId="15" fillId="0" borderId="1" xfId="0" applyNumberFormat="1" applyFont="1" applyBorder="1" applyAlignment="1" applyProtection="1">
      <alignment horizontal="center"/>
    </xf>
    <xf numFmtId="176" fontId="50" fillId="0" borderId="0" xfId="0" applyNumberFormat="1" applyFont="1" applyFill="1" applyProtection="1">
      <protection locked="0"/>
    </xf>
    <xf numFmtId="176" fontId="12" fillId="5" borderId="1" xfId="0" applyNumberFormat="1" applyFont="1" applyFill="1" applyBorder="1" applyAlignment="1" applyProtection="1">
      <alignment shrinkToFit="1"/>
    </xf>
    <xf numFmtId="176" fontId="17" fillId="0" borderId="1" xfId="0" applyNumberFormat="1" applyFont="1" applyBorder="1" applyAlignment="1" applyProtection="1">
      <alignment shrinkToFit="1"/>
    </xf>
    <xf numFmtId="176" fontId="35" fillId="7" borderId="1" xfId="0" applyNumberFormat="1" applyFont="1" applyFill="1" applyBorder="1" applyAlignment="1" applyProtection="1">
      <alignment shrinkToFit="1"/>
    </xf>
    <xf numFmtId="14" fontId="13" fillId="0" borderId="2" xfId="59" applyNumberFormat="1" applyFont="1" applyFill="1" applyBorder="1" applyAlignment="1" applyProtection="1">
      <alignment vertical="center" shrinkToFit="1"/>
    </xf>
    <xf numFmtId="176" fontId="89" fillId="0" borderId="8" xfId="0" applyNumberFormat="1" applyFont="1" applyBorder="1" applyProtection="1"/>
    <xf numFmtId="176" fontId="14" fillId="0" borderId="9" xfId="0" applyNumberFormat="1" applyFont="1" applyBorder="1" applyProtection="1"/>
    <xf numFmtId="176" fontId="14" fillId="0" borderId="10" xfId="0" applyNumberFormat="1" applyFont="1" applyBorder="1" applyProtection="1"/>
    <xf numFmtId="176" fontId="88" fillId="0" borderId="11" xfId="0" applyNumberFormat="1" applyFont="1" applyBorder="1" applyProtection="1"/>
    <xf numFmtId="176" fontId="14" fillId="0" borderId="0" xfId="0" applyNumberFormat="1" applyFont="1" applyBorder="1" applyProtection="1"/>
    <xf numFmtId="14" fontId="78" fillId="6" borderId="12" xfId="0" applyNumberFormat="1" applyFont="1" applyFill="1" applyBorder="1" applyProtection="1"/>
    <xf numFmtId="176" fontId="14" fillId="0" borderId="0" xfId="0" applyNumberFormat="1" applyFont="1" applyBorder="1" applyAlignment="1" applyProtection="1">
      <alignment horizontal="center"/>
    </xf>
    <xf numFmtId="176" fontId="14" fillId="0" borderId="13" xfId="0" applyNumberFormat="1" applyFont="1" applyBorder="1" applyProtection="1"/>
    <xf numFmtId="176" fontId="14" fillId="0" borderId="7" xfId="0" applyNumberFormat="1" applyFont="1" applyBorder="1" applyProtection="1"/>
    <xf numFmtId="176" fontId="14" fillId="0" borderId="14" xfId="0" applyNumberFormat="1" applyFont="1" applyBorder="1" applyProtection="1"/>
    <xf numFmtId="176" fontId="78" fillId="2" borderId="1" xfId="6" applyNumberFormat="1" applyFont="1" applyFill="1" applyBorder="1" applyAlignment="1" applyProtection="1">
      <alignment horizontal="right" shrinkToFit="1"/>
    </xf>
    <xf numFmtId="176" fontId="78" fillId="2" borderId="1" xfId="0" applyNumberFormat="1" applyFont="1" applyFill="1" applyBorder="1" applyAlignment="1" applyProtection="1">
      <alignment horizontal="right" shrinkToFit="1"/>
    </xf>
    <xf numFmtId="43" fontId="85" fillId="0" borderId="1" xfId="0" applyNumberFormat="1" applyFont="1" applyBorder="1" applyAlignment="1" applyProtection="1">
      <alignment horizontal="right" shrinkToFit="1"/>
    </xf>
    <xf numFmtId="0" fontId="53" fillId="0" borderId="1" xfId="0" applyFont="1" applyBorder="1" applyAlignment="1" applyProtection="1">
      <alignment horizontal="center" vertical="center" shrinkToFit="1"/>
    </xf>
    <xf numFmtId="14" fontId="53" fillId="0" borderId="1" xfId="0" applyNumberFormat="1" applyFont="1" applyBorder="1" applyAlignment="1" applyProtection="1">
      <alignment horizontal="center" vertical="center" shrinkToFit="1"/>
    </xf>
    <xf numFmtId="14" fontId="86" fillId="0" borderId="1" xfId="0" applyNumberFormat="1" applyFont="1" applyBorder="1" applyAlignment="1" applyProtection="1">
      <alignment horizontal="center" vertical="center" shrinkToFit="1"/>
    </xf>
    <xf numFmtId="0" fontId="86" fillId="0" borderId="1" xfId="0" applyFont="1" applyBorder="1" applyAlignment="1" applyProtection="1">
      <alignment horizontal="center" vertical="center" shrinkToFit="1"/>
    </xf>
    <xf numFmtId="176" fontId="35" fillId="0" borderId="0" xfId="0" applyNumberFormat="1" applyFont="1" applyProtection="1"/>
    <xf numFmtId="180" fontId="23" fillId="0" borderId="0" xfId="2" applyNumberFormat="1" applyFont="1" applyProtection="1"/>
    <xf numFmtId="10" fontId="13" fillId="0" borderId="5" xfId="2" applyNumberFormat="1" applyFont="1" applyBorder="1" applyProtection="1"/>
    <xf numFmtId="176" fontId="12" fillId="0" borderId="0" xfId="0" applyNumberFormat="1" applyFont="1" applyBorder="1" applyAlignment="1" applyProtection="1">
      <alignment horizontal="left"/>
    </xf>
    <xf numFmtId="180" fontId="13" fillId="0" borderId="0" xfId="2" applyNumberFormat="1" applyFont="1" applyBorder="1" applyAlignment="1" applyProtection="1">
      <alignment horizontal="right"/>
    </xf>
    <xf numFmtId="176" fontId="94" fillId="0" borderId="5" xfId="0" applyNumberFormat="1" applyFont="1" applyBorder="1" applyProtection="1"/>
    <xf numFmtId="180" fontId="13" fillId="0" borderId="0" xfId="2" applyNumberFormat="1" applyFont="1" applyAlignment="1" applyProtection="1">
      <alignment horizontal="right"/>
    </xf>
    <xf numFmtId="43" fontId="23" fillId="0" borderId="0" xfId="0" applyNumberFormat="1" applyFont="1" applyBorder="1" applyProtection="1"/>
    <xf numFmtId="176" fontId="30" fillId="0" borderId="1" xfId="0" applyNumberFormat="1" applyFont="1" applyFill="1" applyBorder="1" applyAlignment="1" applyProtection="1">
      <alignment horizontal="center"/>
    </xf>
    <xf numFmtId="176" fontId="28" fillId="0" borderId="7" xfId="0" applyNumberFormat="1" applyFont="1" applyBorder="1" applyProtection="1"/>
    <xf numFmtId="176" fontId="26" fillId="6" borderId="18" xfId="0" applyNumberFormat="1" applyFont="1" applyFill="1" applyBorder="1" applyProtection="1"/>
    <xf numFmtId="180" fontId="13" fillId="0" borderId="5" xfId="2" applyNumberFormat="1" applyFont="1" applyBorder="1" applyAlignment="1" applyProtection="1">
      <alignment horizontal="right"/>
    </xf>
    <xf numFmtId="43" fontId="13" fillId="0" borderId="26" xfId="0" applyNumberFormat="1" applyFont="1" applyBorder="1" applyProtection="1"/>
    <xf numFmtId="180" fontId="13" fillId="0" borderId="27" xfId="2" applyNumberFormat="1" applyFont="1" applyBorder="1" applyAlignment="1" applyProtection="1">
      <alignment horizontal="right"/>
    </xf>
    <xf numFmtId="180" fontId="13" fillId="0" borderId="28" xfId="2" applyNumberFormat="1" applyFont="1" applyBorder="1" applyProtection="1"/>
    <xf numFmtId="176" fontId="17" fillId="0" borderId="0" xfId="0" applyNumberFormat="1" applyFont="1" applyFill="1" applyAlignment="1" applyProtection="1">
      <alignment vertical="center"/>
    </xf>
    <xf numFmtId="176" fontId="30" fillId="0" borderId="0" xfId="0" applyNumberFormat="1" applyFont="1" applyFill="1" applyAlignment="1" applyProtection="1">
      <alignment horizontal="center" vertical="center"/>
    </xf>
    <xf numFmtId="176" fontId="15" fillId="0" borderId="25" xfId="0" applyNumberFormat="1" applyFont="1" applyFill="1" applyBorder="1" applyAlignment="1" applyProtection="1">
      <alignment horizontal="center" vertical="center"/>
    </xf>
    <xf numFmtId="176" fontId="15" fillId="0" borderId="0" xfId="0" applyNumberFormat="1" applyFont="1" applyFill="1" applyAlignment="1" applyProtection="1">
      <alignment horizontal="center" vertical="center"/>
    </xf>
    <xf numFmtId="176" fontId="12" fillId="0" borderId="24" xfId="0" applyNumberFormat="1" applyFont="1" applyBorder="1" applyProtection="1"/>
    <xf numFmtId="180" fontId="13" fillId="0" borderId="24" xfId="2" applyNumberFormat="1" applyFont="1" applyBorder="1" applyProtection="1"/>
    <xf numFmtId="176" fontId="28" fillId="0" borderId="29" xfId="0" applyNumberFormat="1" applyFont="1" applyBorder="1" applyProtection="1"/>
    <xf numFmtId="176" fontId="15" fillId="0" borderId="0" xfId="0" applyNumberFormat="1" applyFont="1" applyAlignment="1" applyProtection="1">
      <alignment horizontal="center" vertical="center"/>
    </xf>
    <xf numFmtId="176" fontId="17" fillId="0" borderId="0" xfId="0" applyNumberFormat="1" applyFont="1" applyFill="1" applyAlignment="1" applyProtection="1">
      <alignment horizontal="center" vertical="center"/>
    </xf>
    <xf numFmtId="176" fontId="15" fillId="6" borderId="29" xfId="0" applyNumberFormat="1" applyFont="1" applyFill="1" applyBorder="1" applyAlignment="1" applyProtection="1">
      <alignment horizontal="center" vertical="center"/>
    </xf>
    <xf numFmtId="180" fontId="15" fillId="0" borderId="18" xfId="2" applyNumberFormat="1" applyFont="1" applyFill="1" applyBorder="1" applyProtection="1"/>
    <xf numFmtId="180" fontId="15" fillId="0" borderId="0" xfId="2" applyNumberFormat="1" applyFont="1" applyFill="1" applyBorder="1" applyProtection="1"/>
    <xf numFmtId="180" fontId="15" fillId="0" borderId="24" xfId="2" applyNumberFormat="1" applyFont="1" applyFill="1" applyBorder="1" applyProtection="1"/>
    <xf numFmtId="41" fontId="11" fillId="0" borderId="7" xfId="0" applyNumberFormat="1" applyFont="1" applyBorder="1" applyProtection="1"/>
    <xf numFmtId="0" fontId="12" fillId="0" borderId="18" xfId="0" applyFont="1" applyBorder="1" applyAlignment="1" applyProtection="1">
      <alignment horizontal="left"/>
    </xf>
    <xf numFmtId="176" fontId="13" fillId="0" borderId="5" xfId="0" applyNumberFormat="1" applyFont="1" applyBorder="1" applyAlignment="1" applyProtection="1">
      <alignment horizontal="center" vertical="center"/>
    </xf>
    <xf numFmtId="176" fontId="30" fillId="0" borderId="0" xfId="0" applyNumberFormat="1" applyFont="1" applyAlignment="1" applyProtection="1">
      <alignment horizontal="center" vertical="center"/>
    </xf>
    <xf numFmtId="43" fontId="13" fillId="2" borderId="1" xfId="0" applyNumberFormat="1" applyFont="1" applyFill="1" applyBorder="1" applyProtection="1"/>
    <xf numFmtId="43" fontId="26" fillId="2" borderId="1" xfId="0" applyNumberFormat="1" applyFont="1" applyFill="1" applyBorder="1" applyProtection="1"/>
    <xf numFmtId="43" fontId="27" fillId="0" borderId="1" xfId="0" applyNumberFormat="1" applyFont="1" applyBorder="1" applyProtection="1"/>
    <xf numFmtId="43" fontId="84" fillId="0" borderId="1" xfId="0" applyNumberFormat="1" applyFont="1" applyFill="1" applyBorder="1" applyAlignment="1" applyProtection="1">
      <alignment horizontal="right" shrinkToFit="1"/>
    </xf>
    <xf numFmtId="43" fontId="53" fillId="0" borderId="1" xfId="0" applyNumberFormat="1" applyFont="1" applyFill="1" applyBorder="1" applyAlignment="1" applyProtection="1">
      <alignment horizontal="right" shrinkToFit="1"/>
    </xf>
    <xf numFmtId="43" fontId="84" fillId="3" borderId="1" xfId="0" applyNumberFormat="1" applyFont="1" applyFill="1" applyBorder="1" applyAlignment="1" applyProtection="1">
      <alignment horizontal="right" shrinkToFit="1"/>
    </xf>
    <xf numFmtId="176" fontId="13" fillId="0" borderId="17" xfId="0" applyNumberFormat="1" applyFont="1" applyBorder="1" applyProtection="1"/>
    <xf numFmtId="176" fontId="96" fillId="0" borderId="0" xfId="0" applyNumberFormat="1" applyFont="1" applyAlignment="1" applyProtection="1">
      <alignment horizontal="center"/>
    </xf>
    <xf numFmtId="176" fontId="52" fillId="0" borderId="7" xfId="0" applyNumberFormat="1" applyFont="1" applyBorder="1" applyProtection="1"/>
    <xf numFmtId="180" fontId="13" fillId="0" borderId="7" xfId="2" applyNumberFormat="1" applyFont="1" applyBorder="1" applyAlignment="1" applyProtection="1">
      <alignment horizontal="right"/>
    </xf>
    <xf numFmtId="180" fontId="13" fillId="0" borderId="28" xfId="2" applyNumberFormat="1" applyFont="1" applyBorder="1" applyAlignment="1" applyProtection="1">
      <alignment horizontal="right"/>
    </xf>
    <xf numFmtId="176" fontId="96" fillId="0" borderId="0" xfId="0" applyNumberFormat="1" applyFont="1" applyAlignment="1" applyProtection="1">
      <alignment horizontal="center" vertical="center"/>
    </xf>
    <xf numFmtId="176" fontId="96" fillId="6" borderId="29" xfId="0" applyNumberFormat="1" applyFont="1" applyFill="1" applyBorder="1" applyAlignment="1" applyProtection="1">
      <alignment horizontal="center" vertical="center"/>
    </xf>
    <xf numFmtId="10" fontId="26" fillId="6" borderId="1" xfId="2" applyNumberFormat="1" applyFont="1" applyFill="1" applyBorder="1" applyProtection="1"/>
    <xf numFmtId="10" fontId="15" fillId="0" borderId="1" xfId="2" applyNumberFormat="1" applyFont="1" applyFill="1" applyBorder="1" applyProtection="1"/>
    <xf numFmtId="43" fontId="26" fillId="6" borderId="18" xfId="0" applyNumberFormat="1" applyFont="1" applyFill="1" applyBorder="1" applyProtection="1"/>
    <xf numFmtId="176" fontId="15" fillId="0" borderId="0" xfId="0" applyNumberFormat="1" applyFont="1" applyFill="1" applyBorder="1" applyAlignment="1" applyProtection="1">
      <alignment horizontal="center" vertical="center"/>
    </xf>
    <xf numFmtId="176" fontId="13" fillId="0" borderId="30" xfId="0" applyNumberFormat="1" applyFont="1" applyBorder="1" applyProtection="1"/>
    <xf numFmtId="176" fontId="30" fillId="0" borderId="31" xfId="0" applyNumberFormat="1" applyFont="1" applyFill="1" applyBorder="1" applyAlignment="1" applyProtection="1">
      <alignment horizontal="center" vertical="center"/>
    </xf>
    <xf numFmtId="176" fontId="12" fillId="0" borderId="6" xfId="0" applyNumberFormat="1" applyFont="1" applyBorder="1" applyProtection="1"/>
    <xf numFmtId="176" fontId="30" fillId="0" borderId="2" xfId="0" applyNumberFormat="1" applyFont="1" applyBorder="1" applyAlignment="1" applyProtection="1">
      <alignment horizontal="center" vertical="center"/>
    </xf>
    <xf numFmtId="180" fontId="26" fillId="6" borderId="1" xfId="2" applyNumberFormat="1" applyFont="1" applyFill="1" applyBorder="1" applyAlignment="1" applyProtection="1">
      <alignment horizontal="right"/>
    </xf>
    <xf numFmtId="180" fontId="13" fillId="0" borderId="2" xfId="2" applyNumberFormat="1" applyFont="1" applyBorder="1" applyAlignment="1" applyProtection="1">
      <alignment horizontal="right"/>
    </xf>
    <xf numFmtId="176" fontId="17" fillId="0" borderId="0" xfId="0" applyNumberFormat="1" applyFont="1" applyFill="1" applyBorder="1" applyAlignment="1" applyProtection="1">
      <alignment horizontal="center"/>
    </xf>
    <xf numFmtId="176" fontId="17" fillId="0" borderId="0" xfId="0" applyNumberFormat="1" applyFont="1" applyAlignment="1" applyProtection="1">
      <alignment vertical="center"/>
    </xf>
    <xf numFmtId="176" fontId="17" fillId="0" borderId="18" xfId="0" applyNumberFormat="1" applyFont="1" applyFill="1" applyBorder="1" applyAlignment="1" applyProtection="1">
      <alignment horizontal="center"/>
    </xf>
    <xf numFmtId="176" fontId="13" fillId="0" borderId="18" xfId="0" applyNumberFormat="1" applyFont="1" applyFill="1" applyBorder="1" applyProtection="1"/>
    <xf numFmtId="176" fontId="17" fillId="0" borderId="7" xfId="0" applyNumberFormat="1" applyFont="1" applyFill="1" applyBorder="1" applyAlignment="1" applyProtection="1">
      <alignment horizontal="center" vertical="center"/>
    </xf>
    <xf numFmtId="176" fontId="13" fillId="0" borderId="7" xfId="0" applyNumberFormat="1" applyFont="1" applyFill="1" applyBorder="1" applyProtection="1"/>
    <xf numFmtId="180" fontId="15" fillId="0" borderId="7" xfId="2" applyNumberFormat="1" applyFont="1" applyFill="1" applyBorder="1" applyProtection="1"/>
    <xf numFmtId="180" fontId="13" fillId="0" borderId="0" xfId="2" applyNumberFormat="1" applyFont="1" applyFill="1" applyProtection="1"/>
    <xf numFmtId="176" fontId="17" fillId="0" borderId="17" xfId="0" applyNumberFormat="1" applyFont="1" applyFill="1" applyBorder="1" applyAlignment="1" applyProtection="1">
      <alignment horizontal="center"/>
    </xf>
    <xf numFmtId="176" fontId="13" fillId="0" borderId="17" xfId="0" applyNumberFormat="1" applyFont="1" applyFill="1" applyBorder="1" applyProtection="1"/>
    <xf numFmtId="180" fontId="15" fillId="0" borderId="17" xfId="2" applyNumberFormat="1" applyFont="1" applyFill="1" applyBorder="1" applyProtection="1"/>
    <xf numFmtId="43" fontId="15" fillId="0" borderId="0" xfId="0" applyNumberFormat="1" applyFont="1" applyFill="1" applyAlignment="1" applyProtection="1"/>
    <xf numFmtId="178" fontId="12" fillId="0" borderId="0" xfId="24" applyNumberFormat="1" applyFont="1" applyAlignment="1" applyProtection="1">
      <alignment horizontal="left"/>
    </xf>
    <xf numFmtId="176" fontId="12" fillId="0" borderId="0" xfId="24" applyNumberFormat="1" applyFont="1" applyAlignment="1" applyProtection="1">
      <alignment horizontal="right"/>
    </xf>
    <xf numFmtId="176" fontId="15" fillId="0" borderId="1" xfId="24" applyNumberFormat="1" applyFont="1" applyBorder="1" applyAlignment="1" applyProtection="1">
      <alignment horizontal="center" vertical="center"/>
    </xf>
    <xf numFmtId="176" fontId="15" fillId="5" borderId="1" xfId="24" applyNumberFormat="1" applyFont="1" applyFill="1" applyBorder="1" applyProtection="1"/>
    <xf numFmtId="176" fontId="13" fillId="5" borderId="1" xfId="24" applyNumberFormat="1" applyFont="1" applyFill="1" applyBorder="1" applyProtection="1"/>
    <xf numFmtId="176" fontId="15" fillId="0" borderId="1" xfId="24" applyNumberFormat="1" applyFont="1" applyBorder="1" applyProtection="1"/>
    <xf numFmtId="176" fontId="13" fillId="0" borderId="1" xfId="24" applyNumberFormat="1" applyFont="1" applyBorder="1" applyProtection="1"/>
    <xf numFmtId="176" fontId="13" fillId="0" borderId="6" xfId="24" applyNumberFormat="1" applyFont="1" applyBorder="1" applyProtection="1"/>
    <xf numFmtId="176" fontId="24" fillId="0" borderId="0" xfId="24" applyNumberFormat="1" applyFont="1" applyBorder="1" applyProtection="1"/>
    <xf numFmtId="43" fontId="11" fillId="0" borderId="0" xfId="24" applyNumberFormat="1" applyFont="1" applyAlignment="1" applyProtection="1">
      <alignment horizontal="center"/>
    </xf>
    <xf numFmtId="10" fontId="13" fillId="0" borderId="1" xfId="16" applyNumberFormat="1" applyFont="1" applyBorder="1" applyProtection="1"/>
    <xf numFmtId="0" fontId="19" fillId="0" borderId="0" xfId="24" applyFont="1" applyAlignment="1" applyProtection="1">
      <alignment horizontal="left"/>
    </xf>
    <xf numFmtId="176" fontId="13" fillId="0" borderId="0" xfId="24" applyNumberFormat="1" applyFont="1" applyProtection="1"/>
    <xf numFmtId="0" fontId="97" fillId="0" borderId="0" xfId="0" applyFont="1" applyBorder="1" applyProtection="1"/>
    <xf numFmtId="176" fontId="15" fillId="0" borderId="15" xfId="0" applyNumberFormat="1" applyFont="1" applyBorder="1" applyProtection="1"/>
    <xf numFmtId="0" fontId="55" fillId="0" borderId="0" xfId="24" applyFont="1" applyFill="1" applyBorder="1" applyAlignment="1" applyProtection="1">
      <alignment horizontal="center"/>
    </xf>
    <xf numFmtId="14" fontId="13" fillId="0" borderId="0" xfId="0" applyNumberFormat="1" applyFont="1" applyFill="1" applyAlignment="1" applyProtection="1">
      <alignment horizontal="left"/>
    </xf>
    <xf numFmtId="0" fontId="58" fillId="0" borderId="0" xfId="24" applyFont="1" applyFill="1" applyBorder="1" applyProtection="1"/>
    <xf numFmtId="0" fontId="41" fillId="0" borderId="0" xfId="24" applyFont="1" applyFill="1" applyBorder="1" applyProtection="1"/>
    <xf numFmtId="176" fontId="14" fillId="0" borderId="0" xfId="24" applyNumberFormat="1" applyFont="1" applyProtection="1"/>
    <xf numFmtId="10" fontId="27" fillId="6" borderId="1" xfId="16" applyNumberFormat="1" applyFont="1" applyFill="1" applyBorder="1" applyProtection="1"/>
    <xf numFmtId="181" fontId="27" fillId="6" borderId="1" xfId="24" applyNumberFormat="1" applyFont="1" applyFill="1" applyBorder="1" applyProtection="1"/>
    <xf numFmtId="176" fontId="13" fillId="5" borderId="0" xfId="24" applyNumberFormat="1" applyFont="1" applyFill="1" applyProtection="1"/>
    <xf numFmtId="176" fontId="12" fillId="0" borderId="0" xfId="24" applyNumberFormat="1" applyFont="1" applyAlignment="1" applyProtection="1">
      <alignment horizontal="center"/>
    </xf>
    <xf numFmtId="43" fontId="13" fillId="0" borderId="1" xfId="0" applyNumberFormat="1" applyFont="1" applyBorder="1" applyAlignment="1" applyProtection="1">
      <alignment horizontal="right"/>
    </xf>
    <xf numFmtId="43" fontId="13" fillId="0" borderId="0" xfId="0" applyNumberFormat="1" applyFont="1" applyFill="1" applyAlignment="1" applyProtection="1">
      <alignment horizontal="right"/>
    </xf>
    <xf numFmtId="0" fontId="7" fillId="0" borderId="1" xfId="24" applyFont="1" applyBorder="1" applyAlignment="1">
      <alignment horizontal="center" vertical="center" wrapText="1"/>
    </xf>
    <xf numFmtId="0" fontId="7" fillId="0" borderId="1" xfId="24" applyFont="1" applyBorder="1" applyAlignment="1">
      <alignment horizontal="center" vertical="center"/>
    </xf>
    <xf numFmtId="179" fontId="31" fillId="0" borderId="0" xfId="0" applyNumberFormat="1" applyFont="1" applyAlignment="1">
      <alignment horizontal="right"/>
    </xf>
    <xf numFmtId="43" fontId="14" fillId="0" borderId="1" xfId="0" applyNumberFormat="1" applyFont="1" applyFill="1" applyBorder="1" applyAlignment="1" applyProtection="1">
      <alignment horizontal="right" shrinkToFit="1"/>
    </xf>
    <xf numFmtId="43" fontId="14" fillId="0" borderId="1" xfId="6" applyNumberFormat="1" applyFont="1" applyFill="1" applyBorder="1" applyAlignment="1" applyProtection="1">
      <alignment horizontal="right" shrinkToFit="1"/>
    </xf>
    <xf numFmtId="0" fontId="14" fillId="0" borderId="1" xfId="6" applyNumberFormat="1" applyFont="1" applyFill="1" applyBorder="1" applyAlignment="1" applyProtection="1">
      <alignment horizontal="left" shrinkToFit="1"/>
    </xf>
    <xf numFmtId="0" fontId="14" fillId="0" borderId="1" xfId="0" applyNumberFormat="1" applyFont="1" applyBorder="1" applyAlignment="1" applyProtection="1">
      <alignment horizontal="left" shrinkToFit="1"/>
    </xf>
    <xf numFmtId="0" fontId="53" fillId="0" borderId="1" xfId="0" applyNumberFormat="1" applyFont="1" applyFill="1" applyBorder="1" applyAlignment="1" applyProtection="1">
      <alignment horizontal="left" shrinkToFit="1"/>
    </xf>
    <xf numFmtId="0" fontId="14" fillId="0" borderId="1" xfId="0" applyNumberFormat="1" applyFont="1" applyFill="1" applyBorder="1" applyAlignment="1" applyProtection="1">
      <alignment horizontal="left" shrinkToFit="1"/>
    </xf>
    <xf numFmtId="176" fontId="14" fillId="0" borderId="18" xfId="0" applyNumberFormat="1" applyFont="1" applyBorder="1" applyProtection="1"/>
    <xf numFmtId="0" fontId="13" fillId="0" borderId="0" xfId="0" applyNumberFormat="1" applyFont="1" applyFill="1" applyAlignment="1" applyProtection="1">
      <alignment horizontal="left"/>
    </xf>
    <xf numFmtId="0" fontId="98" fillId="0" borderId="0" xfId="0" applyFont="1"/>
    <xf numFmtId="176" fontId="96" fillId="0" borderId="1" xfId="0" applyNumberFormat="1" applyFont="1" applyBorder="1" applyAlignment="1" applyProtection="1">
      <alignment horizontal="center" vertical="center"/>
    </xf>
    <xf numFmtId="180" fontId="26" fillId="6" borderId="0" xfId="2" applyNumberFormat="1" applyFont="1" applyFill="1" applyProtection="1"/>
    <xf numFmtId="176" fontId="15" fillId="0" borderId="0" xfId="0" applyNumberFormat="1" applyFont="1" applyAlignment="1" applyProtection="1">
      <alignment horizontal="center"/>
    </xf>
    <xf numFmtId="176" fontId="17" fillId="0" borderId="7" xfId="0" applyNumberFormat="1" applyFont="1" applyBorder="1" applyProtection="1"/>
    <xf numFmtId="43" fontId="78" fillId="6" borderId="1" xfId="6" applyNumberFormat="1" applyFont="1" applyFill="1" applyBorder="1" applyAlignment="1" applyProtection="1">
      <alignment horizontal="right" shrinkToFit="1"/>
    </xf>
    <xf numFmtId="43" fontId="78" fillId="6" borderId="1" xfId="0" applyNumberFormat="1" applyFont="1" applyFill="1" applyBorder="1" applyAlignment="1" applyProtection="1">
      <alignment horizontal="right" shrinkToFit="1"/>
    </xf>
    <xf numFmtId="180" fontId="13" fillId="0" borderId="5" xfId="2" applyNumberFormat="1" applyFont="1" applyFill="1" applyBorder="1" applyAlignment="1" applyProtection="1">
      <alignment horizontal="right"/>
    </xf>
    <xf numFmtId="180" fontId="13" fillId="0" borderId="1" xfId="2" applyNumberFormat="1" applyFont="1" applyFill="1" applyBorder="1" applyProtection="1"/>
    <xf numFmtId="176" fontId="28" fillId="0" borderId="0" xfId="0" applyNumberFormat="1" applyFont="1" applyFill="1" applyBorder="1" applyAlignment="1" applyProtection="1">
      <alignment horizontal="left"/>
    </xf>
    <xf numFmtId="176" fontId="93" fillId="0" borderId="0" xfId="0" applyNumberFormat="1" applyFont="1" applyBorder="1" applyAlignment="1" applyProtection="1">
      <alignment horizontal="right"/>
    </xf>
    <xf numFmtId="0" fontId="93" fillId="0" borderId="0" xfId="0" applyNumberFormat="1" applyFont="1" applyFill="1" applyBorder="1" applyAlignment="1" applyProtection="1">
      <alignment horizontal="right"/>
    </xf>
    <xf numFmtId="0" fontId="93" fillId="0" borderId="0" xfId="0" applyNumberFormat="1" applyFont="1" applyBorder="1" applyAlignment="1" applyProtection="1">
      <alignment horizontal="right"/>
    </xf>
    <xf numFmtId="0" fontId="47" fillId="0" borderId="0" xfId="0" applyNumberFormat="1" applyFont="1" applyBorder="1" applyAlignment="1" applyProtection="1">
      <alignment horizontal="right"/>
    </xf>
    <xf numFmtId="0" fontId="47" fillId="0" borderId="0" xfId="0" applyNumberFormat="1" applyFont="1" applyFill="1" applyBorder="1" applyAlignment="1" applyProtection="1">
      <alignment horizontal="right"/>
    </xf>
    <xf numFmtId="0" fontId="30" fillId="0" borderId="0" xfId="0" applyNumberFormat="1" applyFont="1" applyProtection="1"/>
    <xf numFmtId="176" fontId="52" fillId="0" borderId="0" xfId="0" applyNumberFormat="1" applyFont="1" applyFill="1" applyAlignment="1" applyProtection="1">
      <alignment horizontal="left"/>
    </xf>
    <xf numFmtId="0" fontId="5" fillId="0" borderId="0" xfId="24" applyFont="1" applyAlignment="1">
      <alignment vertical="center"/>
    </xf>
    <xf numFmtId="43" fontId="27" fillId="2" borderId="1" xfId="0" applyNumberFormat="1" applyFont="1" applyFill="1" applyBorder="1" applyAlignment="1" applyProtection="1">
      <alignment horizontal="right"/>
    </xf>
    <xf numFmtId="43" fontId="15" fillId="0" borderId="1" xfId="0" applyNumberFormat="1" applyFont="1" applyBorder="1" applyAlignment="1" applyProtection="1">
      <alignment horizontal="right"/>
    </xf>
    <xf numFmtId="43" fontId="13" fillId="0" borderId="1" xfId="0" applyNumberFormat="1" applyFont="1" applyFill="1" applyBorder="1" applyAlignment="1" applyProtection="1">
      <alignment horizontal="right"/>
    </xf>
    <xf numFmtId="0" fontId="12" fillId="0" borderId="1" xfId="0" applyNumberFormat="1" applyFont="1" applyBorder="1" applyAlignment="1" applyProtection="1">
      <alignment shrinkToFit="1"/>
    </xf>
    <xf numFmtId="0" fontId="13" fillId="0" borderId="1" xfId="0" applyNumberFormat="1" applyFont="1" applyBorder="1" applyAlignment="1" applyProtection="1">
      <alignment shrinkToFit="1"/>
    </xf>
    <xf numFmtId="0" fontId="17" fillId="0" borderId="1" xfId="0" applyNumberFormat="1" applyFont="1" applyBorder="1" applyAlignment="1" applyProtection="1">
      <alignment shrinkToFit="1"/>
    </xf>
    <xf numFmtId="0" fontId="40" fillId="0" borderId="1" xfId="0" applyNumberFormat="1" applyFont="1" applyBorder="1" applyAlignment="1" applyProtection="1">
      <alignment shrinkToFit="1"/>
    </xf>
    <xf numFmtId="43" fontId="49" fillId="0" borderId="0" xfId="0" applyNumberFormat="1" applyFont="1" applyFill="1" applyProtection="1"/>
    <xf numFmtId="43" fontId="8" fillId="0" borderId="0" xfId="0" applyNumberFormat="1" applyFont="1" applyFill="1" applyProtection="1"/>
    <xf numFmtId="14" fontId="13" fillId="0" borderId="0" xfId="0" applyNumberFormat="1" applyFont="1" applyFill="1" applyAlignment="1" applyProtection="1">
      <alignment horizontal="right"/>
    </xf>
    <xf numFmtId="14" fontId="13" fillId="0" borderId="0" xfId="0" applyNumberFormat="1" applyFont="1" applyAlignment="1" applyProtection="1">
      <alignment horizontal="left"/>
    </xf>
    <xf numFmtId="176" fontId="14" fillId="0" borderId="1" xfId="0" applyNumberFormat="1" applyFont="1" applyBorder="1" applyProtection="1"/>
    <xf numFmtId="14" fontId="13" fillId="0" borderId="0" xfId="0" applyNumberFormat="1" applyFont="1" applyFill="1" applyAlignment="1" applyProtection="1">
      <alignment horizontal="center"/>
    </xf>
    <xf numFmtId="176" fontId="90" fillId="6" borderId="12" xfId="0" applyNumberFormat="1" applyFont="1" applyFill="1" applyBorder="1" applyAlignment="1" applyProtection="1">
      <alignment horizontal="right"/>
    </xf>
    <xf numFmtId="14" fontId="14" fillId="0" borderId="0" xfId="0" applyNumberFormat="1" applyFont="1" applyFill="1" applyBorder="1" applyProtection="1"/>
    <xf numFmtId="14" fontId="14" fillId="0" borderId="12" xfId="0" applyNumberFormat="1" applyFont="1" applyFill="1" applyBorder="1" applyProtection="1"/>
    <xf numFmtId="43" fontId="14" fillId="0" borderId="0" xfId="0" applyNumberFormat="1" applyFont="1" applyBorder="1" applyProtection="1"/>
    <xf numFmtId="176" fontId="90" fillId="0" borderId="12" xfId="0" applyNumberFormat="1" applyFont="1" applyFill="1" applyBorder="1" applyAlignment="1" applyProtection="1">
      <alignment horizontal="right"/>
    </xf>
    <xf numFmtId="43" fontId="14" fillId="0" borderId="1" xfId="0" applyNumberFormat="1" applyFont="1" applyBorder="1" applyProtection="1"/>
    <xf numFmtId="43" fontId="101" fillId="0" borderId="1" xfId="6" applyNumberFormat="1" applyFont="1" applyFill="1" applyBorder="1" applyAlignment="1" applyProtection="1">
      <alignment horizontal="right" shrinkToFit="1"/>
    </xf>
    <xf numFmtId="0" fontId="23" fillId="0" borderId="0" xfId="0" applyFont="1" applyBorder="1" applyAlignment="1" applyProtection="1">
      <alignment horizontal="center" shrinkToFit="1"/>
    </xf>
    <xf numFmtId="14" fontId="53" fillId="0" borderId="4" xfId="0" applyNumberFormat="1" applyFont="1" applyBorder="1" applyAlignment="1" applyProtection="1">
      <alignment horizontal="center" vertical="center" shrinkToFit="1"/>
    </xf>
    <xf numFmtId="0" fontId="7" fillId="0" borderId="1" xfId="0" applyNumberFormat="1" applyFont="1" applyBorder="1" applyProtection="1"/>
    <xf numFmtId="43" fontId="100" fillId="6" borderId="2" xfId="0" applyNumberFormat="1" applyFont="1" applyFill="1" applyBorder="1" applyProtection="1"/>
    <xf numFmtId="43" fontId="100" fillId="6" borderId="1" xfId="0" applyNumberFormat="1" applyFont="1" applyFill="1" applyBorder="1" applyProtection="1"/>
    <xf numFmtId="43" fontId="100" fillId="0" borderId="4" xfId="0" applyNumberFormat="1" applyFont="1" applyFill="1" applyBorder="1" applyProtection="1"/>
    <xf numFmtId="43" fontId="100" fillId="0" borderId="1" xfId="0" applyNumberFormat="1" applyFont="1" applyFill="1" applyBorder="1" applyProtection="1"/>
    <xf numFmtId="0" fontId="7" fillId="0" borderId="1" xfId="0" applyNumberFormat="1" applyFont="1" applyBorder="1" applyAlignment="1" applyProtection="1">
      <alignment horizontal="left"/>
    </xf>
    <xf numFmtId="176" fontId="100" fillId="2" borderId="1" xfId="0" applyNumberFormat="1" applyFont="1" applyFill="1" applyBorder="1" applyAlignment="1" applyProtection="1">
      <alignment horizontal="right"/>
    </xf>
    <xf numFmtId="0" fontId="49" fillId="0" borderId="1" xfId="0" applyNumberFormat="1" applyFont="1" applyBorder="1" applyProtection="1"/>
    <xf numFmtId="43" fontId="53" fillId="5" borderId="2" xfId="0" applyNumberFormat="1" applyFont="1" applyFill="1" applyBorder="1" applyProtection="1"/>
    <xf numFmtId="43" fontId="53" fillId="0" borderId="2" xfId="0" applyNumberFormat="1" applyFont="1" applyFill="1" applyBorder="1" applyProtection="1"/>
    <xf numFmtId="43" fontId="53" fillId="0" borderId="2" xfId="0" applyNumberFormat="1" applyFont="1" applyBorder="1" applyProtection="1"/>
    <xf numFmtId="0" fontId="86" fillId="5" borderId="1" xfId="0" applyNumberFormat="1" applyFont="1" applyFill="1" applyBorder="1" applyProtection="1"/>
    <xf numFmtId="43" fontId="14" fillId="0" borderId="4" xfId="0" applyNumberFormat="1" applyFont="1" applyFill="1" applyBorder="1" applyProtection="1"/>
    <xf numFmtId="43" fontId="14" fillId="0" borderId="2" xfId="0" applyNumberFormat="1" applyFont="1" applyFill="1" applyBorder="1" applyProtection="1"/>
    <xf numFmtId="43" fontId="14" fillId="0" borderId="1" xfId="0" applyNumberFormat="1" applyFont="1" applyFill="1" applyBorder="1" applyProtection="1"/>
    <xf numFmtId="0" fontId="53" fillId="0" borderId="1" xfId="0" applyFont="1" applyFill="1" applyBorder="1" applyAlignment="1" applyProtection="1">
      <alignment horizontal="center" vertical="center" shrinkToFit="1"/>
    </xf>
    <xf numFmtId="43" fontId="41" fillId="0" borderId="1" xfId="0" applyNumberFormat="1" applyFont="1" applyBorder="1" applyAlignment="1" applyProtection="1">
      <alignment horizontal="center" vertical="center"/>
    </xf>
    <xf numFmtId="176" fontId="7" fillId="0" borderId="18" xfId="0" applyNumberFormat="1" applyFont="1" applyBorder="1" applyAlignment="1" applyProtection="1">
      <alignment horizontal="center"/>
    </xf>
    <xf numFmtId="43" fontId="78" fillId="6" borderId="1" xfId="0" applyNumberFormat="1" applyFont="1" applyFill="1" applyBorder="1" applyProtection="1"/>
    <xf numFmtId="43" fontId="26" fillId="6" borderId="26" xfId="0" applyNumberFormat="1" applyFont="1" applyFill="1" applyBorder="1" applyProtection="1"/>
    <xf numFmtId="0" fontId="86" fillId="0" borderId="1" xfId="0" applyNumberFormat="1" applyFont="1" applyFill="1" applyBorder="1" applyProtection="1"/>
    <xf numFmtId="43" fontId="50" fillId="0" borderId="1" xfId="0" applyNumberFormat="1" applyFont="1" applyFill="1" applyBorder="1" applyAlignment="1" applyProtection="1">
      <alignment horizontal="right" shrinkToFit="1"/>
    </xf>
    <xf numFmtId="0" fontId="12" fillId="0" borderId="1" xfId="24" applyFont="1" applyBorder="1" applyAlignment="1">
      <alignment horizontal="center" vertical="center" wrapText="1"/>
    </xf>
    <xf numFmtId="0" fontId="12" fillId="0" borderId="1" xfId="24" applyFont="1" applyFill="1" applyBorder="1" applyAlignment="1">
      <alignment horizontal="center" vertical="center" wrapText="1"/>
    </xf>
    <xf numFmtId="176" fontId="23" fillId="0" borderId="0" xfId="24" applyNumberFormat="1" applyFont="1" applyBorder="1" applyProtection="1"/>
    <xf numFmtId="176" fontId="12" fillId="0" borderId="0" xfId="24" applyNumberFormat="1" applyFont="1" applyProtection="1"/>
    <xf numFmtId="176" fontId="103" fillId="0" borderId="0" xfId="24" applyNumberFormat="1" applyFont="1" applyProtection="1"/>
    <xf numFmtId="14" fontId="104" fillId="0" borderId="1" xfId="0" applyNumberFormat="1" applyFont="1" applyBorder="1" applyAlignment="1" applyProtection="1">
      <alignment horizontal="center" vertical="center"/>
    </xf>
    <xf numFmtId="14" fontId="101" fillId="0" borderId="1" xfId="0" applyNumberFormat="1" applyFont="1" applyBorder="1" applyAlignment="1" applyProtection="1">
      <alignment horizontal="center" vertical="center"/>
    </xf>
    <xf numFmtId="176" fontId="13" fillId="0" borderId="0" xfId="24" applyNumberFormat="1" applyFont="1" applyFill="1" applyProtection="1"/>
    <xf numFmtId="176" fontId="23" fillId="0" borderId="1" xfId="24" applyNumberFormat="1" applyFont="1" applyBorder="1" applyProtection="1"/>
    <xf numFmtId="176" fontId="23" fillId="0" borderId="1" xfId="0" applyNumberFormat="1" applyFont="1" applyBorder="1" applyProtection="1"/>
    <xf numFmtId="176" fontId="78" fillId="6" borderId="12" xfId="0" applyNumberFormat="1" applyFont="1" applyFill="1" applyBorder="1" applyAlignment="1" applyProtection="1">
      <alignment horizontal="right"/>
    </xf>
    <xf numFmtId="176" fontId="33" fillId="0" borderId="0" xfId="0" applyNumberFormat="1" applyFont="1" applyFill="1" applyBorder="1" applyProtection="1"/>
    <xf numFmtId="176" fontId="12" fillId="0" borderId="0" xfId="0" applyNumberFormat="1" applyFont="1" applyFill="1" applyBorder="1" applyProtection="1"/>
    <xf numFmtId="176" fontId="33" fillId="4" borderId="0" xfId="0" applyNumberFormat="1" applyFont="1" applyFill="1" applyProtection="1"/>
    <xf numFmtId="43" fontId="13" fillId="0" borderId="6" xfId="0" applyNumberFormat="1" applyFont="1" applyFill="1" applyBorder="1" applyProtection="1"/>
    <xf numFmtId="43" fontId="23" fillId="0" borderId="1" xfId="0" applyNumberFormat="1" applyFont="1" applyFill="1" applyBorder="1" applyProtection="1"/>
    <xf numFmtId="14" fontId="15" fillId="0" borderId="1" xfId="0" applyNumberFormat="1" applyFont="1" applyBorder="1" applyAlignment="1" applyProtection="1">
      <alignment horizontal="center" vertical="center"/>
    </xf>
    <xf numFmtId="43" fontId="27" fillId="2" borderId="1" xfId="0" applyNumberFormat="1" applyFont="1" applyFill="1" applyBorder="1" applyProtection="1"/>
    <xf numFmtId="176" fontId="8" fillId="0" borderId="0" xfId="0" applyNumberFormat="1" applyFont="1"/>
    <xf numFmtId="176" fontId="28" fillId="0" borderId="1" xfId="0" applyNumberFormat="1" applyFont="1" applyBorder="1" applyAlignment="1" applyProtection="1">
      <alignment horizontal="center" vertical="center" wrapText="1"/>
    </xf>
    <xf numFmtId="43" fontId="27" fillId="0" borderId="1" xfId="0" applyNumberFormat="1" applyFont="1" applyFill="1" applyBorder="1" applyProtection="1"/>
    <xf numFmtId="43" fontId="15" fillId="0" borderId="1" xfId="0" applyNumberFormat="1" applyFont="1" applyFill="1" applyBorder="1" applyAlignment="1" applyProtection="1">
      <alignment horizontal="right"/>
    </xf>
    <xf numFmtId="176" fontId="105" fillId="0" borderId="0" xfId="0" applyNumberFormat="1" applyFont="1" applyFill="1" applyProtection="1"/>
    <xf numFmtId="176" fontId="95" fillId="0" borderId="0" xfId="0" applyNumberFormat="1" applyFont="1" applyFill="1" applyAlignment="1" applyProtection="1"/>
    <xf numFmtId="176" fontId="93" fillId="0" borderId="0" xfId="0" applyNumberFormat="1" applyFont="1" applyBorder="1" applyProtection="1"/>
    <xf numFmtId="43" fontId="47" fillId="0" borderId="0" xfId="0" applyNumberFormat="1" applyFont="1" applyBorder="1" applyProtection="1"/>
    <xf numFmtId="43" fontId="106" fillId="6" borderId="0" xfId="0" applyNumberFormat="1" applyFont="1" applyFill="1" applyBorder="1" applyProtection="1"/>
    <xf numFmtId="43" fontId="47" fillId="6" borderId="0" xfId="0" applyNumberFormat="1" applyFont="1" applyFill="1" applyBorder="1" applyProtection="1"/>
    <xf numFmtId="0" fontId="93" fillId="0" borderId="0" xfId="0" applyNumberFormat="1" applyFont="1" applyFill="1" applyBorder="1" applyProtection="1"/>
    <xf numFmtId="43" fontId="47" fillId="0" borderId="0" xfId="0" applyNumberFormat="1" applyFont="1" applyFill="1" applyBorder="1" applyProtection="1"/>
    <xf numFmtId="0" fontId="12" fillId="0" borderId="1" xfId="0" applyNumberFormat="1" applyFont="1" applyFill="1" applyBorder="1" applyProtection="1"/>
    <xf numFmtId="43" fontId="107" fillId="6" borderId="0" xfId="0" applyNumberFormat="1" applyFont="1" applyFill="1" applyProtection="1"/>
    <xf numFmtId="0" fontId="12" fillId="0" borderId="1" xfId="0" applyNumberFormat="1" applyFont="1" applyBorder="1" applyProtection="1"/>
    <xf numFmtId="0" fontId="93" fillId="0" borderId="0" xfId="0" applyNumberFormat="1" applyFont="1" applyBorder="1" applyProtection="1"/>
    <xf numFmtId="43" fontId="47" fillId="6" borderId="0" xfId="0" applyNumberFormat="1" applyFont="1" applyFill="1" applyProtection="1"/>
    <xf numFmtId="184" fontId="15" fillId="0" borderId="0" xfId="0" applyNumberFormat="1" applyFont="1" applyFill="1" applyBorder="1" applyProtection="1"/>
    <xf numFmtId="176" fontId="14" fillId="0" borderId="0" xfId="0" applyNumberFormat="1" applyFont="1" applyFill="1" applyBorder="1" applyProtection="1"/>
    <xf numFmtId="180" fontId="47" fillId="0" borderId="0" xfId="2" applyNumberFormat="1" applyFont="1" applyFill="1" applyBorder="1" applyProtection="1"/>
    <xf numFmtId="180" fontId="47" fillId="6" borderId="0" xfId="2" applyNumberFormat="1" applyFont="1" applyFill="1" applyBorder="1" applyProtection="1"/>
    <xf numFmtId="180" fontId="47" fillId="0" borderId="0" xfId="2" applyNumberFormat="1" applyFont="1" applyBorder="1" applyProtection="1"/>
    <xf numFmtId="184" fontId="15" fillId="0" borderId="4" xfId="0" applyNumberFormat="1" applyFont="1" applyBorder="1" applyProtection="1"/>
    <xf numFmtId="43" fontId="41" fillId="0" borderId="0" xfId="0" applyNumberFormat="1" applyFont="1" applyBorder="1" applyProtection="1"/>
    <xf numFmtId="43" fontId="57" fillId="0" borderId="0" xfId="0" applyNumberFormat="1" applyFont="1" applyBorder="1" applyProtection="1"/>
    <xf numFmtId="43" fontId="12" fillId="0" borderId="0" xfId="0" applyNumberFormat="1" applyFont="1" applyBorder="1" applyAlignment="1" applyProtection="1">
      <alignment horizontal="right"/>
    </xf>
    <xf numFmtId="43" fontId="43" fillId="0" borderId="1" xfId="0" applyNumberFormat="1" applyFont="1" applyBorder="1" applyAlignment="1" applyProtection="1">
      <alignment horizontal="left" vertical="center" wrapText="1"/>
    </xf>
    <xf numFmtId="43" fontId="30" fillId="0" borderId="1" xfId="0" applyNumberFormat="1" applyFont="1" applyBorder="1" applyAlignment="1" applyProtection="1">
      <alignment horizontal="center" vertical="center" wrapText="1"/>
    </xf>
    <xf numFmtId="43" fontId="15" fillId="0" borderId="1" xfId="0" applyNumberFormat="1" applyFont="1" applyBorder="1" applyAlignment="1" applyProtection="1">
      <alignment horizontal="center" vertical="center" wrapText="1"/>
    </xf>
    <xf numFmtId="176" fontId="17" fillId="0" borderId="1" xfId="0" applyNumberFormat="1" applyFont="1" applyFill="1" applyBorder="1" applyAlignment="1" applyProtection="1">
      <alignment shrinkToFit="1"/>
    </xf>
    <xf numFmtId="176" fontId="18" fillId="0" borderId="1" xfId="0" applyNumberFormat="1" applyFont="1" applyFill="1" applyBorder="1" applyAlignment="1" applyProtection="1">
      <alignment horizontal="left" shrinkToFit="1"/>
    </xf>
    <xf numFmtId="176" fontId="27" fillId="6" borderId="1" xfId="0" applyNumberFormat="1" applyFont="1" applyFill="1" applyBorder="1" applyProtection="1"/>
    <xf numFmtId="180" fontId="27" fillId="6" borderId="1" xfId="2" applyNumberFormat="1" applyFont="1" applyFill="1" applyBorder="1" applyProtection="1"/>
    <xf numFmtId="176" fontId="26" fillId="6" borderId="1" xfId="0" applyNumberFormat="1" applyFont="1" applyFill="1" applyBorder="1" applyProtection="1"/>
    <xf numFmtId="176" fontId="15" fillId="0" borderId="1" xfId="0" applyNumberFormat="1" applyFont="1" applyFill="1" applyBorder="1" applyProtection="1"/>
    <xf numFmtId="176" fontId="13" fillId="5" borderId="1" xfId="0" applyNumberFormat="1" applyFont="1" applyFill="1" applyBorder="1" applyAlignment="1" applyProtection="1">
      <alignment horizontal="right"/>
    </xf>
    <xf numFmtId="14" fontId="13" fillId="0" borderId="0" xfId="0" applyNumberFormat="1" applyFont="1" applyBorder="1" applyAlignment="1" applyProtection="1">
      <alignment horizontal="left"/>
    </xf>
    <xf numFmtId="176" fontId="13" fillId="0" borderId="0" xfId="24" applyNumberFormat="1" applyFont="1" applyBorder="1" applyAlignment="1" applyProtection="1">
      <alignment horizontal="center" vertical="center"/>
    </xf>
    <xf numFmtId="10" fontId="23" fillId="0" borderId="1" xfId="2" applyNumberFormat="1" applyFont="1" applyBorder="1" applyProtection="1"/>
    <xf numFmtId="10" fontId="24" fillId="0" borderId="0" xfId="2" applyNumberFormat="1" applyFont="1" applyProtection="1"/>
    <xf numFmtId="43" fontId="17" fillId="0" borderId="1" xfId="0" applyNumberFormat="1" applyFont="1" applyFill="1" applyBorder="1" applyAlignment="1" applyProtection="1">
      <alignment horizontal="center" vertical="center" wrapText="1"/>
    </xf>
    <xf numFmtId="0" fontId="17" fillId="0" borderId="1" xfId="0" applyNumberFormat="1" applyFont="1" applyFill="1" applyBorder="1" applyAlignment="1" applyProtection="1">
      <alignment horizontal="center" vertical="center" wrapText="1"/>
    </xf>
    <xf numFmtId="43" fontId="30" fillId="0" borderId="1" xfId="0" applyNumberFormat="1" applyFont="1" applyFill="1" applyBorder="1" applyAlignment="1" applyProtection="1">
      <alignment horizontal="center" vertical="center" wrapText="1"/>
    </xf>
    <xf numFmtId="43" fontId="15" fillId="0" borderId="1" xfId="0" applyNumberFormat="1" applyFont="1" applyFill="1" applyBorder="1" applyAlignment="1" applyProtection="1">
      <alignment horizontal="center" vertical="center" wrapText="1"/>
    </xf>
    <xf numFmtId="176" fontId="12" fillId="0" borderId="1" xfId="0" applyNumberFormat="1" applyFont="1" applyFill="1" applyBorder="1" applyAlignment="1" applyProtection="1">
      <alignment shrinkToFit="1"/>
    </xf>
    <xf numFmtId="176" fontId="17" fillId="0" borderId="1" xfId="0" applyNumberFormat="1" applyFont="1" applyFill="1" applyBorder="1" applyAlignment="1" applyProtection="1">
      <alignment horizontal="left" shrinkToFit="1"/>
    </xf>
    <xf numFmtId="176" fontId="35" fillId="0" borderId="0" xfId="0" applyNumberFormat="1" applyFont="1" applyFill="1" applyProtection="1"/>
    <xf numFmtId="0" fontId="14" fillId="0" borderId="0" xfId="0" applyFont="1" applyFill="1" applyProtection="1">
      <protection locked="0"/>
    </xf>
    <xf numFmtId="176" fontId="13" fillId="0" borderId="0" xfId="0" applyNumberFormat="1" applyFont="1" applyFill="1" applyProtection="1">
      <protection locked="0"/>
    </xf>
    <xf numFmtId="43" fontId="13" fillId="0" borderId="0" xfId="0" applyNumberFormat="1" applyFont="1" applyFill="1" applyProtection="1">
      <protection locked="0"/>
    </xf>
    <xf numFmtId="43" fontId="12" fillId="0" borderId="0" xfId="0" applyNumberFormat="1" applyFont="1" applyFill="1" applyAlignment="1" applyProtection="1">
      <alignment horizontal="center" vertical="center"/>
      <protection locked="0"/>
    </xf>
    <xf numFmtId="43" fontId="27" fillId="6" borderId="1" xfId="0" applyNumberFormat="1" applyFont="1" applyFill="1" applyBorder="1" applyAlignment="1" applyProtection="1">
      <alignment horizontal="right" wrapText="1"/>
      <protection locked="0"/>
    </xf>
    <xf numFmtId="176" fontId="13" fillId="0" borderId="0" xfId="0" applyNumberFormat="1" applyFont="1" applyProtection="1">
      <protection locked="0"/>
    </xf>
    <xf numFmtId="10" fontId="27" fillId="6" borderId="1" xfId="2" applyNumberFormat="1" applyFont="1" applyFill="1" applyBorder="1" applyAlignment="1" applyProtection="1">
      <alignment horizontal="right" wrapText="1"/>
      <protection locked="0"/>
    </xf>
    <xf numFmtId="43" fontId="26" fillId="6" borderId="1" xfId="0" applyNumberFormat="1" applyFont="1" applyFill="1" applyBorder="1" applyAlignment="1" applyProtection="1">
      <alignment horizontal="right"/>
      <protection locked="0"/>
    </xf>
    <xf numFmtId="43" fontId="33" fillId="0" borderId="0" xfId="0" applyNumberFormat="1" applyFont="1" applyFill="1" applyProtection="1">
      <protection locked="0"/>
    </xf>
    <xf numFmtId="43" fontId="12" fillId="0" borderId="0" xfId="0" applyNumberFormat="1" applyFont="1" applyFill="1" applyProtection="1">
      <protection locked="0"/>
    </xf>
    <xf numFmtId="43" fontId="13" fillId="0" borderId="0" xfId="0" applyNumberFormat="1" applyFont="1" applyFill="1" applyBorder="1" applyProtection="1">
      <protection locked="0"/>
    </xf>
    <xf numFmtId="43" fontId="13" fillId="0" borderId="0" xfId="0" applyNumberFormat="1" applyFont="1" applyProtection="1">
      <protection locked="0"/>
    </xf>
    <xf numFmtId="43" fontId="26" fillId="6" borderId="1" xfId="0" applyNumberFormat="1" applyFont="1" applyFill="1" applyBorder="1" applyProtection="1">
      <protection locked="0"/>
    </xf>
    <xf numFmtId="10" fontId="26" fillId="6" borderId="1" xfId="2" applyNumberFormat="1" applyFont="1" applyFill="1" applyBorder="1" applyProtection="1">
      <protection locked="0"/>
    </xf>
    <xf numFmtId="43" fontId="12" fillId="0" borderId="0" xfId="0" applyNumberFormat="1" applyFont="1" applyFill="1" applyBorder="1" applyProtection="1">
      <protection locked="0"/>
    </xf>
    <xf numFmtId="176" fontId="33" fillId="0" borderId="0" xfId="0" applyNumberFormat="1" applyFont="1" applyFill="1" applyProtection="1">
      <protection locked="0"/>
    </xf>
    <xf numFmtId="10" fontId="13" fillId="0" borderId="15" xfId="2" applyNumberFormat="1" applyFont="1" applyBorder="1" applyProtection="1"/>
    <xf numFmtId="176" fontId="15" fillId="0" borderId="0" xfId="24" applyNumberFormat="1" applyFont="1" applyProtection="1"/>
    <xf numFmtId="176" fontId="52" fillId="0" borderId="0" xfId="0" applyNumberFormat="1" applyFont="1" applyBorder="1" applyProtection="1"/>
    <xf numFmtId="176" fontId="110" fillId="0" borderId="8" xfId="0" applyNumberFormat="1" applyFont="1" applyBorder="1" applyProtection="1"/>
    <xf numFmtId="176" fontId="13" fillId="0" borderId="9" xfId="0" applyNumberFormat="1" applyFont="1" applyBorder="1" applyProtection="1"/>
    <xf numFmtId="176" fontId="13" fillId="0" borderId="10" xfId="0" applyNumberFormat="1" applyFont="1" applyBorder="1" applyProtection="1"/>
    <xf numFmtId="176" fontId="110" fillId="0" borderId="11" xfId="0" applyNumberFormat="1" applyFont="1" applyBorder="1" applyProtection="1"/>
    <xf numFmtId="176" fontId="13" fillId="0" borderId="12" xfId="0" applyNumberFormat="1" applyFont="1" applyBorder="1" applyProtection="1"/>
    <xf numFmtId="176" fontId="102" fillId="0" borderId="13" xfId="0" applyNumberFormat="1" applyFont="1" applyBorder="1" applyProtection="1"/>
    <xf numFmtId="176" fontId="13" fillId="0" borderId="14" xfId="0" applyNumberFormat="1" applyFont="1" applyBorder="1" applyProtection="1"/>
    <xf numFmtId="176" fontId="24" fillId="0" borderId="11" xfId="0" applyNumberFormat="1" applyFont="1" applyBorder="1" applyProtection="1"/>
    <xf numFmtId="0" fontId="28" fillId="0" borderId="0" xfId="0" applyNumberFormat="1" applyFont="1" applyProtection="1"/>
    <xf numFmtId="0" fontId="13" fillId="0" borderId="1" xfId="0" applyNumberFormat="1" applyFont="1" applyBorder="1" applyProtection="1"/>
    <xf numFmtId="43" fontId="48" fillId="0" borderId="1" xfId="0" applyNumberFormat="1" applyFont="1" applyBorder="1" applyProtection="1"/>
    <xf numFmtId="0" fontId="17" fillId="0" borderId="1" xfId="0" applyNumberFormat="1" applyFont="1" applyBorder="1" applyProtection="1"/>
    <xf numFmtId="0" fontId="31" fillId="0" borderId="1" xfId="0" applyNumberFormat="1" applyFont="1" applyFill="1" applyBorder="1" applyAlignment="1" applyProtection="1">
      <alignment shrinkToFit="1"/>
    </xf>
    <xf numFmtId="0" fontId="43" fillId="0" borderId="1" xfId="0" applyNumberFormat="1" applyFont="1" applyBorder="1" applyAlignment="1" applyProtection="1">
      <alignment horizontal="center" vertical="center"/>
    </xf>
    <xf numFmtId="14" fontId="30" fillId="0" borderId="1" xfId="0" applyNumberFormat="1" applyFont="1" applyBorder="1" applyAlignment="1" applyProtection="1">
      <alignment horizontal="center" vertical="center"/>
    </xf>
    <xf numFmtId="43" fontId="37" fillId="0" borderId="1" xfId="0" applyNumberFormat="1" applyFont="1" applyFill="1" applyBorder="1" applyProtection="1"/>
    <xf numFmtId="0" fontId="24" fillId="0" borderId="1" xfId="0" applyNumberFormat="1" applyFont="1" applyFill="1" applyBorder="1" applyProtection="1"/>
    <xf numFmtId="43" fontId="99" fillId="0" borderId="1" xfId="0" applyNumberFormat="1" applyFont="1" applyFill="1" applyBorder="1" applyProtection="1"/>
    <xf numFmtId="0" fontId="17" fillId="0" borderId="1" xfId="0" applyNumberFormat="1" applyFont="1" applyFill="1" applyBorder="1" applyProtection="1"/>
    <xf numFmtId="43" fontId="53" fillId="0" borderId="1" xfId="0" applyNumberFormat="1" applyFont="1" applyFill="1" applyBorder="1" applyProtection="1"/>
    <xf numFmtId="43" fontId="27" fillId="6" borderId="1" xfId="0" applyNumberFormat="1" applyFont="1" applyFill="1" applyBorder="1" applyProtection="1"/>
    <xf numFmtId="43" fontId="79" fillId="5" borderId="1" xfId="0" applyNumberFormat="1" applyFont="1" applyFill="1" applyBorder="1" applyProtection="1"/>
    <xf numFmtId="43" fontId="79" fillId="0" borderId="1" xfId="0" applyNumberFormat="1" applyFont="1" applyFill="1" applyBorder="1" applyProtection="1"/>
    <xf numFmtId="0" fontId="13" fillId="0" borderId="1" xfId="0" applyNumberFormat="1" applyFont="1" applyFill="1" applyBorder="1" applyProtection="1"/>
    <xf numFmtId="43" fontId="48" fillId="0" borderId="1" xfId="0" applyNumberFormat="1" applyFont="1" applyFill="1" applyBorder="1" applyProtection="1"/>
    <xf numFmtId="0" fontId="24" fillId="0" borderId="1" xfId="0" applyNumberFormat="1" applyFont="1" applyBorder="1" applyProtection="1"/>
    <xf numFmtId="43" fontId="45" fillId="0" borderId="1" xfId="0" applyNumberFormat="1" applyFont="1" applyBorder="1" applyProtection="1"/>
    <xf numFmtId="43" fontId="46" fillId="6" borderId="1" xfId="2" applyNumberFormat="1" applyFont="1" applyFill="1" applyBorder="1" applyProtection="1"/>
    <xf numFmtId="0" fontId="17" fillId="0" borderId="0" xfId="0" applyNumberFormat="1" applyFont="1" applyBorder="1" applyProtection="1"/>
    <xf numFmtId="43" fontId="93" fillId="0" borderId="1" xfId="0" applyNumberFormat="1" applyFont="1" applyFill="1" applyBorder="1" applyAlignment="1" applyProtection="1">
      <alignment horizontal="right"/>
    </xf>
    <xf numFmtId="43" fontId="43" fillId="0" borderId="1" xfId="0" applyNumberFormat="1" applyFont="1" applyBorder="1" applyAlignment="1" applyProtection="1">
      <alignment horizontal="center" vertical="center" wrapText="1"/>
    </xf>
    <xf numFmtId="0" fontId="111" fillId="0" borderId="0" xfId="0" applyFont="1"/>
    <xf numFmtId="43" fontId="46" fillId="0" borderId="0" xfId="2" applyNumberFormat="1" applyFont="1" applyFill="1" applyBorder="1" applyProtection="1"/>
    <xf numFmtId="43" fontId="13" fillId="5" borderId="1" xfId="0" applyNumberFormat="1" applyFont="1" applyFill="1" applyBorder="1" applyProtection="1"/>
    <xf numFmtId="43" fontId="13" fillId="0" borderId="1" xfId="0" applyNumberFormat="1" applyFont="1" applyFill="1" applyBorder="1" applyProtection="1">
      <protection locked="0"/>
    </xf>
    <xf numFmtId="176" fontId="112" fillId="0" borderId="0" xfId="0" applyNumberFormat="1" applyFont="1" applyFill="1" applyProtection="1"/>
    <xf numFmtId="43" fontId="24" fillId="0" borderId="1" xfId="0" applyNumberFormat="1" applyFont="1" applyFill="1" applyBorder="1" applyProtection="1">
      <protection locked="0"/>
    </xf>
    <xf numFmtId="193" fontId="27" fillId="6" borderId="1" xfId="0" applyNumberFormat="1" applyFont="1" applyFill="1" applyBorder="1" applyAlignment="1" applyProtection="1">
      <alignment wrapText="1"/>
      <protection locked="0"/>
    </xf>
    <xf numFmtId="43" fontId="27" fillId="12" borderId="1" xfId="0" applyNumberFormat="1" applyFont="1" applyFill="1" applyBorder="1" applyAlignment="1" applyProtection="1">
      <alignment horizontal="right" wrapText="1"/>
      <protection locked="0"/>
    </xf>
    <xf numFmtId="176" fontId="17" fillId="0" borderId="1" xfId="0" applyNumberFormat="1" applyFont="1" applyFill="1" applyBorder="1" applyAlignment="1" applyProtection="1">
      <alignment horizontal="center" vertical="center"/>
    </xf>
    <xf numFmtId="43" fontId="28" fillId="0" borderId="1" xfId="0" applyNumberFormat="1" applyFont="1" applyFill="1" applyBorder="1" applyAlignment="1" applyProtection="1">
      <alignment horizontal="center" vertical="center" shrinkToFit="1"/>
    </xf>
    <xf numFmtId="43" fontId="15" fillId="0" borderId="1" xfId="0" applyNumberFormat="1" applyFont="1" applyFill="1" applyBorder="1" applyAlignment="1" applyProtection="1">
      <alignment horizontal="center" vertical="center" shrinkToFit="1"/>
    </xf>
    <xf numFmtId="43" fontId="30" fillId="0" borderId="1" xfId="0" applyNumberFormat="1" applyFont="1" applyFill="1" applyBorder="1" applyAlignment="1" applyProtection="1">
      <alignment horizontal="center" vertical="center" shrinkToFit="1"/>
    </xf>
    <xf numFmtId="43" fontId="26" fillId="12" borderId="1" xfId="0" applyNumberFormat="1" applyFont="1" applyFill="1" applyBorder="1" applyAlignment="1" applyProtection="1">
      <alignment horizontal="right"/>
      <protection locked="0"/>
    </xf>
    <xf numFmtId="43" fontId="13" fillId="12" borderId="1" xfId="0" applyNumberFormat="1" applyFont="1" applyFill="1" applyBorder="1" applyProtection="1">
      <protection locked="0"/>
    </xf>
    <xf numFmtId="43" fontId="13" fillId="12" borderId="0" xfId="0" applyNumberFormat="1" applyFont="1" applyFill="1" applyProtection="1">
      <protection locked="0"/>
    </xf>
    <xf numFmtId="176" fontId="13" fillId="6" borderId="1" xfId="0" applyNumberFormat="1" applyFont="1" applyFill="1" applyBorder="1" applyProtection="1">
      <protection locked="0"/>
    </xf>
    <xf numFmtId="176" fontId="24" fillId="0" borderId="1" xfId="0" applyNumberFormat="1" applyFont="1" applyBorder="1" applyProtection="1">
      <protection locked="0"/>
    </xf>
    <xf numFmtId="43" fontId="11" fillId="0" borderId="0" xfId="24" applyNumberFormat="1" applyFont="1" applyFill="1" applyAlignment="1" applyProtection="1">
      <alignment horizontal="center"/>
    </xf>
    <xf numFmtId="43" fontId="13" fillId="0" borderId="1" xfId="2" applyNumberFormat="1" applyFont="1" applyBorder="1" applyAlignment="1" applyProtection="1">
      <alignment horizontal="right"/>
    </xf>
    <xf numFmtId="0" fontId="24" fillId="0" borderId="1" xfId="0" applyNumberFormat="1" applyFont="1" applyBorder="1" applyAlignment="1" applyProtection="1">
      <alignment shrinkToFit="1"/>
    </xf>
    <xf numFmtId="0" fontId="12" fillId="0" borderId="0" xfId="9" applyFont="1"/>
    <xf numFmtId="0" fontId="20" fillId="0" borderId="0" xfId="9" applyAlignment="1">
      <alignment horizontal="center"/>
    </xf>
    <xf numFmtId="0" fontId="20" fillId="0" borderId="0" xfId="9"/>
    <xf numFmtId="0" fontId="12" fillId="0" borderId="0" xfId="0" applyNumberFormat="1" applyFont="1" applyBorder="1" applyProtection="1"/>
    <xf numFmtId="176" fontId="49" fillId="0" borderId="0" xfId="0" applyNumberFormat="1" applyFont="1" applyProtection="1"/>
    <xf numFmtId="176" fontId="41" fillId="0" borderId="0" xfId="0" applyNumberFormat="1" applyFont="1" applyProtection="1"/>
    <xf numFmtId="43" fontId="27" fillId="6" borderId="6" xfId="0" applyNumberFormat="1" applyFont="1" applyFill="1" applyBorder="1" applyAlignment="1" applyProtection="1">
      <alignment horizontal="right" wrapText="1"/>
      <protection locked="0"/>
    </xf>
    <xf numFmtId="43" fontId="36" fillId="0" borderId="1" xfId="0" applyNumberFormat="1" applyFont="1" applyFill="1" applyBorder="1" applyAlignment="1" applyProtection="1">
      <alignment horizontal="right"/>
    </xf>
    <xf numFmtId="176" fontId="12" fillId="0" borderId="6" xfId="0" applyNumberFormat="1" applyFont="1" applyFill="1" applyBorder="1" applyAlignment="1" applyProtection="1">
      <alignment shrinkToFit="1"/>
    </xf>
    <xf numFmtId="176" fontId="12" fillId="0" borderId="0" xfId="0" applyNumberFormat="1" applyFont="1" applyFill="1" applyBorder="1" applyAlignment="1" applyProtection="1">
      <alignment shrinkToFit="1"/>
    </xf>
    <xf numFmtId="43" fontId="27" fillId="0" borderId="0" xfId="0" applyNumberFormat="1" applyFont="1" applyFill="1" applyBorder="1" applyAlignment="1" applyProtection="1">
      <alignment horizontal="right" wrapText="1"/>
    </xf>
    <xf numFmtId="43" fontId="13" fillId="0" borderId="0" xfId="0" applyNumberFormat="1" applyFont="1" applyFill="1" applyBorder="1" applyAlignment="1" applyProtection="1">
      <alignment horizontal="right"/>
    </xf>
    <xf numFmtId="43" fontId="17" fillId="0" borderId="0" xfId="0" applyNumberFormat="1" applyFont="1" applyFill="1" applyProtection="1">
      <protection locked="0"/>
    </xf>
    <xf numFmtId="43" fontId="13" fillId="0" borderId="5" xfId="0" applyNumberFormat="1" applyFont="1" applyFill="1" applyBorder="1" applyProtection="1"/>
    <xf numFmtId="43" fontId="86" fillId="0" borderId="0" xfId="0" applyNumberFormat="1" applyFont="1" applyFill="1" applyProtection="1">
      <protection locked="0"/>
    </xf>
    <xf numFmtId="176" fontId="13" fillId="0" borderId="1" xfId="0" applyNumberFormat="1" applyFont="1" applyFill="1" applyBorder="1" applyAlignment="1" applyProtection="1">
      <alignment shrinkToFit="1"/>
    </xf>
    <xf numFmtId="176" fontId="15" fillId="0" borderId="1" xfId="0" applyNumberFormat="1" applyFont="1" applyFill="1" applyBorder="1" applyAlignment="1" applyProtection="1">
      <alignment shrinkToFit="1"/>
    </xf>
    <xf numFmtId="176" fontId="15" fillId="0" borderId="1" xfId="0" applyNumberFormat="1" applyFont="1" applyFill="1" applyBorder="1" applyAlignment="1" applyProtection="1">
      <alignment horizontal="left" shrinkToFit="1"/>
    </xf>
    <xf numFmtId="43" fontId="36" fillId="0" borderId="0" xfId="0" applyNumberFormat="1" applyFont="1" applyFill="1" applyBorder="1" applyProtection="1"/>
    <xf numFmtId="43" fontId="36" fillId="0" borderId="0" xfId="0" applyNumberFormat="1" applyFont="1" applyFill="1" applyBorder="1" applyAlignment="1" applyProtection="1">
      <alignment horizontal="right"/>
    </xf>
    <xf numFmtId="176" fontId="25" fillId="0" borderId="0" xfId="0" applyNumberFormat="1" applyFont="1" applyFill="1" applyBorder="1" applyAlignment="1" applyProtection="1">
      <alignment shrinkToFit="1"/>
    </xf>
    <xf numFmtId="176" fontId="12" fillId="0" borderId="1" xfId="0" applyNumberFormat="1" applyFont="1" applyFill="1" applyBorder="1" applyAlignment="1" applyProtection="1">
      <alignment horizontal="right" shrinkToFit="1"/>
    </xf>
    <xf numFmtId="43" fontId="23" fillId="0" borderId="0" xfId="0" applyNumberFormat="1" applyFont="1" applyFill="1" applyAlignment="1" applyProtection="1">
      <alignment horizontal="center"/>
    </xf>
    <xf numFmtId="43" fontId="26" fillId="0" borderId="1" xfId="0" applyNumberFormat="1" applyFont="1" applyBorder="1" applyAlignment="1" applyProtection="1">
      <alignment horizontal="right"/>
    </xf>
    <xf numFmtId="180" fontId="26" fillId="0" borderId="1" xfId="2" applyNumberFormat="1" applyFont="1" applyBorder="1" applyAlignment="1" applyProtection="1">
      <alignment horizontal="right"/>
    </xf>
    <xf numFmtId="176" fontId="24" fillId="0" borderId="18" xfId="0" applyNumberFormat="1" applyFont="1" applyBorder="1" applyProtection="1"/>
    <xf numFmtId="180" fontId="13" fillId="0" borderId="18" xfId="2" applyNumberFormat="1" applyFont="1" applyBorder="1" applyAlignment="1" applyProtection="1">
      <alignment horizontal="right"/>
    </xf>
    <xf numFmtId="180" fontId="26" fillId="0" borderId="18" xfId="2" applyNumberFormat="1" applyFont="1" applyBorder="1" applyAlignment="1" applyProtection="1">
      <alignment horizontal="right"/>
    </xf>
    <xf numFmtId="0" fontId="113" fillId="0" borderId="8" xfId="63" applyFont="1" applyBorder="1" applyAlignment="1"/>
    <xf numFmtId="0" fontId="65" fillId="0" borderId="9" xfId="63" applyFont="1" applyBorder="1" applyAlignment="1"/>
    <xf numFmtId="0" fontId="65" fillId="0" borderId="10" xfId="63" applyFont="1" applyBorder="1" applyAlignment="1"/>
    <xf numFmtId="0" fontId="65" fillId="0" borderId="0" xfId="63" applyFont="1" applyBorder="1" applyAlignment="1"/>
    <xf numFmtId="0" fontId="65" fillId="0" borderId="0" xfId="63" applyFont="1" applyFill="1" applyBorder="1" applyAlignment="1"/>
    <xf numFmtId="0" fontId="12" fillId="0" borderId="0" xfId="63" applyFont="1" applyFill="1" applyBorder="1" applyAlignment="1">
      <alignment horizontal="center"/>
    </xf>
    <xf numFmtId="10" fontId="12" fillId="0" borderId="0" xfId="2" applyNumberFormat="1" applyFont="1" applyFill="1" applyBorder="1" applyAlignment="1">
      <alignment horizontal="center"/>
    </xf>
    <xf numFmtId="176" fontId="115" fillId="0" borderId="4" xfId="0" applyNumberFormat="1" applyFont="1" applyBorder="1" applyProtection="1"/>
    <xf numFmtId="176" fontId="20" fillId="0" borderId="4" xfId="0" applyNumberFormat="1" applyFont="1" applyBorder="1" applyProtection="1"/>
    <xf numFmtId="176" fontId="20" fillId="0" borderId="16" xfId="0" applyNumberFormat="1" applyFont="1" applyBorder="1" applyProtection="1"/>
    <xf numFmtId="176" fontId="13" fillId="0" borderId="15" xfId="0" applyNumberFormat="1" applyFont="1" applyBorder="1" applyAlignment="1" applyProtection="1">
      <alignment horizontal="center" vertical="center"/>
    </xf>
    <xf numFmtId="181" fontId="27" fillId="6" borderId="0" xfId="0" applyNumberFormat="1" applyFont="1" applyFill="1" applyBorder="1" applyProtection="1"/>
    <xf numFmtId="10" fontId="26" fillId="6" borderId="0" xfId="2" applyNumberFormat="1" applyFont="1" applyFill="1" applyBorder="1" applyProtection="1"/>
    <xf numFmtId="0" fontId="17" fillId="0" borderId="0" xfId="63" applyFont="1" applyFill="1" applyBorder="1" applyAlignment="1">
      <alignment horizontal="right"/>
    </xf>
    <xf numFmtId="10" fontId="13" fillId="15" borderId="0" xfId="2" applyNumberFormat="1" applyFont="1" applyFill="1" applyBorder="1" applyAlignment="1"/>
    <xf numFmtId="0" fontId="0" fillId="0" borderId="9" xfId="0" applyBorder="1"/>
    <xf numFmtId="0" fontId="20" fillId="0" borderId="9" xfId="9" applyBorder="1" applyAlignment="1">
      <alignment horizontal="center"/>
    </xf>
    <xf numFmtId="0" fontId="20" fillId="0" borderId="9" xfId="9" applyBorder="1"/>
    <xf numFmtId="14" fontId="13" fillId="0" borderId="11" xfId="0" applyNumberFormat="1" applyFont="1" applyBorder="1" applyAlignment="1" applyProtection="1">
      <alignment horizontal="right"/>
    </xf>
    <xf numFmtId="0" fontId="15" fillId="0" borderId="11" xfId="9" applyFont="1" applyBorder="1" applyAlignment="1">
      <alignment horizontal="left"/>
    </xf>
    <xf numFmtId="10" fontId="13" fillId="15" borderId="11" xfId="2" applyNumberFormat="1" applyFont="1" applyFill="1" applyBorder="1" applyAlignment="1"/>
    <xf numFmtId="10" fontId="13" fillId="0" borderId="11" xfId="2" applyNumberFormat="1" applyFont="1" applyFill="1" applyBorder="1" applyAlignment="1"/>
    <xf numFmtId="181" fontId="13" fillId="0" borderId="11" xfId="0" applyNumberFormat="1" applyFont="1" applyFill="1" applyBorder="1" applyProtection="1"/>
    <xf numFmtId="10" fontId="13" fillId="0" borderId="11" xfId="2" applyNumberFormat="1" applyFont="1" applyFill="1" applyBorder="1" applyProtection="1"/>
    <xf numFmtId="0" fontId="15" fillId="13" borderId="11" xfId="63" applyFont="1" applyFill="1" applyBorder="1" applyAlignment="1"/>
    <xf numFmtId="0" fontId="8" fillId="0" borderId="0" xfId="0" applyFont="1" applyBorder="1"/>
    <xf numFmtId="0" fontId="13" fillId="0" borderId="0" xfId="9" applyFont="1" applyBorder="1" applyAlignment="1">
      <alignment horizontal="center"/>
    </xf>
    <xf numFmtId="0" fontId="13" fillId="0" borderId="0" xfId="9" applyFont="1" applyBorder="1"/>
    <xf numFmtId="0" fontId="13" fillId="0" borderId="0" xfId="63" applyFont="1" applyBorder="1" applyAlignment="1"/>
    <xf numFmtId="0" fontId="13" fillId="0" borderId="12" xfId="63" applyFont="1" applyBorder="1" applyAlignment="1"/>
    <xf numFmtId="0" fontId="13" fillId="0" borderId="11" xfId="63" applyFont="1" applyBorder="1" applyAlignment="1"/>
    <xf numFmtId="0" fontId="13" fillId="0" borderId="11" xfId="63" applyFont="1" applyFill="1" applyBorder="1" applyAlignment="1"/>
    <xf numFmtId="0" fontId="13" fillId="0" borderId="11" xfId="63" applyFont="1" applyBorder="1" applyAlignment="1">
      <alignment horizontal="right"/>
    </xf>
    <xf numFmtId="0" fontId="13" fillId="0" borderId="0" xfId="63" applyFont="1" applyFill="1" applyBorder="1" applyAlignment="1"/>
    <xf numFmtId="0" fontId="13" fillId="0" borderId="12" xfId="63" applyFont="1" applyFill="1" applyBorder="1" applyAlignment="1"/>
    <xf numFmtId="0" fontId="15" fillId="0" borderId="11" xfId="63" applyFont="1" applyFill="1" applyBorder="1" applyAlignment="1"/>
    <xf numFmtId="185" fontId="13" fillId="0" borderId="0" xfId="63" applyNumberFormat="1" applyFont="1" applyFill="1" applyBorder="1" applyAlignment="1"/>
    <xf numFmtId="185" fontId="13" fillId="0" borderId="11" xfId="63" applyNumberFormat="1" applyFont="1" applyFill="1" applyBorder="1" applyAlignment="1"/>
    <xf numFmtId="0" fontId="13" fillId="0" borderId="0" xfId="63" applyFont="1" applyFill="1" applyBorder="1" applyAlignment="1">
      <alignment horizontal="center"/>
    </xf>
    <xf numFmtId="0" fontId="13" fillId="0" borderId="0" xfId="63" applyFont="1" applyBorder="1" applyAlignment="1">
      <alignment horizontal="center"/>
    </xf>
    <xf numFmtId="10" fontId="15" fillId="0" borderId="0" xfId="2" applyNumberFormat="1" applyFont="1" applyFill="1" applyBorder="1" applyAlignment="1"/>
    <xf numFmtId="10" fontId="15" fillId="0" borderId="11" xfId="2" applyNumberFormat="1" applyFont="1" applyFill="1" applyBorder="1" applyAlignment="1"/>
    <xf numFmtId="0" fontId="13" fillId="0" borderId="11" xfId="9" applyFont="1" applyBorder="1"/>
    <xf numFmtId="0" fontId="15" fillId="0" borderId="0" xfId="63" applyFont="1" applyFill="1" applyBorder="1" applyAlignment="1"/>
    <xf numFmtId="181" fontId="13" fillId="14" borderId="0" xfId="63" applyNumberFormat="1" applyFont="1" applyFill="1" applyBorder="1" applyAlignment="1"/>
    <xf numFmtId="181" fontId="13" fillId="0" borderId="12" xfId="63" applyNumberFormat="1" applyFont="1" applyBorder="1" applyAlignment="1"/>
    <xf numFmtId="181" fontId="13" fillId="14" borderId="11" xfId="63" applyNumberFormat="1" applyFont="1" applyFill="1" applyBorder="1" applyAlignment="1"/>
    <xf numFmtId="0" fontId="15" fillId="13" borderId="13" xfId="63" applyFont="1" applyFill="1" applyBorder="1" applyAlignment="1">
      <alignment horizontal="right"/>
    </xf>
    <xf numFmtId="0" fontId="8" fillId="0" borderId="7" xfId="0" applyFont="1" applyBorder="1"/>
    <xf numFmtId="0" fontId="13" fillId="0" borderId="7" xfId="9" applyFont="1" applyBorder="1" applyAlignment="1">
      <alignment horizontal="center"/>
    </xf>
    <xf numFmtId="0" fontId="13" fillId="0" borderId="7" xfId="9" applyFont="1" applyBorder="1"/>
    <xf numFmtId="10" fontId="15" fillId="13" borderId="7" xfId="2" applyNumberFormat="1" applyFont="1" applyFill="1" applyBorder="1" applyAlignment="1"/>
    <xf numFmtId="0" fontId="13" fillId="0" borderId="7" xfId="63" applyFont="1" applyBorder="1" applyAlignment="1"/>
    <xf numFmtId="0" fontId="13" fillId="0" borderId="14" xfId="63" applyFont="1" applyBorder="1" applyAlignment="1"/>
    <xf numFmtId="10" fontId="15" fillId="13" borderId="13" xfId="2" applyNumberFormat="1" applyFont="1" applyFill="1" applyBorder="1" applyAlignment="1"/>
    <xf numFmtId="0" fontId="13" fillId="0" borderId="7" xfId="63" applyFont="1" applyFill="1" applyBorder="1" applyAlignment="1"/>
    <xf numFmtId="0" fontId="13" fillId="0" borderId="14" xfId="63" applyFont="1" applyFill="1" applyBorder="1" applyAlignment="1"/>
    <xf numFmtId="10" fontId="15" fillId="0" borderId="1" xfId="0" applyNumberFormat="1" applyFont="1" applyFill="1" applyBorder="1" applyProtection="1"/>
    <xf numFmtId="0" fontId="118" fillId="0" borderId="1" xfId="0" applyNumberFormat="1" applyFont="1" applyBorder="1" applyProtection="1"/>
    <xf numFmtId="10" fontId="23" fillId="5" borderId="1" xfId="2" applyNumberFormat="1" applyFont="1" applyFill="1" applyBorder="1" applyAlignment="1" applyProtection="1">
      <alignment horizontal="right"/>
    </xf>
    <xf numFmtId="10" fontId="27" fillId="5" borderId="1" xfId="2" applyNumberFormat="1" applyFont="1" applyFill="1" applyBorder="1" applyAlignment="1" applyProtection="1">
      <alignment horizontal="right"/>
    </xf>
    <xf numFmtId="176" fontId="15" fillId="13" borderId="0" xfId="63" applyNumberFormat="1" applyFont="1" applyFill="1" applyBorder="1" applyAlignment="1"/>
    <xf numFmtId="176" fontId="36" fillId="0" borderId="1" xfId="0" applyNumberFormat="1" applyFont="1" applyBorder="1" applyAlignment="1" applyProtection="1">
      <alignment horizontal="center" vertical="center" wrapText="1"/>
    </xf>
    <xf numFmtId="176" fontId="12" fillId="0" borderId="1" xfId="0" applyNumberFormat="1" applyFont="1" applyBorder="1" applyAlignment="1" applyProtection="1">
      <alignment horizontal="left"/>
    </xf>
    <xf numFmtId="176" fontId="13" fillId="5" borderId="1" xfId="0" applyNumberFormat="1" applyFont="1" applyFill="1" applyBorder="1" applyProtection="1"/>
    <xf numFmtId="0" fontId="12" fillId="0" borderId="1" xfId="0" applyFont="1" applyBorder="1" applyAlignment="1" applyProtection="1">
      <alignment horizontal="left"/>
    </xf>
    <xf numFmtId="0" fontId="24" fillId="0" borderId="1" xfId="0" applyFont="1" applyBorder="1" applyProtection="1"/>
    <xf numFmtId="10" fontId="23" fillId="6" borderId="1" xfId="2" applyNumberFormat="1" applyFont="1" applyFill="1" applyBorder="1" applyProtection="1"/>
    <xf numFmtId="43" fontId="23" fillId="0" borderId="1" xfId="0" applyNumberFormat="1" applyFont="1" applyFill="1" applyBorder="1" applyAlignment="1" applyProtection="1">
      <alignment horizontal="right"/>
    </xf>
    <xf numFmtId="176" fontId="23" fillId="6" borderId="1" xfId="0" applyNumberFormat="1" applyFont="1" applyFill="1" applyBorder="1" applyProtection="1"/>
    <xf numFmtId="176" fontId="23" fillId="0" borderId="1" xfId="0" applyNumberFormat="1" applyFont="1" applyBorder="1" applyAlignment="1" applyProtection="1">
      <alignment horizontal="right"/>
    </xf>
    <xf numFmtId="43" fontId="23" fillId="8" borderId="1" xfId="0" applyNumberFormat="1" applyFont="1" applyFill="1" applyBorder="1" applyProtection="1"/>
    <xf numFmtId="43" fontId="23" fillId="0" borderId="1" xfId="0" applyNumberFormat="1" applyFont="1" applyBorder="1" applyAlignment="1" applyProtection="1">
      <alignment horizontal="right"/>
    </xf>
    <xf numFmtId="176" fontId="12" fillId="4" borderId="0" xfId="0" applyNumberFormat="1" applyFont="1" applyFill="1" applyProtection="1"/>
    <xf numFmtId="185" fontId="13" fillId="16" borderId="0" xfId="63" applyNumberFormat="1" applyFont="1" applyFill="1" applyBorder="1" applyAlignment="1"/>
    <xf numFmtId="178" fontId="12" fillId="0" borderId="0" xfId="0" applyNumberFormat="1" applyFont="1" applyFill="1" applyAlignment="1" applyProtection="1">
      <alignment horizontal="left"/>
    </xf>
    <xf numFmtId="43" fontId="11" fillId="0" borderId="0" xfId="0" applyNumberFormat="1" applyFont="1" applyProtection="1"/>
    <xf numFmtId="176" fontId="8" fillId="0" borderId="0" xfId="0" applyNumberFormat="1" applyFont="1" applyFill="1"/>
    <xf numFmtId="176" fontId="13" fillId="0" borderId="15" xfId="0" applyNumberFormat="1" applyFont="1" applyFill="1" applyBorder="1"/>
    <xf numFmtId="43" fontId="13" fillId="0" borderId="15" xfId="0" applyNumberFormat="1" applyFont="1" applyFill="1" applyBorder="1"/>
    <xf numFmtId="176" fontId="15" fillId="0" borderId="15" xfId="0" applyNumberFormat="1" applyFont="1" applyFill="1" applyBorder="1"/>
    <xf numFmtId="176" fontId="15" fillId="0" borderId="1" xfId="0" applyNumberFormat="1" applyFont="1" applyBorder="1" applyAlignment="1" applyProtection="1">
      <alignment shrinkToFit="1"/>
    </xf>
    <xf numFmtId="43" fontId="24" fillId="0" borderId="1" xfId="0" applyNumberFormat="1" applyFont="1" applyBorder="1" applyProtection="1"/>
    <xf numFmtId="176" fontId="24" fillId="0" borderId="15" xfId="0" applyNumberFormat="1" applyFont="1" applyBorder="1" applyProtection="1"/>
    <xf numFmtId="186" fontId="26" fillId="0" borderId="0" xfId="0" applyNumberFormat="1" applyFont="1" applyBorder="1" applyAlignment="1" applyProtection="1">
      <alignment horizontal="center"/>
    </xf>
    <xf numFmtId="176" fontId="29" fillId="0" borderId="1" xfId="0" applyNumberFormat="1" applyFont="1" applyFill="1" applyBorder="1" applyAlignment="1" applyProtection="1">
      <alignment shrinkToFit="1"/>
    </xf>
    <xf numFmtId="176" fontId="29" fillId="0" borderId="1" xfId="0" applyNumberFormat="1" applyFont="1" applyBorder="1" applyAlignment="1" applyProtection="1">
      <alignment shrinkToFit="1"/>
    </xf>
    <xf numFmtId="43" fontId="17" fillId="0" borderId="0" xfId="0" applyNumberFormat="1" applyFont="1" applyProtection="1"/>
    <xf numFmtId="176" fontId="27" fillId="0" borderId="1" xfId="0" applyNumberFormat="1" applyFont="1" applyBorder="1" applyAlignment="1" applyProtection="1">
      <alignment shrinkToFit="1"/>
    </xf>
    <xf numFmtId="43" fontId="53" fillId="0" borderId="1" xfId="6" applyNumberFormat="1" applyFont="1" applyFill="1" applyBorder="1" applyAlignment="1" applyProtection="1">
      <alignment horizontal="right" shrinkToFit="1"/>
    </xf>
    <xf numFmtId="176" fontId="115" fillId="0" borderId="0" xfId="0" applyNumberFormat="1" applyFont="1" applyFill="1" applyAlignment="1" applyProtection="1">
      <alignment vertical="center"/>
    </xf>
    <xf numFmtId="176" fontId="31" fillId="0" borderId="1" xfId="0" applyNumberFormat="1" applyFont="1" applyBorder="1" applyProtection="1"/>
    <xf numFmtId="41" fontId="9" fillId="0" borderId="7" xfId="0" applyNumberFormat="1" applyFont="1" applyBorder="1" applyProtection="1"/>
    <xf numFmtId="176" fontId="24" fillId="0" borderId="7" xfId="0" applyNumberFormat="1" applyFont="1" applyBorder="1" applyProtection="1"/>
    <xf numFmtId="176" fontId="17" fillId="0" borderId="24" xfId="0" applyNumberFormat="1" applyFont="1" applyBorder="1" applyProtection="1"/>
    <xf numFmtId="176" fontId="17" fillId="0" borderId="15" xfId="0" applyNumberFormat="1" applyFont="1" applyBorder="1" applyProtection="1"/>
    <xf numFmtId="176" fontId="26" fillId="6" borderId="15" xfId="0" applyNumberFormat="1" applyFont="1" applyFill="1" applyBorder="1" applyProtection="1"/>
    <xf numFmtId="176" fontId="26" fillId="6" borderId="5" xfId="0" applyNumberFormat="1" applyFont="1" applyFill="1" applyBorder="1" applyProtection="1"/>
    <xf numFmtId="176" fontId="118" fillId="0" borderId="1" xfId="0" applyNumberFormat="1" applyFont="1" applyBorder="1" applyProtection="1"/>
    <xf numFmtId="176" fontId="13" fillId="0" borderId="0" xfId="0" applyNumberFormat="1" applyFont="1" applyAlignment="1" applyProtection="1">
      <alignment horizontal="right" shrinkToFit="1"/>
    </xf>
    <xf numFmtId="176" fontId="20" fillId="5" borderId="1" xfId="0" applyNumberFormat="1" applyFont="1" applyFill="1" applyBorder="1" applyAlignment="1" applyProtection="1">
      <alignment shrinkToFit="1"/>
    </xf>
    <xf numFmtId="176" fontId="20" fillId="0" borderId="1" xfId="0" applyNumberFormat="1" applyFont="1" applyBorder="1" applyAlignment="1" applyProtection="1">
      <alignment shrinkToFit="1"/>
    </xf>
    <xf numFmtId="0" fontId="49" fillId="0" borderId="0" xfId="0" applyFont="1"/>
    <xf numFmtId="0" fontId="120" fillId="9" borderId="1" xfId="0" applyFont="1" applyFill="1" applyBorder="1" applyAlignment="1" applyProtection="1">
      <alignment shrinkToFit="1"/>
    </xf>
    <xf numFmtId="0" fontId="121" fillId="0" borderId="1" xfId="0" applyFont="1" applyBorder="1" applyAlignment="1" applyProtection="1">
      <alignment shrinkToFit="1"/>
    </xf>
    <xf numFmtId="0" fontId="122" fillId="0" borderId="1" xfId="0" applyFont="1" applyBorder="1" applyAlignment="1" applyProtection="1">
      <alignment shrinkToFit="1"/>
    </xf>
    <xf numFmtId="0" fontId="123" fillId="0" borderId="1" xfId="0" applyFont="1" applyBorder="1" applyAlignment="1" applyProtection="1">
      <alignment shrinkToFit="1"/>
    </xf>
    <xf numFmtId="0" fontId="124" fillId="9" borderId="1" xfId="0" applyFont="1" applyFill="1" applyBorder="1" applyAlignment="1" applyProtection="1">
      <alignment shrinkToFit="1"/>
    </xf>
    <xf numFmtId="0" fontId="86" fillId="0" borderId="1" xfId="0" applyFont="1" applyFill="1" applyBorder="1" applyAlignment="1" applyProtection="1">
      <alignment shrinkToFit="1"/>
    </xf>
    <xf numFmtId="0" fontId="86" fillId="0" borderId="1" xfId="0" applyNumberFormat="1" applyFont="1" applyBorder="1" applyProtection="1"/>
    <xf numFmtId="0" fontId="7" fillId="0" borderId="1" xfId="0" applyNumberFormat="1" applyFont="1" applyFill="1" applyBorder="1" applyProtection="1"/>
    <xf numFmtId="176" fontId="17" fillId="0" borderId="1" xfId="0" applyNumberFormat="1" applyFont="1" applyFill="1" applyBorder="1" applyAlignment="1" applyProtection="1">
      <alignment vertical="center" shrinkToFit="1"/>
    </xf>
    <xf numFmtId="0" fontId="76" fillId="0" borderId="5" xfId="24" applyFont="1" applyBorder="1" applyAlignment="1">
      <alignment horizontal="center" vertical="center"/>
    </xf>
    <xf numFmtId="0" fontId="77" fillId="0" borderId="5" xfId="24" applyFont="1" applyBorder="1" applyAlignment="1">
      <alignment horizontal="center" vertical="center"/>
    </xf>
    <xf numFmtId="0" fontId="13" fillId="0" borderId="4" xfId="59" applyFont="1" applyFill="1" applyBorder="1" applyAlignment="1" applyProtection="1">
      <alignment horizontal="left" vertical="center" shrinkToFit="1"/>
    </xf>
    <xf numFmtId="0" fontId="13" fillId="0" borderId="2" xfId="59" applyFont="1" applyFill="1" applyBorder="1" applyAlignment="1" applyProtection="1">
      <alignment horizontal="left" vertical="center" shrinkToFit="1"/>
    </xf>
    <xf numFmtId="0" fontId="16" fillId="0" borderId="1" xfId="0" applyFont="1" applyBorder="1" applyAlignment="1">
      <alignment horizontal="center" vertical="center"/>
    </xf>
    <xf numFmtId="0" fontId="15" fillId="0" borderId="1" xfId="24" applyFont="1" applyBorder="1" applyAlignment="1">
      <alignment horizontal="left" vertical="center" wrapText="1"/>
    </xf>
    <xf numFmtId="0" fontId="13" fillId="0" borderId="1" xfId="24" applyFont="1" applyBorder="1" applyAlignment="1">
      <alignment horizontal="left" vertical="center" wrapText="1"/>
    </xf>
    <xf numFmtId="0" fontId="13" fillId="0" borderId="1" xfId="24" applyFont="1" applyFill="1" applyBorder="1" applyAlignment="1">
      <alignment horizontal="left" vertical="center" wrapText="1"/>
    </xf>
    <xf numFmtId="0" fontId="13" fillId="0" borderId="1" xfId="24" applyFont="1" applyBorder="1" applyAlignment="1">
      <alignment vertical="center" wrapText="1"/>
    </xf>
    <xf numFmtId="0" fontId="13" fillId="0" borderId="4" xfId="24" applyFont="1" applyBorder="1" applyAlignment="1">
      <alignment horizontal="left" vertical="center" wrapText="1"/>
    </xf>
    <xf numFmtId="0" fontId="13" fillId="0" borderId="2" xfId="24" applyFont="1" applyBorder="1" applyAlignment="1">
      <alignment horizontal="left" vertical="center" wrapText="1"/>
    </xf>
    <xf numFmtId="0" fontId="95" fillId="0" borderId="0" xfId="0" applyFont="1" applyFill="1" applyBorder="1" applyAlignment="1" applyProtection="1">
      <alignment horizontal="center"/>
    </xf>
    <xf numFmtId="176" fontId="95" fillId="0" borderId="0" xfId="0" applyNumberFormat="1" applyFont="1" applyAlignment="1" applyProtection="1">
      <alignment horizontal="center"/>
    </xf>
    <xf numFmtId="14" fontId="86" fillId="0" borderId="1" xfId="0" applyNumberFormat="1" applyFont="1" applyBorder="1" applyAlignment="1" applyProtection="1">
      <alignment horizontal="center" vertical="center" shrinkToFit="1"/>
    </xf>
    <xf numFmtId="192" fontId="14" fillId="0" borderId="4" xfId="0" applyNumberFormat="1" applyFont="1" applyBorder="1" applyAlignment="1" applyProtection="1">
      <alignment horizontal="center" vertical="center"/>
    </xf>
    <xf numFmtId="192" fontId="14" fillId="0" borderId="15" xfId="0" applyNumberFormat="1" applyFont="1" applyBorder="1" applyAlignment="1" applyProtection="1">
      <alignment horizontal="center" vertical="center"/>
    </xf>
    <xf numFmtId="192" fontId="14" fillId="0" borderId="2" xfId="0" applyNumberFormat="1" applyFont="1" applyBorder="1" applyAlignment="1" applyProtection="1">
      <alignment horizontal="center" vertical="center"/>
    </xf>
    <xf numFmtId="176" fontId="39" fillId="0" borderId="1" xfId="0" applyNumberFormat="1" applyFont="1" applyBorder="1" applyAlignment="1" applyProtection="1">
      <alignment horizontal="center" vertical="center"/>
    </xf>
    <xf numFmtId="176" fontId="95" fillId="0" borderId="0" xfId="0" applyNumberFormat="1" applyFont="1" applyFill="1" applyAlignment="1" applyProtection="1">
      <alignment horizontal="center"/>
    </xf>
    <xf numFmtId="0" fontId="55" fillId="0" borderId="0" xfId="0" applyFont="1" applyFill="1" applyBorder="1" applyAlignment="1" applyProtection="1">
      <alignment horizontal="center"/>
    </xf>
    <xf numFmtId="0" fontId="95" fillId="0" borderId="0" xfId="24" applyFont="1" applyFill="1" applyBorder="1" applyAlignment="1" applyProtection="1">
      <alignment horizontal="center"/>
    </xf>
    <xf numFmtId="0" fontId="55" fillId="0" borderId="0" xfId="24" applyFont="1" applyFill="1" applyBorder="1" applyAlignment="1" applyProtection="1">
      <alignment horizontal="center"/>
    </xf>
  </cellXfs>
  <cellStyles count="64">
    <cellStyle name="Column_Title" xfId="25"/>
    <cellStyle name="Comma [0]_laroux" xfId="26"/>
    <cellStyle name="Comma_laroux" xfId="27"/>
    <cellStyle name="Currency [0]_353HHC" xfId="28"/>
    <cellStyle name="Currency 2" xfId="10"/>
    <cellStyle name="Currency_353HHC" xfId="29"/>
    <cellStyle name="Grey" xfId="30"/>
    <cellStyle name="Input [yellow]" xfId="31"/>
    <cellStyle name="no dec" xfId="32"/>
    <cellStyle name="Norm੎੎" xfId="1"/>
    <cellStyle name="Norm੎੎ 2" xfId="15"/>
    <cellStyle name="Normal - Style1" xfId="33"/>
    <cellStyle name="Normal 2" xfId="9"/>
    <cellStyle name="Normal_0105第二套审计报表定稿" xfId="34"/>
    <cellStyle name="Percent [2]" xfId="35"/>
    <cellStyle name="Percent 2" xfId="11"/>
    <cellStyle name="style" xfId="36"/>
    <cellStyle name="style1" xfId="37"/>
    <cellStyle name="style2" xfId="38"/>
    <cellStyle name="百分比" xfId="2" builtinId="5"/>
    <cellStyle name="百分比 2" xfId="16"/>
    <cellStyle name="百分比 3" xfId="23"/>
    <cellStyle name="百分比 4" xfId="62"/>
    <cellStyle name="常规" xfId="0" builtinId="0"/>
    <cellStyle name="常规 10" xfId="3"/>
    <cellStyle name="常规 10 2" xfId="17"/>
    <cellStyle name="常规 16 2" xfId="61"/>
    <cellStyle name="常规 2" xfId="4"/>
    <cellStyle name="常规 2 2" xfId="24"/>
    <cellStyle name="常规 22" xfId="39"/>
    <cellStyle name="常规 22 2" xfId="40"/>
    <cellStyle name="常规 3" xfId="12"/>
    <cellStyle name="常规 3 2" xfId="22"/>
    <cellStyle name="常规 4" xfId="14"/>
    <cellStyle name="常规 5" xfId="13"/>
    <cellStyle name="常规 6" xfId="60"/>
    <cellStyle name="常规 7" xfId="5"/>
    <cellStyle name="常规 7 2" xfId="18"/>
    <cellStyle name="常规_01流动资产" xfId="59"/>
    <cellStyle name="常规_01流动资产_1" xfId="58"/>
    <cellStyle name="常规_331国投曲靖" xfId="63"/>
    <cellStyle name="分级显示行_1_4附件二凯旋评估表" xfId="41"/>
    <cellStyle name="分级显示列_1_Book1" xfId="42"/>
    <cellStyle name="霓付 [0]_97MBO" xfId="43"/>
    <cellStyle name="霓付_97MBO" xfId="44"/>
    <cellStyle name="烹拳 [0]_97MBO" xfId="45"/>
    <cellStyle name="烹拳_97MBO" xfId="46"/>
    <cellStyle name="普通_ 白土" xfId="47"/>
    <cellStyle name="千分位[0]_ 白土" xfId="48"/>
    <cellStyle name="千分位_ 白土" xfId="49"/>
    <cellStyle name="千位[0]_laroux" xfId="50"/>
    <cellStyle name="千位_laroux" xfId="51"/>
    <cellStyle name="千位分隔" xfId="6" builtinId="3"/>
    <cellStyle name="千位分隔 10 10" xfId="7"/>
    <cellStyle name="千位分隔 10 10 2" xfId="20"/>
    <cellStyle name="千位分隔 2" xfId="19"/>
    <cellStyle name="千位分隔[0] 8" xfId="8"/>
    <cellStyle name="千位分隔[0] 8 2" xfId="21"/>
    <cellStyle name="钎霖_laroux" xfId="52"/>
    <cellStyle name="콤마 [0]_BOILER-CO1" xfId="53"/>
    <cellStyle name="콤마_BOILER-CO1" xfId="54"/>
    <cellStyle name="통화 [0]_BOILER-CO1" xfId="55"/>
    <cellStyle name="통화_BOILER-CO1" xfId="56"/>
    <cellStyle name="표준_0N-HANDLING " xfId="57"/>
  </cellStyles>
  <dxfs count="0"/>
  <tableStyles count="0" defaultTableStyle="TableStyleMedium2" defaultPivotStyle="PivotStyleLight16"/>
  <colors>
    <mruColors>
      <color rgb="FF0000CC"/>
      <color rgb="FF0000FF"/>
      <color rgb="FFFFFFCC"/>
      <color rgb="FFFFFF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5</xdr:col>
      <xdr:colOff>502227</xdr:colOff>
      <xdr:row>44</xdr:row>
      <xdr:rowOff>86591</xdr:rowOff>
    </xdr:from>
    <xdr:to>
      <xdr:col>7</xdr:col>
      <xdr:colOff>458932</xdr:colOff>
      <xdr:row>56</xdr:row>
      <xdr:rowOff>51954</xdr:rowOff>
    </xdr:to>
    <xdr:cxnSp macro="">
      <xdr:nvCxnSpPr>
        <xdr:cNvPr id="3" name="直接箭头连接符 2">
          <a:extLst>
            <a:ext uri="{FF2B5EF4-FFF2-40B4-BE49-F238E27FC236}">
              <a16:creationId xmlns="" xmlns:a16="http://schemas.microsoft.com/office/drawing/2014/main" id="{00000000-0008-0000-0400-000003000000}"/>
            </a:ext>
          </a:extLst>
        </xdr:cNvPr>
        <xdr:cNvCxnSpPr/>
      </xdr:nvCxnSpPr>
      <xdr:spPr>
        <a:xfrm flipH="1">
          <a:off x="5611091" y="10304318"/>
          <a:ext cx="1498023" cy="2667000"/>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86591</xdr:colOff>
      <xdr:row>68</xdr:row>
      <xdr:rowOff>60614</xdr:rowOff>
    </xdr:from>
    <xdr:to>
      <xdr:col>16</xdr:col>
      <xdr:colOff>337706</xdr:colOff>
      <xdr:row>69</xdr:row>
      <xdr:rowOff>138546</xdr:rowOff>
    </xdr:to>
    <xdr:cxnSp macro="">
      <xdr:nvCxnSpPr>
        <xdr:cNvPr id="5" name="直接箭头连接符 4">
          <a:extLst>
            <a:ext uri="{FF2B5EF4-FFF2-40B4-BE49-F238E27FC236}">
              <a16:creationId xmlns="" xmlns:a16="http://schemas.microsoft.com/office/drawing/2014/main" id="{00000000-0008-0000-0400-000005000000}"/>
            </a:ext>
          </a:extLst>
        </xdr:cNvPr>
        <xdr:cNvCxnSpPr/>
      </xdr:nvCxnSpPr>
      <xdr:spPr>
        <a:xfrm flipH="1">
          <a:off x="12910705" y="15681614"/>
          <a:ext cx="943842" cy="303068"/>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228599</xdr:colOff>
      <xdr:row>7</xdr:row>
      <xdr:rowOff>222250</xdr:rowOff>
    </xdr:from>
    <xdr:to>
      <xdr:col>14</xdr:col>
      <xdr:colOff>72922</xdr:colOff>
      <xdr:row>14</xdr:row>
      <xdr:rowOff>50800</xdr:rowOff>
    </xdr:to>
    <xdr:pic>
      <xdr:nvPicPr>
        <xdr:cNvPr id="5" name="图片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01049" y="1974850"/>
          <a:ext cx="2130323" cy="142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19050</xdr:colOff>
      <xdr:row>24</xdr:row>
      <xdr:rowOff>6350</xdr:rowOff>
    </xdr:from>
    <xdr:to>
      <xdr:col>18</xdr:col>
      <xdr:colOff>25400</xdr:colOff>
      <xdr:row>30</xdr:row>
      <xdr:rowOff>12700</xdr:rowOff>
    </xdr:to>
    <xdr:pic>
      <xdr:nvPicPr>
        <xdr:cNvPr id="10" name="图片 9"/>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20100" y="5416550"/>
          <a:ext cx="4806950" cy="1377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12700</xdr:colOff>
      <xdr:row>30</xdr:row>
      <xdr:rowOff>222250</xdr:rowOff>
    </xdr:from>
    <xdr:to>
      <xdr:col>17</xdr:col>
      <xdr:colOff>19050</xdr:colOff>
      <xdr:row>42</xdr:row>
      <xdr:rowOff>222250</xdr:rowOff>
    </xdr:to>
    <xdr:pic>
      <xdr:nvPicPr>
        <xdr:cNvPr id="15" name="图片 14"/>
        <xdr:cNvPicPr>
          <a:picLocks noChangeAspect="1" noChangeArrowheads="1"/>
          <a:extLst/>
        </xdr:cNvPicPr>
      </xdr:nvPicPr>
      <xdr:blipFill>
        <a:blip xmlns:r="http://schemas.openxmlformats.org/officeDocument/2006/relationships" r:embed="rId3"/>
        <a:srcRect/>
        <a:stretch>
          <a:fillRect/>
        </a:stretch>
      </xdr:blipFill>
      <xdr:spPr bwMode="auto">
        <a:xfrm>
          <a:off x="8413750" y="5632450"/>
          <a:ext cx="4121150" cy="274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222250</xdr:colOff>
      <xdr:row>27</xdr:row>
      <xdr:rowOff>222250</xdr:rowOff>
    </xdr:from>
    <xdr:to>
      <xdr:col>17</xdr:col>
      <xdr:colOff>0</xdr:colOff>
      <xdr:row>32</xdr:row>
      <xdr:rowOff>0</xdr:rowOff>
    </xdr:to>
    <xdr:pic>
      <xdr:nvPicPr>
        <xdr:cNvPr id="3" name="图片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94700" y="6546850"/>
          <a:ext cx="4121150" cy="920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0840;&#37096;&#30446;&#24405;&#21450;&#24213;&#31295;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My%20job/&#20013;&#21270;&#33647;&#21697;/WINDOWS/Desktop/&#33487;&#24030;&#33647;&#19994;&#35780;&#20272;/&#21830;&#26631;&#35780;&#20272;&#36164;&#26009;-&#22635;&#349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33539;&#26641;&#22862;\&#20849;&#20139;\&#30707;&#21270;&#21152;&#27833;&#31449;&#35780;&#20272;&#26126;&#32454;&#34920;&#65288;&#27969;&#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NK"/>
      <sheetName val="ITEM"/>
      <sheetName val="总目录"/>
      <sheetName val="项目管理类目录"/>
      <sheetName val="报告类目录"/>
      <sheetName val="项目风险初步评价表"/>
      <sheetName val="调整分录汇总"/>
      <sheetName val="工作日志"/>
      <sheetName val="审核记录 "/>
      <sheetName val="发文单 "/>
      <sheetName val="基本情况表"/>
      <sheetName val="会计调查"/>
      <sheetName val="持续经营"/>
      <sheetName val="重大事项"/>
      <sheetName val="货币目录 "/>
      <sheetName val="现金盘点"/>
      <sheetName val="短投目录 "/>
      <sheetName val="有价证券盘点表"/>
      <sheetName val="股票底稿"/>
      <sheetName val="债券底稿"/>
      <sheetName val="债权目录"/>
      <sheetName val="应收票据盘点表"/>
      <sheetName val="账龄分析底稿"/>
      <sheetName val="往来账款函询未回替代"/>
      <sheetName val="存货目录"/>
      <sheetName val="抽查盘点表"/>
      <sheetName val="抽查汇总"/>
      <sheetName val="主要存货询价表"/>
      <sheetName val="待摊目录"/>
      <sheetName val="待摊费用评估底稿 "/>
      <sheetName val="流处目录"/>
      <sheetName val="长投目录"/>
      <sheetName val="长期有价证券盘点表"/>
      <sheetName val="股票投资底稿"/>
      <sheetName val="债券投资底稿"/>
      <sheetName val="其他投资底稿"/>
      <sheetName val="物资目录"/>
      <sheetName val="抽查核实记录表"/>
      <sheetName val="主要物资询价表"/>
      <sheetName val="清理目录"/>
      <sheetName val="固处目录"/>
      <sheetName val="递延目录"/>
      <sheetName val="开办费 "/>
      <sheetName val="长摊评估底稿 "/>
      <sheetName val="债务目录"/>
      <sheetName val="应付债券 "/>
      <sheetName val="收入"/>
      <sheetName val="说明"/>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说明"/>
      <sheetName val="收入"/>
      <sheetName val="成本"/>
      <sheetName val="营业费用"/>
      <sheetName val="管理费用"/>
      <sheetName val="财务费用"/>
      <sheetName val="资本性支出"/>
      <sheetName val="XL4Poppy"/>
      <sheetName val="WC"/>
      <sheetName val="Capex"/>
      <sheetName val="DCF2"/>
      <sheetName val="Sale"/>
      <sheetName val="商标评估资料-填表"/>
      <sheetName val="#REF"/>
      <sheetName val="G&amp;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汇总表"/>
      <sheetName val="分类汇总1"/>
      <sheetName val="（附表）存货盘点汇总"/>
      <sheetName val="无形（土地）"/>
      <sheetName val="00000000"/>
      <sheetName val="XL4Poppy"/>
      <sheetName val="master"/>
      <sheetName val=""/>
      <sheetName val="3272"/>
      <sheetName val="3304"/>
      <sheetName val="3306"/>
      <sheetName val="3316"/>
      <sheetName val="6月"/>
      <sheetName val="財務諸表（ＳＰＭＡＣ＋新ＡＤＡＭＳ）"/>
      <sheetName val="Open"/>
      <sheetName val="Deferral Bonus"/>
      <sheetName val="销售成本预测表"/>
      <sheetName val="燃料动力费预测表"/>
      <sheetName val="业务收入预测表"/>
      <sheetName val="短期投资股票投资.dbf"/>
      <sheetName val="短期投资国债投资.dbf"/>
      <sheetName val="股票投资收益.dbf"/>
      <sheetName val="其他货币海通.dbf"/>
      <sheetName val="其他货币零领路.dbf"/>
      <sheetName val="投资收益债券.dbf"/>
      <sheetName val="审计调整"/>
      <sheetName val="收入"/>
      <sheetName val="评估结果汇总表O"/>
      <sheetName val="3080"/>
      <sheetName val="_5366"/>
      <sheetName val="说明"/>
      <sheetName val="#REF"/>
      <sheetName val="E1020"/>
      <sheetName val="de"/>
      <sheetName val="KKKKKKKK"/>
      <sheetName val="基本参数"/>
      <sheetName val="_x005f_x0000__x005f_x0000__x005f_x0000__x005f_x0000__x0"/>
      <sheetName val="Base Data"/>
      <sheetName val="Title"/>
      <sheetName val="Assump2"/>
      <sheetName val="流资汇总"/>
      <sheetName val="资债比较原"/>
      <sheetName val="W"/>
      <sheetName val="Erection"/>
      <sheetName val="销售-3（新药）"/>
      <sheetName val="制造费用合计数"/>
      <sheetName val="PER SALES ORG"/>
      <sheetName val="_2640"/>
      <sheetName val="B"/>
      <sheetName val="삅ོ䚋栠Ѫ_x0000_"/>
      <sheetName val="삅ོ䚋"/>
      <sheetName val="삅ོ䚋栠Ѫ_x0000_ࡪ㋨ﯾ_xffff_"/>
      <sheetName val="삅ོ䚋栠Ѫ_x0000_ࡪ㋨"/>
      <sheetName val="삅ོ䚋栠"/>
    </sheetNames>
    <sheetDataSet>
      <sheetData sheetId="0"/>
      <sheetData sheetId="1"/>
      <sheetData sheetId="2"/>
      <sheetData sheetId="3"/>
      <sheetData sheetId="4"/>
      <sheetData sheetId="5"/>
      <sheetData sheetId="6" refreshError="1">
        <row r="15">
          <cell r="A15" t="b">
            <v>1</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2.xml"/><Relationship Id="rId1" Type="http://schemas.openxmlformats.org/officeDocument/2006/relationships/printerSettings" Target="../printerSettings/printerSettings9.bin"/><Relationship Id="rId4"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3.xml"/><Relationship Id="rId1" Type="http://schemas.openxmlformats.org/officeDocument/2006/relationships/printerSettings" Target="../printerSettings/printerSettings10.bin"/><Relationship Id="rId4" Type="http://schemas.openxmlformats.org/officeDocument/2006/relationships/comments" Target="../comments7.xml"/></Relationships>
</file>

<file path=xl/worksheets/_rels/sheet11.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C2:L25"/>
  <sheetViews>
    <sheetView topLeftCell="A13" zoomScaleNormal="100" workbookViewId="0">
      <selection activeCell="D29" sqref="D29"/>
    </sheetView>
  </sheetViews>
  <sheetFormatPr defaultRowHeight="15"/>
  <cols>
    <col min="1" max="1" width="2.33203125" customWidth="1"/>
    <col min="2" max="2" width="2.25" customWidth="1"/>
    <col min="3" max="3" width="9.25" customWidth="1"/>
    <col min="4" max="4" width="13" customWidth="1"/>
    <col min="5" max="5" width="9.5" bestFit="1" customWidth="1"/>
    <col min="6" max="6" width="10.83203125" customWidth="1"/>
    <col min="7" max="7" width="11.83203125" customWidth="1"/>
    <col min="8" max="8" width="11.58203125" customWidth="1"/>
    <col min="9" max="9" width="10.25" bestFit="1" customWidth="1"/>
    <col min="10" max="10" width="9.25" bestFit="1" customWidth="1"/>
    <col min="14" max="14" width="12.25" customWidth="1"/>
  </cols>
  <sheetData>
    <row r="2" spans="3:12" ht="19.149999999999999" customHeight="1">
      <c r="C2" s="163" t="s">
        <v>154</v>
      </c>
      <c r="I2" s="25"/>
    </row>
    <row r="3" spans="3:12" s="77" customFormat="1" ht="21.75" customHeight="1">
      <c r="C3" s="76" t="s">
        <v>694</v>
      </c>
      <c r="D3" s="33"/>
      <c r="E3" s="33"/>
      <c r="F3" s="33"/>
      <c r="G3" s="33"/>
      <c r="H3" s="33"/>
    </row>
    <row r="4" spans="3:12" s="77" customFormat="1" ht="21.75" customHeight="1">
      <c r="C4" s="76" t="s">
        <v>155</v>
      </c>
      <c r="D4" s="33"/>
      <c r="E4" s="33"/>
      <c r="F4" s="33"/>
      <c r="G4" s="33"/>
      <c r="H4" s="33"/>
      <c r="I4" s="33"/>
      <c r="J4" s="33"/>
      <c r="K4" s="33"/>
      <c r="L4" s="33"/>
    </row>
    <row r="5" spans="3:12" s="77" customFormat="1" ht="21.75" customHeight="1">
      <c r="C5" s="76" t="s">
        <v>684</v>
      </c>
      <c r="D5" s="33"/>
      <c r="E5" s="33"/>
      <c r="F5" s="33"/>
      <c r="G5" s="33"/>
      <c r="H5" s="33"/>
      <c r="I5" s="33"/>
      <c r="J5" s="33"/>
      <c r="K5" s="33"/>
      <c r="L5" s="33"/>
    </row>
    <row r="6" spans="3:12" ht="21.75" customHeight="1">
      <c r="C6" s="410" t="s">
        <v>428</v>
      </c>
    </row>
    <row r="7" spans="3:12" ht="21.75" customHeight="1">
      <c r="C7" s="94" t="s">
        <v>181</v>
      </c>
      <c r="D7" s="77" t="s">
        <v>210</v>
      </c>
    </row>
    <row r="8" spans="3:12" ht="21.75" customHeight="1">
      <c r="C8" s="95" t="s">
        <v>181</v>
      </c>
      <c r="D8" s="77" t="s">
        <v>429</v>
      </c>
    </row>
    <row r="9" spans="3:12" s="77" customFormat="1" ht="21.75" customHeight="1">
      <c r="D9" s="76" t="s">
        <v>156</v>
      </c>
      <c r="E9" s="33"/>
      <c r="F9" s="33"/>
      <c r="G9" s="33"/>
      <c r="H9" s="33"/>
      <c r="I9" s="33"/>
      <c r="J9" s="33"/>
      <c r="K9" s="33"/>
      <c r="L9" s="33"/>
    </row>
    <row r="10" spans="3:12" s="77" customFormat="1" ht="21.75" customHeight="1">
      <c r="D10" s="77" t="s">
        <v>426</v>
      </c>
      <c r="E10" s="33"/>
      <c r="F10" s="33"/>
      <c r="G10" s="33"/>
      <c r="H10" s="33"/>
      <c r="I10" s="33"/>
      <c r="J10" s="33"/>
      <c r="K10" s="33"/>
      <c r="L10" s="33"/>
    </row>
    <row r="11" spans="3:12" s="77" customFormat="1" ht="21.75" customHeight="1">
      <c r="C11" s="76"/>
      <c r="D11" s="77" t="s">
        <v>430</v>
      </c>
      <c r="E11" s="33"/>
      <c r="F11" s="33"/>
      <c r="G11" s="33"/>
      <c r="H11" s="33"/>
      <c r="I11" s="33"/>
      <c r="J11" s="33"/>
      <c r="K11" s="33"/>
      <c r="L11" s="33"/>
    </row>
    <row r="12" spans="3:12" ht="18" customHeight="1">
      <c r="C12" s="96"/>
      <c r="D12" s="77" t="s">
        <v>431</v>
      </c>
    </row>
    <row r="13" spans="3:12">
      <c r="D13" s="77"/>
    </row>
    <row r="14" spans="3:12" ht="16">
      <c r="C14" s="96" t="s">
        <v>685</v>
      </c>
      <c r="D14" s="77"/>
    </row>
    <row r="15" spans="3:12" ht="20.25" customHeight="1">
      <c r="C15" s="587" t="s">
        <v>975</v>
      </c>
      <c r="D15" s="77"/>
    </row>
    <row r="16" spans="3:12" ht="15.5">
      <c r="C16" s="76"/>
      <c r="D16" s="77"/>
    </row>
    <row r="17" spans="3:4" ht="15.5">
      <c r="C17" s="76" t="s">
        <v>978</v>
      </c>
      <c r="D17" s="77"/>
    </row>
    <row r="18" spans="3:4" ht="15.5">
      <c r="C18" s="76" t="s">
        <v>976</v>
      </c>
      <c r="D18" s="77"/>
    </row>
    <row r="19" spans="3:4" ht="15.5">
      <c r="C19" s="76" t="s">
        <v>979</v>
      </c>
    </row>
    <row r="20" spans="3:4">
      <c r="C20" s="737" t="s">
        <v>977</v>
      </c>
    </row>
    <row r="21" spans="3:4" ht="15.5">
      <c r="C21" s="76" t="s">
        <v>980</v>
      </c>
    </row>
    <row r="22" spans="3:4" ht="15.5">
      <c r="C22" s="76" t="s">
        <v>981</v>
      </c>
    </row>
    <row r="24" spans="3:4" ht="15.5">
      <c r="C24" s="587" t="s">
        <v>1027</v>
      </c>
    </row>
    <row r="25" spans="3:4">
      <c r="C25" s="25" t="s">
        <v>1026</v>
      </c>
    </row>
  </sheetData>
  <phoneticPr fontId="6"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F44"/>
  <sheetViews>
    <sheetView topLeftCell="A23" zoomScaleNormal="100" workbookViewId="0">
      <selection activeCell="B11" sqref="B11:C11"/>
    </sheetView>
  </sheetViews>
  <sheetFormatPr defaultColWidth="9" defaultRowHeight="15.5"/>
  <cols>
    <col min="1" max="1" width="1.83203125" style="113" customWidth="1"/>
    <col min="2" max="2" width="11.25" style="114" customWidth="1"/>
    <col min="3" max="3" width="61" style="112" customWidth="1"/>
    <col min="4" max="4" width="9.5" style="112" customWidth="1"/>
    <col min="5" max="16384" width="9" style="112"/>
  </cols>
  <sheetData>
    <row r="1" spans="1:6" s="106" customFormat="1">
      <c r="A1" s="104"/>
      <c r="B1" s="105"/>
      <c r="E1" s="107" t="s">
        <v>187</v>
      </c>
    </row>
    <row r="2" spans="1:6" s="108" customFormat="1" ht="21">
      <c r="A2" s="104"/>
      <c r="B2" s="747" t="s">
        <v>482</v>
      </c>
      <c r="C2" s="748"/>
      <c r="D2" s="748"/>
      <c r="E2" s="748"/>
    </row>
    <row r="3" spans="1:6" s="115" customFormat="1" ht="22.15" customHeight="1">
      <c r="A3" s="104"/>
      <c r="B3" s="749" t="str">
        <f>'1报表'!B12</f>
        <v>被评估单位：JSBD公司</v>
      </c>
      <c r="C3" s="750"/>
      <c r="D3" s="124" t="s">
        <v>362</v>
      </c>
      <c r="E3" s="288">
        <f>'1报表'!E5</f>
        <v>43100</v>
      </c>
    </row>
    <row r="4" spans="1:6" s="115" customFormat="1" ht="22.15" customHeight="1">
      <c r="A4" s="104"/>
      <c r="B4" s="118" t="s">
        <v>191</v>
      </c>
      <c r="C4" s="116"/>
      <c r="D4" s="124" t="s">
        <v>192</v>
      </c>
      <c r="E4" s="117"/>
    </row>
    <row r="5" spans="1:6" s="115" customFormat="1" ht="22.15" customHeight="1">
      <c r="A5" s="104"/>
      <c r="B5" s="119" t="s">
        <v>194</v>
      </c>
      <c r="C5" s="116"/>
      <c r="D5" s="124" t="s">
        <v>193</v>
      </c>
      <c r="E5" s="117"/>
    </row>
    <row r="6" spans="1:6" s="120" customFormat="1" ht="18" customHeight="1">
      <c r="A6" s="104"/>
      <c r="B6" s="751" t="s">
        <v>195</v>
      </c>
      <c r="C6" s="751"/>
      <c r="D6" s="121" t="s">
        <v>197</v>
      </c>
      <c r="E6" s="121" t="s">
        <v>196</v>
      </c>
    </row>
    <row r="7" spans="1:6" s="106" customFormat="1" ht="19.899999999999999" customHeight="1">
      <c r="A7" s="104"/>
      <c r="B7" s="752" t="s">
        <v>459</v>
      </c>
      <c r="C7" s="752"/>
      <c r="D7" s="122"/>
      <c r="E7" s="122"/>
    </row>
    <row r="8" spans="1:6" ht="25.5" customHeight="1">
      <c r="A8" s="104"/>
      <c r="B8" s="753" t="s">
        <v>460</v>
      </c>
      <c r="C8" s="753"/>
      <c r="D8" s="123"/>
      <c r="E8" s="123"/>
    </row>
    <row r="9" spans="1:6" ht="48" customHeight="1">
      <c r="A9" s="104"/>
      <c r="B9" s="754" t="s">
        <v>665</v>
      </c>
      <c r="C9" s="754"/>
      <c r="D9" s="123"/>
      <c r="E9" s="123"/>
      <c r="F9" s="427"/>
    </row>
    <row r="10" spans="1:6" s="106" customFormat="1" ht="19.899999999999999" customHeight="1">
      <c r="A10" s="104"/>
      <c r="B10" s="752" t="s">
        <v>461</v>
      </c>
      <c r="C10" s="752"/>
      <c r="D10" s="122"/>
      <c r="E10" s="122"/>
    </row>
    <row r="11" spans="1:6" ht="38.25" customHeight="1">
      <c r="A11" s="104"/>
      <c r="B11" s="753" t="s">
        <v>462</v>
      </c>
      <c r="C11" s="753"/>
      <c r="D11" s="123"/>
      <c r="E11" s="123"/>
      <c r="F11" s="427"/>
    </row>
    <row r="12" spans="1:6" ht="58.9" customHeight="1">
      <c r="A12" s="104"/>
      <c r="B12" s="753" t="s">
        <v>666</v>
      </c>
      <c r="C12" s="753"/>
      <c r="D12" s="123"/>
      <c r="E12" s="123"/>
    </row>
    <row r="13" spans="1:6" ht="19.899999999999999" customHeight="1">
      <c r="A13" s="104"/>
      <c r="B13" s="753" t="s">
        <v>463</v>
      </c>
      <c r="C13" s="753"/>
      <c r="D13" s="123"/>
      <c r="E13" s="123"/>
    </row>
    <row r="14" spans="1:6" ht="19.899999999999999" customHeight="1">
      <c r="A14" s="104"/>
      <c r="B14" s="753" t="s">
        <v>464</v>
      </c>
      <c r="C14" s="753"/>
      <c r="D14" s="123"/>
      <c r="E14" s="123"/>
    </row>
    <row r="15" spans="1:6" ht="19.899999999999999" customHeight="1">
      <c r="A15" s="104"/>
      <c r="B15" s="753" t="s">
        <v>465</v>
      </c>
      <c r="C15" s="753"/>
      <c r="D15" s="123"/>
      <c r="E15" s="123"/>
    </row>
    <row r="16" spans="1:6" ht="19.899999999999999" customHeight="1">
      <c r="A16" s="104"/>
      <c r="B16" s="753" t="s">
        <v>466</v>
      </c>
      <c r="C16" s="753"/>
      <c r="D16" s="123"/>
      <c r="E16" s="123"/>
    </row>
    <row r="17" spans="1:5" ht="19.899999999999999" customHeight="1">
      <c r="A17" s="104"/>
      <c r="B17" s="753" t="s">
        <v>467</v>
      </c>
      <c r="C17" s="753"/>
      <c r="D17" s="123"/>
      <c r="E17" s="123"/>
    </row>
    <row r="18" spans="1:5" s="106" customFormat="1" ht="19.899999999999999" customHeight="1">
      <c r="A18" s="104"/>
      <c r="B18" s="752" t="s">
        <v>468</v>
      </c>
      <c r="C18" s="752"/>
      <c r="D18" s="122"/>
      <c r="E18" s="122"/>
    </row>
    <row r="19" spans="1:5" ht="43.15" customHeight="1">
      <c r="A19" s="104"/>
      <c r="B19" s="753" t="s">
        <v>469</v>
      </c>
      <c r="C19" s="753"/>
      <c r="D19" s="123"/>
      <c r="E19" s="123"/>
    </row>
    <row r="20" spans="1:5" ht="72" customHeight="1">
      <c r="A20" s="104"/>
      <c r="B20" s="753" t="s">
        <v>667</v>
      </c>
      <c r="C20" s="753"/>
      <c r="D20" s="123"/>
      <c r="E20" s="123"/>
    </row>
    <row r="21" spans="1:5" ht="28.9" customHeight="1">
      <c r="A21" s="104"/>
      <c r="B21" s="755" t="s">
        <v>470</v>
      </c>
      <c r="C21" s="755"/>
      <c r="D21" s="123"/>
      <c r="E21" s="123"/>
    </row>
    <row r="22" spans="1:5" ht="19.899999999999999" customHeight="1">
      <c r="A22" s="104"/>
      <c r="B22" s="753" t="s">
        <v>668</v>
      </c>
      <c r="C22" s="753"/>
      <c r="D22" s="123"/>
      <c r="E22" s="123"/>
    </row>
    <row r="23" spans="1:5" ht="19.899999999999999" customHeight="1">
      <c r="A23" s="104"/>
      <c r="B23" s="753" t="s">
        <v>669</v>
      </c>
      <c r="C23" s="753"/>
      <c r="D23" s="123"/>
      <c r="E23" s="123"/>
    </row>
    <row r="24" spans="1:5" s="106" customFormat="1" ht="19.899999999999999" customHeight="1">
      <c r="A24" s="104"/>
      <c r="B24" s="752" t="s">
        <v>471</v>
      </c>
      <c r="C24" s="752"/>
      <c r="D24" s="122"/>
      <c r="E24" s="122"/>
    </row>
    <row r="25" spans="1:5" ht="19.899999999999999" customHeight="1">
      <c r="A25" s="104"/>
      <c r="B25" s="756" t="s">
        <v>472</v>
      </c>
      <c r="C25" s="757"/>
      <c r="D25" s="123"/>
      <c r="E25" s="123"/>
    </row>
    <row r="26" spans="1:5" ht="19.899999999999999" customHeight="1">
      <c r="A26" s="104"/>
      <c r="B26" s="753" t="s">
        <v>473</v>
      </c>
      <c r="C26" s="753"/>
      <c r="D26" s="123"/>
      <c r="E26" s="123"/>
    </row>
    <row r="27" spans="1:5" ht="19.899999999999999" customHeight="1">
      <c r="A27" s="104"/>
      <c r="B27" s="753" t="s">
        <v>474</v>
      </c>
      <c r="C27" s="753"/>
      <c r="D27" s="123"/>
      <c r="E27" s="123"/>
    </row>
    <row r="28" spans="1:5" ht="19.899999999999999" customHeight="1">
      <c r="A28" s="104"/>
      <c r="B28" s="753" t="s">
        <v>475</v>
      </c>
      <c r="C28" s="753"/>
      <c r="D28" s="123"/>
      <c r="E28" s="123"/>
    </row>
    <row r="29" spans="1:5" ht="19.899999999999999" customHeight="1">
      <c r="A29" s="104"/>
      <c r="B29" s="753" t="s">
        <v>476</v>
      </c>
      <c r="C29" s="753"/>
      <c r="D29" s="123"/>
      <c r="E29" s="123"/>
    </row>
    <row r="30" spans="1:5" ht="19.899999999999999" customHeight="1">
      <c r="A30" s="104"/>
      <c r="B30" s="753" t="s">
        <v>477</v>
      </c>
      <c r="C30" s="753"/>
      <c r="D30" s="123"/>
      <c r="E30" s="123"/>
    </row>
    <row r="31" spans="1:5" s="106" customFormat="1" ht="19.899999999999999" customHeight="1">
      <c r="A31" s="104"/>
      <c r="B31" s="752" t="s">
        <v>478</v>
      </c>
      <c r="C31" s="752"/>
      <c r="D31" s="122"/>
      <c r="E31" s="122"/>
    </row>
    <row r="32" spans="1:5" ht="19.899999999999999" customHeight="1">
      <c r="A32" s="104"/>
      <c r="B32" s="756" t="s">
        <v>479</v>
      </c>
      <c r="C32" s="757"/>
      <c r="D32" s="123"/>
      <c r="E32" s="123"/>
    </row>
    <row r="33" spans="1:5" ht="19.899999999999999" customHeight="1">
      <c r="A33" s="104"/>
      <c r="B33" s="753" t="s">
        <v>480</v>
      </c>
      <c r="C33" s="753"/>
      <c r="D33" s="123"/>
      <c r="E33" s="123"/>
    </row>
    <row r="34" spans="1:5" ht="19.899999999999999" customHeight="1">
      <c r="A34" s="104"/>
      <c r="B34" s="754" t="s">
        <v>481</v>
      </c>
      <c r="C34" s="754"/>
      <c r="D34" s="123"/>
      <c r="E34" s="123"/>
    </row>
    <row r="35" spans="1:5" ht="19.899999999999999" customHeight="1">
      <c r="A35" s="104"/>
      <c r="B35" s="127" t="s">
        <v>198</v>
      </c>
      <c r="C35" s="128"/>
      <c r="D35" s="129"/>
      <c r="E35" s="130"/>
    </row>
    <row r="36" spans="1:5" ht="19.899999999999999" customHeight="1">
      <c r="A36" s="104"/>
      <c r="B36" s="131"/>
      <c r="C36" s="125"/>
      <c r="D36" s="126"/>
      <c r="E36" s="132"/>
    </row>
    <row r="37" spans="1:5" ht="19.899999999999999" customHeight="1">
      <c r="A37" s="104"/>
      <c r="B37" s="133"/>
      <c r="C37" s="134"/>
      <c r="D37" s="135"/>
      <c r="E37" s="136"/>
    </row>
    <row r="38" spans="1:5" s="110" customFormat="1">
      <c r="A38" s="104"/>
      <c r="B38" s="111" t="s">
        <v>188</v>
      </c>
    </row>
    <row r="39" spans="1:5" s="110" customFormat="1">
      <c r="A39" s="104"/>
      <c r="B39" s="111" t="s">
        <v>189</v>
      </c>
    </row>
    <row r="40" spans="1:5" s="110" customFormat="1">
      <c r="A40" s="104"/>
      <c r="B40" s="111" t="s">
        <v>190</v>
      </c>
    </row>
    <row r="41" spans="1:5" s="110" customFormat="1">
      <c r="A41" s="104"/>
      <c r="B41" s="109"/>
    </row>
    <row r="42" spans="1:5" s="110" customFormat="1">
      <c r="A42" s="104"/>
      <c r="B42" s="109"/>
    </row>
    <row r="43" spans="1:5" s="110" customFormat="1">
      <c r="A43" s="104"/>
      <c r="B43" s="109"/>
    </row>
    <row r="44" spans="1:5" s="110" customFormat="1">
      <c r="A44" s="104"/>
      <c r="B44" s="109"/>
    </row>
  </sheetData>
  <mergeCells count="31">
    <mergeCell ref="B29:C29"/>
    <mergeCell ref="B30:C30"/>
    <mergeCell ref="B31:C31"/>
    <mergeCell ref="B33:C33"/>
    <mergeCell ref="B34:C34"/>
    <mergeCell ref="B32:C32"/>
    <mergeCell ref="B23:C23"/>
    <mergeCell ref="B24:C24"/>
    <mergeCell ref="B26:C26"/>
    <mergeCell ref="B27:C27"/>
    <mergeCell ref="B28:C28"/>
    <mergeCell ref="B25:C25"/>
    <mergeCell ref="B9:C9"/>
    <mergeCell ref="B10:C10"/>
    <mergeCell ref="B22:C22"/>
    <mergeCell ref="B11:C11"/>
    <mergeCell ref="B12:C12"/>
    <mergeCell ref="B13:C13"/>
    <mergeCell ref="B14:C14"/>
    <mergeCell ref="B15:C15"/>
    <mergeCell ref="B16:C16"/>
    <mergeCell ref="B17:C17"/>
    <mergeCell ref="B18:C18"/>
    <mergeCell ref="B19:C19"/>
    <mergeCell ref="B20:C20"/>
    <mergeCell ref="B21:C21"/>
    <mergeCell ref="B2:E2"/>
    <mergeCell ref="B3:C3"/>
    <mergeCell ref="B6:C6"/>
    <mergeCell ref="B7:C7"/>
    <mergeCell ref="B8:C8"/>
  </mergeCells>
  <phoneticPr fontId="6" type="noConversion"/>
  <printOptions horizontalCentered="1"/>
  <pageMargins left="0.19685039370078741" right="0.19685039370078741" top="0.77" bottom="0.74803149606299213" header="0.31496062992125984" footer="0.31496062992125984"/>
  <pageSetup paperSize="9" scale="77" orientation="portrait" r:id="rId1"/>
  <headerFooter>
    <oddFooter>&amp;R&amp;"PMingLiU,常规"&amp;10第 &amp;P &amp;"宋体,常规"页&amp;"PMingLiU,常规"，共 &amp;N &amp;"宋体,常规"页</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00B0F0"/>
  </sheetPr>
  <dimension ref="A1:I144"/>
  <sheetViews>
    <sheetView topLeftCell="A127" zoomScaleNormal="100" workbookViewId="0">
      <selection activeCell="B114" sqref="B114"/>
    </sheetView>
  </sheetViews>
  <sheetFormatPr defaultColWidth="9" defaultRowHeight="18" customHeight="1"/>
  <cols>
    <col min="1" max="1" width="4.58203125" style="16" customWidth="1"/>
    <col min="2" max="2" width="36.25" style="4" customWidth="1"/>
    <col min="3" max="5" width="12.5" style="4" customWidth="1"/>
    <col min="6" max="6" width="9" style="4"/>
    <col min="7" max="7" width="6.75" style="4" customWidth="1"/>
    <col min="8" max="16384" width="9" style="4"/>
  </cols>
  <sheetData>
    <row r="1" spans="1:7" ht="18" customHeight="1" thickBot="1"/>
    <row r="2" spans="1:7" ht="18" customHeight="1">
      <c r="B2" s="289" t="s">
        <v>228</v>
      </c>
      <c r="C2" s="290"/>
      <c r="D2" s="290"/>
      <c r="E2" s="291"/>
    </row>
    <row r="3" spans="1:7" ht="18" customHeight="1">
      <c r="B3" s="292" t="s">
        <v>230</v>
      </c>
      <c r="C3" s="293"/>
      <c r="D3" s="293"/>
      <c r="E3" s="441" t="s">
        <v>433</v>
      </c>
    </row>
    <row r="4" spans="1:7" ht="18" customHeight="1">
      <c r="B4" s="292" t="s">
        <v>457</v>
      </c>
      <c r="C4" s="293"/>
      <c r="D4" s="293"/>
      <c r="E4" s="445" t="s">
        <v>458</v>
      </c>
    </row>
    <row r="5" spans="1:7" ht="18" customHeight="1">
      <c r="B5" s="292" t="s">
        <v>229</v>
      </c>
      <c r="C5" s="293"/>
      <c r="D5" s="293"/>
      <c r="E5" s="294">
        <v>43100</v>
      </c>
    </row>
    <row r="6" spans="1:7" ht="18" customHeight="1">
      <c r="B6" s="292" t="s">
        <v>923</v>
      </c>
      <c r="C6" s="293"/>
      <c r="D6" s="293"/>
      <c r="E6" s="482">
        <v>5</v>
      </c>
    </row>
    <row r="7" spans="1:7" ht="18" customHeight="1">
      <c r="B7" s="292" t="s">
        <v>231</v>
      </c>
      <c r="C7" s="442">
        <f>E5+1</f>
        <v>43101</v>
      </c>
      <c r="D7" s="295" t="s">
        <v>232</v>
      </c>
      <c r="E7" s="443">
        <f>EDATE(E5,E6*12)</f>
        <v>44926</v>
      </c>
    </row>
    <row r="8" spans="1:7" ht="18" customHeight="1" thickBot="1">
      <c r="B8" s="296"/>
      <c r="C8" s="297"/>
      <c r="D8" s="297"/>
      <c r="E8" s="298"/>
    </row>
    <row r="10" spans="1:7" ht="31.5" customHeight="1">
      <c r="A10" s="177"/>
      <c r="B10" s="758" t="s">
        <v>137</v>
      </c>
      <c r="C10" s="758"/>
      <c r="D10" s="758"/>
      <c r="E10" s="758"/>
    </row>
    <row r="11" spans="1:7" ht="18" customHeight="1">
      <c r="A11" s="216"/>
      <c r="B11" s="409" t="str">
        <f>B5&amp;TEXT(E5,"YYYY/M/D")</f>
        <v>评估基准日：2017/12/31</v>
      </c>
      <c r="D11" s="81"/>
      <c r="G11" s="194"/>
    </row>
    <row r="12" spans="1:7" ht="18" customHeight="1">
      <c r="B12" s="265" t="str">
        <f>B3&amp;E3</f>
        <v>被评估单位：JSBD公司</v>
      </c>
      <c r="E12" s="19" t="s">
        <v>52</v>
      </c>
    </row>
    <row r="13" spans="1:7" ht="30.65" customHeight="1">
      <c r="A13" s="178"/>
      <c r="B13" s="304" t="s">
        <v>53</v>
      </c>
      <c r="C13" s="303">
        <f>EDATE(D13,-12)</f>
        <v>42369</v>
      </c>
      <c r="D13" s="303">
        <f>EDATE(E13,-12)</f>
        <v>42735</v>
      </c>
      <c r="E13" s="303">
        <f>E5</f>
        <v>43100</v>
      </c>
    </row>
    <row r="14" spans="1:7" ht="15" customHeight="1">
      <c r="A14" s="175"/>
      <c r="B14" s="738" t="s">
        <v>1005</v>
      </c>
      <c r="C14" s="169"/>
      <c r="D14" s="169"/>
      <c r="E14" s="169"/>
    </row>
    <row r="15" spans="1:7" ht="15" customHeight="1">
      <c r="A15" s="175"/>
      <c r="B15" s="171" t="s">
        <v>1001</v>
      </c>
      <c r="C15" s="299">
        <v>107.23511499999999</v>
      </c>
      <c r="D15" s="299">
        <v>232.26688000000001</v>
      </c>
      <c r="E15" s="299">
        <v>276.81450999999998</v>
      </c>
    </row>
    <row r="16" spans="1:7" ht="15" customHeight="1">
      <c r="A16" s="175"/>
      <c r="B16" s="171" t="s">
        <v>222</v>
      </c>
      <c r="C16" s="299"/>
      <c r="D16" s="299"/>
      <c r="E16" s="299"/>
    </row>
    <row r="17" spans="1:5" ht="15" customHeight="1">
      <c r="A17" s="175"/>
      <c r="B17" s="171" t="s">
        <v>211</v>
      </c>
      <c r="C17" s="299"/>
      <c r="D17" s="299"/>
      <c r="E17" s="299"/>
    </row>
    <row r="18" spans="1:5" ht="15" customHeight="1">
      <c r="A18" s="175"/>
      <c r="B18" s="171" t="s">
        <v>541</v>
      </c>
      <c r="C18" s="299">
        <f>9+2168.895942</f>
        <v>2177.8959420000001</v>
      </c>
      <c r="D18" s="299">
        <f>97.73602+2520.404145</f>
        <v>2618.1401649999998</v>
      </c>
      <c r="E18" s="299">
        <f>293.613289+3142.781439</f>
        <v>3436.3947279999998</v>
      </c>
    </row>
    <row r="19" spans="1:5" ht="15" customHeight="1">
      <c r="A19" s="175"/>
      <c r="B19" s="171" t="s">
        <v>67</v>
      </c>
      <c r="C19" s="299">
        <v>163.10339500000001</v>
      </c>
      <c r="D19" s="299">
        <v>99.846675000000005</v>
      </c>
      <c r="E19" s="299">
        <v>52.493946000000001</v>
      </c>
    </row>
    <row r="20" spans="1:5" ht="15" customHeight="1">
      <c r="A20" s="191" t="s">
        <v>487</v>
      </c>
      <c r="B20" s="170" t="s">
        <v>1002</v>
      </c>
      <c r="C20" s="299"/>
      <c r="D20" s="299"/>
      <c r="E20" s="299"/>
    </row>
    <row r="21" spans="1:5" ht="15" customHeight="1">
      <c r="A21" s="191" t="s">
        <v>487</v>
      </c>
      <c r="B21" s="170" t="s">
        <v>1003</v>
      </c>
      <c r="C21" s="299"/>
      <c r="D21" s="299"/>
      <c r="E21" s="299"/>
    </row>
    <row r="22" spans="1:5" ht="15" customHeight="1">
      <c r="A22" s="175"/>
      <c r="B22" s="171" t="s">
        <v>68</v>
      </c>
      <c r="C22" s="299">
        <v>113.81445699999999</v>
      </c>
      <c r="D22" s="299">
        <v>191.70885300000003</v>
      </c>
      <c r="E22" s="299">
        <v>52.199491999999999</v>
      </c>
    </row>
    <row r="23" spans="1:5" ht="15" customHeight="1">
      <c r="A23" s="175"/>
      <c r="B23" s="171" t="s">
        <v>983</v>
      </c>
      <c r="C23" s="299">
        <v>879.7490130000001</v>
      </c>
      <c r="D23" s="299">
        <v>1054.9352279999998</v>
      </c>
      <c r="E23" s="299">
        <v>1331.2815390000001</v>
      </c>
    </row>
    <row r="24" spans="1:5" ht="15" customHeight="1">
      <c r="A24" s="191" t="s">
        <v>490</v>
      </c>
      <c r="B24" s="170" t="s">
        <v>489</v>
      </c>
      <c r="C24" s="299"/>
      <c r="D24" s="299"/>
      <c r="E24" s="299"/>
    </row>
    <row r="25" spans="1:5" ht="15" customHeight="1">
      <c r="A25" s="175"/>
      <c r="B25" s="171" t="s">
        <v>212</v>
      </c>
      <c r="C25" s="299"/>
      <c r="D25" s="299"/>
      <c r="E25" s="299"/>
    </row>
    <row r="26" spans="1:5" ht="15" customHeight="1">
      <c r="A26" s="175"/>
      <c r="B26" s="171" t="s">
        <v>984</v>
      </c>
      <c r="C26" s="299"/>
      <c r="D26" s="299"/>
      <c r="E26" s="299"/>
    </row>
    <row r="27" spans="1:5" ht="15" customHeight="1">
      <c r="A27" s="175"/>
      <c r="B27" s="171" t="s">
        <v>77</v>
      </c>
      <c r="C27" s="299">
        <v>34.793744000000004</v>
      </c>
      <c r="D27" s="299">
        <v>21.197217999999999</v>
      </c>
      <c r="E27" s="299">
        <v>162.85866000000001</v>
      </c>
    </row>
    <row r="28" spans="1:5" ht="15" customHeight="1">
      <c r="A28" s="179"/>
      <c r="B28" s="173" t="s">
        <v>985</v>
      </c>
      <c r="C28" s="172">
        <f t="shared" ref="C28:E28" si="0">SUM(C15:C27)</f>
        <v>3476.5916660000003</v>
      </c>
      <c r="D28" s="172">
        <f t="shared" si="0"/>
        <v>4218.0950189999994</v>
      </c>
      <c r="E28" s="172">
        <f t="shared" si="0"/>
        <v>5312.0428750000001</v>
      </c>
    </row>
    <row r="29" spans="1:5" ht="15" customHeight="1">
      <c r="A29" s="175"/>
      <c r="B29" s="738" t="s">
        <v>1004</v>
      </c>
      <c r="C29" s="193"/>
      <c r="D29" s="193"/>
      <c r="E29" s="193"/>
    </row>
    <row r="30" spans="1:5" ht="15" customHeight="1">
      <c r="A30" s="175"/>
      <c r="B30" s="171" t="s">
        <v>986</v>
      </c>
      <c r="C30" s="300"/>
      <c r="D30" s="300"/>
      <c r="E30" s="300"/>
    </row>
    <row r="31" spans="1:5" ht="15" customHeight="1">
      <c r="A31" s="175"/>
      <c r="B31" s="171" t="s">
        <v>987</v>
      </c>
      <c r="C31" s="300"/>
      <c r="D31" s="300"/>
      <c r="E31" s="300"/>
    </row>
    <row r="32" spans="1:5" ht="15" customHeight="1">
      <c r="A32" s="191" t="s">
        <v>490</v>
      </c>
      <c r="B32" s="170" t="s">
        <v>492</v>
      </c>
      <c r="C32" s="300"/>
      <c r="D32" s="300"/>
      <c r="E32" s="300"/>
    </row>
    <row r="33" spans="1:5" ht="15" customHeight="1">
      <c r="A33" s="191" t="s">
        <v>490</v>
      </c>
      <c r="B33" s="170" t="s">
        <v>494</v>
      </c>
      <c r="C33" s="300"/>
      <c r="D33" s="300"/>
      <c r="E33" s="300"/>
    </row>
    <row r="34" spans="1:5" ht="15" customHeight="1">
      <c r="A34" s="175"/>
      <c r="B34" s="171" t="s">
        <v>988</v>
      </c>
      <c r="C34" s="300"/>
      <c r="D34" s="300"/>
      <c r="E34" s="300"/>
    </row>
    <row r="35" spans="1:5" ht="15" customHeight="1">
      <c r="A35" s="175"/>
      <c r="B35" s="171" t="s">
        <v>989</v>
      </c>
      <c r="C35" s="300"/>
      <c r="D35" s="300"/>
      <c r="E35" s="300"/>
    </row>
    <row r="36" spans="1:5" ht="15" customHeight="1">
      <c r="A36" s="191" t="s">
        <v>490</v>
      </c>
      <c r="B36" s="170" t="s">
        <v>496</v>
      </c>
      <c r="C36" s="300"/>
      <c r="D36" s="300"/>
      <c r="E36" s="300"/>
    </row>
    <row r="37" spans="1:5" ht="15" customHeight="1">
      <c r="A37" s="191" t="s">
        <v>490</v>
      </c>
      <c r="B37" s="170" t="s">
        <v>498</v>
      </c>
      <c r="C37" s="300"/>
      <c r="D37" s="300"/>
      <c r="E37" s="300"/>
    </row>
    <row r="38" spans="1:5" ht="15" customHeight="1">
      <c r="A38" s="175"/>
      <c r="B38" s="171" t="s">
        <v>982</v>
      </c>
      <c r="C38" s="300"/>
      <c r="D38" s="300"/>
      <c r="E38" s="300"/>
    </row>
    <row r="39" spans="1:5" ht="15" customHeight="1">
      <c r="A39" s="175"/>
      <c r="B39" s="171" t="s">
        <v>990</v>
      </c>
      <c r="C39" s="300">
        <v>2374.1047429999994</v>
      </c>
      <c r="D39" s="300">
        <v>2109.01406</v>
      </c>
      <c r="E39" s="300">
        <v>2328.728333</v>
      </c>
    </row>
    <row r="40" spans="1:5" ht="15" customHeight="1">
      <c r="A40" s="175"/>
      <c r="B40" s="171" t="s">
        <v>991</v>
      </c>
      <c r="C40" s="300"/>
      <c r="D40" s="300"/>
      <c r="E40" s="300">
        <v>201.282051</v>
      </c>
    </row>
    <row r="41" spans="1:5" ht="15" customHeight="1">
      <c r="A41" s="175"/>
      <c r="B41" s="171" t="s">
        <v>992</v>
      </c>
      <c r="C41" s="300"/>
      <c r="D41" s="300"/>
      <c r="E41" s="300"/>
    </row>
    <row r="42" spans="1:5" ht="15" customHeight="1">
      <c r="A42" s="175"/>
      <c r="B42" s="171" t="s">
        <v>993</v>
      </c>
      <c r="C42" s="300"/>
      <c r="D42" s="300"/>
      <c r="E42" s="300"/>
    </row>
    <row r="43" spans="1:5" ht="15" customHeight="1">
      <c r="A43" s="175"/>
      <c r="B43" s="171" t="s">
        <v>994</v>
      </c>
      <c r="C43" s="300">
        <v>317.96748400000001</v>
      </c>
      <c r="D43" s="300">
        <v>306.03733099999994</v>
      </c>
      <c r="E43" s="300">
        <v>459.60840899999999</v>
      </c>
    </row>
    <row r="44" spans="1:5" ht="15" customHeight="1">
      <c r="A44" s="175"/>
      <c r="B44" s="171" t="s">
        <v>658</v>
      </c>
      <c r="C44" s="300"/>
      <c r="D44" s="300"/>
      <c r="E44" s="300"/>
    </row>
    <row r="45" spans="1:5" ht="15" customHeight="1">
      <c r="A45" s="175"/>
      <c r="B45" s="171" t="s">
        <v>995</v>
      </c>
      <c r="C45" s="300"/>
      <c r="D45" s="300"/>
      <c r="E45" s="300"/>
    </row>
    <row r="46" spans="1:5" ht="15" customHeight="1">
      <c r="A46" s="175"/>
      <c r="B46" s="171" t="s">
        <v>996</v>
      </c>
      <c r="C46" s="300"/>
      <c r="D46" s="300"/>
      <c r="E46" s="300"/>
    </row>
    <row r="47" spans="1:5" ht="15" customHeight="1">
      <c r="A47" s="175"/>
      <c r="B47" s="171" t="s">
        <v>997</v>
      </c>
      <c r="C47" s="300">
        <v>77.510452999999998</v>
      </c>
      <c r="D47" s="300">
        <v>88.215967000000006</v>
      </c>
      <c r="E47" s="300">
        <v>101.06477</v>
      </c>
    </row>
    <row r="48" spans="1:5" ht="15" customHeight="1">
      <c r="A48" s="175"/>
      <c r="B48" s="171" t="s">
        <v>998</v>
      </c>
      <c r="C48" s="300">
        <v>28.328890000000001</v>
      </c>
      <c r="D48" s="300">
        <v>294.36200000000002</v>
      </c>
      <c r="E48" s="300">
        <v>191.69743</v>
      </c>
    </row>
    <row r="49" spans="1:5" ht="15" customHeight="1">
      <c r="A49" s="179"/>
      <c r="B49" s="173" t="s">
        <v>999</v>
      </c>
      <c r="C49" s="341">
        <f t="shared" ref="C49:E49" si="1">SUM(C30:C48)</f>
        <v>2797.9115699999993</v>
      </c>
      <c r="D49" s="341">
        <f t="shared" si="1"/>
        <v>2797.6293580000001</v>
      </c>
      <c r="E49" s="341">
        <f t="shared" si="1"/>
        <v>3282.3809930000002</v>
      </c>
    </row>
    <row r="50" spans="1:5" ht="15" customHeight="1">
      <c r="A50" s="179"/>
      <c r="B50" s="173" t="s">
        <v>1000</v>
      </c>
      <c r="C50" s="341">
        <f t="shared" ref="C50:E50" si="2">C28+C49</f>
        <v>6274.5032359999996</v>
      </c>
      <c r="D50" s="341">
        <f t="shared" si="2"/>
        <v>7015.7243769999995</v>
      </c>
      <c r="E50" s="341">
        <f t="shared" si="2"/>
        <v>8594.4238679999999</v>
      </c>
    </row>
    <row r="51" spans="1:5" ht="15" customHeight="1">
      <c r="A51" s="175"/>
      <c r="B51" s="738" t="s">
        <v>1006</v>
      </c>
      <c r="C51" s="193"/>
      <c r="D51" s="193"/>
      <c r="E51" s="193"/>
    </row>
    <row r="52" spans="1:5" ht="15" customHeight="1">
      <c r="A52" s="175"/>
      <c r="B52" s="171" t="s">
        <v>1007</v>
      </c>
      <c r="C52" s="300">
        <v>900</v>
      </c>
      <c r="D52" s="300">
        <v>1100</v>
      </c>
      <c r="E52" s="300">
        <v>1000</v>
      </c>
    </row>
    <row r="53" spans="1:5" ht="15" customHeight="1">
      <c r="A53" s="175"/>
      <c r="B53" s="171" t="s">
        <v>1008</v>
      </c>
      <c r="C53" s="300"/>
      <c r="D53" s="300"/>
      <c r="E53" s="300"/>
    </row>
    <row r="54" spans="1:5" ht="15" customHeight="1">
      <c r="A54" s="175"/>
      <c r="B54" s="171" t="s">
        <v>213</v>
      </c>
      <c r="C54" s="300"/>
      <c r="D54" s="300"/>
      <c r="E54" s="300"/>
    </row>
    <row r="55" spans="1:5" ht="15" customHeight="1">
      <c r="A55" s="175"/>
      <c r="B55" s="171" t="s">
        <v>543</v>
      </c>
      <c r="C55" s="300">
        <v>417.61031500000001</v>
      </c>
      <c r="D55" s="300">
        <v>1037.9280119999999</v>
      </c>
      <c r="E55" s="300">
        <v>1346.037366</v>
      </c>
    </row>
    <row r="56" spans="1:5" ht="15" customHeight="1">
      <c r="A56" s="175"/>
      <c r="B56" s="171" t="s">
        <v>1009</v>
      </c>
      <c r="C56" s="300">
        <v>131.76531799999998</v>
      </c>
      <c r="D56" s="300">
        <v>195.99938799999998</v>
      </c>
      <c r="E56" s="300">
        <v>351.096362</v>
      </c>
    </row>
    <row r="57" spans="1:5" ht="15" customHeight="1">
      <c r="A57" s="191" t="s">
        <v>490</v>
      </c>
      <c r="B57" s="170" t="s">
        <v>499</v>
      </c>
      <c r="C57" s="300"/>
      <c r="D57" s="300"/>
      <c r="E57" s="300"/>
    </row>
    <row r="58" spans="1:5" ht="15" customHeight="1">
      <c r="A58" s="175"/>
      <c r="B58" s="171" t="s">
        <v>1010</v>
      </c>
      <c r="C58" s="300">
        <v>132.57766899999999</v>
      </c>
      <c r="D58" s="300">
        <v>163.35175100000001</v>
      </c>
      <c r="E58" s="300">
        <v>345.76284399999997</v>
      </c>
    </row>
    <row r="59" spans="1:5" ht="15" customHeight="1">
      <c r="A59" s="175"/>
      <c r="B59" s="171" t="s">
        <v>1011</v>
      </c>
      <c r="C59" s="300">
        <v>104.37590400000001</v>
      </c>
      <c r="D59" s="300">
        <v>117.084018</v>
      </c>
      <c r="E59" s="300">
        <v>225.30200400000001</v>
      </c>
    </row>
    <row r="60" spans="1:5" ht="15" customHeight="1">
      <c r="A60" s="191" t="s">
        <v>487</v>
      </c>
      <c r="B60" s="170" t="s">
        <v>1012</v>
      </c>
      <c r="C60" s="300"/>
      <c r="D60" s="300"/>
      <c r="E60" s="300">
        <v>1.5104169999999999</v>
      </c>
    </row>
    <row r="61" spans="1:5" ht="15" customHeight="1">
      <c r="A61" s="191" t="s">
        <v>487</v>
      </c>
      <c r="B61" s="170" t="s">
        <v>1013</v>
      </c>
      <c r="C61" s="300"/>
      <c r="D61" s="300"/>
      <c r="E61" s="300"/>
    </row>
    <row r="62" spans="1:5" ht="15" customHeight="1">
      <c r="A62" s="175"/>
      <c r="B62" s="171" t="s">
        <v>1014</v>
      </c>
      <c r="C62" s="300">
        <v>1493.8280970000001</v>
      </c>
      <c r="D62" s="300">
        <v>1824.9312690000002</v>
      </c>
      <c r="E62" s="300">
        <v>1487.8202590000001</v>
      </c>
    </row>
    <row r="63" spans="1:5" ht="15" customHeight="1">
      <c r="A63" s="175"/>
      <c r="B63" s="171" t="s">
        <v>214</v>
      </c>
      <c r="C63" s="300"/>
      <c r="D63" s="300"/>
      <c r="E63" s="300"/>
    </row>
    <row r="64" spans="1:5" ht="15" customHeight="1">
      <c r="A64" s="175"/>
      <c r="B64" s="171" t="s">
        <v>1015</v>
      </c>
      <c r="C64" s="300">
        <v>1150</v>
      </c>
      <c r="D64" s="300"/>
      <c r="E64" s="300"/>
    </row>
    <row r="65" spans="1:9" ht="15" customHeight="1">
      <c r="A65" s="175"/>
      <c r="B65" s="171" t="s">
        <v>1016</v>
      </c>
      <c r="C65" s="300"/>
      <c r="D65" s="300"/>
      <c r="E65" s="300"/>
    </row>
    <row r="66" spans="1:9" ht="15" customHeight="1">
      <c r="A66" s="179"/>
      <c r="B66" s="173" t="s">
        <v>1017</v>
      </c>
      <c r="C66" s="341">
        <f t="shared" ref="C66:E66" si="3">SUM(C52:C65)</f>
        <v>4330.157303</v>
      </c>
      <c r="D66" s="341">
        <f t="shared" si="3"/>
        <v>4439.2944380000008</v>
      </c>
      <c r="E66" s="341">
        <f t="shared" si="3"/>
        <v>4757.5292520000003</v>
      </c>
    </row>
    <row r="67" spans="1:9" ht="15" customHeight="1">
      <c r="A67" s="175"/>
      <c r="B67" s="738" t="s">
        <v>1018</v>
      </c>
      <c r="C67" s="193"/>
      <c r="D67" s="193"/>
      <c r="E67" s="193"/>
    </row>
    <row r="68" spans="1:9" ht="15" customHeight="1">
      <c r="A68" s="175"/>
      <c r="B68" s="739" t="s">
        <v>38</v>
      </c>
      <c r="C68" s="300"/>
      <c r="D68" s="300"/>
      <c r="E68" s="300"/>
    </row>
    <row r="69" spans="1:9" ht="15" customHeight="1">
      <c r="A69" s="175"/>
      <c r="B69" s="739" t="s">
        <v>39</v>
      </c>
      <c r="C69" s="300"/>
      <c r="D69" s="300"/>
      <c r="E69" s="300"/>
    </row>
    <row r="70" spans="1:9" ht="15" customHeight="1">
      <c r="A70" s="175"/>
      <c r="B70" s="739" t="s">
        <v>40</v>
      </c>
      <c r="C70" s="300"/>
      <c r="D70" s="300"/>
      <c r="E70" s="300"/>
      <c r="H70" s="247"/>
      <c r="I70" s="247"/>
    </row>
    <row r="71" spans="1:9" ht="15" customHeight="1">
      <c r="A71" s="448" t="s">
        <v>221</v>
      </c>
      <c r="B71" s="740" t="s">
        <v>223</v>
      </c>
      <c r="C71" s="300"/>
      <c r="D71" s="300"/>
      <c r="E71" s="300"/>
      <c r="H71" s="247"/>
      <c r="I71" s="247"/>
    </row>
    <row r="72" spans="1:9" ht="15" customHeight="1">
      <c r="A72" s="175"/>
      <c r="B72" s="739" t="s">
        <v>41</v>
      </c>
      <c r="C72" s="300"/>
      <c r="D72" s="300"/>
      <c r="E72" s="300"/>
      <c r="H72" s="14"/>
      <c r="I72" s="247"/>
    </row>
    <row r="73" spans="1:9" ht="15" customHeight="1">
      <c r="A73" s="175"/>
      <c r="B73" s="739" t="s">
        <v>215</v>
      </c>
      <c r="C73" s="300"/>
      <c r="D73" s="300"/>
      <c r="E73" s="300"/>
      <c r="H73" s="14"/>
      <c r="I73" s="247"/>
    </row>
    <row r="74" spans="1:9" ht="15" customHeight="1">
      <c r="A74" s="175"/>
      <c r="B74" s="739" t="s">
        <v>42</v>
      </c>
      <c r="C74" s="300"/>
      <c r="D74" s="300"/>
      <c r="E74" s="300"/>
      <c r="H74" s="14"/>
      <c r="I74" s="247"/>
    </row>
    <row r="75" spans="1:9" ht="15" customHeight="1">
      <c r="A75" s="175"/>
      <c r="B75" s="739" t="s">
        <v>43</v>
      </c>
      <c r="C75" s="300"/>
      <c r="D75" s="300"/>
      <c r="E75" s="300"/>
      <c r="H75" s="247"/>
      <c r="I75" s="247"/>
    </row>
    <row r="76" spans="1:9" ht="15" customHeight="1">
      <c r="A76" s="179"/>
      <c r="B76" s="741" t="s">
        <v>44</v>
      </c>
      <c r="C76" s="341">
        <f t="shared" ref="C76:E76" si="4">SUM(C68:C75)</f>
        <v>0</v>
      </c>
      <c r="D76" s="341">
        <f t="shared" si="4"/>
        <v>0</v>
      </c>
      <c r="E76" s="341">
        <f t="shared" si="4"/>
        <v>0</v>
      </c>
    </row>
    <row r="77" spans="1:9" ht="15" customHeight="1">
      <c r="A77" s="179"/>
      <c r="B77" s="741" t="s">
        <v>45</v>
      </c>
      <c r="C77" s="341">
        <f t="shared" ref="C77:E77" si="5">C66+C76</f>
        <v>4330.157303</v>
      </c>
      <c r="D77" s="341">
        <f t="shared" si="5"/>
        <v>4439.2944380000008</v>
      </c>
      <c r="E77" s="341">
        <f t="shared" si="5"/>
        <v>4757.5292520000003</v>
      </c>
    </row>
    <row r="78" spans="1:9" ht="15" customHeight="1">
      <c r="A78" s="175"/>
      <c r="B78" s="742" t="s">
        <v>57</v>
      </c>
      <c r="C78" s="165"/>
      <c r="D78" s="165"/>
      <c r="E78" s="165"/>
    </row>
    <row r="79" spans="1:9" ht="15" customHeight="1">
      <c r="A79" s="175"/>
      <c r="B79" s="739" t="s">
        <v>58</v>
      </c>
      <c r="C79" s="300">
        <v>1320</v>
      </c>
      <c r="D79" s="300">
        <v>1320</v>
      </c>
      <c r="E79" s="300">
        <v>1320</v>
      </c>
    </row>
    <row r="80" spans="1:9" ht="15" customHeight="1">
      <c r="A80" s="175"/>
      <c r="B80" s="739" t="s">
        <v>216</v>
      </c>
      <c r="C80" s="300"/>
      <c r="D80" s="300"/>
      <c r="E80" s="300"/>
    </row>
    <row r="81" spans="1:5" ht="15" customHeight="1">
      <c r="A81" s="175"/>
      <c r="B81" s="739" t="s">
        <v>46</v>
      </c>
      <c r="C81" s="300">
        <v>204.62</v>
      </c>
      <c r="D81" s="300">
        <v>204.62</v>
      </c>
      <c r="E81" s="300">
        <v>1235.9069019999999</v>
      </c>
    </row>
    <row r="82" spans="1:5" ht="15" customHeight="1">
      <c r="A82" s="175"/>
      <c r="B82" s="739" t="s">
        <v>47</v>
      </c>
      <c r="C82" s="300"/>
      <c r="D82" s="300"/>
      <c r="E82" s="300"/>
    </row>
    <row r="83" spans="1:5" ht="15" customHeight="1">
      <c r="A83" s="175"/>
      <c r="B83" s="739" t="s">
        <v>86</v>
      </c>
      <c r="C83" s="300"/>
      <c r="D83" s="300"/>
      <c r="E83" s="300"/>
    </row>
    <row r="84" spans="1:5" ht="15" customHeight="1">
      <c r="A84" s="175"/>
      <c r="B84" s="739" t="s">
        <v>48</v>
      </c>
      <c r="C84" s="300">
        <v>137.00097000000002</v>
      </c>
      <c r="D84" s="300">
        <v>199.68630499999998</v>
      </c>
      <c r="E84" s="300">
        <v>128.28416099999998</v>
      </c>
    </row>
    <row r="85" spans="1:5" ht="15" customHeight="1">
      <c r="A85" s="448" t="s">
        <v>221</v>
      </c>
      <c r="B85" s="740" t="s">
        <v>49</v>
      </c>
      <c r="C85" s="300"/>
      <c r="D85" s="300"/>
      <c r="E85" s="300"/>
    </row>
    <row r="86" spans="1:5" ht="15" customHeight="1">
      <c r="A86" s="175"/>
      <c r="B86" s="739" t="s">
        <v>50</v>
      </c>
      <c r="C86" s="300">
        <v>282.724963</v>
      </c>
      <c r="D86" s="300">
        <v>852.12363400000004</v>
      </c>
      <c r="E86" s="300">
        <v>1152.7035529999998</v>
      </c>
    </row>
    <row r="87" spans="1:5" ht="15" customHeight="1">
      <c r="A87" s="179"/>
      <c r="B87" s="741" t="s">
        <v>54</v>
      </c>
      <c r="C87" s="341">
        <f t="shared" ref="C87:E87" si="6">SUM(C79:C81)-C82+SUM(C83:C86)</f>
        <v>1944.3459330000001</v>
      </c>
      <c r="D87" s="341">
        <f t="shared" si="6"/>
        <v>2576.4299389999996</v>
      </c>
      <c r="E87" s="341">
        <f t="shared" si="6"/>
        <v>3836.8946159999996</v>
      </c>
    </row>
    <row r="88" spans="1:5" ht="15" customHeight="1">
      <c r="A88" s="175"/>
      <c r="B88" s="739" t="s">
        <v>55</v>
      </c>
      <c r="C88" s="300"/>
      <c r="D88" s="300"/>
      <c r="E88" s="300"/>
    </row>
    <row r="89" spans="1:5" ht="15" customHeight="1">
      <c r="A89" s="179"/>
      <c r="B89" s="741" t="s">
        <v>56</v>
      </c>
      <c r="C89" s="341">
        <f>C87+C88</f>
        <v>1944.3459330000001</v>
      </c>
      <c r="D89" s="341">
        <f t="shared" ref="D89:E89" si="7">D87+D88</f>
        <v>2576.4299389999996</v>
      </c>
      <c r="E89" s="341">
        <f t="shared" si="7"/>
        <v>3836.8946159999996</v>
      </c>
    </row>
    <row r="90" spans="1:5" ht="15" customHeight="1">
      <c r="A90" s="179"/>
      <c r="B90" s="741" t="s">
        <v>59</v>
      </c>
      <c r="C90" s="341">
        <f t="shared" ref="C90:E90" si="8">C77+C89</f>
        <v>6274.5032360000005</v>
      </c>
      <c r="D90" s="341">
        <f t="shared" si="8"/>
        <v>7015.7243770000005</v>
      </c>
      <c r="E90" s="341">
        <f t="shared" si="8"/>
        <v>8594.4238679999999</v>
      </c>
    </row>
    <row r="91" spans="1:5" ht="15" customHeight="1">
      <c r="A91" s="175"/>
      <c r="B91" s="38" t="s">
        <v>51</v>
      </c>
      <c r="C91" s="35">
        <f t="shared" ref="C91:E91" si="9">C50-C90</f>
        <v>0</v>
      </c>
      <c r="D91" s="35">
        <f t="shared" si="9"/>
        <v>0</v>
      </c>
      <c r="E91" s="35">
        <f t="shared" si="9"/>
        <v>0</v>
      </c>
    </row>
    <row r="92" spans="1:5" ht="18" customHeight="1">
      <c r="A92" s="176"/>
      <c r="B92" s="2" t="s">
        <v>103</v>
      </c>
      <c r="C92" s="52" t="str">
        <f t="shared" ref="C92:E92" si="10">IF(ROUND(C91,0)=0,"OK","需要检查")</f>
        <v>OK</v>
      </c>
      <c r="D92" s="52" t="str">
        <f t="shared" si="10"/>
        <v>OK</v>
      </c>
      <c r="E92" s="52" t="str">
        <f t="shared" si="10"/>
        <v>OK</v>
      </c>
    </row>
    <row r="93" spans="1:5" ht="31.5" customHeight="1">
      <c r="A93" s="189"/>
      <c r="B93" s="758" t="s">
        <v>138</v>
      </c>
      <c r="C93" s="758"/>
      <c r="D93" s="758"/>
      <c r="E93" s="758"/>
    </row>
    <row r="94" spans="1:5" ht="18" customHeight="1">
      <c r="A94" s="190"/>
      <c r="B94" s="265" t="str">
        <f>B11</f>
        <v>评估基准日：2017/12/31</v>
      </c>
      <c r="D94" s="79"/>
    </row>
    <row r="95" spans="1:5" ht="18" customHeight="1">
      <c r="B95" s="265" t="str">
        <f>B12</f>
        <v>被评估单位：JSBD公司</v>
      </c>
      <c r="E95" s="19" t="s">
        <v>52</v>
      </c>
    </row>
    <row r="96" spans="1:5" ht="19.5" customHeight="1">
      <c r="A96" s="178"/>
      <c r="B96" s="305" t="s">
        <v>53</v>
      </c>
      <c r="C96" s="302" t="str">
        <f>YEAR(C13)&amp;"年"</f>
        <v>2015年</v>
      </c>
      <c r="D96" s="302" t="str">
        <f t="shared" ref="D96:E96" si="11">YEAR(D13)&amp;"年"</f>
        <v>2016年</v>
      </c>
      <c r="E96" s="302" t="str">
        <f t="shared" si="11"/>
        <v>2017年</v>
      </c>
    </row>
    <row r="97" spans="1:5" ht="18" customHeight="1">
      <c r="A97" s="175"/>
      <c r="B97" s="164" t="s">
        <v>400</v>
      </c>
      <c r="C97" s="300">
        <v>5647.5608560000001</v>
      </c>
      <c r="D97" s="300">
        <v>7304.7745279999999</v>
      </c>
      <c r="E97" s="300">
        <v>9615.5763319999987</v>
      </c>
    </row>
    <row r="98" spans="1:5" ht="18" customHeight="1">
      <c r="A98" s="175"/>
      <c r="B98" s="166" t="s">
        <v>401</v>
      </c>
      <c r="C98" s="300">
        <v>3450.9961680000001</v>
      </c>
      <c r="D98" s="300">
        <v>4625.6862350000001</v>
      </c>
      <c r="E98" s="300">
        <v>5762.985987</v>
      </c>
    </row>
    <row r="99" spans="1:5" ht="18" customHeight="1">
      <c r="A99" s="175"/>
      <c r="B99" s="166" t="s">
        <v>500</v>
      </c>
      <c r="C99" s="300">
        <v>53.873420999999993</v>
      </c>
      <c r="D99" s="300">
        <v>81.41623100000001</v>
      </c>
      <c r="E99" s="300">
        <v>113.39455900000002</v>
      </c>
    </row>
    <row r="100" spans="1:5" ht="18" customHeight="1">
      <c r="A100" s="175"/>
      <c r="B100" s="166" t="s">
        <v>501</v>
      </c>
      <c r="C100" s="300">
        <v>481.45909900000004</v>
      </c>
      <c r="D100" s="300">
        <v>588.55086500000004</v>
      </c>
      <c r="E100" s="300">
        <v>750.19684400000006</v>
      </c>
    </row>
    <row r="101" spans="1:5" ht="18" customHeight="1">
      <c r="A101" s="175"/>
      <c r="B101" s="166" t="s">
        <v>502</v>
      </c>
      <c r="C101" s="300">
        <v>694.30697500000019</v>
      </c>
      <c r="D101" s="300">
        <v>710.43653900000004</v>
      </c>
      <c r="E101" s="300">
        <v>1052.4467249999998</v>
      </c>
    </row>
    <row r="102" spans="1:5" ht="18" customHeight="1">
      <c r="A102" s="175"/>
      <c r="B102" s="166" t="s">
        <v>509</v>
      </c>
      <c r="C102" s="300">
        <v>384.83577599999995</v>
      </c>
      <c r="D102" s="300">
        <v>369.90656899999999</v>
      </c>
      <c r="E102" s="300">
        <v>435.36899800000003</v>
      </c>
    </row>
    <row r="103" spans="1:5" ht="18" customHeight="1">
      <c r="A103" s="175"/>
      <c r="B103" s="166" t="s">
        <v>503</v>
      </c>
      <c r="C103" s="300">
        <v>131.45509300000001</v>
      </c>
      <c r="D103" s="300">
        <v>111.81698699999998</v>
      </c>
      <c r="E103" s="300">
        <v>100.048258</v>
      </c>
    </row>
    <row r="104" spans="1:5" ht="18" customHeight="1">
      <c r="A104" s="175"/>
      <c r="B104" s="166" t="s">
        <v>505</v>
      </c>
      <c r="C104" s="300">
        <v>144.025723</v>
      </c>
      <c r="D104" s="300">
        <v>132.215711</v>
      </c>
      <c r="E104" s="300">
        <v>92.333056999999997</v>
      </c>
    </row>
    <row r="105" spans="1:5" ht="18" customHeight="1">
      <c r="A105" s="175"/>
      <c r="B105" s="166" t="s">
        <v>506</v>
      </c>
      <c r="C105" s="300">
        <v>1.4128499999999999</v>
      </c>
      <c r="D105" s="300">
        <v>1.0284310000000001</v>
      </c>
      <c r="E105" s="300">
        <v>1.2079260000000001</v>
      </c>
    </row>
    <row r="106" spans="1:5" ht="18" customHeight="1">
      <c r="A106" s="175"/>
      <c r="B106" s="166" t="s">
        <v>504</v>
      </c>
      <c r="C106" s="300">
        <v>48.016325999999999</v>
      </c>
      <c r="D106" s="300">
        <v>84.390568999999999</v>
      </c>
      <c r="E106" s="300">
        <v>103.457398</v>
      </c>
    </row>
    <row r="107" spans="1:5" ht="18" customHeight="1">
      <c r="A107" s="191" t="s">
        <v>490</v>
      </c>
      <c r="B107" s="167" t="s">
        <v>507</v>
      </c>
      <c r="C107" s="300"/>
      <c r="D107" s="300"/>
      <c r="E107" s="300"/>
    </row>
    <row r="108" spans="1:5" ht="18" customHeight="1">
      <c r="A108" s="175"/>
      <c r="B108" s="166" t="s">
        <v>218</v>
      </c>
      <c r="C108" s="300"/>
      <c r="D108" s="300"/>
      <c r="E108" s="300">
        <v>118.50624999999999</v>
      </c>
    </row>
    <row r="109" spans="1:5" ht="18" customHeight="1">
      <c r="A109" s="175"/>
      <c r="B109" s="166" t="s">
        <v>217</v>
      </c>
      <c r="C109" s="300"/>
      <c r="D109" s="300"/>
      <c r="E109" s="300">
        <v>0.22918200000000002</v>
      </c>
    </row>
    <row r="110" spans="1:5" ht="18" customHeight="1">
      <c r="A110" s="191" t="s">
        <v>490</v>
      </c>
      <c r="B110" s="167" t="s">
        <v>508</v>
      </c>
      <c r="C110" s="300"/>
      <c r="D110" s="300"/>
      <c r="E110" s="300"/>
    </row>
    <row r="111" spans="1:5" ht="18" customHeight="1">
      <c r="A111" s="175"/>
      <c r="B111" s="166" t="s">
        <v>89</v>
      </c>
      <c r="C111" s="300"/>
      <c r="D111" s="300"/>
      <c r="E111" s="300"/>
    </row>
    <row r="112" spans="1:5" ht="18" customHeight="1">
      <c r="A112" s="175"/>
      <c r="B112" s="166" t="s">
        <v>485</v>
      </c>
      <c r="C112" s="300"/>
      <c r="D112" s="300">
        <v>2.0887389999999999</v>
      </c>
      <c r="E112" s="300">
        <v>1.1329899999999999</v>
      </c>
    </row>
    <row r="113" spans="1:5" ht="18" customHeight="1">
      <c r="A113" s="179"/>
      <c r="B113" s="164" t="s">
        <v>549</v>
      </c>
      <c r="C113" s="343">
        <f t="shared" ref="C113:D113" si="12">C97-SUM(C98:C103)-C106+SUM(C108:C112)</f>
        <v>402.61799800000057</v>
      </c>
      <c r="D113" s="343">
        <f t="shared" si="12"/>
        <v>734.65927199999931</v>
      </c>
      <c r="E113" s="343">
        <f>E97-SUM(E98:E103)-E106+SUM(E108:E112)</f>
        <v>1417.5459849999979</v>
      </c>
    </row>
    <row r="114" spans="1:5" ht="18" customHeight="1">
      <c r="A114" s="175"/>
      <c r="B114" s="166" t="s">
        <v>60</v>
      </c>
      <c r="C114" s="300"/>
      <c r="D114" s="300">
        <v>1</v>
      </c>
      <c r="E114" s="300">
        <v>208.339887</v>
      </c>
    </row>
    <row r="115" spans="1:5" ht="18" customHeight="1">
      <c r="A115" s="175"/>
      <c r="B115" s="166" t="s">
        <v>61</v>
      </c>
      <c r="C115" s="300">
        <v>3.867597</v>
      </c>
      <c r="D115" s="300">
        <v>3.5</v>
      </c>
      <c r="E115" s="300">
        <v>41.472279999999998</v>
      </c>
    </row>
    <row r="116" spans="1:5" ht="18" customHeight="1">
      <c r="A116" s="179"/>
      <c r="B116" s="164" t="s">
        <v>550</v>
      </c>
      <c r="C116" s="343">
        <f t="shared" ref="C116:E116" si="13">C113+C114-C115</f>
        <v>398.75040100000058</v>
      </c>
      <c r="D116" s="343">
        <f t="shared" si="13"/>
        <v>732.15927199999931</v>
      </c>
      <c r="E116" s="343">
        <f t="shared" si="13"/>
        <v>1584.4135919999981</v>
      </c>
    </row>
    <row r="117" spans="1:5" ht="18" customHeight="1">
      <c r="A117" s="175"/>
      <c r="B117" s="166" t="s">
        <v>62</v>
      </c>
      <c r="C117" s="300">
        <v>37.707538</v>
      </c>
      <c r="D117" s="300">
        <v>100.075266</v>
      </c>
      <c r="E117" s="300">
        <v>187.27731499999999</v>
      </c>
    </row>
    <row r="118" spans="1:5" ht="18" customHeight="1">
      <c r="A118" s="179"/>
      <c r="B118" s="164" t="s">
        <v>551</v>
      </c>
      <c r="C118" s="343">
        <f t="shared" ref="C118:D118" si="14">C116-C117</f>
        <v>361.04286300000058</v>
      </c>
      <c r="D118" s="343">
        <f t="shared" si="14"/>
        <v>632.08400599999936</v>
      </c>
      <c r="E118" s="343">
        <f>E116-E117</f>
        <v>1397.136276999998</v>
      </c>
    </row>
    <row r="119" spans="1:5" ht="18" customHeight="1">
      <c r="A119" s="175"/>
      <c r="B119" s="174" t="s">
        <v>219</v>
      </c>
      <c r="C119" s="192">
        <f t="shared" ref="C119:D119" si="15">C118-C120</f>
        <v>361.04286300000058</v>
      </c>
      <c r="D119" s="192">
        <f t="shared" si="15"/>
        <v>632.08400599999936</v>
      </c>
      <c r="E119" s="192">
        <f>E118-E120</f>
        <v>1397.136276999998</v>
      </c>
    </row>
    <row r="120" spans="1:5" ht="18" customHeight="1">
      <c r="A120" s="175"/>
      <c r="B120" s="174" t="s">
        <v>220</v>
      </c>
      <c r="C120" s="300"/>
      <c r="D120" s="300"/>
      <c r="E120" s="300"/>
    </row>
    <row r="121" spans="1:5" ht="18" customHeight="1">
      <c r="A121" s="179"/>
      <c r="B121" s="168" t="s">
        <v>225</v>
      </c>
      <c r="C121" s="192">
        <f t="shared" ref="C121:E121" si="16">C118-C122</f>
        <v>361.04286300000058</v>
      </c>
      <c r="D121" s="192">
        <f>D118-D122</f>
        <v>632.08400599999936</v>
      </c>
      <c r="E121" s="192">
        <f t="shared" si="16"/>
        <v>1397.136276999998</v>
      </c>
    </row>
    <row r="122" spans="1:5" ht="18" customHeight="1">
      <c r="A122" s="175"/>
      <c r="B122" s="168" t="s">
        <v>226</v>
      </c>
      <c r="C122" s="300"/>
      <c r="D122" s="300"/>
      <c r="E122" s="300"/>
    </row>
    <row r="123" spans="1:5" ht="18" customHeight="1">
      <c r="A123" s="176"/>
    </row>
    <row r="124" spans="1:5" ht="29.25" customHeight="1">
      <c r="A124" s="176"/>
      <c r="B124" s="758" t="s">
        <v>671</v>
      </c>
      <c r="C124" s="758"/>
      <c r="D124" s="758"/>
      <c r="E124" s="758"/>
    </row>
    <row r="125" spans="1:5" ht="18" customHeight="1">
      <c r="A125" s="176"/>
      <c r="B125" s="15" t="s">
        <v>562</v>
      </c>
      <c r="C125" s="30" t="str">
        <f>C96</f>
        <v>2015年</v>
      </c>
      <c r="D125" s="30" t="str">
        <f t="shared" ref="D125:E125" si="17">D96</f>
        <v>2016年</v>
      </c>
      <c r="E125" s="30" t="str">
        <f t="shared" si="17"/>
        <v>2017年</v>
      </c>
    </row>
    <row r="126" spans="1:5" ht="18" customHeight="1">
      <c r="A126" s="176"/>
      <c r="B126" s="280" t="s">
        <v>563</v>
      </c>
      <c r="C126" s="61"/>
      <c r="D126" s="61"/>
      <c r="E126" s="439"/>
    </row>
    <row r="127" spans="1:5" ht="18" customHeight="1">
      <c r="A127" s="176"/>
      <c r="B127" s="281" t="s">
        <v>564</v>
      </c>
      <c r="C127" s="161"/>
      <c r="D127" s="161">
        <f>IF(C97,D97/C97-1,"na")</f>
        <v>0.29343883390638759</v>
      </c>
      <c r="E127" s="161">
        <f>IF(D97,E97/D97-1,"na")</f>
        <v>0.31634129091082031</v>
      </c>
    </row>
    <row r="128" spans="1:5" ht="18" customHeight="1">
      <c r="A128" s="176"/>
      <c r="B128" s="281" t="s">
        <v>565</v>
      </c>
      <c r="C128" s="161"/>
      <c r="D128" s="161">
        <f>IF(C89,D89/C89-1,"na")</f>
        <v>0.32508824446930329</v>
      </c>
      <c r="E128" s="161">
        <f>IF(D89,E89/D89-1,"na")</f>
        <v>0.48922916859490817</v>
      </c>
    </row>
    <row r="129" spans="1:5" ht="18" customHeight="1">
      <c r="A129" s="176"/>
      <c r="B129" s="280" t="s">
        <v>566</v>
      </c>
      <c r="C129" s="12"/>
      <c r="D129" s="12"/>
      <c r="E129" s="439"/>
    </row>
    <row r="130" spans="1:5" ht="18" customHeight="1">
      <c r="A130" s="176"/>
      <c r="B130" s="232" t="s">
        <v>567</v>
      </c>
      <c r="C130" s="162">
        <f>IF(C97,C99/C97,"na")</f>
        <v>9.5392369154844205E-3</v>
      </c>
      <c r="D130" s="162">
        <f>IF(D97,D99/D97,"na")</f>
        <v>1.1145618620796945E-2</v>
      </c>
      <c r="E130" s="162">
        <f>IF(E97,E99/E97,"na")</f>
        <v>1.1792799004946845E-2</v>
      </c>
    </row>
    <row r="131" spans="1:5" ht="18" customHeight="1">
      <c r="A131" s="176"/>
      <c r="B131" s="232" t="s">
        <v>568</v>
      </c>
      <c r="C131" s="161">
        <f>IF(C97,SUM(C100:C102)/C97,"na")</f>
        <v>0.27633201125084078</v>
      </c>
      <c r="D131" s="161">
        <f>IF(D97,SUM(D100:D102)/D97,"na")</f>
        <v>0.22846618558902082</v>
      </c>
      <c r="E131" s="161">
        <f>IF(E97,SUM(E100:E102)/E97,"na")</f>
        <v>0.23274866630219998</v>
      </c>
    </row>
    <row r="132" spans="1:5" ht="18" customHeight="1">
      <c r="A132" s="176"/>
      <c r="B132" s="281" t="s">
        <v>569</v>
      </c>
      <c r="C132" s="161">
        <f>IF(C97,(C97-C98)/C97,"na")</f>
        <v>0.38894041941422508</v>
      </c>
      <c r="D132" s="161">
        <f t="shared" ref="D132:E132" si="18">IF(D97,(D97-D98)/D97,"na")</f>
        <v>0.3667585197504401</v>
      </c>
      <c r="E132" s="161">
        <f t="shared" si="18"/>
        <v>0.40066140728131233</v>
      </c>
    </row>
    <row r="133" spans="1:5" ht="18" customHeight="1">
      <c r="A133" s="176"/>
      <c r="B133" s="281" t="s">
        <v>570</v>
      </c>
      <c r="C133" s="161">
        <f>IF(C97,C113/C97,"na")</f>
        <v>7.1290599298678994E-2</v>
      </c>
      <c r="D133" s="161">
        <f>IF(D97,D113/D97,"na")</f>
        <v>0.10057247751918556</v>
      </c>
      <c r="E133" s="161">
        <f>IF(E97,E113/E97,"na")</f>
        <v>0.14742184306545403</v>
      </c>
    </row>
    <row r="134" spans="1:5" ht="18" customHeight="1">
      <c r="A134" s="176"/>
      <c r="B134" s="281" t="s">
        <v>571</v>
      </c>
      <c r="C134" s="161">
        <f>IF(C97,C118/C97,"na")</f>
        <v>6.3928990267794389E-2</v>
      </c>
      <c r="D134" s="161">
        <f>IF(D97,D118/D97,"na")</f>
        <v>8.6530255461979316E-2</v>
      </c>
      <c r="E134" s="161">
        <f>IF(E97,E118/E97,"na")</f>
        <v>0.1452992757543218</v>
      </c>
    </row>
    <row r="135" spans="1:5" ht="18" customHeight="1">
      <c r="A135" s="176"/>
      <c r="B135" s="280" t="s">
        <v>572</v>
      </c>
      <c r="C135" s="12"/>
      <c r="D135" s="12"/>
      <c r="E135" s="439"/>
    </row>
    <row r="136" spans="1:5" ht="18" customHeight="1">
      <c r="A136" s="176"/>
      <c r="B136" s="232" t="s">
        <v>573</v>
      </c>
      <c r="C136" s="279">
        <f>IF(C66,C28/C66,"na")</f>
        <v>0.80287883851040787</v>
      </c>
      <c r="D136" s="279">
        <f>IF(D66,D28/D66,"na")</f>
        <v>0.95017239291303768</v>
      </c>
      <c r="E136" s="279">
        <f>IF(E66,E28/E66,"na")</f>
        <v>1.1165549581785315</v>
      </c>
    </row>
    <row r="137" spans="1:5" ht="18" customHeight="1">
      <c r="A137" s="176"/>
      <c r="B137" s="232" t="s">
        <v>574</v>
      </c>
      <c r="C137" s="279">
        <f>IF(C66,(C28-C23)/C66,"na")</f>
        <v>0.59971092763786371</v>
      </c>
      <c r="D137" s="279">
        <f>IF(D66,(D28-D23)/D66,"na")</f>
        <v>0.71253660580014877</v>
      </c>
      <c r="E137" s="279">
        <f>IF(E66,(E28-E23)/E66,"na")</f>
        <v>0.83672871466350784</v>
      </c>
    </row>
    <row r="138" spans="1:5" ht="18" customHeight="1">
      <c r="A138" s="176"/>
      <c r="B138" s="232" t="s">
        <v>575</v>
      </c>
      <c r="C138" s="161">
        <f>IF(C50,C77/C50,"na")</f>
        <v>0.69011954255688268</v>
      </c>
      <c r="D138" s="161">
        <f>IF(D50,D77/D50,"na")</f>
        <v>0.63276351798448094</v>
      </c>
      <c r="E138" s="161">
        <f>IF(E50,E77/E50,"na")</f>
        <v>0.55355999716443127</v>
      </c>
    </row>
    <row r="139" spans="1:5" ht="18" customHeight="1">
      <c r="A139" s="176"/>
      <c r="B139" s="280" t="s">
        <v>576</v>
      </c>
      <c r="C139" s="75"/>
      <c r="D139" s="75"/>
      <c r="E139" s="439"/>
    </row>
    <row r="140" spans="1:5" ht="18" customHeight="1">
      <c r="A140" s="176"/>
      <c r="B140" s="281" t="s">
        <v>577</v>
      </c>
      <c r="C140" s="279">
        <f>IF(C18,C97/C18,"na")</f>
        <v>2.5931270393082904</v>
      </c>
      <c r="D140" s="279">
        <f>IF(D18,D97/D18,"na")</f>
        <v>2.7900624365540798</v>
      </c>
      <c r="E140" s="279">
        <f>IF(E18,E97/E18,"na")</f>
        <v>2.7981582714149709</v>
      </c>
    </row>
    <row r="141" spans="1:5" ht="18" customHeight="1">
      <c r="A141" s="176"/>
      <c r="B141" s="232" t="s">
        <v>152</v>
      </c>
      <c r="C141" s="279">
        <f>IF(C23,C98/C23,"na")</f>
        <v>3.9227053591477001</v>
      </c>
      <c r="D141" s="279">
        <f>IF(D23,D98/D23,"na")</f>
        <v>4.3848059219423474</v>
      </c>
      <c r="E141" s="279">
        <f>IF(E23,E98/E23,"na")</f>
        <v>4.328901001157802</v>
      </c>
    </row>
    <row r="142" spans="1:5" ht="18" customHeight="1">
      <c r="A142" s="176"/>
      <c r="B142" s="281" t="s">
        <v>578</v>
      </c>
      <c r="C142" s="279">
        <f>IF(C50,C97/C50,"na")</f>
        <v>0.90008095359598927</v>
      </c>
      <c r="D142" s="279">
        <f>IF(D50,D97/D50,"na")</f>
        <v>1.0412003287853793</v>
      </c>
      <c r="E142" s="279">
        <f>IF(E50,E97/E50,"na")</f>
        <v>1.1188156972106182</v>
      </c>
    </row>
    <row r="143" spans="1:5" ht="18" customHeight="1">
      <c r="A143" s="176"/>
    </row>
    <row r="144" spans="1:5" ht="18" customHeight="1">
      <c r="A144" s="176"/>
    </row>
  </sheetData>
  <sheetProtection formatCells="0" formatColumns="0" formatRows="0"/>
  <mergeCells count="3">
    <mergeCell ref="B10:E10"/>
    <mergeCell ref="B93:E93"/>
    <mergeCell ref="B124:E124"/>
  </mergeCells>
  <phoneticPr fontId="6" type="noConversion"/>
  <pageMargins left="0.75" right="0.75" top="1" bottom="1" header="0.5" footer="0.5"/>
  <pageSetup paperSize="9"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F0"/>
  </sheetPr>
  <dimension ref="A2:O146"/>
  <sheetViews>
    <sheetView topLeftCell="A92" zoomScaleNormal="100" workbookViewId="0">
      <selection activeCell="J72" sqref="J72"/>
    </sheetView>
  </sheetViews>
  <sheetFormatPr defaultColWidth="9" defaultRowHeight="18" customHeight="1"/>
  <cols>
    <col min="1" max="1" width="2.58203125" style="16" customWidth="1"/>
    <col min="2" max="2" width="29.58203125" style="4" customWidth="1"/>
    <col min="3" max="4" width="9" style="4" customWidth="1"/>
    <col min="5" max="5" width="11.08203125" style="4" customWidth="1"/>
    <col min="6" max="6" width="9" style="4" customWidth="1"/>
    <col min="7" max="7" width="10.75" style="4" customWidth="1"/>
    <col min="8" max="8" width="15.5" style="4" customWidth="1"/>
    <col min="9" max="9" width="2.58203125" style="4" customWidth="1"/>
    <col min="10" max="10" width="20.75" style="4" customWidth="1"/>
    <col min="11" max="13" width="9.25" style="4" bestFit="1" customWidth="1"/>
    <col min="14" max="14" width="9.08203125" style="4" bestFit="1" customWidth="1"/>
    <col min="15" max="16384" width="9" style="4"/>
  </cols>
  <sheetData>
    <row r="2" spans="1:15" ht="31.5" customHeight="1">
      <c r="A2" s="177"/>
      <c r="B2" s="758" t="s">
        <v>554</v>
      </c>
      <c r="C2" s="758"/>
      <c r="D2" s="758"/>
      <c r="E2" s="758"/>
      <c r="F2" s="758"/>
      <c r="G2" s="758"/>
      <c r="H2" s="758"/>
      <c r="I2" s="194"/>
      <c r="J2" s="759" t="s">
        <v>511</v>
      </c>
      <c r="K2" s="759"/>
      <c r="L2" s="759"/>
      <c r="M2" s="759"/>
      <c r="N2" s="759"/>
    </row>
    <row r="3" spans="1:15" ht="18" customHeight="1">
      <c r="A3" s="216"/>
      <c r="B3" s="265" t="str">
        <f>'1报表'!B11</f>
        <v>评估基准日：2017/12/31</v>
      </c>
      <c r="C3" s="398"/>
      <c r="D3" s="398"/>
      <c r="E3" s="440"/>
      <c r="F3" s="81"/>
      <c r="G3" s="81"/>
      <c r="H3" s="401"/>
      <c r="I3" s="194"/>
      <c r="K3" s="4" t="s">
        <v>650</v>
      </c>
    </row>
    <row r="4" spans="1:15" ht="18" customHeight="1">
      <c r="B4" s="265" t="str">
        <f>'1报表'!B12</f>
        <v>被评估单位：JSBD公司</v>
      </c>
      <c r="H4" s="19" t="s">
        <v>52</v>
      </c>
    </row>
    <row r="5" spans="1:15" ht="18" customHeight="1">
      <c r="B5" s="760" t="s">
        <v>53</v>
      </c>
      <c r="C5" s="761">
        <f>'1报表'!E13</f>
        <v>43100</v>
      </c>
      <c r="D5" s="762"/>
      <c r="E5" s="762"/>
      <c r="F5" s="762"/>
      <c r="G5" s="762"/>
      <c r="H5" s="763"/>
      <c r="I5" s="194"/>
      <c r="N5" s="4" t="s">
        <v>651</v>
      </c>
      <c r="O5" s="247"/>
    </row>
    <row r="6" spans="1:15" ht="30.65" customHeight="1">
      <c r="A6" s="178"/>
      <c r="B6" s="760"/>
      <c r="C6" s="399" t="s">
        <v>417</v>
      </c>
      <c r="D6" s="399" t="s">
        <v>510</v>
      </c>
      <c r="E6" s="472" t="s">
        <v>418</v>
      </c>
      <c r="F6" s="400" t="s">
        <v>419</v>
      </c>
      <c r="G6" s="473" t="s">
        <v>707</v>
      </c>
      <c r="H6" s="400" t="s">
        <v>420</v>
      </c>
      <c r="I6" s="194"/>
      <c r="J6" s="465" t="s">
        <v>527</v>
      </c>
      <c r="K6" s="303">
        <f>'1报表'!C13</f>
        <v>42369</v>
      </c>
      <c r="L6" s="303">
        <f>'1报表'!D13</f>
        <v>42735</v>
      </c>
      <c r="M6" s="303">
        <f>'1报表'!E13</f>
        <v>43100</v>
      </c>
      <c r="N6" s="466" t="s">
        <v>356</v>
      </c>
      <c r="O6" s="247"/>
    </row>
    <row r="7" spans="1:15" ht="18" customHeight="1">
      <c r="A7" s="175"/>
      <c r="B7" s="743" t="s">
        <v>0</v>
      </c>
      <c r="C7" s="301"/>
      <c r="D7" s="301"/>
      <c r="E7" s="169"/>
      <c r="F7" s="169"/>
      <c r="G7" s="169"/>
      <c r="H7" s="405"/>
      <c r="J7" s="491" t="s">
        <v>512</v>
      </c>
      <c r="K7" s="303"/>
      <c r="L7" s="303"/>
      <c r="M7" s="449"/>
      <c r="N7" s="274"/>
      <c r="O7" s="247"/>
    </row>
    <row r="8" spans="1:15" ht="18" customHeight="1">
      <c r="A8" s="175"/>
      <c r="B8" s="171" t="s">
        <v>1</v>
      </c>
      <c r="C8" s="403">
        <f>'1报表'!E15</f>
        <v>276.81450999999998</v>
      </c>
      <c r="D8" s="403">
        <f>C8</f>
        <v>276.81450999999998</v>
      </c>
      <c r="E8" s="74"/>
      <c r="F8" s="403">
        <f>'9溢余现金'!E25</f>
        <v>37.45312775000005</v>
      </c>
      <c r="G8" s="403">
        <f>D8-(E8+F8)</f>
        <v>239.36138224999993</v>
      </c>
      <c r="H8" s="404"/>
      <c r="J8" s="171" t="s">
        <v>1</v>
      </c>
      <c r="K8" s="74"/>
      <c r="L8" s="74"/>
      <c r="M8" s="74"/>
      <c r="N8" s="74"/>
      <c r="O8" s="247"/>
    </row>
    <row r="9" spans="1:15" ht="18" customHeight="1">
      <c r="A9" s="175"/>
      <c r="B9" s="171" t="s">
        <v>530</v>
      </c>
      <c r="C9" s="403">
        <f>'1报表'!E16</f>
        <v>0</v>
      </c>
      <c r="D9" s="403">
        <f t="shared" ref="D9:D20" si="0">C9</f>
        <v>0</v>
      </c>
      <c r="E9" s="415"/>
      <c r="F9" s="415"/>
      <c r="G9" s="403">
        <f t="shared" ref="G9:G20" si="1">D9-(E9+F9)</f>
        <v>0</v>
      </c>
      <c r="H9" s="404"/>
      <c r="J9" s="450" t="s">
        <v>76</v>
      </c>
      <c r="K9" s="464">
        <f>'1报表'!C16</f>
        <v>0</v>
      </c>
      <c r="L9" s="464">
        <f>'1报表'!D16</f>
        <v>0</v>
      </c>
      <c r="M9" s="462">
        <f t="shared" ref="M9:M20" si="2">E9</f>
        <v>0</v>
      </c>
      <c r="N9" s="446">
        <f t="shared" ref="N9:N19" si="3">M9</f>
        <v>0</v>
      </c>
      <c r="O9" s="247"/>
    </row>
    <row r="10" spans="1:15" ht="18" customHeight="1">
      <c r="A10" s="175"/>
      <c r="B10" s="171" t="s">
        <v>211</v>
      </c>
      <c r="C10" s="403">
        <f>'1报表'!E17</f>
        <v>0</v>
      </c>
      <c r="D10" s="403">
        <f t="shared" si="0"/>
        <v>0</v>
      </c>
      <c r="E10" s="415"/>
      <c r="F10" s="415"/>
      <c r="G10" s="403">
        <f t="shared" si="1"/>
        <v>0</v>
      </c>
      <c r="H10" s="404"/>
      <c r="J10" s="450" t="s">
        <v>351</v>
      </c>
      <c r="K10" s="464">
        <f>'1报表'!C17</f>
        <v>0</v>
      </c>
      <c r="L10" s="464">
        <f>'1报表'!D17</f>
        <v>0</v>
      </c>
      <c r="M10" s="462">
        <f t="shared" si="2"/>
        <v>0</v>
      </c>
      <c r="N10" s="446">
        <f t="shared" si="3"/>
        <v>0</v>
      </c>
      <c r="O10" s="247"/>
    </row>
    <row r="11" spans="1:15" ht="18" customHeight="1">
      <c r="A11" s="175"/>
      <c r="B11" s="171" t="s">
        <v>486</v>
      </c>
      <c r="C11" s="403">
        <f>'1报表'!E18</f>
        <v>3436.3947279999998</v>
      </c>
      <c r="D11" s="403">
        <f t="shared" si="0"/>
        <v>3436.3947279999998</v>
      </c>
      <c r="E11" s="415"/>
      <c r="F11" s="415"/>
      <c r="G11" s="403">
        <f t="shared" si="1"/>
        <v>3436.3947279999998</v>
      </c>
      <c r="H11" s="404"/>
      <c r="J11" s="450" t="s">
        <v>611</v>
      </c>
      <c r="K11" s="451"/>
      <c r="L11" s="451"/>
      <c r="M11" s="463">
        <f t="shared" si="2"/>
        <v>0</v>
      </c>
      <c r="N11" s="468">
        <f t="shared" si="3"/>
        <v>0</v>
      </c>
      <c r="O11" s="247"/>
    </row>
    <row r="12" spans="1:15" ht="18" customHeight="1">
      <c r="A12" s="175"/>
      <c r="B12" s="171" t="s">
        <v>67</v>
      </c>
      <c r="C12" s="403">
        <f>'1报表'!E19</f>
        <v>52.493946000000001</v>
      </c>
      <c r="D12" s="403">
        <f t="shared" si="0"/>
        <v>52.493946000000001</v>
      </c>
      <c r="E12" s="415">
        <v>8.943124000000001</v>
      </c>
      <c r="F12" s="415"/>
      <c r="G12" s="403">
        <f t="shared" si="1"/>
        <v>43.550821999999997</v>
      </c>
      <c r="H12" s="404" t="s">
        <v>421</v>
      </c>
      <c r="J12" s="450" t="s">
        <v>513</v>
      </c>
      <c r="K12" s="451"/>
      <c r="L12" s="451"/>
      <c r="M12" s="463">
        <f t="shared" si="2"/>
        <v>8.943124000000001</v>
      </c>
      <c r="N12" s="468">
        <v>0</v>
      </c>
      <c r="O12" s="247"/>
    </row>
    <row r="13" spans="1:15" ht="18" customHeight="1">
      <c r="A13" s="175"/>
      <c r="B13" s="171" t="s">
        <v>2</v>
      </c>
      <c r="C13" s="403">
        <f>'1报表'!E20</f>
        <v>0</v>
      </c>
      <c r="D13" s="403">
        <f t="shared" si="0"/>
        <v>0</v>
      </c>
      <c r="E13" s="415"/>
      <c r="F13" s="415"/>
      <c r="G13" s="403">
        <f t="shared" si="1"/>
        <v>0</v>
      </c>
      <c r="H13" s="404"/>
      <c r="J13" s="450" t="s">
        <v>2</v>
      </c>
      <c r="K13" s="464">
        <f>'1报表'!C20</f>
        <v>0</v>
      </c>
      <c r="L13" s="464">
        <f>'1报表'!D20</f>
        <v>0</v>
      </c>
      <c r="M13" s="463">
        <f t="shared" si="2"/>
        <v>0</v>
      </c>
      <c r="N13" s="446">
        <f t="shared" si="3"/>
        <v>0</v>
      </c>
      <c r="O13" s="247"/>
    </row>
    <row r="14" spans="1:15" ht="18" customHeight="1">
      <c r="A14" s="175"/>
      <c r="B14" s="171" t="s">
        <v>3</v>
      </c>
      <c r="C14" s="403">
        <f>'1报表'!E21</f>
        <v>0</v>
      </c>
      <c r="D14" s="403">
        <f t="shared" si="0"/>
        <v>0</v>
      </c>
      <c r="E14" s="415"/>
      <c r="F14" s="415"/>
      <c r="G14" s="403">
        <f t="shared" si="1"/>
        <v>0</v>
      </c>
      <c r="H14" s="404"/>
      <c r="J14" s="450" t="s">
        <v>3</v>
      </c>
      <c r="K14" s="464">
        <f>'1报表'!C21</f>
        <v>0</v>
      </c>
      <c r="L14" s="464">
        <f>'1报表'!D21</f>
        <v>0</v>
      </c>
      <c r="M14" s="463">
        <f t="shared" si="2"/>
        <v>0</v>
      </c>
      <c r="N14" s="446">
        <f t="shared" si="3"/>
        <v>0</v>
      </c>
      <c r="O14" s="247"/>
    </row>
    <row r="15" spans="1:15" ht="18" customHeight="1">
      <c r="A15" s="175"/>
      <c r="B15" s="171" t="s">
        <v>68</v>
      </c>
      <c r="C15" s="403">
        <f>'1报表'!E22</f>
        <v>52.199491999999999</v>
      </c>
      <c r="D15" s="403">
        <f t="shared" si="0"/>
        <v>52.199491999999999</v>
      </c>
      <c r="E15" s="415">
        <v>29.88</v>
      </c>
      <c r="F15" s="415"/>
      <c r="G15" s="403">
        <f t="shared" si="1"/>
        <v>22.319492</v>
      </c>
      <c r="H15" s="404"/>
      <c r="J15" s="455" t="s">
        <v>69</v>
      </c>
      <c r="K15" s="456"/>
      <c r="L15" s="456"/>
      <c r="M15" s="463">
        <f t="shared" si="2"/>
        <v>29.88</v>
      </c>
      <c r="N15" s="468">
        <f>D95</f>
        <v>5.8802180000000002</v>
      </c>
      <c r="O15" s="247"/>
    </row>
    <row r="16" spans="1:15" ht="18" customHeight="1">
      <c r="A16" s="175"/>
      <c r="B16" s="171" t="s">
        <v>4</v>
      </c>
      <c r="C16" s="403">
        <f>'1报表'!E23</f>
        <v>1331.2815390000001</v>
      </c>
      <c r="D16" s="403">
        <f t="shared" si="0"/>
        <v>1331.2815390000001</v>
      </c>
      <c r="E16" s="415"/>
      <c r="F16" s="415"/>
      <c r="G16" s="403">
        <f t="shared" si="1"/>
        <v>1331.2815390000001</v>
      </c>
      <c r="H16" s="404"/>
      <c r="J16" s="455" t="s">
        <v>514</v>
      </c>
      <c r="K16" s="452"/>
      <c r="L16" s="452"/>
      <c r="M16" s="463">
        <f t="shared" si="2"/>
        <v>0</v>
      </c>
      <c r="N16" s="468">
        <f t="shared" si="3"/>
        <v>0</v>
      </c>
      <c r="O16" s="247"/>
    </row>
    <row r="17" spans="1:15" ht="18" customHeight="1">
      <c r="A17" s="175"/>
      <c r="B17" s="170" t="s">
        <v>489</v>
      </c>
      <c r="C17" s="403">
        <f>'1报表'!E24</f>
        <v>0</v>
      </c>
      <c r="D17" s="403">
        <f t="shared" si="0"/>
        <v>0</v>
      </c>
      <c r="E17" s="415"/>
      <c r="F17" s="415"/>
      <c r="G17" s="403">
        <f t="shared" si="1"/>
        <v>0</v>
      </c>
      <c r="H17" s="404"/>
      <c r="J17" s="455" t="s">
        <v>515</v>
      </c>
      <c r="K17" s="452"/>
      <c r="L17" s="452"/>
      <c r="M17" s="463">
        <f t="shared" si="2"/>
        <v>0</v>
      </c>
      <c r="N17" s="468">
        <f t="shared" si="3"/>
        <v>0</v>
      </c>
      <c r="O17" s="247"/>
    </row>
    <row r="18" spans="1:15" ht="18" customHeight="1">
      <c r="A18" s="175"/>
      <c r="B18" s="171" t="s">
        <v>212</v>
      </c>
      <c r="C18" s="403">
        <f>'1报表'!E25</f>
        <v>0</v>
      </c>
      <c r="D18" s="403">
        <f t="shared" si="0"/>
        <v>0</v>
      </c>
      <c r="E18" s="415"/>
      <c r="F18" s="415"/>
      <c r="G18" s="403">
        <f t="shared" si="1"/>
        <v>0</v>
      </c>
      <c r="H18" s="404"/>
      <c r="J18" s="457" t="s">
        <v>350</v>
      </c>
      <c r="K18" s="464">
        <f>'1报表'!C25</f>
        <v>0</v>
      </c>
      <c r="L18" s="464">
        <f>'1报表'!D25</f>
        <v>0</v>
      </c>
      <c r="M18" s="463">
        <f t="shared" si="2"/>
        <v>0</v>
      </c>
      <c r="N18" s="446">
        <f t="shared" si="3"/>
        <v>0</v>
      </c>
      <c r="O18" s="247"/>
    </row>
    <row r="19" spans="1:15" ht="18" customHeight="1">
      <c r="A19" s="175"/>
      <c r="B19" s="171" t="s">
        <v>5</v>
      </c>
      <c r="C19" s="403">
        <f>'1报表'!E26</f>
        <v>0</v>
      </c>
      <c r="D19" s="403">
        <f t="shared" si="0"/>
        <v>0</v>
      </c>
      <c r="E19" s="415"/>
      <c r="F19" s="415"/>
      <c r="G19" s="403">
        <f t="shared" si="1"/>
        <v>0</v>
      </c>
      <c r="H19" s="404"/>
      <c r="J19" s="450" t="s">
        <v>106</v>
      </c>
      <c r="K19" s="452"/>
      <c r="L19" s="452"/>
      <c r="M19" s="463">
        <f t="shared" si="2"/>
        <v>0</v>
      </c>
      <c r="N19" s="468">
        <f t="shared" si="3"/>
        <v>0</v>
      </c>
      <c r="O19" s="247"/>
    </row>
    <row r="20" spans="1:15" ht="18" customHeight="1">
      <c r="A20" s="175"/>
      <c r="B20" s="171" t="s">
        <v>77</v>
      </c>
      <c r="C20" s="403">
        <f>'1报表'!E27</f>
        <v>162.85866000000001</v>
      </c>
      <c r="D20" s="403">
        <f t="shared" si="0"/>
        <v>162.85866000000001</v>
      </c>
      <c r="E20" s="415">
        <v>77.8</v>
      </c>
      <c r="F20" s="415"/>
      <c r="G20" s="403">
        <f t="shared" si="1"/>
        <v>85.058660000000017</v>
      </c>
      <c r="H20" s="404" t="s">
        <v>424</v>
      </c>
      <c r="J20" s="455" t="s">
        <v>78</v>
      </c>
      <c r="K20" s="452"/>
      <c r="L20" s="452"/>
      <c r="M20" s="463">
        <f t="shared" si="2"/>
        <v>77.8</v>
      </c>
      <c r="N20" s="468">
        <f>M20</f>
        <v>77.8</v>
      </c>
      <c r="O20" s="247"/>
    </row>
    <row r="21" spans="1:15" ht="18" customHeight="1">
      <c r="A21" s="179"/>
      <c r="B21" s="173" t="s">
        <v>6</v>
      </c>
      <c r="C21" s="342">
        <f>SUM(C8:C20)</f>
        <v>5312.0428750000001</v>
      </c>
      <c r="D21" s="342">
        <f>SUM(D8:D20)</f>
        <v>5312.0428750000001</v>
      </c>
      <c r="E21" s="342">
        <f>SUM(E8:E20)</f>
        <v>116.62312399999999</v>
      </c>
      <c r="F21" s="342">
        <f>SUM(F8:F20)</f>
        <v>37.45312775000005</v>
      </c>
      <c r="G21" s="342">
        <f>SUM(G8:G20)</f>
        <v>5157.9666232499994</v>
      </c>
      <c r="H21" s="406"/>
      <c r="J21" s="744" t="s">
        <v>105</v>
      </c>
      <c r="K21" s="458">
        <f>SUM(K9:K20)</f>
        <v>0</v>
      </c>
      <c r="L21" s="458">
        <f t="shared" ref="L21:M21" si="4">SUM(L9:L20)</f>
        <v>0</v>
      </c>
      <c r="M21" s="458">
        <f t="shared" si="4"/>
        <v>116.62312399999999</v>
      </c>
      <c r="N21" s="458">
        <f>SUM(N9:N20)</f>
        <v>83.680217999999996</v>
      </c>
      <c r="O21" s="247"/>
    </row>
    <row r="22" spans="1:15" ht="18" customHeight="1">
      <c r="A22" s="175"/>
      <c r="B22" s="743" t="s">
        <v>7</v>
      </c>
      <c r="C22" s="342"/>
      <c r="D22" s="342"/>
      <c r="E22" s="402"/>
      <c r="F22" s="402"/>
      <c r="G22" s="402"/>
      <c r="H22" s="407"/>
      <c r="J22" s="450"/>
      <c r="K22" s="454"/>
      <c r="L22" s="454"/>
      <c r="M22" s="453"/>
      <c r="N22" s="446"/>
      <c r="O22" s="247"/>
    </row>
    <row r="23" spans="1:15" ht="18" customHeight="1">
      <c r="A23" s="175"/>
      <c r="B23" s="171" t="s">
        <v>8</v>
      </c>
      <c r="C23" s="402">
        <f>'1报表'!E30</f>
        <v>0</v>
      </c>
      <c r="D23" s="402">
        <f>C23</f>
        <v>0</v>
      </c>
      <c r="E23" s="416"/>
      <c r="F23" s="416"/>
      <c r="G23" s="403">
        <f>D23-(E23+F23)</f>
        <v>0</v>
      </c>
      <c r="H23" s="407"/>
      <c r="J23" s="450" t="s">
        <v>8</v>
      </c>
      <c r="K23" s="464">
        <f>'1报表'!C30</f>
        <v>0</v>
      </c>
      <c r="L23" s="464">
        <f>'1报表'!D30</f>
        <v>0</v>
      </c>
      <c r="M23" s="462">
        <f t="shared" ref="M23:M37" si="5">E23</f>
        <v>0</v>
      </c>
      <c r="N23" s="452"/>
      <c r="O23" s="247"/>
    </row>
    <row r="24" spans="1:15" ht="18" customHeight="1">
      <c r="A24" s="175"/>
      <c r="B24" s="171" t="s">
        <v>9</v>
      </c>
      <c r="C24" s="402">
        <f>'1报表'!E31</f>
        <v>0</v>
      </c>
      <c r="D24" s="402">
        <f t="shared" ref="D24:D40" si="6">C24</f>
        <v>0</v>
      </c>
      <c r="E24" s="416"/>
      <c r="F24" s="416"/>
      <c r="G24" s="403">
        <f t="shared" ref="G24:G41" si="7">D24-(E24+F24)</f>
        <v>0</v>
      </c>
      <c r="H24" s="407"/>
      <c r="J24" s="450" t="s">
        <v>9</v>
      </c>
      <c r="K24" s="464">
        <f>'1报表'!C31</f>
        <v>0</v>
      </c>
      <c r="L24" s="464">
        <f>'1报表'!D31</f>
        <v>0</v>
      </c>
      <c r="M24" s="462">
        <f t="shared" si="5"/>
        <v>0</v>
      </c>
      <c r="N24" s="452"/>
      <c r="O24" s="247"/>
    </row>
    <row r="25" spans="1:15" ht="18" customHeight="1">
      <c r="A25" s="175"/>
      <c r="B25" s="170" t="s">
        <v>492</v>
      </c>
      <c r="C25" s="402">
        <f>'1报表'!E32</f>
        <v>0</v>
      </c>
      <c r="D25" s="402">
        <f t="shared" si="6"/>
        <v>0</v>
      </c>
      <c r="E25" s="416"/>
      <c r="F25" s="416"/>
      <c r="G25" s="403">
        <f t="shared" si="7"/>
        <v>0</v>
      </c>
      <c r="H25" s="407"/>
      <c r="J25" s="450" t="s">
        <v>491</v>
      </c>
      <c r="K25" s="464">
        <f>'1报表'!C32</f>
        <v>0</v>
      </c>
      <c r="L25" s="464">
        <f>'1报表'!D32</f>
        <v>0</v>
      </c>
      <c r="M25" s="462">
        <f t="shared" si="5"/>
        <v>0</v>
      </c>
      <c r="N25" s="452"/>
      <c r="O25" s="247"/>
    </row>
    <row r="26" spans="1:15" ht="18" customHeight="1">
      <c r="A26" s="175"/>
      <c r="B26" s="170" t="s">
        <v>494</v>
      </c>
      <c r="C26" s="402">
        <f>'1报表'!E33</f>
        <v>0</v>
      </c>
      <c r="D26" s="402">
        <f t="shared" si="6"/>
        <v>0</v>
      </c>
      <c r="E26" s="416"/>
      <c r="F26" s="416"/>
      <c r="G26" s="403">
        <f t="shared" si="7"/>
        <v>0</v>
      </c>
      <c r="H26" s="407"/>
      <c r="J26" s="450" t="s">
        <v>493</v>
      </c>
      <c r="K26" s="464">
        <f>'1报表'!C33</f>
        <v>0</v>
      </c>
      <c r="L26" s="464">
        <f>'1报表'!D33</f>
        <v>0</v>
      </c>
      <c r="M26" s="462">
        <f t="shared" si="5"/>
        <v>0</v>
      </c>
      <c r="N26" s="452"/>
      <c r="O26" s="247"/>
    </row>
    <row r="27" spans="1:15" ht="18" customHeight="1">
      <c r="A27" s="175"/>
      <c r="B27" s="171" t="s">
        <v>10</v>
      </c>
      <c r="C27" s="402">
        <f>'1报表'!E34</f>
        <v>0</v>
      </c>
      <c r="D27" s="402">
        <f t="shared" si="6"/>
        <v>0</v>
      </c>
      <c r="E27" s="416"/>
      <c r="F27" s="416"/>
      <c r="G27" s="403">
        <f t="shared" si="7"/>
        <v>0</v>
      </c>
      <c r="H27" s="407"/>
      <c r="J27" s="450" t="s">
        <v>516</v>
      </c>
      <c r="K27" s="451"/>
      <c r="L27" s="451"/>
      <c r="M27" s="462">
        <f t="shared" si="5"/>
        <v>0</v>
      </c>
      <c r="N27" s="452"/>
      <c r="O27" s="247"/>
    </row>
    <row r="28" spans="1:15" ht="18" customHeight="1">
      <c r="A28" s="175"/>
      <c r="B28" s="171" t="s">
        <v>11</v>
      </c>
      <c r="C28" s="402">
        <f>'1报表'!E35</f>
        <v>0</v>
      </c>
      <c r="D28" s="402">
        <f t="shared" si="6"/>
        <v>0</v>
      </c>
      <c r="E28" s="416"/>
      <c r="F28" s="416"/>
      <c r="G28" s="403">
        <f t="shared" si="7"/>
        <v>0</v>
      </c>
      <c r="H28" s="407"/>
      <c r="J28" s="450" t="s">
        <v>11</v>
      </c>
      <c r="K28" s="464">
        <f>'1报表'!C35</f>
        <v>0</v>
      </c>
      <c r="L28" s="464">
        <f>'1报表'!D35</f>
        <v>0</v>
      </c>
      <c r="M28" s="462">
        <f t="shared" si="5"/>
        <v>0</v>
      </c>
      <c r="N28" s="452"/>
      <c r="O28" s="247"/>
    </row>
    <row r="29" spans="1:15" ht="18" customHeight="1">
      <c r="A29" s="175"/>
      <c r="B29" s="170" t="s">
        <v>496</v>
      </c>
      <c r="C29" s="402">
        <f>'1报表'!E36</f>
        <v>0</v>
      </c>
      <c r="D29" s="402">
        <f t="shared" si="6"/>
        <v>0</v>
      </c>
      <c r="E29" s="416"/>
      <c r="F29" s="416"/>
      <c r="G29" s="403">
        <f t="shared" si="7"/>
        <v>0</v>
      </c>
      <c r="H29" s="407"/>
      <c r="J29" s="450" t="s">
        <v>495</v>
      </c>
      <c r="K29" s="464">
        <f>'1报表'!C36</f>
        <v>0</v>
      </c>
      <c r="L29" s="464">
        <f>'1报表'!D36</f>
        <v>0</v>
      </c>
      <c r="M29" s="462">
        <f t="shared" si="5"/>
        <v>0</v>
      </c>
      <c r="N29" s="452"/>
      <c r="O29" s="247"/>
    </row>
    <row r="30" spans="1:15" ht="18" customHeight="1">
      <c r="A30" s="175"/>
      <c r="B30" s="170" t="s">
        <v>498</v>
      </c>
      <c r="C30" s="402">
        <f>'1报表'!E37</f>
        <v>0</v>
      </c>
      <c r="D30" s="402">
        <f t="shared" si="6"/>
        <v>0</v>
      </c>
      <c r="E30" s="416"/>
      <c r="F30" s="416"/>
      <c r="G30" s="403">
        <f t="shared" si="7"/>
        <v>0</v>
      </c>
      <c r="H30" s="407"/>
      <c r="J30" s="450" t="s">
        <v>497</v>
      </c>
      <c r="K30" s="464">
        <f>'1报表'!C37</f>
        <v>0</v>
      </c>
      <c r="L30" s="464">
        <f>'1报表'!D37</f>
        <v>0</v>
      </c>
      <c r="M30" s="462">
        <f t="shared" si="5"/>
        <v>0</v>
      </c>
      <c r="N30" s="452"/>
      <c r="O30" s="247"/>
    </row>
    <row r="31" spans="1:15" ht="18" customHeight="1">
      <c r="A31" s="175"/>
      <c r="B31" s="171" t="s">
        <v>12</v>
      </c>
      <c r="C31" s="402">
        <f>'1报表'!E38</f>
        <v>0</v>
      </c>
      <c r="D31" s="402">
        <f t="shared" si="6"/>
        <v>0</v>
      </c>
      <c r="E31" s="416"/>
      <c r="F31" s="416"/>
      <c r="G31" s="403">
        <f t="shared" si="7"/>
        <v>0</v>
      </c>
      <c r="H31" s="407"/>
      <c r="J31" s="171" t="s">
        <v>12</v>
      </c>
      <c r="K31" s="464">
        <f>'1报表'!C38</f>
        <v>0</v>
      </c>
      <c r="L31" s="464">
        <f>'1报表'!D38</f>
        <v>0</v>
      </c>
      <c r="M31" s="462">
        <f t="shared" si="5"/>
        <v>0</v>
      </c>
      <c r="N31" s="452"/>
      <c r="O31" s="247"/>
    </row>
    <row r="32" spans="1:15" ht="18" customHeight="1">
      <c r="A32" s="175"/>
      <c r="B32" s="171" t="s">
        <v>13</v>
      </c>
      <c r="C32" s="402">
        <f>'1报表'!E39</f>
        <v>2328.728333</v>
      </c>
      <c r="D32" s="402">
        <f t="shared" si="6"/>
        <v>2328.728333</v>
      </c>
      <c r="E32" s="416"/>
      <c r="F32" s="416"/>
      <c r="G32" s="403">
        <f t="shared" si="7"/>
        <v>2328.728333</v>
      </c>
      <c r="H32" s="407"/>
      <c r="J32" s="450" t="s">
        <v>107</v>
      </c>
      <c r="K32" s="452"/>
      <c r="L32" s="452"/>
      <c r="M32" s="462">
        <f t="shared" si="5"/>
        <v>0</v>
      </c>
      <c r="N32" s="452"/>
      <c r="O32" s="247"/>
    </row>
    <row r="33" spans="1:15" ht="18" customHeight="1">
      <c r="A33" s="175"/>
      <c r="B33" s="171" t="s">
        <v>14</v>
      </c>
      <c r="C33" s="402">
        <f>'1报表'!E40</f>
        <v>201.282051</v>
      </c>
      <c r="D33" s="471">
        <f>C33+153.51675</f>
        <v>354.79880100000003</v>
      </c>
      <c r="E33" s="416"/>
      <c r="F33" s="416"/>
      <c r="G33" s="403">
        <f t="shared" si="7"/>
        <v>354.79880100000003</v>
      </c>
      <c r="H33" s="407"/>
      <c r="J33" s="450" t="s">
        <v>108</v>
      </c>
      <c r="K33" s="452"/>
      <c r="L33" s="452"/>
      <c r="M33" s="462">
        <f t="shared" si="5"/>
        <v>0</v>
      </c>
      <c r="N33" s="452"/>
      <c r="O33" s="247"/>
    </row>
    <row r="34" spans="1:15" ht="18" customHeight="1">
      <c r="A34" s="175"/>
      <c r="B34" s="171" t="s">
        <v>15</v>
      </c>
      <c r="C34" s="402">
        <f>'1报表'!E41</f>
        <v>0</v>
      </c>
      <c r="D34" s="402">
        <f t="shared" si="6"/>
        <v>0</v>
      </c>
      <c r="E34" s="416"/>
      <c r="F34" s="416"/>
      <c r="G34" s="403">
        <f t="shared" si="7"/>
        <v>0</v>
      </c>
      <c r="H34" s="407"/>
      <c r="J34" s="450" t="s">
        <v>109</v>
      </c>
      <c r="K34" s="452"/>
      <c r="L34" s="452"/>
      <c r="M34" s="462">
        <f t="shared" si="5"/>
        <v>0</v>
      </c>
      <c r="N34" s="452"/>
      <c r="O34" s="247"/>
    </row>
    <row r="35" spans="1:15" ht="18" customHeight="1">
      <c r="A35" s="175"/>
      <c r="B35" s="171" t="s">
        <v>16</v>
      </c>
      <c r="C35" s="402">
        <f>'1报表'!E42</f>
        <v>0</v>
      </c>
      <c r="D35" s="402">
        <f t="shared" si="6"/>
        <v>0</v>
      </c>
      <c r="E35" s="416"/>
      <c r="F35" s="416"/>
      <c r="G35" s="403">
        <f t="shared" si="7"/>
        <v>0</v>
      </c>
      <c r="H35" s="407"/>
      <c r="J35" s="450" t="s">
        <v>110</v>
      </c>
      <c r="K35" s="452"/>
      <c r="L35" s="452"/>
      <c r="M35" s="462">
        <f t="shared" si="5"/>
        <v>0</v>
      </c>
      <c r="N35" s="452"/>
      <c r="O35" s="247"/>
    </row>
    <row r="36" spans="1:15" ht="18" customHeight="1">
      <c r="A36" s="175"/>
      <c r="B36" s="171" t="s">
        <v>17</v>
      </c>
      <c r="C36" s="402">
        <f>'1报表'!E43</f>
        <v>459.60840899999999</v>
      </c>
      <c r="D36" s="402">
        <f t="shared" si="6"/>
        <v>459.60840899999999</v>
      </c>
      <c r="E36" s="416"/>
      <c r="F36" s="416"/>
      <c r="G36" s="403">
        <f t="shared" si="7"/>
        <v>459.60840899999999</v>
      </c>
      <c r="H36" s="407"/>
      <c r="J36" s="450" t="s">
        <v>111</v>
      </c>
      <c r="K36" s="452"/>
      <c r="L36" s="452"/>
      <c r="M36" s="462">
        <f t="shared" si="5"/>
        <v>0</v>
      </c>
      <c r="N36" s="452"/>
      <c r="O36" s="264"/>
    </row>
    <row r="37" spans="1:15" ht="18" customHeight="1">
      <c r="A37" s="175"/>
      <c r="B37" s="171" t="s">
        <v>18</v>
      </c>
      <c r="C37" s="402">
        <f>'1报表'!E44</f>
        <v>0</v>
      </c>
      <c r="D37" s="402">
        <f t="shared" si="6"/>
        <v>0</v>
      </c>
      <c r="E37" s="416"/>
      <c r="F37" s="416"/>
      <c r="G37" s="403">
        <f t="shared" si="7"/>
        <v>0</v>
      </c>
      <c r="H37" s="407"/>
      <c r="J37" s="745" t="s">
        <v>112</v>
      </c>
      <c r="K37" s="452"/>
      <c r="L37" s="452"/>
      <c r="M37" s="462">
        <f t="shared" si="5"/>
        <v>0</v>
      </c>
      <c r="N37" s="452"/>
      <c r="O37" s="247"/>
    </row>
    <row r="38" spans="1:15" ht="18" customHeight="1">
      <c r="A38" s="175"/>
      <c r="B38" s="171" t="s">
        <v>19</v>
      </c>
      <c r="C38" s="402">
        <f>'1报表'!E45</f>
        <v>0</v>
      </c>
      <c r="D38" s="402">
        <f t="shared" si="6"/>
        <v>0</v>
      </c>
      <c r="E38" s="74"/>
      <c r="F38" s="74"/>
      <c r="G38" s="403">
        <f t="shared" si="7"/>
        <v>0</v>
      </c>
      <c r="H38" s="407"/>
      <c r="J38" s="171" t="s">
        <v>19</v>
      </c>
      <c r="K38" s="74"/>
      <c r="L38" s="74"/>
      <c r="M38" s="74"/>
      <c r="N38" s="74"/>
      <c r="O38" s="213"/>
    </row>
    <row r="39" spans="1:15" ht="18" customHeight="1">
      <c r="A39" s="175"/>
      <c r="B39" s="171" t="s">
        <v>657</v>
      </c>
      <c r="C39" s="402">
        <f>'1报表'!E46</f>
        <v>0</v>
      </c>
      <c r="D39" s="402">
        <f t="shared" si="6"/>
        <v>0</v>
      </c>
      <c r="E39" s="416"/>
      <c r="F39" s="416"/>
      <c r="G39" s="403">
        <f t="shared" si="7"/>
        <v>0</v>
      </c>
      <c r="H39" s="407"/>
      <c r="J39" s="745" t="s">
        <v>113</v>
      </c>
      <c r="K39" s="452"/>
      <c r="L39" s="452"/>
      <c r="M39" s="462">
        <f>E39</f>
        <v>0</v>
      </c>
      <c r="N39" s="452"/>
      <c r="O39" s="213"/>
    </row>
    <row r="40" spans="1:15" ht="18" customHeight="1">
      <c r="A40" s="175"/>
      <c r="B40" s="171" t="s">
        <v>21</v>
      </c>
      <c r="C40" s="402">
        <f>'1报表'!E47</f>
        <v>101.06477</v>
      </c>
      <c r="D40" s="402">
        <f t="shared" si="6"/>
        <v>101.06477</v>
      </c>
      <c r="E40" s="416"/>
      <c r="F40" s="74"/>
      <c r="G40" s="403">
        <f t="shared" si="7"/>
        <v>101.06477</v>
      </c>
      <c r="H40" s="407"/>
      <c r="J40" s="171" t="s">
        <v>21</v>
      </c>
      <c r="K40" s="416"/>
      <c r="L40" s="416"/>
      <c r="M40" s="462">
        <f>E40</f>
        <v>0</v>
      </c>
      <c r="N40" s="416"/>
      <c r="O40" s="213"/>
    </row>
    <row r="41" spans="1:15" ht="18" customHeight="1">
      <c r="A41" s="175"/>
      <c r="B41" s="171" t="s">
        <v>22</v>
      </c>
      <c r="C41" s="402">
        <f>'1报表'!E48</f>
        <v>191.69743</v>
      </c>
      <c r="D41" s="471">
        <f>C41-153.51675</f>
        <v>38.180679999999995</v>
      </c>
      <c r="E41" s="416"/>
      <c r="F41" s="416"/>
      <c r="G41" s="403">
        <f t="shared" si="7"/>
        <v>38.180679999999995</v>
      </c>
      <c r="H41" s="407" t="s">
        <v>831</v>
      </c>
      <c r="J41" s="745" t="s">
        <v>82</v>
      </c>
      <c r="K41" s="452"/>
      <c r="L41" s="452"/>
      <c r="M41" s="462">
        <f>E41</f>
        <v>0</v>
      </c>
      <c r="N41" s="452"/>
      <c r="O41" s="140"/>
    </row>
    <row r="42" spans="1:15" ht="18" customHeight="1">
      <c r="A42" s="175"/>
      <c r="B42" s="173" t="s">
        <v>23</v>
      </c>
      <c r="C42" s="342">
        <f>SUM(C23:C41)</f>
        <v>3282.3809930000002</v>
      </c>
      <c r="D42" s="342">
        <f>SUM(D23:D41)</f>
        <v>3282.3809929999998</v>
      </c>
      <c r="E42" s="342">
        <f>SUM(E23:E41)</f>
        <v>0</v>
      </c>
      <c r="F42" s="342">
        <f>SUM(F23:F41)</f>
        <v>0</v>
      </c>
      <c r="G42" s="342">
        <f>SUM(G23:G41)</f>
        <v>3282.3809929999998</v>
      </c>
      <c r="H42" s="406"/>
      <c r="J42" s="470" t="s">
        <v>542</v>
      </c>
      <c r="K42" s="459">
        <f t="shared" ref="K42:L42" si="8">SUM(K23:K41)</f>
        <v>0</v>
      </c>
      <c r="L42" s="459">
        <f t="shared" si="8"/>
        <v>0</v>
      </c>
      <c r="M42" s="459">
        <f>SUM(M23:M41)</f>
        <v>0</v>
      </c>
      <c r="N42" s="459">
        <f>SUM(N23:N41)</f>
        <v>0</v>
      </c>
      <c r="O42" s="49"/>
    </row>
    <row r="43" spans="1:15" ht="18" customHeight="1">
      <c r="A43" s="175"/>
      <c r="B43" s="173" t="s">
        <v>24</v>
      </c>
      <c r="C43" s="342">
        <f>C21+C42</f>
        <v>8594.4238679999999</v>
      </c>
      <c r="D43" s="342">
        <f>D21+D42</f>
        <v>8594.4238679999999</v>
      </c>
      <c r="E43" s="342">
        <f>E21+E42</f>
        <v>116.62312399999999</v>
      </c>
      <c r="F43" s="342">
        <f>F21+F42</f>
        <v>37.45312775000005</v>
      </c>
      <c r="G43" s="342">
        <f>G21+G42</f>
        <v>8440.3476162499992</v>
      </c>
      <c r="H43" s="406"/>
      <c r="J43" s="744" t="s">
        <v>100</v>
      </c>
      <c r="K43" s="460">
        <f t="shared" ref="K43:N43" si="9">K21+K42</f>
        <v>0</v>
      </c>
      <c r="L43" s="460">
        <f t="shared" si="9"/>
        <v>0</v>
      </c>
      <c r="M43" s="460">
        <f t="shared" si="9"/>
        <v>116.62312399999999</v>
      </c>
      <c r="N43" s="460">
        <f t="shared" si="9"/>
        <v>83.680217999999996</v>
      </c>
      <c r="O43" s="247"/>
    </row>
    <row r="44" spans="1:15" ht="18" customHeight="1">
      <c r="A44" s="175"/>
      <c r="B44" s="743" t="s">
        <v>25</v>
      </c>
      <c r="C44" s="342"/>
      <c r="D44" s="342"/>
      <c r="E44" s="402"/>
      <c r="F44" s="402"/>
      <c r="G44" s="402"/>
      <c r="H44" s="407"/>
      <c r="J44" s="491" t="s">
        <v>517</v>
      </c>
      <c r="K44" s="477">
        <f t="shared" ref="K44:N44" si="10">K6</f>
        <v>42369</v>
      </c>
      <c r="L44" s="477">
        <f t="shared" si="10"/>
        <v>42735</v>
      </c>
      <c r="M44" s="477">
        <f t="shared" si="10"/>
        <v>43100</v>
      </c>
      <c r="N44" s="478" t="str">
        <f t="shared" si="10"/>
        <v>评估值</v>
      </c>
      <c r="O44" s="247"/>
    </row>
    <row r="45" spans="1:15" ht="18" customHeight="1">
      <c r="A45" s="175"/>
      <c r="B45" s="171" t="s">
        <v>26</v>
      </c>
      <c r="C45" s="402">
        <f>'1报表'!E52</f>
        <v>1000</v>
      </c>
      <c r="D45" s="402">
        <f>C45</f>
        <v>1000</v>
      </c>
      <c r="E45" s="416"/>
      <c r="F45" s="416"/>
      <c r="G45" s="403">
        <f>D45-(E45+F45)</f>
        <v>1000</v>
      </c>
      <c r="H45" s="407"/>
      <c r="J45" s="171" t="s">
        <v>26</v>
      </c>
      <c r="K45" s="74"/>
      <c r="L45" s="74"/>
      <c r="M45" s="74"/>
      <c r="N45" s="74"/>
      <c r="O45" s="247"/>
    </row>
    <row r="46" spans="1:15" ht="18" customHeight="1">
      <c r="A46" s="175"/>
      <c r="B46" s="171" t="s">
        <v>27</v>
      </c>
      <c r="C46" s="402">
        <f>'1报表'!E53</f>
        <v>0</v>
      </c>
      <c r="D46" s="402">
        <f t="shared" ref="D46:D58" si="11">C46</f>
        <v>0</v>
      </c>
      <c r="E46" s="416"/>
      <c r="F46" s="416"/>
      <c r="G46" s="403">
        <f t="shared" ref="G46:G58" si="12">D46-(E46+F46)</f>
        <v>0</v>
      </c>
      <c r="H46" s="407"/>
      <c r="J46" s="450" t="s">
        <v>27</v>
      </c>
      <c r="K46" s="462">
        <f>'1报表'!C53</f>
        <v>0</v>
      </c>
      <c r="L46" s="462">
        <f>'1报表'!D53</f>
        <v>0</v>
      </c>
      <c r="M46" s="462">
        <f t="shared" ref="M46:M51" si="13">E46</f>
        <v>0</v>
      </c>
      <c r="N46" s="446">
        <f t="shared" ref="N46:N51" si="14">M46</f>
        <v>0</v>
      </c>
      <c r="O46" s="247"/>
    </row>
    <row r="47" spans="1:15" ht="18" customHeight="1">
      <c r="A47" s="175"/>
      <c r="B47" s="171" t="s">
        <v>213</v>
      </c>
      <c r="C47" s="402">
        <f>'1报表'!E54</f>
        <v>0</v>
      </c>
      <c r="D47" s="402">
        <f t="shared" si="11"/>
        <v>0</v>
      </c>
      <c r="E47" s="416"/>
      <c r="F47" s="416"/>
      <c r="G47" s="403">
        <f t="shared" si="12"/>
        <v>0</v>
      </c>
      <c r="H47" s="407"/>
      <c r="J47" s="450" t="s">
        <v>518</v>
      </c>
      <c r="K47" s="462">
        <f>'1报表'!C54</f>
        <v>0</v>
      </c>
      <c r="L47" s="462">
        <f>'1报表'!D54</f>
        <v>0</v>
      </c>
      <c r="M47" s="462">
        <f t="shared" si="13"/>
        <v>0</v>
      </c>
      <c r="N47" s="446">
        <f t="shared" si="14"/>
        <v>0</v>
      </c>
      <c r="O47" s="247"/>
    </row>
    <row r="48" spans="1:15" ht="18" customHeight="1">
      <c r="A48" s="175"/>
      <c r="B48" s="171" t="s">
        <v>488</v>
      </c>
      <c r="C48" s="402">
        <f>'1报表'!E55</f>
        <v>1346.037366</v>
      </c>
      <c r="D48" s="471">
        <f>C48-88.34</f>
        <v>1257.6973660000001</v>
      </c>
      <c r="E48" s="416"/>
      <c r="F48" s="416"/>
      <c r="G48" s="403">
        <f t="shared" si="12"/>
        <v>1257.6973660000001</v>
      </c>
      <c r="H48" s="407" t="s">
        <v>544</v>
      </c>
      <c r="J48" s="450" t="s">
        <v>612</v>
      </c>
      <c r="K48" s="452"/>
      <c r="L48" s="452"/>
      <c r="M48" s="462">
        <f t="shared" si="13"/>
        <v>0</v>
      </c>
      <c r="N48" s="468">
        <f t="shared" si="14"/>
        <v>0</v>
      </c>
      <c r="O48" s="247"/>
    </row>
    <row r="49" spans="1:15" ht="18" customHeight="1">
      <c r="A49" s="175"/>
      <c r="B49" s="171" t="s">
        <v>28</v>
      </c>
      <c r="C49" s="402">
        <f>'1报表'!E56</f>
        <v>351.096362</v>
      </c>
      <c r="D49" s="402">
        <f t="shared" si="11"/>
        <v>351.096362</v>
      </c>
      <c r="E49" s="416"/>
      <c r="F49" s="416"/>
      <c r="G49" s="403">
        <f t="shared" si="12"/>
        <v>351.096362</v>
      </c>
      <c r="H49" s="407"/>
      <c r="J49" s="450" t="s">
        <v>519</v>
      </c>
      <c r="K49" s="452"/>
      <c r="L49" s="452"/>
      <c r="M49" s="462">
        <f t="shared" si="13"/>
        <v>0</v>
      </c>
      <c r="N49" s="468">
        <f t="shared" si="14"/>
        <v>0</v>
      </c>
      <c r="O49" s="247"/>
    </row>
    <row r="50" spans="1:15" ht="18" customHeight="1">
      <c r="A50" s="175"/>
      <c r="B50" s="170" t="s">
        <v>499</v>
      </c>
      <c r="C50" s="402">
        <f>'1报表'!E57</f>
        <v>0</v>
      </c>
      <c r="D50" s="402">
        <f t="shared" si="11"/>
        <v>0</v>
      </c>
      <c r="E50" s="416"/>
      <c r="F50" s="416"/>
      <c r="G50" s="403">
        <f t="shared" si="12"/>
        <v>0</v>
      </c>
      <c r="H50" s="407"/>
      <c r="J50" s="450" t="s">
        <v>520</v>
      </c>
      <c r="K50" s="452"/>
      <c r="L50" s="452"/>
      <c r="M50" s="462">
        <f t="shared" si="13"/>
        <v>0</v>
      </c>
      <c r="N50" s="468">
        <f t="shared" si="14"/>
        <v>0</v>
      </c>
      <c r="O50" s="247"/>
    </row>
    <row r="51" spans="1:15" ht="18" customHeight="1">
      <c r="A51" s="175"/>
      <c r="B51" s="171" t="s">
        <v>29</v>
      </c>
      <c r="C51" s="402">
        <f>'1报表'!E58</f>
        <v>345.76284399999997</v>
      </c>
      <c r="D51" s="402">
        <f t="shared" si="11"/>
        <v>345.76284399999997</v>
      </c>
      <c r="E51" s="416"/>
      <c r="F51" s="416"/>
      <c r="G51" s="403">
        <f t="shared" si="12"/>
        <v>345.76284399999997</v>
      </c>
      <c r="H51" s="46"/>
      <c r="J51" s="450" t="s">
        <v>521</v>
      </c>
      <c r="K51" s="452"/>
      <c r="L51" s="452"/>
      <c r="M51" s="462">
        <f t="shared" si="13"/>
        <v>0</v>
      </c>
      <c r="N51" s="468">
        <f t="shared" si="14"/>
        <v>0</v>
      </c>
      <c r="O51" s="247"/>
    </row>
    <row r="52" spans="1:15" ht="18" customHeight="1">
      <c r="A52" s="175"/>
      <c r="B52" s="171" t="s">
        <v>30</v>
      </c>
      <c r="C52" s="402">
        <f>'1报表'!E59</f>
        <v>225.30200400000001</v>
      </c>
      <c r="D52" s="402">
        <f t="shared" si="11"/>
        <v>225.30200400000001</v>
      </c>
      <c r="E52" s="416"/>
      <c r="F52" s="416"/>
      <c r="G52" s="403">
        <f t="shared" si="12"/>
        <v>225.30200400000001</v>
      </c>
      <c r="H52" s="407"/>
      <c r="J52" s="450" t="s">
        <v>30</v>
      </c>
      <c r="K52" s="74"/>
      <c r="L52" s="74"/>
      <c r="M52" s="74"/>
      <c r="N52" s="74"/>
      <c r="O52" s="247"/>
    </row>
    <row r="53" spans="1:15" ht="18" customHeight="1">
      <c r="A53" s="175"/>
      <c r="B53" s="171" t="s">
        <v>31</v>
      </c>
      <c r="C53" s="402">
        <f>'1报表'!E60</f>
        <v>1.5104169999999999</v>
      </c>
      <c r="D53" s="402">
        <f t="shared" si="11"/>
        <v>1.5104169999999999</v>
      </c>
      <c r="E53" s="416">
        <v>1.5104169999999999</v>
      </c>
      <c r="F53" s="416"/>
      <c r="G53" s="403">
        <f t="shared" si="12"/>
        <v>0</v>
      </c>
      <c r="H53" s="407"/>
      <c r="J53" s="450" t="s">
        <v>31</v>
      </c>
      <c r="K53" s="462">
        <f>'1报表'!C60</f>
        <v>0</v>
      </c>
      <c r="L53" s="462">
        <f>'1报表'!D60</f>
        <v>0</v>
      </c>
      <c r="M53" s="462">
        <f>E53</f>
        <v>1.5104169999999999</v>
      </c>
      <c r="N53" s="446">
        <f>M53</f>
        <v>1.5104169999999999</v>
      </c>
      <c r="O53" s="247"/>
    </row>
    <row r="54" spans="1:15" ht="18" customHeight="1">
      <c r="A54" s="175"/>
      <c r="B54" s="171" t="s">
        <v>32</v>
      </c>
      <c r="C54" s="402">
        <f>'1报表'!E61</f>
        <v>0</v>
      </c>
      <c r="D54" s="402">
        <f t="shared" si="11"/>
        <v>0</v>
      </c>
      <c r="E54" s="416"/>
      <c r="F54" s="416"/>
      <c r="G54" s="403">
        <f t="shared" si="12"/>
        <v>0</v>
      </c>
      <c r="H54" s="407"/>
      <c r="J54" s="450" t="s">
        <v>84</v>
      </c>
      <c r="K54" s="462">
        <f>'1报表'!C61</f>
        <v>0</v>
      </c>
      <c r="L54" s="462">
        <f>'1报表'!D61</f>
        <v>0</v>
      </c>
      <c r="M54" s="462">
        <f>E54</f>
        <v>0</v>
      </c>
      <c r="N54" s="446">
        <f>M54</f>
        <v>0</v>
      </c>
      <c r="O54" s="247"/>
    </row>
    <row r="55" spans="1:15" ht="18" customHeight="1">
      <c r="A55" s="175"/>
      <c r="B55" s="171" t="s">
        <v>456</v>
      </c>
      <c r="C55" s="402">
        <f>'1报表'!E62</f>
        <v>1487.8202590000001</v>
      </c>
      <c r="D55" s="471">
        <f>C55+88.34</f>
        <v>1576.160259</v>
      </c>
      <c r="E55" s="416">
        <v>1415.0057790000001</v>
      </c>
      <c r="F55" s="416"/>
      <c r="G55" s="403">
        <f>D55-(E55+F55)</f>
        <v>161.15447999999992</v>
      </c>
      <c r="H55" s="407"/>
      <c r="J55" s="450" t="s">
        <v>522</v>
      </c>
      <c r="K55" s="452"/>
      <c r="L55" s="452"/>
      <c r="M55" s="462">
        <f>E55</f>
        <v>1415.0057790000001</v>
      </c>
      <c r="N55" s="468">
        <f>D104</f>
        <v>1413.7342189999999</v>
      </c>
      <c r="O55" s="247"/>
    </row>
    <row r="56" spans="1:15" ht="18" customHeight="1">
      <c r="A56" s="175"/>
      <c r="B56" s="171" t="s">
        <v>214</v>
      </c>
      <c r="C56" s="402">
        <f>'1报表'!E63</f>
        <v>0</v>
      </c>
      <c r="D56" s="402">
        <f t="shared" si="11"/>
        <v>0</v>
      </c>
      <c r="E56" s="416"/>
      <c r="F56" s="416"/>
      <c r="G56" s="403">
        <f t="shared" si="12"/>
        <v>0</v>
      </c>
      <c r="H56" s="407"/>
      <c r="J56" s="171" t="s">
        <v>214</v>
      </c>
      <c r="K56" s="462">
        <f>'1报表'!C63</f>
        <v>0</v>
      </c>
      <c r="L56" s="462">
        <f>'1报表'!D63</f>
        <v>0</v>
      </c>
      <c r="M56" s="462">
        <f>E56</f>
        <v>0</v>
      </c>
      <c r="N56" s="446">
        <f>M56</f>
        <v>0</v>
      </c>
      <c r="O56" s="247"/>
    </row>
    <row r="57" spans="1:15" ht="18" customHeight="1">
      <c r="A57" s="175"/>
      <c r="B57" s="171" t="s">
        <v>34</v>
      </c>
      <c r="C57" s="402">
        <f>'1报表'!E64</f>
        <v>0</v>
      </c>
      <c r="D57" s="402">
        <f t="shared" si="11"/>
        <v>0</v>
      </c>
      <c r="E57" s="416"/>
      <c r="F57" s="416"/>
      <c r="G57" s="403">
        <f t="shared" si="12"/>
        <v>0</v>
      </c>
      <c r="H57" s="407"/>
      <c r="J57" s="171" t="s">
        <v>34</v>
      </c>
      <c r="K57" s="74"/>
      <c r="L57" s="74"/>
      <c r="M57" s="74"/>
      <c r="N57" s="74"/>
      <c r="O57" s="247"/>
    </row>
    <row r="58" spans="1:15" ht="18" customHeight="1">
      <c r="A58" s="175"/>
      <c r="B58" s="171" t="s">
        <v>35</v>
      </c>
      <c r="C58" s="402">
        <f>'1报表'!E65</f>
        <v>0</v>
      </c>
      <c r="D58" s="402">
        <f t="shared" si="11"/>
        <v>0</v>
      </c>
      <c r="E58" s="416"/>
      <c r="F58" s="416"/>
      <c r="G58" s="403">
        <f t="shared" si="12"/>
        <v>0</v>
      </c>
      <c r="H58" s="407"/>
      <c r="J58" s="450" t="s">
        <v>114</v>
      </c>
      <c r="K58" s="452"/>
      <c r="L58" s="452"/>
      <c r="M58" s="462">
        <f>E58</f>
        <v>0</v>
      </c>
      <c r="N58" s="468">
        <f>M58</f>
        <v>0</v>
      </c>
      <c r="O58" s="247"/>
    </row>
    <row r="59" spans="1:15" ht="18" customHeight="1">
      <c r="A59" s="175"/>
      <c r="B59" s="173" t="s">
        <v>36</v>
      </c>
      <c r="C59" s="342">
        <f>SUM(C45:C58)</f>
        <v>4757.5292520000003</v>
      </c>
      <c r="D59" s="342">
        <f>SUM(D45:D58)</f>
        <v>4757.5292520000003</v>
      </c>
      <c r="E59" s="342">
        <f>SUM(E45:E58)</f>
        <v>1416.516196</v>
      </c>
      <c r="F59" s="342">
        <f>SUM(F45:F58)</f>
        <v>0</v>
      </c>
      <c r="G59" s="342">
        <f>SUM(G45:G58)</f>
        <v>3341.0130560000007</v>
      </c>
      <c r="H59" s="407"/>
      <c r="J59" s="461" t="s">
        <v>528</v>
      </c>
      <c r="K59" s="459">
        <f t="shared" ref="K59:M59" si="15">SUM(K46:K58)</f>
        <v>0</v>
      </c>
      <c r="L59" s="459">
        <f t="shared" si="15"/>
        <v>0</v>
      </c>
      <c r="M59" s="459">
        <f t="shared" si="15"/>
        <v>1416.516196</v>
      </c>
      <c r="N59" s="459">
        <f>SUM(N46:N58)</f>
        <v>1415.2446359999999</v>
      </c>
      <c r="O59" s="247"/>
    </row>
    <row r="60" spans="1:15" ht="18" customHeight="1">
      <c r="A60" s="175"/>
      <c r="B60" s="743" t="s">
        <v>37</v>
      </c>
      <c r="C60" s="342"/>
      <c r="D60" s="342"/>
      <c r="E60" s="402"/>
      <c r="F60" s="402"/>
      <c r="G60" s="402"/>
      <c r="H60" s="407"/>
      <c r="J60" s="745"/>
      <c r="K60" s="454"/>
      <c r="L60" s="454"/>
      <c r="M60" s="462"/>
      <c r="N60" s="464"/>
      <c r="O60" s="247"/>
    </row>
    <row r="61" spans="1:15" ht="18" customHeight="1">
      <c r="A61" s="175"/>
      <c r="B61" s="171" t="s">
        <v>38</v>
      </c>
      <c r="C61" s="402">
        <f>'1报表'!E68</f>
        <v>0</v>
      </c>
      <c r="D61" s="402">
        <f>C61</f>
        <v>0</v>
      </c>
      <c r="E61" s="416"/>
      <c r="F61" s="416"/>
      <c r="G61" s="403">
        <f>D61-(E61+F61)</f>
        <v>0</v>
      </c>
      <c r="H61" s="407"/>
      <c r="J61" s="171" t="s">
        <v>38</v>
      </c>
      <c r="K61" s="74"/>
      <c r="L61" s="74"/>
      <c r="M61" s="74"/>
      <c r="N61" s="74"/>
      <c r="O61" s="247"/>
    </row>
    <row r="62" spans="1:15" ht="18" customHeight="1">
      <c r="A62" s="175"/>
      <c r="B62" s="171" t="s">
        <v>39</v>
      </c>
      <c r="C62" s="402">
        <f>'1报表'!E69</f>
        <v>0</v>
      </c>
      <c r="D62" s="402">
        <f t="shared" ref="D62:D68" si="16">C62</f>
        <v>0</v>
      </c>
      <c r="E62" s="416"/>
      <c r="F62" s="416"/>
      <c r="G62" s="403">
        <f t="shared" ref="G62:G67" si="17">D62-(E62+F62)</f>
        <v>0</v>
      </c>
      <c r="H62" s="407"/>
      <c r="J62" s="171" t="s">
        <v>39</v>
      </c>
      <c r="K62" s="74"/>
      <c r="L62" s="74"/>
      <c r="M62" s="74"/>
      <c r="N62" s="74"/>
      <c r="O62" s="247"/>
    </row>
    <row r="63" spans="1:15" ht="18" customHeight="1">
      <c r="A63" s="175"/>
      <c r="B63" s="171" t="s">
        <v>40</v>
      </c>
      <c r="C63" s="402">
        <f>'1报表'!E70</f>
        <v>0</v>
      </c>
      <c r="D63" s="402">
        <f t="shared" si="16"/>
        <v>0</v>
      </c>
      <c r="E63" s="416"/>
      <c r="F63" s="416"/>
      <c r="G63" s="403">
        <f t="shared" si="17"/>
        <v>0</v>
      </c>
      <c r="H63" s="406"/>
      <c r="J63" s="450" t="s">
        <v>115</v>
      </c>
      <c r="K63" s="452"/>
      <c r="L63" s="452"/>
      <c r="M63" s="462">
        <f t="shared" ref="M63:M68" si="18">E63</f>
        <v>0</v>
      </c>
      <c r="N63" s="452"/>
      <c r="O63" s="247"/>
    </row>
    <row r="64" spans="1:15" ht="18" customHeight="1">
      <c r="A64" s="175"/>
      <c r="B64" s="171" t="s">
        <v>223</v>
      </c>
      <c r="C64" s="402">
        <f>'1报表'!E71</f>
        <v>0</v>
      </c>
      <c r="D64" s="402">
        <f t="shared" si="16"/>
        <v>0</v>
      </c>
      <c r="E64" s="416"/>
      <c r="F64" s="416"/>
      <c r="G64" s="403">
        <f t="shared" si="17"/>
        <v>0</v>
      </c>
      <c r="H64" s="407"/>
      <c r="J64" s="171" t="s">
        <v>523</v>
      </c>
      <c r="K64" s="452"/>
      <c r="L64" s="452"/>
      <c r="M64" s="462">
        <f t="shared" si="18"/>
        <v>0</v>
      </c>
      <c r="N64" s="452"/>
      <c r="O64" s="247"/>
    </row>
    <row r="65" spans="1:15" ht="18" customHeight="1">
      <c r="A65" s="175"/>
      <c r="B65" s="171" t="s">
        <v>41</v>
      </c>
      <c r="C65" s="402">
        <f>'1报表'!E72</f>
        <v>0</v>
      </c>
      <c r="D65" s="402">
        <f t="shared" si="16"/>
        <v>0</v>
      </c>
      <c r="E65" s="416"/>
      <c r="F65" s="416"/>
      <c r="G65" s="403">
        <f t="shared" si="17"/>
        <v>0</v>
      </c>
      <c r="H65" s="407"/>
      <c r="J65" s="450" t="s">
        <v>524</v>
      </c>
      <c r="K65" s="452"/>
      <c r="L65" s="452"/>
      <c r="M65" s="462">
        <f t="shared" si="18"/>
        <v>0</v>
      </c>
      <c r="N65" s="452"/>
      <c r="O65" s="264"/>
    </row>
    <row r="66" spans="1:15" ht="18" customHeight="1">
      <c r="A66" s="175"/>
      <c r="B66" s="171" t="s">
        <v>525</v>
      </c>
      <c r="C66" s="402">
        <f>'1报表'!E73</f>
        <v>0</v>
      </c>
      <c r="D66" s="402">
        <f t="shared" si="16"/>
        <v>0</v>
      </c>
      <c r="E66" s="416"/>
      <c r="F66" s="416"/>
      <c r="G66" s="403">
        <f t="shared" si="17"/>
        <v>0</v>
      </c>
      <c r="H66" s="407"/>
      <c r="J66" s="450" t="s">
        <v>526</v>
      </c>
      <c r="K66" s="452"/>
      <c r="L66" s="452"/>
      <c r="M66" s="462">
        <f t="shared" si="18"/>
        <v>0</v>
      </c>
      <c r="N66" s="452"/>
      <c r="O66" s="247"/>
    </row>
    <row r="67" spans="1:15" ht="18" customHeight="1">
      <c r="A67" s="175"/>
      <c r="B67" s="171" t="s">
        <v>42</v>
      </c>
      <c r="C67" s="402">
        <f>'1报表'!E74</f>
        <v>0</v>
      </c>
      <c r="D67" s="402">
        <f t="shared" si="16"/>
        <v>0</v>
      </c>
      <c r="E67" s="416"/>
      <c r="F67" s="74"/>
      <c r="G67" s="403">
        <f t="shared" si="17"/>
        <v>0</v>
      </c>
      <c r="H67" s="407"/>
      <c r="J67" s="171" t="s">
        <v>42</v>
      </c>
      <c r="K67" s="452"/>
      <c r="L67" s="452"/>
      <c r="M67" s="462">
        <f t="shared" si="18"/>
        <v>0</v>
      </c>
      <c r="N67" s="452"/>
      <c r="O67" s="49"/>
    </row>
    <row r="68" spans="1:15" ht="18" customHeight="1">
      <c r="A68" s="175"/>
      <c r="B68" s="171" t="s">
        <v>43</v>
      </c>
      <c r="C68" s="402">
        <f>'1报表'!E75</f>
        <v>0</v>
      </c>
      <c r="D68" s="402">
        <f t="shared" si="16"/>
        <v>0</v>
      </c>
      <c r="E68" s="416"/>
      <c r="F68" s="416"/>
      <c r="G68" s="403">
        <f>D68-(E68+F68)</f>
        <v>0</v>
      </c>
      <c r="H68" s="407"/>
      <c r="J68" s="450" t="s">
        <v>116</v>
      </c>
      <c r="K68" s="452"/>
      <c r="L68" s="452"/>
      <c r="M68" s="462">
        <f t="shared" si="18"/>
        <v>0</v>
      </c>
      <c r="N68" s="452"/>
    </row>
    <row r="69" spans="1:15" ht="18" customHeight="1">
      <c r="A69" s="175"/>
      <c r="B69" s="173" t="s">
        <v>44</v>
      </c>
      <c r="C69" s="342">
        <f>SUM(C61:C68)</f>
        <v>0</v>
      </c>
      <c r="D69" s="342">
        <f>SUM(D61:D68)</f>
        <v>0</v>
      </c>
      <c r="E69" s="342">
        <f>SUM(E61:E68)</f>
        <v>0</v>
      </c>
      <c r="F69" s="342">
        <f>SUM(F61:F68)</f>
        <v>0</v>
      </c>
      <c r="G69" s="342">
        <f>SUM(G61:G68)</f>
        <v>0</v>
      </c>
      <c r="H69" s="407"/>
      <c r="J69" s="461" t="s">
        <v>529</v>
      </c>
      <c r="K69" s="460">
        <f t="shared" ref="K69:M69" si="19">SUM(K63:K68)</f>
        <v>0</v>
      </c>
      <c r="L69" s="460">
        <f>SUM(L63:L68)</f>
        <v>0</v>
      </c>
      <c r="M69" s="460">
        <f t="shared" si="19"/>
        <v>0</v>
      </c>
      <c r="N69" s="460">
        <f>SUM(N63:N68)</f>
        <v>0</v>
      </c>
    </row>
    <row r="70" spans="1:15" ht="18" customHeight="1">
      <c r="A70" s="175"/>
      <c r="B70" s="173" t="s">
        <v>45</v>
      </c>
      <c r="C70" s="342">
        <f>C59+C69</f>
        <v>4757.5292520000003</v>
      </c>
      <c r="D70" s="342">
        <f>D59+D69</f>
        <v>4757.5292520000003</v>
      </c>
      <c r="E70" s="342">
        <f>E59+E69</f>
        <v>1416.516196</v>
      </c>
      <c r="F70" s="342">
        <f>F59+F69</f>
        <v>0</v>
      </c>
      <c r="G70" s="342">
        <f>G59+G69</f>
        <v>3341.0130560000007</v>
      </c>
      <c r="H70" s="407"/>
      <c r="J70" s="461" t="s">
        <v>101</v>
      </c>
      <c r="K70" s="460">
        <f t="shared" ref="K70:N70" si="20">K59+K69</f>
        <v>0</v>
      </c>
      <c r="L70" s="460">
        <f t="shared" si="20"/>
        <v>0</v>
      </c>
      <c r="M70" s="460">
        <f>M59+M69</f>
        <v>1416.516196</v>
      </c>
      <c r="N70" s="460">
        <f t="shared" si="20"/>
        <v>1415.2446359999999</v>
      </c>
    </row>
    <row r="71" spans="1:15" ht="18" customHeight="1">
      <c r="A71" s="175"/>
      <c r="B71" s="743" t="s">
        <v>57</v>
      </c>
      <c r="C71" s="342"/>
      <c r="D71" s="342"/>
      <c r="E71" s="402"/>
      <c r="F71" s="402"/>
      <c r="G71" s="402"/>
      <c r="H71" s="407"/>
    </row>
    <row r="72" spans="1:15" ht="18" customHeight="1">
      <c r="A72" s="175"/>
      <c r="B72" s="171" t="s">
        <v>58</v>
      </c>
      <c r="C72" s="402">
        <f>'1报表'!E79</f>
        <v>1320</v>
      </c>
      <c r="D72" s="402">
        <f>C72</f>
        <v>1320</v>
      </c>
      <c r="E72" s="74"/>
      <c r="F72" s="74"/>
      <c r="G72" s="74"/>
      <c r="H72" s="407"/>
    </row>
    <row r="73" spans="1:15" ht="18" customHeight="1">
      <c r="A73" s="175"/>
      <c r="B73" s="170" t="s">
        <v>216</v>
      </c>
      <c r="C73" s="402">
        <f>'1报表'!E80</f>
        <v>0</v>
      </c>
      <c r="D73" s="402">
        <f t="shared" ref="D73:D79" si="21">C73</f>
        <v>0</v>
      </c>
      <c r="E73" s="74"/>
      <c r="F73" s="74"/>
      <c r="G73" s="74"/>
      <c r="H73" s="406"/>
    </row>
    <row r="74" spans="1:15" ht="18" customHeight="1">
      <c r="A74" s="175"/>
      <c r="B74" s="171" t="s">
        <v>46</v>
      </c>
      <c r="C74" s="402">
        <f>'1报表'!E81</f>
        <v>1235.9069019999999</v>
      </c>
      <c r="D74" s="402">
        <f t="shared" si="21"/>
        <v>1235.9069019999999</v>
      </c>
      <c r="E74" s="74"/>
      <c r="F74" s="74"/>
      <c r="G74" s="74"/>
      <c r="H74" s="406"/>
    </row>
    <row r="75" spans="1:15" ht="18" customHeight="1">
      <c r="A75" s="175"/>
      <c r="B75" s="171" t="s">
        <v>47</v>
      </c>
      <c r="C75" s="402">
        <f>'1报表'!E82</f>
        <v>0</v>
      </c>
      <c r="D75" s="402">
        <f t="shared" si="21"/>
        <v>0</v>
      </c>
      <c r="E75" s="74"/>
      <c r="F75" s="74"/>
      <c r="G75" s="74"/>
      <c r="H75" s="407"/>
      <c r="J75" s="247"/>
    </row>
    <row r="76" spans="1:15" ht="18" customHeight="1">
      <c r="A76" s="175"/>
      <c r="B76" s="171" t="s">
        <v>86</v>
      </c>
      <c r="C76" s="402">
        <f>'1报表'!E83</f>
        <v>0</v>
      </c>
      <c r="D76" s="402">
        <f t="shared" si="21"/>
        <v>0</v>
      </c>
      <c r="E76" s="74"/>
      <c r="F76" s="74"/>
      <c r="G76" s="74"/>
      <c r="H76" s="407"/>
      <c r="J76" s="247"/>
    </row>
    <row r="77" spans="1:15" ht="18" customHeight="1">
      <c r="A77" s="175"/>
      <c r="B77" s="171" t="s">
        <v>48</v>
      </c>
      <c r="C77" s="402">
        <f>'1报表'!E84</f>
        <v>128.28416099999998</v>
      </c>
      <c r="D77" s="402">
        <f t="shared" si="21"/>
        <v>128.28416099999998</v>
      </c>
      <c r="E77" s="74"/>
      <c r="F77" s="74"/>
      <c r="G77" s="74"/>
      <c r="H77" s="407"/>
      <c r="J77" s="14"/>
    </row>
    <row r="78" spans="1:15" ht="18" customHeight="1">
      <c r="A78" s="175"/>
      <c r="B78" s="171" t="s">
        <v>49</v>
      </c>
      <c r="C78" s="402">
        <f>'1报表'!E85</f>
        <v>0</v>
      </c>
      <c r="D78" s="402">
        <f t="shared" si="21"/>
        <v>0</v>
      </c>
      <c r="E78" s="74"/>
      <c r="F78" s="74"/>
      <c r="G78" s="74"/>
      <c r="H78" s="407"/>
      <c r="J78" s="14"/>
    </row>
    <row r="79" spans="1:15" ht="18" customHeight="1">
      <c r="A79" s="175"/>
      <c r="B79" s="171" t="s">
        <v>50</v>
      </c>
      <c r="C79" s="402">
        <f>'1报表'!E86</f>
        <v>1152.7035529999998</v>
      </c>
      <c r="D79" s="402">
        <f t="shared" si="21"/>
        <v>1152.7035529999998</v>
      </c>
      <c r="E79" s="74"/>
      <c r="F79" s="74"/>
      <c r="G79" s="74"/>
      <c r="H79" s="407"/>
      <c r="J79" s="14"/>
    </row>
    <row r="80" spans="1:15" ht="18" customHeight="1">
      <c r="A80" s="175"/>
      <c r="B80" s="173" t="s">
        <v>54</v>
      </c>
      <c r="C80" s="342">
        <f>SUM(C72:C74)-C75+SUM(C76:C79)</f>
        <v>3836.8946159999996</v>
      </c>
      <c r="D80" s="342">
        <f>SUM(D72:D74)-D75+SUM(D76:D79)</f>
        <v>3836.8946159999996</v>
      </c>
      <c r="E80" s="342">
        <f>E82-E81</f>
        <v>-1299.8930720000001</v>
      </c>
      <c r="F80" s="342">
        <f>F43-F70</f>
        <v>37.45312775000005</v>
      </c>
      <c r="G80" s="447">
        <f>D80-(E80+F80)</f>
        <v>5099.3345602499994</v>
      </c>
      <c r="H80" s="407"/>
      <c r="J80" s="14"/>
    </row>
    <row r="81" spans="1:10" ht="18" customHeight="1">
      <c r="A81" s="175"/>
      <c r="B81" s="171" t="s">
        <v>55</v>
      </c>
      <c r="C81" s="402">
        <f>'1报表'!E88</f>
        <v>0</v>
      </c>
      <c r="D81" s="402">
        <f>C81</f>
        <v>0</v>
      </c>
      <c r="E81" s="416"/>
      <c r="F81" s="416"/>
      <c r="G81" s="403">
        <f>D81-(E81+F81)</f>
        <v>0</v>
      </c>
      <c r="H81" s="407"/>
      <c r="J81" s="247"/>
    </row>
    <row r="82" spans="1:10" ht="18" customHeight="1">
      <c r="A82" s="175"/>
      <c r="B82" s="173" t="s">
        <v>56</v>
      </c>
      <c r="C82" s="342">
        <f>C80+C81</f>
        <v>3836.8946159999996</v>
      </c>
      <c r="D82" s="342">
        <f>D80+D81</f>
        <v>3836.8946159999996</v>
      </c>
      <c r="E82" s="342">
        <f>E43-E70</f>
        <v>-1299.8930720000001</v>
      </c>
      <c r="F82" s="342">
        <f>F43-F70</f>
        <v>37.45312775000005</v>
      </c>
      <c r="G82" s="724">
        <f>D82-(E82+F82)</f>
        <v>5099.3345602499994</v>
      </c>
      <c r="H82" s="407"/>
    </row>
    <row r="83" spans="1:10" ht="18" customHeight="1">
      <c r="A83" s="175"/>
      <c r="B83" s="173" t="s">
        <v>1019</v>
      </c>
      <c r="C83" s="342">
        <f>C70+C82</f>
        <v>8594.4238679999999</v>
      </c>
      <c r="D83" s="342">
        <f>D70+D82</f>
        <v>8594.4238679999999</v>
      </c>
      <c r="E83" s="74"/>
      <c r="F83" s="74"/>
      <c r="G83" s="342">
        <f>G70+G82</f>
        <v>8440.347616250001</v>
      </c>
      <c r="H83" s="407"/>
    </row>
    <row r="84" spans="1:10" ht="15" customHeight="1">
      <c r="A84" s="175"/>
      <c r="B84" s="38" t="s">
        <v>51</v>
      </c>
      <c r="C84" s="35">
        <f>C43-C83</f>
        <v>0</v>
      </c>
      <c r="D84" s="35">
        <f>D43-D83</f>
        <v>0</v>
      </c>
      <c r="E84" s="35"/>
      <c r="F84" s="35"/>
      <c r="G84" s="35">
        <f>G43-G83</f>
        <v>0</v>
      </c>
    </row>
    <row r="85" spans="1:10" ht="15" customHeight="1">
      <c r="A85" s="175"/>
      <c r="B85" s="2" t="s">
        <v>425</v>
      </c>
      <c r="C85" s="52" t="str">
        <f t="shared" ref="C85:G85" si="22">IF(ROUND(C84,0)=0,"OK","需要检查")</f>
        <v>OK</v>
      </c>
      <c r="D85" s="52" t="str">
        <f t="shared" ref="D85" si="23">IF(ROUND(D84,0)=0,"OK","需要检查")</f>
        <v>OK</v>
      </c>
      <c r="E85" s="52"/>
      <c r="F85" s="52"/>
      <c r="G85" s="52" t="str">
        <f t="shared" si="22"/>
        <v>OK</v>
      </c>
    </row>
    <row r="86" spans="1:10" ht="15" customHeight="1">
      <c r="A86" s="175"/>
    </row>
    <row r="87" spans="1:10" ht="15" customHeight="1">
      <c r="A87" s="179"/>
    </row>
    <row r="88" spans="1:10" ht="15" customHeight="1">
      <c r="A88" s="175"/>
      <c r="B88" s="36" t="s">
        <v>1020</v>
      </c>
      <c r="C88" s="20" t="s">
        <v>417</v>
      </c>
      <c r="D88" s="20" t="s">
        <v>423</v>
      </c>
    </row>
    <row r="89" spans="1:10" ht="15" customHeight="1">
      <c r="A89" s="179"/>
      <c r="B89" s="408" t="s">
        <v>1021</v>
      </c>
      <c r="C89" s="408">
        <v>8.943124000000001</v>
      </c>
      <c r="D89" s="408">
        <v>0</v>
      </c>
      <c r="H89" s="52"/>
    </row>
    <row r="90" spans="1:10" ht="15" customHeight="1">
      <c r="A90" s="179"/>
    </row>
    <row r="91" spans="1:10" ht="15" customHeight="1">
      <c r="A91" s="176"/>
      <c r="B91" s="36" t="s">
        <v>1022</v>
      </c>
      <c r="C91" s="20" t="s">
        <v>417</v>
      </c>
      <c r="D91" s="20" t="s">
        <v>423</v>
      </c>
    </row>
    <row r="92" spans="1:10" ht="15" customHeight="1">
      <c r="A92" s="176"/>
      <c r="B92" s="408" t="s">
        <v>435</v>
      </c>
      <c r="C92" s="408">
        <v>24</v>
      </c>
      <c r="D92" s="408">
        <v>0</v>
      </c>
    </row>
    <row r="93" spans="1:10" ht="15" customHeight="1">
      <c r="A93" s="176"/>
      <c r="B93" s="4" t="s">
        <v>1023</v>
      </c>
      <c r="C93" s="4">
        <v>3</v>
      </c>
      <c r="D93" s="4">
        <v>3</v>
      </c>
    </row>
    <row r="94" spans="1:10" ht="15" customHeight="1">
      <c r="A94" s="176"/>
      <c r="B94" s="4" t="s">
        <v>1024</v>
      </c>
      <c r="C94" s="4">
        <v>2.8802180000000002</v>
      </c>
      <c r="D94" s="4">
        <v>2.8802180000000002</v>
      </c>
    </row>
    <row r="95" spans="1:10" ht="15" customHeight="1">
      <c r="A95" s="176"/>
      <c r="B95" s="467" t="s">
        <v>422</v>
      </c>
      <c r="C95" s="408">
        <f>SUM(C92:C94)</f>
        <v>29.880217999999999</v>
      </c>
      <c r="D95" s="408">
        <f>SUM(D92:D94)</f>
        <v>5.8802180000000002</v>
      </c>
    </row>
    <row r="96" spans="1:10" ht="18" customHeight="1">
      <c r="A96" s="176"/>
    </row>
    <row r="97" spans="1:4" ht="18" customHeight="1">
      <c r="A97" s="176"/>
      <c r="B97" s="194" t="s">
        <v>33</v>
      </c>
    </row>
    <row r="98" spans="1:4" ht="18" customHeight="1">
      <c r="A98" s="176"/>
      <c r="B98" s="408" t="s">
        <v>438</v>
      </c>
      <c r="C98" s="408">
        <v>75.169380000000004</v>
      </c>
      <c r="D98" s="408">
        <v>75.169380000000004</v>
      </c>
    </row>
    <row r="99" spans="1:4" ht="18" customHeight="1">
      <c r="A99" s="176"/>
      <c r="B99" s="4" t="s">
        <v>439</v>
      </c>
      <c r="C99" s="4">
        <v>61.502219999999994</v>
      </c>
      <c r="D99" s="4">
        <v>61.502219999999994</v>
      </c>
    </row>
    <row r="100" spans="1:4" ht="18" customHeight="1">
      <c r="A100" s="176"/>
      <c r="B100" s="4" t="s">
        <v>436</v>
      </c>
      <c r="C100" s="4">
        <v>1.27156</v>
      </c>
      <c r="D100" s="4">
        <v>0</v>
      </c>
    </row>
    <row r="101" spans="1:4" ht="18" customHeight="1">
      <c r="A101" s="176"/>
      <c r="B101" s="4" t="s">
        <v>438</v>
      </c>
      <c r="C101" s="4">
        <v>666.46261900000002</v>
      </c>
      <c r="D101" s="4">
        <v>666.46261900000002</v>
      </c>
    </row>
    <row r="102" spans="1:4" ht="18" customHeight="1">
      <c r="A102" s="176"/>
      <c r="B102" s="4" t="s">
        <v>440</v>
      </c>
      <c r="C102" s="4">
        <v>520.6</v>
      </c>
      <c r="D102" s="4">
        <v>520.6</v>
      </c>
    </row>
    <row r="103" spans="1:4" ht="18" customHeight="1">
      <c r="A103" s="176"/>
      <c r="B103" s="4" t="s">
        <v>439</v>
      </c>
      <c r="C103" s="4">
        <v>90</v>
      </c>
      <c r="D103" s="4">
        <v>90</v>
      </c>
    </row>
    <row r="104" spans="1:4" ht="18" customHeight="1">
      <c r="A104" s="176"/>
      <c r="B104" s="467" t="s">
        <v>1025</v>
      </c>
      <c r="C104" s="408">
        <f>SUM(C98:C103)</f>
        <v>1415.0057790000001</v>
      </c>
      <c r="D104" s="408">
        <f>SUM(D98:D103)</f>
        <v>1413.7342189999999</v>
      </c>
    </row>
    <row r="105" spans="1:4" ht="18" customHeight="1">
      <c r="A105" s="176"/>
    </row>
    <row r="106" spans="1:4" ht="18" customHeight="1">
      <c r="A106" s="176"/>
    </row>
    <row r="107" spans="1:4" ht="18" customHeight="1">
      <c r="A107" s="176"/>
    </row>
    <row r="108" spans="1:4" ht="18" customHeight="1">
      <c r="A108" s="176"/>
    </row>
    <row r="109" spans="1:4" ht="18" customHeight="1">
      <c r="A109" s="176"/>
    </row>
    <row r="110" spans="1:4" ht="18" customHeight="1">
      <c r="A110" s="176"/>
    </row>
    <row r="111" spans="1:4" ht="18" customHeight="1">
      <c r="A111" s="176"/>
    </row>
    <row r="112" spans="1:4" ht="18" customHeight="1">
      <c r="A112" s="176"/>
    </row>
    <row r="113" spans="1:1" ht="18" customHeight="1">
      <c r="A113" s="176"/>
    </row>
    <row r="114" spans="1:1" ht="18" customHeight="1">
      <c r="A114" s="176"/>
    </row>
    <row r="115" spans="1:1" ht="18" customHeight="1">
      <c r="A115" s="176"/>
    </row>
    <row r="116" spans="1:1" ht="18" customHeight="1">
      <c r="A116" s="176"/>
    </row>
    <row r="117" spans="1:1" ht="18" customHeight="1">
      <c r="A117" s="176"/>
    </row>
    <row r="118" spans="1:1" ht="18" customHeight="1">
      <c r="A118" s="176"/>
    </row>
    <row r="119" spans="1:1" ht="18" customHeight="1">
      <c r="A119" s="176"/>
    </row>
    <row r="120" spans="1:1" ht="18" customHeight="1">
      <c r="A120" s="176"/>
    </row>
    <row r="121" spans="1:1" ht="18" customHeight="1">
      <c r="A121" s="176"/>
    </row>
    <row r="122" spans="1:1" ht="18" customHeight="1">
      <c r="A122" s="176"/>
    </row>
    <row r="123" spans="1:1" ht="18" customHeight="1">
      <c r="A123" s="176"/>
    </row>
    <row r="124" spans="1:1" ht="18" customHeight="1">
      <c r="A124" s="176"/>
    </row>
    <row r="125" spans="1:1" ht="18" customHeight="1">
      <c r="A125" s="176"/>
    </row>
    <row r="126" spans="1:1" ht="18" customHeight="1">
      <c r="A126" s="176"/>
    </row>
    <row r="127" spans="1:1" ht="18" customHeight="1">
      <c r="A127" s="176"/>
    </row>
    <row r="128" spans="1:1" ht="18" customHeight="1">
      <c r="A128" s="176"/>
    </row>
    <row r="129" spans="1:1" ht="18" customHeight="1">
      <c r="A129" s="176"/>
    </row>
    <row r="130" spans="1:1" ht="18" customHeight="1">
      <c r="A130" s="176"/>
    </row>
    <row r="131" spans="1:1" ht="18" customHeight="1">
      <c r="A131" s="176"/>
    </row>
    <row r="132" spans="1:1" ht="18" customHeight="1">
      <c r="A132" s="176"/>
    </row>
    <row r="133" spans="1:1" ht="18" customHeight="1">
      <c r="A133" s="176"/>
    </row>
    <row r="134" spans="1:1" ht="18" customHeight="1">
      <c r="A134" s="176"/>
    </row>
    <row r="135" spans="1:1" ht="18" customHeight="1">
      <c r="A135" s="176"/>
    </row>
    <row r="136" spans="1:1" ht="18" customHeight="1">
      <c r="A136" s="176"/>
    </row>
    <row r="137" spans="1:1" ht="18" customHeight="1">
      <c r="A137" s="176"/>
    </row>
    <row r="138" spans="1:1" ht="18" customHeight="1">
      <c r="A138" s="176"/>
    </row>
    <row r="139" spans="1:1" ht="18" customHeight="1">
      <c r="A139" s="176"/>
    </row>
    <row r="140" spans="1:1" ht="18" customHeight="1">
      <c r="A140" s="176"/>
    </row>
    <row r="141" spans="1:1" ht="18" customHeight="1">
      <c r="A141" s="176"/>
    </row>
    <row r="142" spans="1:1" ht="18" customHeight="1">
      <c r="A142" s="176"/>
    </row>
    <row r="143" spans="1:1" ht="18" customHeight="1">
      <c r="A143" s="176"/>
    </row>
    <row r="144" spans="1:1" ht="18" customHeight="1">
      <c r="A144" s="176"/>
    </row>
    <row r="145" spans="1:1" ht="18" customHeight="1">
      <c r="A145" s="176"/>
    </row>
    <row r="146" spans="1:1" ht="18" customHeight="1">
      <c r="A146" s="176"/>
    </row>
  </sheetData>
  <sheetProtection formatCells="0" formatColumns="0" formatRows="0"/>
  <mergeCells count="4">
    <mergeCell ref="J2:N2"/>
    <mergeCell ref="B5:B6"/>
    <mergeCell ref="C5:H5"/>
    <mergeCell ref="B2:H2"/>
  </mergeCells>
  <phoneticPr fontId="6" type="noConversion"/>
  <pageMargins left="0.75" right="0.75" top="1" bottom="1" header="0.5" footer="0.5"/>
  <pageSetup paperSize="9" orientation="portrait"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tabColor rgb="FFFFFF00"/>
  </sheetPr>
  <dimension ref="A1:X85"/>
  <sheetViews>
    <sheetView zoomScaleNormal="100" workbookViewId="0">
      <selection activeCell="G9" sqref="G9"/>
    </sheetView>
  </sheetViews>
  <sheetFormatPr defaultColWidth="9" defaultRowHeight="18" customHeight="1"/>
  <cols>
    <col min="1" max="1" width="2.33203125" style="14" customWidth="1"/>
    <col min="2" max="2" width="11.58203125" style="14" customWidth="1"/>
    <col min="3" max="5" width="8.5" style="14" customWidth="1"/>
    <col min="6" max="10" width="10.08203125" style="14" customWidth="1"/>
    <col min="11" max="11" width="9.08203125" style="14" customWidth="1"/>
    <col min="12" max="13" width="9" style="14"/>
    <col min="14" max="14" width="7.25" style="14" customWidth="1"/>
    <col min="15" max="15" width="9.08203125" style="14" customWidth="1"/>
    <col min="16" max="16" width="7.25" style="14" customWidth="1"/>
    <col min="17" max="17" width="9.08203125" style="14" customWidth="1"/>
    <col min="18" max="24" width="7.25" style="14" customWidth="1"/>
    <col min="25" max="16384" width="9" style="14"/>
  </cols>
  <sheetData>
    <row r="1" spans="1:24" s="4" customFormat="1" ht="33.75" customHeight="1">
      <c r="B1" s="765" t="s">
        <v>445</v>
      </c>
      <c r="C1" s="765"/>
      <c r="D1" s="765"/>
      <c r="E1" s="765"/>
      <c r="F1" s="765"/>
      <c r="G1" s="765"/>
      <c r="H1" s="765"/>
      <c r="I1" s="765"/>
      <c r="J1" s="765"/>
      <c r="K1" s="765"/>
    </row>
    <row r="2" spans="1:24" s="4" customFormat="1" ht="18" customHeight="1">
      <c r="B2" s="265" t="str">
        <f>'1报表'!B11</f>
        <v>评估基准日：2017/12/31</v>
      </c>
      <c r="D2" s="79"/>
      <c r="E2" s="437"/>
      <c r="G2" s="79"/>
      <c r="H2" s="79"/>
      <c r="I2" s="79"/>
      <c r="J2" s="79"/>
      <c r="K2" s="79"/>
      <c r="N2" s="36"/>
      <c r="O2" s="36"/>
      <c r="P2" s="36"/>
      <c r="Q2" s="36"/>
      <c r="R2" s="36"/>
      <c r="S2" s="36"/>
      <c r="T2" s="36"/>
      <c r="U2" s="36"/>
      <c r="V2" s="36"/>
      <c r="W2" s="36"/>
      <c r="X2" s="36"/>
    </row>
    <row r="3" spans="1:24" s="4" customFormat="1" ht="18" customHeight="1">
      <c r="B3" s="265" t="str">
        <f>'1报表'!B12</f>
        <v>被评估单位：JSBD公司</v>
      </c>
      <c r="F3" s="20"/>
      <c r="J3" s="19" t="s">
        <v>52</v>
      </c>
      <c r="M3" s="194"/>
      <c r="N3" s="37"/>
      <c r="O3" s="37"/>
      <c r="P3" s="37"/>
      <c r="Q3" s="37"/>
      <c r="R3" s="37"/>
      <c r="S3" s="37"/>
      <c r="T3" s="37"/>
      <c r="U3" s="37"/>
      <c r="V3" s="37"/>
      <c r="W3" s="37"/>
      <c r="X3" s="37"/>
    </row>
    <row r="4" spans="1:24" ht="20.5" customHeight="1">
      <c r="A4" s="4"/>
      <c r="B4" s="28" t="s">
        <v>91</v>
      </c>
      <c r="C4" s="69" t="str">
        <f>'1报表'!C96</f>
        <v>2015年</v>
      </c>
      <c r="D4" s="69" t="str">
        <f>'1报表'!D96</f>
        <v>2016年</v>
      </c>
      <c r="E4" s="69" t="str">
        <f>'1报表'!E96</f>
        <v>2017年</v>
      </c>
      <c r="F4" s="697" t="str">
        <f>LEFT(E4,4)+1&amp;"年"</f>
        <v>2018年</v>
      </c>
      <c r="G4" s="697" t="str">
        <f>LEFT(F4,4)+1&amp;"年"</f>
        <v>2019年</v>
      </c>
      <c r="H4" s="697" t="str">
        <f t="shared" ref="H4:J4" si="0">LEFT(G4,4)+1&amp;"年"</f>
        <v>2020年</v>
      </c>
      <c r="I4" s="697" t="str">
        <f t="shared" si="0"/>
        <v>2021年</v>
      </c>
      <c r="J4" s="697" t="str">
        <f t="shared" si="0"/>
        <v>2022年</v>
      </c>
      <c r="K4" s="4"/>
      <c r="L4" s="4"/>
      <c r="M4" s="4"/>
      <c r="N4" s="4"/>
      <c r="O4" s="4"/>
      <c r="P4" s="4"/>
      <c r="Q4" s="4"/>
      <c r="R4" s="4"/>
      <c r="S4" s="4"/>
      <c r="T4" s="4"/>
      <c r="U4" s="4"/>
      <c r="V4" s="4"/>
      <c r="W4" s="4"/>
    </row>
    <row r="5" spans="1:24" ht="22.15" customHeight="1">
      <c r="A5" s="4"/>
      <c r="B5" s="698" t="s">
        <v>288</v>
      </c>
      <c r="C5" s="85">
        <f>'1报表'!C97</f>
        <v>5647.5608560000001</v>
      </c>
      <c r="D5" s="85">
        <f>'1报表'!D97</f>
        <v>7304.7745279999999</v>
      </c>
      <c r="E5" s="85">
        <f>'1报表'!E97</f>
        <v>9615.5763319999987</v>
      </c>
      <c r="F5" s="699">
        <f>F60</f>
        <v>11935.47732058755</v>
      </c>
      <c r="G5" s="699">
        <f t="shared" ref="G5:J5" si="1">G60</f>
        <v>14141.383768720463</v>
      </c>
      <c r="H5" s="699">
        <f t="shared" si="1"/>
        <v>15896.179912814478</v>
      </c>
      <c r="I5" s="699">
        <f t="shared" si="1"/>
        <v>16863.122702610581</v>
      </c>
      <c r="J5" s="699">
        <f t="shared" si="1"/>
        <v>17224.451164859773</v>
      </c>
      <c r="K5" s="4"/>
      <c r="L5" s="4"/>
      <c r="N5" s="160"/>
    </row>
    <row r="6" spans="1:24" ht="18" customHeight="1">
      <c r="B6" s="200" t="s">
        <v>386</v>
      </c>
      <c r="C6" s="312"/>
      <c r="D6" s="312">
        <f t="shared" ref="D6:I6" si="2">IF(C5,D5/C5-1,"na")</f>
        <v>0.29343883390638759</v>
      </c>
      <c r="E6" s="312">
        <f t="shared" si="2"/>
        <v>0.31634129091082031</v>
      </c>
      <c r="F6" s="312">
        <f t="shared" si="2"/>
        <v>0.24126489234629389</v>
      </c>
      <c r="G6" s="312">
        <f t="shared" si="2"/>
        <v>0.18481929032933908</v>
      </c>
      <c r="H6" s="312">
        <f t="shared" si="2"/>
        <v>0.12408942242098497</v>
      </c>
      <c r="I6" s="312">
        <f t="shared" si="2"/>
        <v>6.0828626443553135E-2</v>
      </c>
      <c r="J6" s="312">
        <f>IF(I5,J5/I5-1,"na")</f>
        <v>2.1427138295877723E-2</v>
      </c>
      <c r="K6" s="4"/>
    </row>
    <row r="7" spans="1:24" ht="18" customHeight="1">
      <c r="B7" s="86"/>
      <c r="K7" s="4"/>
    </row>
    <row r="8" spans="1:24" ht="18" customHeight="1" thickBot="1">
      <c r="B8" s="199" t="s">
        <v>64</v>
      </c>
      <c r="C8" s="196"/>
      <c r="D8" s="30" t="s">
        <v>233</v>
      </c>
      <c r="E8" s="30" t="s">
        <v>234</v>
      </c>
      <c r="F8" s="30" t="s">
        <v>235</v>
      </c>
    </row>
    <row r="9" spans="1:24" ht="18" customHeight="1">
      <c r="B9" s="764" t="s">
        <v>236</v>
      </c>
      <c r="C9" s="196" t="s">
        <v>237</v>
      </c>
      <c r="D9" s="3">
        <v>849.25232100000005</v>
      </c>
      <c r="E9" s="3">
        <v>761.74942538461596</v>
      </c>
      <c r="F9" s="3">
        <v>881.84195399999987</v>
      </c>
      <c r="H9" s="556" t="s">
        <v>698</v>
      </c>
      <c r="I9" s="557"/>
      <c r="J9" s="557"/>
      <c r="K9" s="557"/>
      <c r="L9" s="557"/>
      <c r="M9" s="558"/>
    </row>
    <row r="10" spans="1:24" ht="18" customHeight="1">
      <c r="B10" s="764"/>
      <c r="C10" s="196" t="s">
        <v>238</v>
      </c>
      <c r="D10" s="3">
        <v>3332.4018858971303</v>
      </c>
      <c r="E10" s="3">
        <v>5230.7696280366999</v>
      </c>
      <c r="F10" s="3">
        <v>7346.3833340000001</v>
      </c>
      <c r="H10" s="559" t="s">
        <v>699</v>
      </c>
      <c r="I10" s="16"/>
      <c r="J10" s="16"/>
      <c r="K10" s="16"/>
      <c r="L10" s="16"/>
      <c r="M10" s="560"/>
    </row>
    <row r="11" spans="1:24" ht="18" customHeight="1">
      <c r="B11" s="764"/>
      <c r="C11" s="196" t="s">
        <v>88</v>
      </c>
      <c r="D11" s="3">
        <v>62.584147999999999</v>
      </c>
      <c r="E11" s="3">
        <v>126.49228851874999</v>
      </c>
      <c r="F11" s="3">
        <v>169.474568</v>
      </c>
      <c r="H11" s="559" t="s">
        <v>700</v>
      </c>
      <c r="I11" s="16"/>
      <c r="J11" s="16"/>
      <c r="K11" s="16"/>
      <c r="L11" s="16"/>
      <c r="M11" s="560"/>
    </row>
    <row r="12" spans="1:24" ht="18" customHeight="1">
      <c r="B12" s="764" t="s">
        <v>239</v>
      </c>
      <c r="C12" s="196" t="s">
        <v>237</v>
      </c>
      <c r="D12" s="3">
        <v>189.80228382906</v>
      </c>
      <c r="E12" s="3">
        <v>103.84240765208699</v>
      </c>
      <c r="F12" s="3">
        <v>188.39998400000002</v>
      </c>
      <c r="H12" s="563" t="s">
        <v>701</v>
      </c>
      <c r="I12" s="16"/>
      <c r="J12" s="16"/>
      <c r="K12" s="16"/>
      <c r="L12" s="16"/>
      <c r="M12" s="560"/>
    </row>
    <row r="13" spans="1:24" ht="18" customHeight="1">
      <c r="B13" s="764"/>
      <c r="C13" s="196" t="s">
        <v>238</v>
      </c>
      <c r="D13" s="3">
        <v>759.94411536837606</v>
      </c>
      <c r="E13" s="3">
        <v>659.68711958174902</v>
      </c>
      <c r="F13" s="3">
        <v>515.859329</v>
      </c>
      <c r="H13" s="559" t="s">
        <v>702</v>
      </c>
      <c r="I13" s="16"/>
      <c r="J13" s="16"/>
      <c r="K13" s="16"/>
      <c r="L13" s="16"/>
      <c r="M13" s="560"/>
    </row>
    <row r="14" spans="1:24" ht="18" customHeight="1">
      <c r="B14" s="764"/>
      <c r="C14" s="196" t="s">
        <v>88</v>
      </c>
      <c r="D14" s="3">
        <v>288.58919199999997</v>
      </c>
      <c r="E14" s="3">
        <v>163.05443452941199</v>
      </c>
      <c r="F14" s="3">
        <v>294.89550499999996</v>
      </c>
      <c r="H14" s="559" t="s">
        <v>704</v>
      </c>
      <c r="I14" s="16"/>
      <c r="J14" s="16"/>
      <c r="K14" s="16"/>
      <c r="L14" s="16"/>
      <c r="M14" s="560"/>
    </row>
    <row r="15" spans="1:24" ht="18" customHeight="1" thickBot="1">
      <c r="B15" s="195" t="s">
        <v>240</v>
      </c>
      <c r="C15" s="196"/>
      <c r="D15" s="3">
        <v>164.98690990543309</v>
      </c>
      <c r="E15" s="3">
        <v>259.17922429668579</v>
      </c>
      <c r="F15" s="3">
        <v>218.72165799999857</v>
      </c>
      <c r="H15" s="561" t="s">
        <v>703</v>
      </c>
      <c r="I15" s="220"/>
      <c r="J15" s="220"/>
      <c r="K15" s="220"/>
      <c r="L15" s="220"/>
      <c r="M15" s="562"/>
    </row>
    <row r="16" spans="1:24" ht="18" customHeight="1">
      <c r="B16" s="198" t="s">
        <v>79</v>
      </c>
      <c r="C16" s="197"/>
      <c r="D16" s="10">
        <f>SUM(D9:D15)</f>
        <v>5647.5608560000001</v>
      </c>
      <c r="E16" s="10">
        <f t="shared" ref="E16:F16" si="3">SUM(E9:E15)</f>
        <v>7304.7745279999999</v>
      </c>
      <c r="F16" s="10">
        <f t="shared" si="3"/>
        <v>9615.5763319999987</v>
      </c>
    </row>
    <row r="17" spans="2:8" ht="18" customHeight="1">
      <c r="B17" s="86"/>
      <c r="H17" s="21" t="s">
        <v>746</v>
      </c>
    </row>
    <row r="18" spans="2:8" ht="18" customHeight="1">
      <c r="B18" s="204" t="s">
        <v>241</v>
      </c>
    </row>
    <row r="19" spans="2:8" ht="18" customHeight="1">
      <c r="B19" s="197" t="s">
        <v>561</v>
      </c>
      <c r="C19" s="30" t="s">
        <v>233</v>
      </c>
      <c r="D19" s="30" t="s">
        <v>234</v>
      </c>
      <c r="E19" s="30" t="s">
        <v>235</v>
      </c>
    </row>
    <row r="20" spans="2:8" ht="18" customHeight="1">
      <c r="B20" s="196" t="s">
        <v>237</v>
      </c>
      <c r="C20" s="3">
        <f t="shared" ref="C20:E22" si="4">D9+D12</f>
        <v>1039.0546048290601</v>
      </c>
      <c r="D20" s="3">
        <f t="shared" si="4"/>
        <v>865.59183303670295</v>
      </c>
      <c r="E20" s="3">
        <f t="shared" si="4"/>
        <v>1070.2419379999999</v>
      </c>
    </row>
    <row r="21" spans="2:8" ht="18" customHeight="1">
      <c r="B21" s="196" t="s">
        <v>238</v>
      </c>
      <c r="C21" s="3">
        <f t="shared" si="4"/>
        <v>4092.3460012655064</v>
      </c>
      <c r="D21" s="3">
        <f t="shared" si="4"/>
        <v>5890.4567476184493</v>
      </c>
      <c r="E21" s="3">
        <f t="shared" si="4"/>
        <v>7862.242663</v>
      </c>
    </row>
    <row r="22" spans="2:8" ht="18" customHeight="1">
      <c r="B22" s="196" t="s">
        <v>88</v>
      </c>
      <c r="C22" s="3">
        <f t="shared" si="4"/>
        <v>351.17333999999994</v>
      </c>
      <c r="D22" s="3">
        <f t="shared" si="4"/>
        <v>289.54672304816199</v>
      </c>
      <c r="E22" s="3">
        <f t="shared" si="4"/>
        <v>464.37007299999993</v>
      </c>
    </row>
    <row r="23" spans="2:8" ht="18" customHeight="1">
      <c r="B23" s="202" t="s">
        <v>242</v>
      </c>
      <c r="C23" s="10">
        <f>SUM(C20:C22)</f>
        <v>5482.573946094567</v>
      </c>
      <c r="D23" s="10">
        <f t="shared" ref="D23:E23" si="5">SUM(D20:D22)</f>
        <v>7045.5953037033141</v>
      </c>
      <c r="E23" s="10">
        <f t="shared" si="5"/>
        <v>9396.8546740000002</v>
      </c>
    </row>
    <row r="24" spans="2:8" ht="18" customHeight="1">
      <c r="B24" s="200"/>
    </row>
    <row r="25" spans="2:8" ht="18" customHeight="1">
      <c r="B25" s="197" t="s">
        <v>560</v>
      </c>
      <c r="C25" s="30" t="s">
        <v>233</v>
      </c>
      <c r="D25" s="30" t="s">
        <v>234</v>
      </c>
      <c r="E25" s="30" t="s">
        <v>235</v>
      </c>
    </row>
    <row r="26" spans="2:8" ht="18" customHeight="1">
      <c r="B26" s="196" t="s">
        <v>237</v>
      </c>
      <c r="C26" s="3"/>
      <c r="D26" s="12">
        <f>D20/C20-1</f>
        <v>-0.16694288345018626</v>
      </c>
      <c r="E26" s="12">
        <f>E20/D20-1</f>
        <v>0.2364279527053017</v>
      </c>
    </row>
    <row r="27" spans="2:8" ht="18" customHeight="1">
      <c r="B27" s="196" t="s">
        <v>238</v>
      </c>
      <c r="C27" s="3"/>
      <c r="D27" s="12">
        <f t="shared" ref="D27:E27" si="6">D21/C21-1</f>
        <v>0.43938385116920697</v>
      </c>
      <c r="E27" s="12">
        <f t="shared" si="6"/>
        <v>0.33474244865285807</v>
      </c>
    </row>
    <row r="28" spans="2:8" ht="18" customHeight="1">
      <c r="B28" s="196" t="s">
        <v>88</v>
      </c>
      <c r="C28" s="3"/>
      <c r="D28" s="12">
        <f>D22/C22-1</f>
        <v>-0.17548774332310635</v>
      </c>
      <c r="E28" s="12">
        <f>E22/D22-1</f>
        <v>0.60378286485652466</v>
      </c>
    </row>
    <row r="29" spans="2:8" ht="18" customHeight="1">
      <c r="B29" s="202" t="s">
        <v>243</v>
      </c>
      <c r="C29" s="10"/>
      <c r="D29" s="203">
        <f>D23/C23-1</f>
        <v>0.28508896970229514</v>
      </c>
      <c r="E29" s="203">
        <f>E23/D23-1</f>
        <v>0.33372046916472975</v>
      </c>
    </row>
    <row r="30" spans="2:8" ht="18" customHeight="1">
      <c r="B30" s="200"/>
    </row>
    <row r="31" spans="2:8" ht="18" customHeight="1">
      <c r="B31" s="197" t="s">
        <v>559</v>
      </c>
      <c r="C31" s="30" t="s">
        <v>233</v>
      </c>
      <c r="D31" s="30" t="s">
        <v>234</v>
      </c>
      <c r="E31" s="30" t="s">
        <v>235</v>
      </c>
    </row>
    <row r="32" spans="2:8" ht="18" customHeight="1">
      <c r="B32" s="196" t="s">
        <v>237</v>
      </c>
      <c r="C32" s="12">
        <f>C20/C$23</f>
        <v>0.1895194875701067</v>
      </c>
      <c r="D32" s="12">
        <f t="shared" ref="D32:E32" si="7">D20/D$23</f>
        <v>0.12285574117232216</v>
      </c>
      <c r="E32" s="12">
        <f t="shared" si="7"/>
        <v>0.1138936351714829</v>
      </c>
      <c r="F32" s="21" t="s">
        <v>246</v>
      </c>
    </row>
    <row r="33" spans="2:9" ht="18" customHeight="1">
      <c r="B33" s="196" t="s">
        <v>238</v>
      </c>
      <c r="C33" s="12">
        <f>C21/C$23</f>
        <v>0.74642787156215751</v>
      </c>
      <c r="D33" s="12">
        <f>D21/D$23</f>
        <v>0.83604812563138564</v>
      </c>
      <c r="E33" s="12">
        <f>E21/E$23</f>
        <v>0.83668875764929174</v>
      </c>
      <c r="F33" s="21" t="s">
        <v>267</v>
      </c>
    </row>
    <row r="34" spans="2:9" ht="18" customHeight="1">
      <c r="B34" s="196" t="s">
        <v>88</v>
      </c>
      <c r="C34" s="12">
        <f>C22/C$23</f>
        <v>6.4052640867735711E-2</v>
      </c>
      <c r="D34" s="12">
        <f>D22/D$23</f>
        <v>4.109613319629217E-2</v>
      </c>
      <c r="E34" s="12">
        <f>E22/E$23</f>
        <v>4.9417607179225373E-2</v>
      </c>
    </row>
    <row r="35" spans="2:9" ht="18" customHeight="1">
      <c r="B35" s="86"/>
    </row>
    <row r="36" spans="2:9" ht="18" customHeight="1">
      <c r="B36" s="204" t="s">
        <v>247</v>
      </c>
    </row>
    <row r="37" spans="2:9" ht="18" customHeight="1">
      <c r="B37" s="196"/>
      <c r="C37" s="30" t="s">
        <v>233</v>
      </c>
      <c r="D37" s="30" t="s">
        <v>234</v>
      </c>
      <c r="E37" s="30" t="s">
        <v>235</v>
      </c>
    </row>
    <row r="38" spans="2:9" ht="18" customHeight="1">
      <c r="B38" s="196" t="s">
        <v>236</v>
      </c>
      <c r="C38" s="12">
        <f>(SUM(D9:D11)+D15)/D16</f>
        <v>0.78073089909570037</v>
      </c>
      <c r="D38" s="12">
        <f>(SUM(E9:E11)+E15)/E16</f>
        <v>0.87315365337950535</v>
      </c>
      <c r="E38" s="12">
        <f>(SUM(F9:F11)+F15)/F16</f>
        <v>0.89608997074102781</v>
      </c>
      <c r="F38" s="21" t="s">
        <v>248</v>
      </c>
      <c r="H38" s="14" t="s">
        <v>363</v>
      </c>
    </row>
    <row r="39" spans="2:9" ht="18" customHeight="1">
      <c r="B39" s="196" t="s">
        <v>239</v>
      </c>
      <c r="C39" s="12">
        <f>SUM(D12:D14)/D16</f>
        <v>0.21926910090429949</v>
      </c>
      <c r="D39" s="12">
        <f>SUM(E12:E14)/E16</f>
        <v>0.12684634662049463</v>
      </c>
      <c r="E39" s="12">
        <f>SUM(F12:F14)/F16</f>
        <v>0.10391002925897215</v>
      </c>
      <c r="F39" s="21" t="s">
        <v>249</v>
      </c>
      <c r="H39" s="21" t="s">
        <v>364</v>
      </c>
    </row>
    <row r="40" spans="2:9" ht="18" customHeight="1">
      <c r="B40" s="86"/>
    </row>
    <row r="41" spans="2:9" ht="18" customHeight="1">
      <c r="B41" s="205" t="s">
        <v>250</v>
      </c>
    </row>
    <row r="42" spans="2:9" ht="18" customHeight="1">
      <c r="B42" s="201" t="s">
        <v>251</v>
      </c>
    </row>
    <row r="43" spans="2:9" ht="18" customHeight="1">
      <c r="B43" s="204" t="s">
        <v>252</v>
      </c>
    </row>
    <row r="44" spans="2:9" ht="18" customHeight="1">
      <c r="B44" s="86" t="s">
        <v>253</v>
      </c>
      <c r="H44" s="14">
        <f>E57/0.65</f>
        <v>12095.757943076922</v>
      </c>
      <c r="I44" s="160" t="s">
        <v>283</v>
      </c>
    </row>
    <row r="45" spans="2:9" ht="18" customHeight="1">
      <c r="B45" s="86" t="s">
        <v>254</v>
      </c>
    </row>
    <row r="46" spans="2:9" ht="18" customHeight="1">
      <c r="B46" s="86" t="s">
        <v>255</v>
      </c>
    </row>
    <row r="47" spans="2:9" ht="18" customHeight="1">
      <c r="B47" s="86" t="s">
        <v>256</v>
      </c>
    </row>
    <row r="48" spans="2:9" ht="18" customHeight="1">
      <c r="B48" s="86" t="s">
        <v>257</v>
      </c>
    </row>
    <row r="49" spans="2:12" ht="18" customHeight="1">
      <c r="B49" s="86" t="s">
        <v>258</v>
      </c>
    </row>
    <row r="50" spans="2:12" ht="18" customHeight="1">
      <c r="B50" s="86"/>
    </row>
    <row r="51" spans="2:12" ht="18" customHeight="1">
      <c r="B51" s="160" t="s">
        <v>208</v>
      </c>
      <c r="D51" s="201" t="s">
        <v>263</v>
      </c>
      <c r="F51" s="201" t="s">
        <v>264</v>
      </c>
    </row>
    <row r="52" spans="2:12" ht="18" customHeight="1">
      <c r="B52" s="160" t="s">
        <v>209</v>
      </c>
      <c r="D52" s="21" t="s">
        <v>261</v>
      </c>
      <c r="F52" s="21" t="s">
        <v>262</v>
      </c>
    </row>
    <row r="53" spans="2:12" ht="18" customHeight="1">
      <c r="B53" s="160" t="s">
        <v>259</v>
      </c>
      <c r="F53" s="21" t="s">
        <v>260</v>
      </c>
    </row>
    <row r="54" spans="2:12" ht="18" customHeight="1">
      <c r="B54" s="86"/>
    </row>
    <row r="55" spans="2:12" ht="18" customHeight="1">
      <c r="B55" s="15" t="s">
        <v>266</v>
      </c>
      <c r="C55" s="411" t="s">
        <v>434</v>
      </c>
      <c r="D55" s="411" t="s">
        <v>234</v>
      </c>
      <c r="E55" s="411" t="s">
        <v>235</v>
      </c>
      <c r="F55" s="30" t="s">
        <v>273</v>
      </c>
      <c r="G55" s="30" t="s">
        <v>274</v>
      </c>
      <c r="H55" s="30" t="s">
        <v>275</v>
      </c>
      <c r="I55" s="30" t="s">
        <v>276</v>
      </c>
      <c r="J55" s="30" t="s">
        <v>277</v>
      </c>
    </row>
    <row r="56" spans="2:12" ht="18" customHeight="1">
      <c r="B56" s="196" t="s">
        <v>237</v>
      </c>
      <c r="C56" s="3">
        <f>C20</f>
        <v>1039.0546048290601</v>
      </c>
      <c r="D56" s="3">
        <f t="shared" ref="D56:E56" si="8">D20</f>
        <v>865.59183303670295</v>
      </c>
      <c r="E56" s="3">
        <f t="shared" si="8"/>
        <v>1070.2419379999999</v>
      </c>
      <c r="F56" s="3">
        <f>E56*(1+F68)</f>
        <v>1093.0100280622103</v>
      </c>
      <c r="G56" s="3">
        <f t="shared" ref="G56:J56" si="9">F56*(1+G68)</f>
        <v>1110.3476577242675</v>
      </c>
      <c r="H56" s="3">
        <f t="shared" si="9"/>
        <v>1121.9516554098379</v>
      </c>
      <c r="I56" s="3">
        <f t="shared" si="9"/>
        <v>1127.6054825849812</v>
      </c>
      <c r="J56" s="3">
        <f t="shared" si="9"/>
        <v>1129.5505380110219</v>
      </c>
    </row>
    <row r="57" spans="2:12" ht="18" customHeight="1">
      <c r="B57" s="196" t="s">
        <v>238</v>
      </c>
      <c r="C57" s="3">
        <f t="shared" ref="C57:E58" si="10">C21</f>
        <v>4092.3460012655064</v>
      </c>
      <c r="D57" s="3">
        <f t="shared" si="10"/>
        <v>5890.4567476184493</v>
      </c>
      <c r="E57" s="3">
        <f t="shared" si="10"/>
        <v>7862.242663</v>
      </c>
      <c r="F57" s="3">
        <f t="shared" ref="F57:J58" si="11">E57*(1+F69)</f>
        <v>10071.818139684188</v>
      </c>
      <c r="G57" s="3">
        <f t="shared" si="11"/>
        <v>12182.346598138267</v>
      </c>
      <c r="H57" s="3">
        <f t="shared" si="11"/>
        <v>13864.235736036695</v>
      </c>
      <c r="I57" s="3">
        <f t="shared" si="11"/>
        <v>14787.194038927286</v>
      </c>
      <c r="J57" s="3">
        <f t="shared" si="11"/>
        <v>15124.154028479321</v>
      </c>
    </row>
    <row r="58" spans="2:12" ht="18" customHeight="1">
      <c r="B58" s="196" t="s">
        <v>88</v>
      </c>
      <c r="C58" s="3">
        <f t="shared" si="10"/>
        <v>351.17333999999994</v>
      </c>
      <c r="D58" s="3">
        <f t="shared" si="10"/>
        <v>289.54672304816199</v>
      </c>
      <c r="E58" s="3">
        <f t="shared" si="10"/>
        <v>464.37007299999993</v>
      </c>
      <c r="F58" s="3">
        <f>E58*(1+F70)</f>
        <v>540.9914119411535</v>
      </c>
      <c r="G58" s="3">
        <f t="shared" si="11"/>
        <v>607.54888491293082</v>
      </c>
      <c r="H58" s="3">
        <f t="shared" si="11"/>
        <v>656.79486202569774</v>
      </c>
      <c r="I58" s="3">
        <f t="shared" si="11"/>
        <v>682.46563878895529</v>
      </c>
      <c r="J58" s="3">
        <f t="shared" si="11"/>
        <v>691.59617894459757</v>
      </c>
    </row>
    <row r="59" spans="2:12" ht="18" customHeight="1">
      <c r="B59" s="196" t="s">
        <v>240</v>
      </c>
      <c r="C59" s="3">
        <f>D15</f>
        <v>164.98690990543309</v>
      </c>
      <c r="D59" s="3">
        <f>E15</f>
        <v>259.17922429668579</v>
      </c>
      <c r="E59" s="3">
        <f>F15</f>
        <v>218.72165799999857</v>
      </c>
      <c r="F59" s="3">
        <f>E59*(1+$L$59)</f>
        <v>229.65774089999852</v>
      </c>
      <c r="G59" s="3">
        <f>F59*(1+$L$59)</f>
        <v>241.14062794499844</v>
      </c>
      <c r="H59" s="3">
        <f>G59*(1+$L$59)</f>
        <v>253.19765934224839</v>
      </c>
      <c r="I59" s="3">
        <f>H59*(1+$L$59)</f>
        <v>265.85754230936084</v>
      </c>
      <c r="J59" s="3">
        <f>I59*(1+$L$59)</f>
        <v>279.1504194248289</v>
      </c>
      <c r="K59" s="21" t="s">
        <v>437</v>
      </c>
      <c r="L59" s="412">
        <v>0.05</v>
      </c>
    </row>
    <row r="60" spans="2:12" ht="18" customHeight="1">
      <c r="B60" s="202" t="s">
        <v>265</v>
      </c>
      <c r="C60" s="10">
        <f>SUM(C56:C59)</f>
        <v>5647.5608560000001</v>
      </c>
      <c r="D60" s="10">
        <f t="shared" ref="D60" si="12">SUM(D56:D59)</f>
        <v>7304.7745279999999</v>
      </c>
      <c r="E60" s="10">
        <f>SUM(E56:E59)</f>
        <v>9615.5763319999987</v>
      </c>
      <c r="F60" s="10">
        <f t="shared" ref="F60:J60" si="13">SUM(F56:F59)</f>
        <v>11935.47732058755</v>
      </c>
      <c r="G60" s="10">
        <f t="shared" si="13"/>
        <v>14141.383768720463</v>
      </c>
      <c r="H60" s="10">
        <f t="shared" si="13"/>
        <v>15896.179912814478</v>
      </c>
      <c r="I60" s="10">
        <f t="shared" si="13"/>
        <v>16863.122702610581</v>
      </c>
      <c r="J60" s="10">
        <f t="shared" si="13"/>
        <v>17224.451164859773</v>
      </c>
    </row>
    <row r="61" spans="2:12" ht="18" customHeight="1">
      <c r="B61" s="206" t="s">
        <v>686</v>
      </c>
      <c r="C61" s="207">
        <f>C60-C5</f>
        <v>0</v>
      </c>
      <c r="D61" s="207">
        <f>D60-D5</f>
        <v>0</v>
      </c>
      <c r="E61" s="207">
        <f>E60-E5</f>
        <v>0</v>
      </c>
    </row>
    <row r="62" spans="2:12" ht="18" customHeight="1">
      <c r="B62" s="86"/>
    </row>
    <row r="63" spans="2:12" ht="18" customHeight="1">
      <c r="B63" s="39" t="s">
        <v>268</v>
      </c>
    </row>
    <row r="64" spans="2:12" ht="18" customHeight="1">
      <c r="B64" s="86" t="s">
        <v>270</v>
      </c>
      <c r="C64" s="205" t="s">
        <v>269</v>
      </c>
    </row>
    <row r="65" spans="2:17" ht="18" customHeight="1">
      <c r="B65" s="86" t="s">
        <v>271</v>
      </c>
      <c r="C65" s="205" t="s">
        <v>272</v>
      </c>
      <c r="I65" s="160" t="s">
        <v>284</v>
      </c>
    </row>
    <row r="66" spans="2:17" ht="18" customHeight="1">
      <c r="B66" s="212" t="s">
        <v>373</v>
      </c>
      <c r="L66" s="306" t="s">
        <v>365</v>
      </c>
    </row>
    <row r="67" spans="2:17" ht="18" customHeight="1">
      <c r="B67" s="15" t="s">
        <v>556</v>
      </c>
      <c r="C67" s="411" t="s">
        <v>233</v>
      </c>
      <c r="D67" s="411" t="s">
        <v>234</v>
      </c>
      <c r="E67" s="411" t="s">
        <v>235</v>
      </c>
      <c r="F67" s="30" t="s">
        <v>273</v>
      </c>
      <c r="G67" s="30" t="s">
        <v>274</v>
      </c>
      <c r="H67" s="30" t="s">
        <v>275</v>
      </c>
      <c r="I67" s="30" t="s">
        <v>276</v>
      </c>
      <c r="J67" s="30" t="s">
        <v>277</v>
      </c>
      <c r="L67" s="14" t="s">
        <v>366</v>
      </c>
    </row>
    <row r="68" spans="2:17" ht="18" customHeight="1">
      <c r="B68" s="196" t="s">
        <v>237</v>
      </c>
      <c r="C68" s="3"/>
      <c r="D68" s="12">
        <f>D26</f>
        <v>-0.16694288345018626</v>
      </c>
      <c r="E68" s="12">
        <f>E26</f>
        <v>0.2364279527053017</v>
      </c>
      <c r="F68" s="13">
        <f>F$71*$G$82/F75</f>
        <v>2.1273778623138225E-2</v>
      </c>
      <c r="G68" s="13">
        <f>G$71*$G$82/G75</f>
        <v>1.5862278677163714E-2</v>
      </c>
      <c r="H68" s="13">
        <f t="shared" ref="H68:J68" si="14">H$71*$G$82/H75</f>
        <v>1.0450778731189207E-2</v>
      </c>
      <c r="I68" s="13">
        <f t="shared" si="14"/>
        <v>5.0392787852146965E-3</v>
      </c>
      <c r="J68" s="13">
        <f t="shared" si="14"/>
        <v>1.7249432146976089E-3</v>
      </c>
      <c r="L68" s="14" t="s">
        <v>367</v>
      </c>
      <c r="O68" s="307">
        <f>(1500/769)^(1/5)-1</f>
        <v>0.14296513755064444</v>
      </c>
      <c r="P68" s="14" t="s">
        <v>371</v>
      </c>
      <c r="Q68" s="307">
        <f>(420/192.25)^(1/5)-1</f>
        <v>0.16916710656800271</v>
      </c>
    </row>
    <row r="69" spans="2:17" ht="18" customHeight="1">
      <c r="B69" s="196" t="s">
        <v>238</v>
      </c>
      <c r="C69" s="3"/>
      <c r="D69" s="12">
        <f t="shared" ref="D69:E69" si="15">D27</f>
        <v>0.43938385116920697</v>
      </c>
      <c r="E69" s="12">
        <f t="shared" si="15"/>
        <v>0.33474244865285807</v>
      </c>
      <c r="F69" s="13">
        <f>F$71*$G$83/F76</f>
        <v>0.28103628587839602</v>
      </c>
      <c r="G69" s="13">
        <f>G$71*$G$83/G76</f>
        <v>0.20954791172592166</v>
      </c>
      <c r="H69" s="13">
        <f t="shared" ref="H69:J69" si="16">H$71*$G$83/H76</f>
        <v>0.13805953757344724</v>
      </c>
      <c r="I69" s="13">
        <f t="shared" si="16"/>
        <v>6.6571163420972856E-2</v>
      </c>
      <c r="J69" s="13">
        <f t="shared" si="16"/>
        <v>2.2787283961040159E-2</v>
      </c>
      <c r="L69" s="14" t="s">
        <v>368</v>
      </c>
      <c r="O69" s="23">
        <f>(H60/C60)^(1/5)-1</f>
        <v>0.22994692205467526</v>
      </c>
    </row>
    <row r="70" spans="2:17" ht="18" customHeight="1">
      <c r="B70" s="196" t="s">
        <v>88</v>
      </c>
      <c r="C70" s="3"/>
      <c r="D70" s="12">
        <f t="shared" ref="D70:E70" si="17">D28</f>
        <v>-0.17548774332310635</v>
      </c>
      <c r="E70" s="12">
        <f t="shared" si="17"/>
        <v>0.60378286485652466</v>
      </c>
      <c r="F70" s="13">
        <f>F$71*$G$84/F77</f>
        <v>0.16500059628337346</v>
      </c>
      <c r="G70" s="13">
        <f>G$71*$G$84/G77</f>
        <v>0.12302870526716811</v>
      </c>
      <c r="H70" s="13">
        <f t="shared" ref="H70:J70" si="18">H$71*$G$84/H77</f>
        <v>8.10568142509627E-2</v>
      </c>
      <c r="I70" s="13">
        <f t="shared" si="18"/>
        <v>3.9084923234757325E-2</v>
      </c>
      <c r="J70" s="13">
        <f t="shared" si="18"/>
        <v>1.3378754382190662E-2</v>
      </c>
      <c r="L70" s="14" t="s">
        <v>369</v>
      </c>
      <c r="O70" s="307">
        <f>(J60/E60)^(1/5)-1</f>
        <v>0.12365765435573106</v>
      </c>
    </row>
    <row r="71" spans="2:17" ht="18" customHeight="1">
      <c r="B71" s="202" t="s">
        <v>281</v>
      </c>
      <c r="C71" s="10"/>
      <c r="D71" s="203">
        <f t="shared" ref="D71:E71" si="19">D29</f>
        <v>0.28508896970229514</v>
      </c>
      <c r="E71" s="203">
        <f t="shared" si="19"/>
        <v>0.33372046916472975</v>
      </c>
      <c r="F71" s="209">
        <f>AVERAGE(D71:E71)-($E$71-$J$71)/5</f>
        <v>0.24666062560056651</v>
      </c>
      <c r="G71" s="209">
        <f t="shared" ref="G71:I71" si="20">F71-($E$71-$J$71)/5</f>
        <v>0.18391653176762057</v>
      </c>
      <c r="H71" s="209">
        <f t="shared" si="20"/>
        <v>0.12117243793467462</v>
      </c>
      <c r="I71" s="209">
        <f t="shared" si="20"/>
        <v>5.8428344101728674E-2</v>
      </c>
      <c r="J71" s="210">
        <v>0.02</v>
      </c>
      <c r="L71" s="306" t="s">
        <v>370</v>
      </c>
    </row>
    <row r="72" spans="2:17" ht="18" customHeight="1">
      <c r="C72" s="26"/>
      <c r="D72" s="208"/>
      <c r="E72" s="208"/>
    </row>
    <row r="73" spans="2:17" ht="18" customHeight="1">
      <c r="F73" s="21" t="s">
        <v>278</v>
      </c>
    </row>
    <row r="74" spans="2:17" ht="18" customHeight="1">
      <c r="B74" s="15" t="s">
        <v>557</v>
      </c>
      <c r="C74" s="411" t="s">
        <v>233</v>
      </c>
      <c r="D74" s="411" t="s">
        <v>234</v>
      </c>
      <c r="E74" s="411" t="s">
        <v>235</v>
      </c>
      <c r="F74" s="30" t="s">
        <v>273</v>
      </c>
      <c r="G74" s="30" t="s">
        <v>274</v>
      </c>
      <c r="H74" s="30" t="s">
        <v>275</v>
      </c>
      <c r="I74" s="30" t="s">
        <v>276</v>
      </c>
      <c r="J74" s="30" t="s">
        <v>277</v>
      </c>
      <c r="L74" s="42" t="s">
        <v>372</v>
      </c>
      <c r="M74" s="42"/>
      <c r="N74" s="42"/>
      <c r="O74" s="42"/>
      <c r="P74" s="308">
        <f>J60/10000/(420*1.169^2)</f>
        <v>3.0010074933772353E-3</v>
      </c>
    </row>
    <row r="75" spans="2:17" ht="18" customHeight="1">
      <c r="B75" s="196" t="s">
        <v>237</v>
      </c>
      <c r="C75" s="12">
        <f>C32</f>
        <v>0.1895194875701067</v>
      </c>
      <c r="D75" s="12">
        <f t="shared" ref="D75:E75" si="21">D32</f>
        <v>0.12285574117232216</v>
      </c>
      <c r="E75" s="12">
        <f t="shared" si="21"/>
        <v>0.1138936351714829</v>
      </c>
      <c r="F75" s="12">
        <v>0.11</v>
      </c>
      <c r="G75" s="12">
        <f>F75</f>
        <v>0.11</v>
      </c>
      <c r="H75" s="12">
        <f t="shared" ref="H75:J75" si="22">G75</f>
        <v>0.11</v>
      </c>
      <c r="I75" s="12">
        <f t="shared" si="22"/>
        <v>0.11</v>
      </c>
      <c r="J75" s="12">
        <f t="shared" si="22"/>
        <v>0.11</v>
      </c>
    </row>
    <row r="76" spans="2:17" ht="18" customHeight="1">
      <c r="B76" s="196" t="s">
        <v>238</v>
      </c>
      <c r="C76" s="12">
        <f t="shared" ref="C76:E77" si="23">C33</f>
        <v>0.74642787156215751</v>
      </c>
      <c r="D76" s="12">
        <f t="shared" si="23"/>
        <v>0.83604812563138564</v>
      </c>
      <c r="E76" s="12">
        <f t="shared" si="23"/>
        <v>0.83668875764929174</v>
      </c>
      <c r="F76" s="12">
        <v>0.84</v>
      </c>
      <c r="G76" s="12">
        <f t="shared" ref="G76:J77" si="24">F76</f>
        <v>0.84</v>
      </c>
      <c r="H76" s="12">
        <f t="shared" si="24"/>
        <v>0.84</v>
      </c>
      <c r="I76" s="12">
        <f t="shared" si="24"/>
        <v>0.84</v>
      </c>
      <c r="J76" s="12">
        <f t="shared" si="24"/>
        <v>0.84</v>
      </c>
    </row>
    <row r="77" spans="2:17" ht="18" customHeight="1">
      <c r="B77" s="196" t="s">
        <v>88</v>
      </c>
      <c r="C77" s="12">
        <f t="shared" si="23"/>
        <v>6.4052640867735711E-2</v>
      </c>
      <c r="D77" s="12">
        <f t="shared" si="23"/>
        <v>4.109613319629217E-2</v>
      </c>
      <c r="E77" s="12">
        <f t="shared" si="23"/>
        <v>4.9417607179225373E-2</v>
      </c>
      <c r="F77" s="12">
        <v>0.05</v>
      </c>
      <c r="G77" s="12">
        <f t="shared" si="24"/>
        <v>0.05</v>
      </c>
      <c r="H77" s="12">
        <f t="shared" si="24"/>
        <v>0.05</v>
      </c>
      <c r="I77" s="12">
        <f t="shared" si="24"/>
        <v>0.05</v>
      </c>
      <c r="J77" s="12">
        <f t="shared" si="24"/>
        <v>0.05</v>
      </c>
    </row>
    <row r="78" spans="2:17" ht="18" customHeight="1">
      <c r="B78" s="202" t="s">
        <v>281</v>
      </c>
      <c r="C78" s="203">
        <f>SUM(C75:C77)</f>
        <v>1</v>
      </c>
      <c r="D78" s="203">
        <f t="shared" ref="D78:E78" si="25">SUM(D75:D77)</f>
        <v>0.99999999999999989</v>
      </c>
      <c r="E78" s="203">
        <f t="shared" si="25"/>
        <v>1</v>
      </c>
      <c r="F78" s="203">
        <f t="shared" ref="F78:J78" si="26">SUM(F75:F77)</f>
        <v>1</v>
      </c>
      <c r="G78" s="203">
        <f t="shared" si="26"/>
        <v>1</v>
      </c>
      <c r="H78" s="203">
        <f t="shared" si="26"/>
        <v>1</v>
      </c>
      <c r="I78" s="203">
        <f t="shared" si="26"/>
        <v>1</v>
      </c>
      <c r="J78" s="203">
        <f t="shared" si="26"/>
        <v>1</v>
      </c>
    </row>
    <row r="81" spans="2:7" ht="18" customHeight="1">
      <c r="B81" s="15" t="s">
        <v>558</v>
      </c>
      <c r="C81" s="411" t="s">
        <v>233</v>
      </c>
      <c r="D81" s="411" t="s">
        <v>234</v>
      </c>
      <c r="E81" s="411" t="s">
        <v>235</v>
      </c>
      <c r="F81" s="211" t="s">
        <v>279</v>
      </c>
      <c r="G81" s="211" t="s">
        <v>280</v>
      </c>
    </row>
    <row r="82" spans="2:7" ht="18" customHeight="1">
      <c r="B82" s="196" t="s">
        <v>237</v>
      </c>
      <c r="C82" s="12"/>
      <c r="D82" s="12">
        <f t="shared" ref="D82:E84" si="27">D68*D75</f>
        <v>-2.0509891679717229E-2</v>
      </c>
      <c r="E82" s="12">
        <f t="shared" si="27"/>
        <v>2.6927638989758248E-2</v>
      </c>
      <c r="F82" s="12">
        <f>AVERAGE(D82:E82)</f>
        <v>3.2088736550205093E-3</v>
      </c>
      <c r="G82" s="12">
        <f>F82/F$85</f>
        <v>9.4871876808368481E-3</v>
      </c>
    </row>
    <row r="83" spans="2:7" ht="18" customHeight="1">
      <c r="B83" s="196" t="s">
        <v>238</v>
      </c>
      <c r="C83" s="12"/>
      <c r="D83" s="12">
        <f t="shared" si="27"/>
        <v>0.36734604520271519</v>
      </c>
      <c r="E83" s="12">
        <f t="shared" si="27"/>
        <v>0.28007524349584167</v>
      </c>
      <c r="F83" s="12">
        <f t="shared" ref="F83:F84" si="28">AVERAGE(D83:E83)</f>
        <v>0.32371064434927843</v>
      </c>
      <c r="G83" s="12">
        <f>F83/F$85</f>
        <v>0.95706592636368659</v>
      </c>
    </row>
    <row r="84" spans="2:7" ht="18" customHeight="1">
      <c r="B84" s="196" t="s">
        <v>88</v>
      </c>
      <c r="C84" s="12"/>
      <c r="D84" s="12">
        <f t="shared" si="27"/>
        <v>-7.2118676739231103E-3</v>
      </c>
      <c r="E84" s="12">
        <f t="shared" si="27"/>
        <v>2.9837504437027058E-2</v>
      </c>
      <c r="F84" s="12">
        <f t="shared" si="28"/>
        <v>1.1312818381551973E-2</v>
      </c>
      <c r="G84" s="12">
        <f>F84/F$85</f>
        <v>3.3446885955476659E-2</v>
      </c>
    </row>
    <row r="85" spans="2:7" ht="18" customHeight="1">
      <c r="B85" s="202" t="s">
        <v>282</v>
      </c>
      <c r="C85" s="203"/>
      <c r="D85" s="203"/>
      <c r="E85" s="203"/>
      <c r="F85" s="203">
        <f>SUM(F82:F84)</f>
        <v>0.33823233638585087</v>
      </c>
      <c r="G85" s="203">
        <f>F85/F$85</f>
        <v>1</v>
      </c>
    </row>
  </sheetData>
  <sheetProtection formatCells="0" formatColumns="0" formatRows="0" insertRows="0"/>
  <mergeCells count="3">
    <mergeCell ref="B9:B11"/>
    <mergeCell ref="B12:B14"/>
    <mergeCell ref="B1:K1"/>
  </mergeCells>
  <phoneticPr fontId="6" type="noConversion"/>
  <pageMargins left="0.75" right="0.75" top="1" bottom="1" header="0.5" footer="0.5"/>
  <pageSetup paperSize="9" orientation="landscape" r:id="rId1"/>
  <headerFooter alignWithMargins="0"/>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tabColor rgb="FFFFFF00"/>
  </sheetPr>
  <dimension ref="A1:W107"/>
  <sheetViews>
    <sheetView topLeftCell="A67" zoomScaleNormal="100" workbookViewId="0">
      <selection activeCell="B35" sqref="B35"/>
    </sheetView>
  </sheetViews>
  <sheetFormatPr defaultColWidth="8.75" defaultRowHeight="18" customHeight="1" outlineLevelRow="1"/>
  <cols>
    <col min="1" max="1" width="3.25" style="14" customWidth="1"/>
    <col min="2" max="2" width="12.5" style="14" customWidth="1"/>
    <col min="3" max="6" width="8.25" style="14" customWidth="1"/>
    <col min="7" max="7" width="8.75" style="14" customWidth="1"/>
    <col min="8" max="8" width="9.5" style="14" customWidth="1"/>
    <col min="9" max="9" width="9.08203125" style="14" customWidth="1"/>
    <col min="10" max="10" width="8.25" style="14" customWidth="1"/>
    <col min="11" max="11" width="8.33203125" style="14" customWidth="1"/>
    <col min="12" max="12" width="8" style="14" customWidth="1"/>
    <col min="13" max="13" width="7.75" style="14" customWidth="1"/>
    <col min="14" max="15" width="9" style="14" customWidth="1"/>
    <col min="16" max="16384" width="8.75" style="14"/>
  </cols>
  <sheetData>
    <row r="1" spans="1:23" ht="26.25" customHeight="1">
      <c r="B1" s="765" t="s">
        <v>446</v>
      </c>
      <c r="C1" s="765"/>
      <c r="D1" s="765"/>
      <c r="E1" s="765"/>
      <c r="F1" s="765"/>
      <c r="G1" s="765"/>
      <c r="H1" s="765"/>
      <c r="I1" s="765"/>
      <c r="J1" s="765"/>
      <c r="K1" s="217"/>
      <c r="L1" s="4"/>
    </row>
    <row r="2" spans="1:23" ht="18" customHeight="1">
      <c r="B2" s="265" t="str">
        <f>'1报表'!B11</f>
        <v>评估基准日：2017/12/31</v>
      </c>
      <c r="E2" s="437"/>
      <c r="G2" s="79"/>
      <c r="H2" s="79"/>
      <c r="I2" s="79"/>
      <c r="J2" s="79"/>
      <c r="K2" s="4"/>
      <c r="M2" s="36"/>
      <c r="N2" s="36"/>
      <c r="O2" s="36"/>
      <c r="P2" s="36"/>
      <c r="Q2" s="36"/>
    </row>
    <row r="3" spans="1:23" ht="18" customHeight="1">
      <c r="B3" s="265" t="str">
        <f>'1报表'!B12</f>
        <v>被评估单位：JSBD公司</v>
      </c>
      <c r="D3" s="4"/>
      <c r="E3" s="4"/>
      <c r="F3" s="20"/>
      <c r="G3" s="4"/>
      <c r="J3" s="19" t="s">
        <v>52</v>
      </c>
      <c r="K3" s="4"/>
      <c r="L3" s="4"/>
      <c r="M3" s="40"/>
      <c r="N3" s="40"/>
      <c r="O3" s="40"/>
      <c r="P3" s="40"/>
      <c r="Q3" s="40"/>
      <c r="R3" s="40"/>
      <c r="S3" s="40"/>
      <c r="T3" s="40"/>
      <c r="U3" s="40"/>
      <c r="V3" s="40"/>
      <c r="W3" s="40"/>
    </row>
    <row r="4" spans="1:23" ht="21.65" customHeight="1">
      <c r="B4" s="28" t="s">
        <v>90</v>
      </c>
      <c r="C4" s="69" t="str">
        <f>'3收入'!C4</f>
        <v>2015年</v>
      </c>
      <c r="D4" s="69" t="str">
        <f>'3收入'!D4</f>
        <v>2016年</v>
      </c>
      <c r="E4" s="69" t="str">
        <f>'3收入'!E4</f>
        <v>2017年</v>
      </c>
      <c r="F4" s="27" t="str">
        <f>'3收入'!F4</f>
        <v>2018年</v>
      </c>
      <c r="G4" s="27" t="str">
        <f>'3收入'!G4</f>
        <v>2019年</v>
      </c>
      <c r="H4" s="27" t="str">
        <f>'3收入'!H4</f>
        <v>2020年</v>
      </c>
      <c r="I4" s="27" t="str">
        <f>'3收入'!I4</f>
        <v>2021年</v>
      </c>
      <c r="J4" s="27" t="str">
        <f>'3收入'!J4</f>
        <v>2022年</v>
      </c>
      <c r="K4" s="4"/>
      <c r="L4" s="4"/>
    </row>
    <row r="5" spans="1:23" ht="19.899999999999999" customHeight="1">
      <c r="B5" s="698" t="s">
        <v>289</v>
      </c>
      <c r="C5" s="699">
        <f>'1报表'!C98</f>
        <v>3450.9961680000001</v>
      </c>
      <c r="D5" s="699">
        <f>'1报表'!D98</f>
        <v>4625.6862350000001</v>
      </c>
      <c r="E5" s="699">
        <f>'1报表'!E98</f>
        <v>5762.985987</v>
      </c>
      <c r="F5" s="699">
        <f>F106</f>
        <v>7161.2863923525301</v>
      </c>
      <c r="G5" s="699">
        <f t="shared" ref="G5:J5" si="0">G106</f>
        <v>8484.8302612322768</v>
      </c>
      <c r="H5" s="699">
        <f t="shared" si="0"/>
        <v>9537.7079476886865</v>
      </c>
      <c r="I5" s="699">
        <f t="shared" si="0"/>
        <v>10117.873621566348</v>
      </c>
      <c r="J5" s="699">
        <f t="shared" si="0"/>
        <v>10334.670698915863</v>
      </c>
      <c r="K5" s="4"/>
      <c r="L5" s="4"/>
    </row>
    <row r="6" spans="1:23" ht="18" customHeight="1">
      <c r="A6" s="16"/>
      <c r="B6" s="218" t="s">
        <v>104</v>
      </c>
      <c r="C6" s="47">
        <f>'3收入'!C5</f>
        <v>5647.5608560000001</v>
      </c>
      <c r="D6" s="47">
        <f>'3收入'!D5</f>
        <v>7304.7745279999999</v>
      </c>
      <c r="E6" s="47">
        <f>'3收入'!E5</f>
        <v>9615.5763319999987</v>
      </c>
      <c r="F6" s="47">
        <f>'3收入'!F5</f>
        <v>11935.47732058755</v>
      </c>
      <c r="G6" s="47">
        <f>'3收入'!G5</f>
        <v>14141.383768720463</v>
      </c>
      <c r="H6" s="47">
        <f>'3收入'!H5</f>
        <v>15896.179912814478</v>
      </c>
      <c r="I6" s="47">
        <f>'3收入'!I5</f>
        <v>16863.122702610581</v>
      </c>
      <c r="J6" s="47">
        <f>'3收入'!J5</f>
        <v>17224.451164859773</v>
      </c>
      <c r="K6" s="4"/>
      <c r="L6" s="4"/>
    </row>
    <row r="7" spans="1:23" ht="18" customHeight="1">
      <c r="A7" s="16"/>
      <c r="B7" s="218" t="s">
        <v>385</v>
      </c>
      <c r="C7" s="310">
        <f>IF(C6,(C6-C5)/C6,"na")</f>
        <v>0.38894041941422508</v>
      </c>
      <c r="D7" s="310">
        <f t="shared" ref="D7:J7" si="1">IF(D6,(D6-D5)/D6,"na")</f>
        <v>0.3667585197504401</v>
      </c>
      <c r="E7" s="310">
        <f>IF(E6,(E6-E5)/E6,"na")</f>
        <v>0.40066140728131233</v>
      </c>
      <c r="F7" s="310">
        <f t="shared" ref="F7:H7" si="2">IF(F6,(F6-F5)/F6,"na")</f>
        <v>0.39999999999999997</v>
      </c>
      <c r="G7" s="310">
        <f t="shared" si="2"/>
        <v>0.40000000000000008</v>
      </c>
      <c r="H7" s="310">
        <f t="shared" si="2"/>
        <v>0.4</v>
      </c>
      <c r="I7" s="310">
        <f t="shared" si="1"/>
        <v>0.4</v>
      </c>
      <c r="J7" s="310">
        <f t="shared" si="1"/>
        <v>0.4</v>
      </c>
      <c r="K7" s="4"/>
      <c r="L7" s="4"/>
    </row>
    <row r="8" spans="1:23" ht="18" customHeight="1" thickBot="1">
      <c r="B8" s="346" t="s">
        <v>932</v>
      </c>
      <c r="C8" s="220"/>
      <c r="D8" s="220"/>
      <c r="E8" s="220"/>
      <c r="F8" s="220"/>
      <c r="G8" s="220"/>
      <c r="H8" s="220"/>
      <c r="I8" s="220"/>
      <c r="J8" s="220"/>
    </row>
    <row r="9" spans="1:23" ht="18" customHeight="1" outlineLevel="1">
      <c r="B9" s="725" t="s">
        <v>926</v>
      </c>
      <c r="C9" s="322" t="str">
        <f t="shared" ref="C9:J9" si="3">C4</f>
        <v>2015年</v>
      </c>
      <c r="D9" s="322" t="str">
        <f t="shared" si="3"/>
        <v>2016年</v>
      </c>
      <c r="E9" s="322" t="str">
        <f t="shared" si="3"/>
        <v>2017年</v>
      </c>
      <c r="F9" s="323" t="str">
        <f t="shared" si="3"/>
        <v>2018年</v>
      </c>
      <c r="G9" s="324" t="str">
        <f t="shared" si="3"/>
        <v>2019年</v>
      </c>
      <c r="H9" s="324" t="str">
        <f t="shared" si="3"/>
        <v>2020年</v>
      </c>
      <c r="I9" s="324" t="str">
        <f t="shared" si="3"/>
        <v>2021年</v>
      </c>
      <c r="J9" s="324" t="str">
        <f t="shared" si="3"/>
        <v>2022年</v>
      </c>
      <c r="L9" s="483" t="s">
        <v>177</v>
      </c>
    </row>
    <row r="10" spans="1:23" ht="18" customHeight="1" outlineLevel="1">
      <c r="B10" s="88" t="s">
        <v>681</v>
      </c>
      <c r="C10" s="353"/>
      <c r="D10" s="353"/>
      <c r="E10" s="353"/>
      <c r="F10" s="353"/>
      <c r="G10" s="353"/>
      <c r="H10" s="353"/>
      <c r="I10" s="353"/>
      <c r="J10" s="353"/>
      <c r="L10" s="484" t="s">
        <v>140</v>
      </c>
    </row>
    <row r="11" spans="1:23" ht="18" customHeight="1" outlineLevel="1">
      <c r="B11" s="219" t="s">
        <v>387</v>
      </c>
      <c r="C11" s="317">
        <f>IF(C6,C10/C6,"na")</f>
        <v>0</v>
      </c>
      <c r="D11" s="317">
        <f>IF(D6,D10/D6,"na")</f>
        <v>0</v>
      </c>
      <c r="E11" s="319">
        <f>IF(E6,E10/E6,"na")</f>
        <v>0</v>
      </c>
      <c r="F11" s="223"/>
      <c r="G11" s="223"/>
      <c r="H11" s="223"/>
      <c r="I11" s="223"/>
      <c r="J11" s="223"/>
      <c r="L11" s="484" t="s">
        <v>141</v>
      </c>
    </row>
    <row r="12" spans="1:23" ht="18" customHeight="1" outlineLevel="1">
      <c r="B12" s="21" t="str">
        <f>B10</f>
        <v>原材料</v>
      </c>
      <c r="C12" s="49">
        <f t="shared" ref="C12:D12" si="4">C10</f>
        <v>0</v>
      </c>
      <c r="D12" s="49">
        <f t="shared" si="4"/>
        <v>0</v>
      </c>
      <c r="E12" s="49">
        <f>E10</f>
        <v>0</v>
      </c>
      <c r="F12" s="49">
        <f t="shared" ref="F12:J12" si="5">IF(F10,F10,F11*F6)</f>
        <v>0</v>
      </c>
      <c r="G12" s="49">
        <f t="shared" si="5"/>
        <v>0</v>
      </c>
      <c r="H12" s="49">
        <f t="shared" si="5"/>
        <v>0</v>
      </c>
      <c r="I12" s="49">
        <f t="shared" si="5"/>
        <v>0</v>
      </c>
      <c r="J12" s="49">
        <f t="shared" si="5"/>
        <v>0</v>
      </c>
      <c r="L12" s="160" t="s">
        <v>672</v>
      </c>
    </row>
    <row r="13" spans="1:23" ht="18" customHeight="1" outlineLevel="1" thickBot="1">
      <c r="B13" s="220" t="s">
        <v>99</v>
      </c>
      <c r="C13" s="50"/>
      <c r="D13" s="50"/>
      <c r="E13" s="320"/>
      <c r="F13" s="347">
        <f t="shared" ref="F13:J13" si="6">IF(F6,F12/F6,"na")</f>
        <v>0</v>
      </c>
      <c r="G13" s="347">
        <f t="shared" si="6"/>
        <v>0</v>
      </c>
      <c r="H13" s="347">
        <f t="shared" si="6"/>
        <v>0</v>
      </c>
      <c r="I13" s="347">
        <f t="shared" si="6"/>
        <v>0</v>
      </c>
      <c r="J13" s="347">
        <f t="shared" si="6"/>
        <v>0</v>
      </c>
    </row>
    <row r="14" spans="1:23" ht="18" customHeight="1" outlineLevel="1" thickBot="1">
      <c r="B14" s="344"/>
      <c r="C14" s="344"/>
      <c r="D14" s="344"/>
      <c r="E14" s="344"/>
      <c r="F14" s="344"/>
      <c r="G14" s="344"/>
      <c r="H14" s="344"/>
      <c r="I14" s="344"/>
      <c r="J14" s="344"/>
    </row>
    <row r="15" spans="1:23" ht="18" customHeight="1" outlineLevel="1">
      <c r="B15" s="725" t="s">
        <v>927</v>
      </c>
      <c r="C15" s="322" t="str">
        <f t="shared" ref="C15:J15" si="7">C4</f>
        <v>2015年</v>
      </c>
      <c r="D15" s="322" t="str">
        <f t="shared" si="7"/>
        <v>2016年</v>
      </c>
      <c r="E15" s="322" t="str">
        <f t="shared" si="7"/>
        <v>2017年</v>
      </c>
      <c r="F15" s="323" t="str">
        <f t="shared" si="7"/>
        <v>2018年</v>
      </c>
      <c r="G15" s="324" t="str">
        <f t="shared" si="7"/>
        <v>2019年</v>
      </c>
      <c r="H15" s="324" t="str">
        <f t="shared" si="7"/>
        <v>2020年</v>
      </c>
      <c r="I15" s="324" t="str">
        <f t="shared" si="7"/>
        <v>2021年</v>
      </c>
      <c r="J15" s="324" t="str">
        <f t="shared" si="7"/>
        <v>2022年</v>
      </c>
    </row>
    <row r="16" spans="1:23" ht="18" customHeight="1" outlineLevel="1">
      <c r="B16" s="88" t="s">
        <v>682</v>
      </c>
      <c r="C16" s="353"/>
      <c r="D16" s="353"/>
      <c r="E16" s="353"/>
      <c r="F16" s="353"/>
      <c r="G16" s="353"/>
      <c r="H16" s="353"/>
      <c r="I16" s="353"/>
      <c r="J16" s="353"/>
    </row>
    <row r="17" spans="2:10" ht="18" customHeight="1" outlineLevel="1">
      <c r="B17" s="219" t="s">
        <v>387</v>
      </c>
      <c r="C17" s="317">
        <f>IF(C6,C16/C6,"na")</f>
        <v>0</v>
      </c>
      <c r="D17" s="317">
        <f>IF(D6,D16/D6,"na")</f>
        <v>0</v>
      </c>
      <c r="E17" s="317">
        <f>IF(E6,E16/E6,"na")</f>
        <v>0</v>
      </c>
      <c r="F17" s="223"/>
      <c r="G17" s="223"/>
      <c r="H17" s="223"/>
      <c r="I17" s="223"/>
      <c r="J17" s="223"/>
    </row>
    <row r="18" spans="2:10" ht="18" customHeight="1" outlineLevel="1">
      <c r="B18" s="21" t="str">
        <f>B16</f>
        <v>燃料及动力</v>
      </c>
      <c r="C18" s="90">
        <f>C16</f>
        <v>0</v>
      </c>
      <c r="D18" s="90">
        <f t="shared" ref="D18:E18" si="8">D16</f>
        <v>0</v>
      </c>
      <c r="E18" s="90">
        <f t="shared" si="8"/>
        <v>0</v>
      </c>
      <c r="F18" s="49">
        <f t="shared" ref="F18:J18" si="9">IF(F16,F16,F17*F6)</f>
        <v>0</v>
      </c>
      <c r="G18" s="49">
        <f t="shared" si="9"/>
        <v>0</v>
      </c>
      <c r="H18" s="49">
        <f t="shared" si="9"/>
        <v>0</v>
      </c>
      <c r="I18" s="49">
        <f t="shared" si="9"/>
        <v>0</v>
      </c>
      <c r="J18" s="49">
        <f t="shared" si="9"/>
        <v>0</v>
      </c>
    </row>
    <row r="19" spans="2:10" ht="18" customHeight="1" outlineLevel="1" thickBot="1">
      <c r="B19" s="220" t="s">
        <v>99</v>
      </c>
      <c r="C19" s="50"/>
      <c r="D19" s="50"/>
      <c r="E19" s="320"/>
      <c r="F19" s="347">
        <f t="shared" ref="F19:J19" si="10">IF(F6,F18/F6,"na")</f>
        <v>0</v>
      </c>
      <c r="G19" s="347">
        <f t="shared" si="10"/>
        <v>0</v>
      </c>
      <c r="H19" s="347">
        <f t="shared" si="10"/>
        <v>0</v>
      </c>
      <c r="I19" s="347">
        <f t="shared" si="10"/>
        <v>0</v>
      </c>
      <c r="J19" s="347">
        <f t="shared" si="10"/>
        <v>0</v>
      </c>
    </row>
    <row r="20" spans="2:10" ht="18" customHeight="1" outlineLevel="1" thickBot="1">
      <c r="B20" s="344"/>
      <c r="C20" s="344"/>
      <c r="D20" s="344"/>
      <c r="E20" s="344"/>
      <c r="F20" s="344"/>
      <c r="G20" s="344"/>
      <c r="H20" s="344"/>
      <c r="I20" s="344"/>
      <c r="J20" s="344"/>
    </row>
    <row r="21" spans="2:10" ht="18" customHeight="1" outlineLevel="1">
      <c r="B21" s="725" t="s">
        <v>928</v>
      </c>
      <c r="C21" s="322" t="str">
        <f t="shared" ref="C21:J21" si="11">C4</f>
        <v>2015年</v>
      </c>
      <c r="D21" s="322" t="str">
        <f t="shared" si="11"/>
        <v>2016年</v>
      </c>
      <c r="E21" s="322" t="str">
        <f t="shared" si="11"/>
        <v>2017年</v>
      </c>
      <c r="F21" s="323" t="str">
        <f t="shared" si="11"/>
        <v>2018年</v>
      </c>
      <c r="G21" s="324" t="str">
        <f t="shared" si="11"/>
        <v>2019年</v>
      </c>
      <c r="H21" s="324" t="str">
        <f t="shared" si="11"/>
        <v>2020年</v>
      </c>
      <c r="I21" s="324" t="str">
        <f t="shared" si="11"/>
        <v>2021年</v>
      </c>
      <c r="J21" s="324" t="str">
        <f t="shared" si="11"/>
        <v>2022年</v>
      </c>
    </row>
    <row r="22" spans="2:10" ht="18" customHeight="1" outlineLevel="1">
      <c r="B22" s="88" t="s">
        <v>925</v>
      </c>
      <c r="C22" s="353"/>
      <c r="D22" s="353"/>
      <c r="E22" s="353"/>
      <c r="F22" s="353"/>
      <c r="G22" s="353"/>
      <c r="H22" s="353"/>
      <c r="I22" s="353"/>
      <c r="J22" s="353"/>
    </row>
    <row r="23" spans="2:10" ht="18" customHeight="1" outlineLevel="1">
      <c r="B23" s="219" t="s">
        <v>387</v>
      </c>
      <c r="C23" s="317">
        <f>IF(C6,C22/C6,"na")</f>
        <v>0</v>
      </c>
      <c r="D23" s="317">
        <f>IF(D6,D22/D6,"na")</f>
        <v>0</v>
      </c>
      <c r="E23" s="317">
        <f>IF(E6,E22/E6,"na")</f>
        <v>0</v>
      </c>
      <c r="F23" s="223"/>
      <c r="G23" s="223"/>
      <c r="H23" s="223"/>
      <c r="I23" s="223"/>
      <c r="J23" s="223"/>
    </row>
    <row r="24" spans="2:10" ht="18" customHeight="1" outlineLevel="1">
      <c r="B24" s="21" t="str">
        <f>B22</f>
        <v>生产人员工资及附加</v>
      </c>
      <c r="C24" s="49">
        <f t="shared" ref="C24:D24" si="12">C22</f>
        <v>0</v>
      </c>
      <c r="D24" s="49">
        <f t="shared" si="12"/>
        <v>0</v>
      </c>
      <c r="E24" s="49">
        <f>E22</f>
        <v>0</v>
      </c>
      <c r="F24" s="49">
        <f t="shared" ref="F24:J24" si="13">IF(F22,F22,F23*F6)</f>
        <v>0</v>
      </c>
      <c r="G24" s="49">
        <f t="shared" si="13"/>
        <v>0</v>
      </c>
      <c r="H24" s="49">
        <f t="shared" si="13"/>
        <v>0</v>
      </c>
      <c r="I24" s="49">
        <f t="shared" si="13"/>
        <v>0</v>
      </c>
      <c r="J24" s="49">
        <f t="shared" si="13"/>
        <v>0</v>
      </c>
    </row>
    <row r="25" spans="2:10" ht="18" customHeight="1" outlineLevel="1" thickBot="1">
      <c r="B25" s="220" t="s">
        <v>99</v>
      </c>
      <c r="C25" s="50"/>
      <c r="D25" s="50"/>
      <c r="E25" s="320"/>
      <c r="F25" s="347">
        <f t="shared" ref="F25:J25" si="14">IF(F6,F24/F6,"na")</f>
        <v>0</v>
      </c>
      <c r="G25" s="347">
        <f t="shared" si="14"/>
        <v>0</v>
      </c>
      <c r="H25" s="347">
        <f t="shared" si="14"/>
        <v>0</v>
      </c>
      <c r="I25" s="347">
        <f t="shared" si="14"/>
        <v>0</v>
      </c>
      <c r="J25" s="347">
        <f t="shared" si="14"/>
        <v>0</v>
      </c>
    </row>
    <row r="26" spans="2:10" ht="18" customHeight="1" outlineLevel="1" thickBot="1">
      <c r="B26" s="344"/>
      <c r="C26" s="344"/>
      <c r="D26" s="344"/>
      <c r="E26" s="344"/>
      <c r="F26" s="344"/>
      <c r="G26" s="344"/>
      <c r="H26" s="344"/>
      <c r="I26" s="344"/>
      <c r="J26" s="344"/>
    </row>
    <row r="27" spans="2:10" ht="18" customHeight="1" outlineLevel="1">
      <c r="B27" s="725" t="s">
        <v>929</v>
      </c>
      <c r="C27" s="322" t="str">
        <f t="shared" ref="C27:J27" si="15">C4</f>
        <v>2015年</v>
      </c>
      <c r="D27" s="322" t="str">
        <f t="shared" si="15"/>
        <v>2016年</v>
      </c>
      <c r="E27" s="322" t="str">
        <f t="shared" si="15"/>
        <v>2017年</v>
      </c>
      <c r="F27" s="323" t="str">
        <f t="shared" si="15"/>
        <v>2018年</v>
      </c>
      <c r="G27" s="324" t="str">
        <f t="shared" si="15"/>
        <v>2019年</v>
      </c>
      <c r="H27" s="324" t="str">
        <f t="shared" si="15"/>
        <v>2020年</v>
      </c>
      <c r="I27" s="324" t="str">
        <f t="shared" si="15"/>
        <v>2021年</v>
      </c>
      <c r="J27" s="324" t="str">
        <f t="shared" si="15"/>
        <v>2022年</v>
      </c>
    </row>
    <row r="28" spans="2:10" ht="18" customHeight="1" outlineLevel="1">
      <c r="B28" s="88" t="s">
        <v>693</v>
      </c>
      <c r="C28" s="353"/>
      <c r="D28" s="353"/>
      <c r="E28" s="353"/>
      <c r="F28" s="149">
        <f>'7折旧'!F5</f>
        <v>538.77119999999991</v>
      </c>
      <c r="G28" s="149">
        <f>'7折旧'!G5</f>
        <v>572.29919999999981</v>
      </c>
      <c r="H28" s="149">
        <f>'7折旧'!H5</f>
        <v>299.27709544260011</v>
      </c>
      <c r="I28" s="149">
        <f>'7折旧'!I5</f>
        <v>147.1880688542</v>
      </c>
      <c r="J28" s="149">
        <f>'7折旧'!J5</f>
        <v>156.8680688542</v>
      </c>
    </row>
    <row r="29" spans="2:10" ht="18" customHeight="1" outlineLevel="1" thickBot="1">
      <c r="B29" s="219" t="s">
        <v>387</v>
      </c>
      <c r="C29" s="317">
        <f>IF(C6,C28/C6,"na")</f>
        <v>0</v>
      </c>
      <c r="D29" s="317">
        <f>IF(D6,D28/D6,"na")</f>
        <v>0</v>
      </c>
      <c r="E29" s="317">
        <f>IF(E6,E28/E6,"na")</f>
        <v>0</v>
      </c>
      <c r="F29" s="317">
        <f t="shared" ref="F29:J29" si="16">IF(F6,F28/F6,"na")</f>
        <v>4.5140314503440214E-2</v>
      </c>
      <c r="G29" s="317">
        <f t="shared" si="16"/>
        <v>4.046981606325379E-2</v>
      </c>
      <c r="H29" s="317">
        <f t="shared" si="16"/>
        <v>1.882698214816644E-2</v>
      </c>
      <c r="I29" s="317">
        <f t="shared" si="16"/>
        <v>8.728399327332997E-3</v>
      </c>
      <c r="J29" s="317">
        <f t="shared" si="16"/>
        <v>9.107289826118364E-3</v>
      </c>
    </row>
    <row r="30" spans="2:10" ht="18" customHeight="1" outlineLevel="1" thickBot="1">
      <c r="B30" s="344"/>
      <c r="C30" s="344"/>
      <c r="D30" s="344"/>
      <c r="E30" s="344"/>
      <c r="F30" s="344"/>
      <c r="G30" s="344"/>
      <c r="H30" s="344"/>
      <c r="I30" s="344"/>
      <c r="J30" s="344"/>
    </row>
    <row r="31" spans="2:10" ht="18" customHeight="1" outlineLevel="1">
      <c r="B31" s="725" t="s">
        <v>930</v>
      </c>
      <c r="C31" s="322" t="str">
        <f t="shared" ref="C31:J31" si="17">C4</f>
        <v>2015年</v>
      </c>
      <c r="D31" s="322" t="str">
        <f t="shared" si="17"/>
        <v>2016年</v>
      </c>
      <c r="E31" s="322" t="str">
        <f t="shared" si="17"/>
        <v>2017年</v>
      </c>
      <c r="F31" s="323" t="str">
        <f t="shared" si="17"/>
        <v>2018年</v>
      </c>
      <c r="G31" s="324" t="str">
        <f t="shared" si="17"/>
        <v>2019年</v>
      </c>
      <c r="H31" s="324" t="str">
        <f t="shared" si="17"/>
        <v>2020年</v>
      </c>
      <c r="I31" s="324" t="str">
        <f t="shared" si="17"/>
        <v>2021年</v>
      </c>
      <c r="J31" s="324" t="str">
        <f t="shared" si="17"/>
        <v>2022年</v>
      </c>
    </row>
    <row r="32" spans="2:10" ht="18" customHeight="1" outlineLevel="1">
      <c r="B32" s="88" t="s">
        <v>683</v>
      </c>
      <c r="C32" s="353"/>
      <c r="D32" s="353"/>
      <c r="E32" s="353"/>
      <c r="F32" s="353"/>
      <c r="G32" s="353"/>
      <c r="H32" s="353"/>
      <c r="I32" s="353"/>
      <c r="J32" s="353"/>
    </row>
    <row r="33" spans="2:12" ht="18" customHeight="1" outlineLevel="1">
      <c r="B33" s="219" t="s">
        <v>387</v>
      </c>
      <c r="C33" s="317">
        <f>IF(C6,C32/C6,"na")</f>
        <v>0</v>
      </c>
      <c r="D33" s="317">
        <f>IF(D6,D32/D6,"na")</f>
        <v>0</v>
      </c>
      <c r="E33" s="317">
        <f>IF(E6,E32/E6,"na")</f>
        <v>0</v>
      </c>
      <c r="F33" s="223"/>
      <c r="G33" s="223"/>
      <c r="H33" s="223"/>
      <c r="I33" s="223"/>
      <c r="J33" s="223"/>
    </row>
    <row r="34" spans="2:12" ht="18" customHeight="1" outlineLevel="1">
      <c r="B34" s="21" t="str">
        <f>B32</f>
        <v>其他</v>
      </c>
      <c r="C34" s="90">
        <f>C32</f>
        <v>0</v>
      </c>
      <c r="D34" s="90">
        <f t="shared" ref="D34:E34" si="18">D32</f>
        <v>0</v>
      </c>
      <c r="E34" s="90">
        <f t="shared" si="18"/>
        <v>0</v>
      </c>
      <c r="F34" s="49">
        <f t="shared" ref="F34:J34" si="19">IF(F32,F32,F33*F6)</f>
        <v>0</v>
      </c>
      <c r="G34" s="49">
        <f t="shared" si="19"/>
        <v>0</v>
      </c>
      <c r="H34" s="49">
        <f t="shared" si="19"/>
        <v>0</v>
      </c>
      <c r="I34" s="49">
        <f t="shared" si="19"/>
        <v>0</v>
      </c>
      <c r="J34" s="49">
        <f t="shared" si="19"/>
        <v>0</v>
      </c>
    </row>
    <row r="35" spans="2:12" ht="18" customHeight="1" outlineLevel="1" thickBot="1">
      <c r="B35" s="220" t="s">
        <v>99</v>
      </c>
      <c r="C35" s="50"/>
      <c r="D35" s="50"/>
      <c r="E35" s="320"/>
      <c r="F35" s="347">
        <f t="shared" ref="F35:J35" si="20">IF(F6,F34/F6,"na")</f>
        <v>0</v>
      </c>
      <c r="G35" s="347">
        <f t="shared" si="20"/>
        <v>0</v>
      </c>
      <c r="H35" s="347">
        <f t="shared" si="20"/>
        <v>0</v>
      </c>
      <c r="I35" s="347">
        <f t="shared" si="20"/>
        <v>0</v>
      </c>
      <c r="J35" s="347">
        <f t="shared" si="20"/>
        <v>0</v>
      </c>
    </row>
    <row r="36" spans="2:12" ht="18" customHeight="1" outlineLevel="1" thickBot="1">
      <c r="B36" s="344"/>
      <c r="C36" s="344"/>
      <c r="D36" s="344"/>
      <c r="E36" s="355"/>
      <c r="F36" s="344"/>
      <c r="G36" s="344"/>
      <c r="H36" s="344"/>
      <c r="I36" s="344"/>
      <c r="J36" s="344"/>
    </row>
    <row r="37" spans="2:12" ht="18" customHeight="1" outlineLevel="1">
      <c r="B37" s="725" t="s">
        <v>924</v>
      </c>
      <c r="C37" s="322" t="str">
        <f t="shared" ref="C37:J37" si="21">C4</f>
        <v>2015年</v>
      </c>
      <c r="D37" s="322" t="str">
        <f t="shared" si="21"/>
        <v>2016年</v>
      </c>
      <c r="E37" s="356" t="str">
        <f t="shared" si="21"/>
        <v>2017年</v>
      </c>
      <c r="F37" s="354" t="str">
        <f t="shared" si="21"/>
        <v>2018年</v>
      </c>
      <c r="G37" s="324" t="str">
        <f t="shared" si="21"/>
        <v>2019年</v>
      </c>
      <c r="H37" s="324" t="str">
        <f t="shared" si="21"/>
        <v>2020年</v>
      </c>
      <c r="I37" s="324" t="str">
        <f t="shared" si="21"/>
        <v>2021年</v>
      </c>
      <c r="J37" s="324" t="str">
        <f t="shared" si="21"/>
        <v>2022年</v>
      </c>
    </row>
    <row r="38" spans="2:12" ht="18" customHeight="1" outlineLevel="1">
      <c r="B38" s="88" t="s">
        <v>388</v>
      </c>
      <c r="C38" s="90">
        <f>C12+C18+C24+C28+C34</f>
        <v>0</v>
      </c>
      <c r="D38" s="90">
        <f t="shared" ref="D38:J38" si="22">D12+D18+D24+D28+D34</f>
        <v>0</v>
      </c>
      <c r="E38" s="90">
        <f t="shared" si="22"/>
        <v>0</v>
      </c>
      <c r="F38" s="90">
        <f t="shared" si="22"/>
        <v>538.77119999999991</v>
      </c>
      <c r="G38" s="90">
        <f>G12+G18+G24+G28+G34</f>
        <v>572.29919999999981</v>
      </c>
      <c r="H38" s="90">
        <f t="shared" si="22"/>
        <v>299.27709544260011</v>
      </c>
      <c r="I38" s="90">
        <f t="shared" si="22"/>
        <v>147.1880688542</v>
      </c>
      <c r="J38" s="90">
        <f t="shared" si="22"/>
        <v>156.8680688542</v>
      </c>
    </row>
    <row r="39" spans="2:12" ht="18" customHeight="1" outlineLevel="1">
      <c r="B39" s="219" t="s">
        <v>387</v>
      </c>
      <c r="C39" s="317">
        <f t="shared" ref="C39:J39" si="23">IF(C6,C38/C6,"na")</f>
        <v>0</v>
      </c>
      <c r="D39" s="317">
        <f t="shared" si="23"/>
        <v>0</v>
      </c>
      <c r="E39" s="319">
        <f t="shared" si="23"/>
        <v>0</v>
      </c>
      <c r="F39" s="417">
        <f t="shared" si="23"/>
        <v>4.5140314503440214E-2</v>
      </c>
      <c r="G39" s="417">
        <f t="shared" si="23"/>
        <v>4.046981606325379E-2</v>
      </c>
      <c r="H39" s="417">
        <f t="shared" si="23"/>
        <v>1.882698214816644E-2</v>
      </c>
      <c r="I39" s="417">
        <f t="shared" si="23"/>
        <v>8.728399327332997E-3</v>
      </c>
      <c r="J39" s="417">
        <f t="shared" si="23"/>
        <v>9.107289826118364E-3</v>
      </c>
    </row>
    <row r="40" spans="2:12" ht="18" customHeight="1" outlineLevel="1" thickBot="1">
      <c r="B40" s="224" t="s">
        <v>389</v>
      </c>
      <c r="C40" s="347">
        <f t="shared" ref="C40:J40" si="24">IF(C6,1-C39,"na")</f>
        <v>1</v>
      </c>
      <c r="D40" s="347">
        <f t="shared" si="24"/>
        <v>1</v>
      </c>
      <c r="E40" s="348">
        <f t="shared" si="24"/>
        <v>1</v>
      </c>
      <c r="F40" s="347">
        <f t="shared" si="24"/>
        <v>0.95485968549655975</v>
      </c>
      <c r="G40" s="347">
        <f t="shared" si="24"/>
        <v>0.95953018393674616</v>
      </c>
      <c r="H40" s="347">
        <f t="shared" si="24"/>
        <v>0.98117301785183353</v>
      </c>
      <c r="I40" s="347">
        <f t="shared" si="24"/>
        <v>0.99127160067266695</v>
      </c>
      <c r="J40" s="347">
        <f t="shared" si="24"/>
        <v>0.99089271017388159</v>
      </c>
    </row>
    <row r="41" spans="2:12" ht="18" customHeight="1">
      <c r="C41" s="23"/>
      <c r="D41" s="23"/>
      <c r="F41" s="368"/>
      <c r="G41" s="21"/>
    </row>
    <row r="42" spans="2:12" ht="18" customHeight="1">
      <c r="B42" s="555" t="s">
        <v>931</v>
      </c>
      <c r="F42" s="160" t="s">
        <v>670</v>
      </c>
    </row>
    <row r="43" spans="2:12" ht="18" customHeight="1" outlineLevel="1">
      <c r="B43" s="211" t="s">
        <v>80</v>
      </c>
      <c r="C43" s="61" t="str">
        <f t="shared" ref="C43:J43" si="25">C4</f>
        <v>2015年</v>
      </c>
      <c r="D43" s="358" t="str">
        <f t="shared" si="25"/>
        <v>2016年</v>
      </c>
      <c r="E43" s="61" t="str">
        <f t="shared" si="25"/>
        <v>2017年</v>
      </c>
      <c r="F43" s="30" t="str">
        <f t="shared" si="25"/>
        <v>2018年</v>
      </c>
      <c r="G43" s="30" t="str">
        <f t="shared" si="25"/>
        <v>2019年</v>
      </c>
      <c r="H43" s="30" t="str">
        <f t="shared" si="25"/>
        <v>2020年</v>
      </c>
      <c r="I43" s="30" t="str">
        <f t="shared" si="25"/>
        <v>2021年</v>
      </c>
      <c r="J43" s="30" t="str">
        <f t="shared" si="25"/>
        <v>2022年</v>
      </c>
      <c r="L43" s="21"/>
    </row>
    <row r="44" spans="2:12" ht="18" customHeight="1" outlineLevel="1">
      <c r="B44" s="3" t="s">
        <v>390</v>
      </c>
      <c r="C44" s="161"/>
      <c r="D44" s="360"/>
      <c r="E44" s="161"/>
      <c r="F44" s="359"/>
      <c r="G44" s="161"/>
      <c r="H44" s="161"/>
      <c r="I44" s="161"/>
      <c r="J44" s="161"/>
    </row>
    <row r="45" spans="2:12" ht="18" customHeight="1" outlineLevel="1">
      <c r="B45" s="3" t="s">
        <v>391</v>
      </c>
      <c r="C45" s="161"/>
      <c r="D45" s="360"/>
      <c r="E45" s="161"/>
      <c r="F45" s="359"/>
      <c r="G45" s="161"/>
      <c r="H45" s="161"/>
      <c r="I45" s="161"/>
      <c r="J45" s="161"/>
    </row>
    <row r="46" spans="2:12" ht="18" customHeight="1" outlineLevel="1">
      <c r="B46" s="3" t="s">
        <v>392</v>
      </c>
      <c r="C46" s="161"/>
      <c r="D46" s="360"/>
      <c r="E46" s="161"/>
      <c r="F46" s="359"/>
      <c r="G46" s="161"/>
      <c r="H46" s="161"/>
      <c r="I46" s="161"/>
      <c r="J46" s="161"/>
    </row>
    <row r="47" spans="2:12" ht="18" customHeight="1" outlineLevel="1">
      <c r="B47" s="357" t="s">
        <v>178</v>
      </c>
      <c r="C47" s="161">
        <f t="shared" ref="C47:J47" si="26">IF(C6,(C6-C5)/C6,"na")</f>
        <v>0.38894041941422508</v>
      </c>
      <c r="D47" s="161">
        <f t="shared" si="26"/>
        <v>0.3667585197504401</v>
      </c>
      <c r="E47" s="161">
        <f t="shared" si="26"/>
        <v>0.40066140728131233</v>
      </c>
      <c r="F47" s="161">
        <f t="shared" si="26"/>
        <v>0.39999999999999997</v>
      </c>
      <c r="G47" s="161">
        <f t="shared" si="26"/>
        <v>0.40000000000000008</v>
      </c>
      <c r="H47" s="161">
        <f t="shared" si="26"/>
        <v>0.4</v>
      </c>
      <c r="I47" s="161">
        <f t="shared" si="26"/>
        <v>0.4</v>
      </c>
      <c r="J47" s="161">
        <f t="shared" si="26"/>
        <v>0.4</v>
      </c>
    </row>
    <row r="49" spans="2:17" ht="18" customHeight="1" thickBot="1">
      <c r="B49" s="315" t="s">
        <v>579</v>
      </c>
      <c r="C49" s="220"/>
      <c r="D49" s="220"/>
      <c r="E49" s="220"/>
      <c r="F49" s="220"/>
    </row>
    <row r="50" spans="2:17" ht="18" customHeight="1">
      <c r="B50" s="362" t="s">
        <v>389</v>
      </c>
      <c r="C50" s="349" t="str">
        <f>C4</f>
        <v>2015年</v>
      </c>
      <c r="D50" s="349" t="str">
        <f>D4</f>
        <v>2016年</v>
      </c>
      <c r="E50" s="349" t="str">
        <f>E4</f>
        <v>2017年</v>
      </c>
      <c r="F50" s="329" t="s">
        <v>148</v>
      </c>
    </row>
    <row r="51" spans="2:17" ht="18" customHeight="1">
      <c r="B51" s="88" t="s">
        <v>378</v>
      </c>
      <c r="C51" s="89"/>
      <c r="D51" s="89"/>
      <c r="E51" s="89"/>
      <c r="F51" s="331">
        <f t="shared" ref="F51:F56" si="27">IF(ISERROR(AVERAGE(C51:E51)),0,AVERAGE(C51:E51))</f>
        <v>0</v>
      </c>
    </row>
    <row r="52" spans="2:17" ht="18" customHeight="1">
      <c r="C52" s="23"/>
      <c r="D52" s="23"/>
      <c r="E52" s="23"/>
      <c r="F52" s="332">
        <f t="shared" si="27"/>
        <v>0</v>
      </c>
    </row>
    <row r="53" spans="2:17" ht="18" customHeight="1">
      <c r="C53" s="23"/>
      <c r="D53" s="23"/>
      <c r="E53" s="23"/>
      <c r="F53" s="332">
        <f t="shared" si="27"/>
        <v>0</v>
      </c>
    </row>
    <row r="54" spans="2:17" ht="18" customHeight="1">
      <c r="C54" s="23"/>
      <c r="D54" s="23"/>
      <c r="E54" s="23"/>
      <c r="F54" s="332">
        <f t="shared" si="27"/>
        <v>0</v>
      </c>
    </row>
    <row r="55" spans="2:17" ht="18" customHeight="1">
      <c r="C55" s="23"/>
      <c r="D55" s="23"/>
      <c r="E55" s="23"/>
      <c r="F55" s="332">
        <f t="shared" si="27"/>
        <v>0</v>
      </c>
    </row>
    <row r="56" spans="2:17" ht="18" customHeight="1">
      <c r="C56" s="23"/>
      <c r="D56" s="23"/>
      <c r="E56" s="23"/>
      <c r="F56" s="332">
        <f t="shared" si="27"/>
        <v>0</v>
      </c>
    </row>
    <row r="57" spans="2:17" ht="18" customHeight="1">
      <c r="B57" s="363" t="s">
        <v>148</v>
      </c>
      <c r="C57" s="331">
        <f>IF(ISERROR(AVERAGE(C51:C56)),0,AVERAGE(C51:C56))</f>
        <v>0</v>
      </c>
      <c r="D57" s="331">
        <f t="shared" ref="D57:E57" si="28">IF(ISERROR(AVERAGE(D51:D56)),0,AVERAGE(D51:D56))</f>
        <v>0</v>
      </c>
      <c r="E57" s="331">
        <f t="shared" si="28"/>
        <v>0</v>
      </c>
      <c r="F57" s="364"/>
    </row>
    <row r="58" spans="2:17" ht="18" customHeight="1" thickBot="1">
      <c r="B58" s="365" t="s">
        <v>393</v>
      </c>
      <c r="C58" s="367">
        <f>IF(ISERROR(MEDIAN(C51:C56)),0,MEDIAN(C51:C56))</f>
        <v>0</v>
      </c>
      <c r="D58" s="367">
        <f t="shared" ref="D58:E58" si="29">IF(ISERROR(MEDIAN(D51:D56)),0,MEDIAN(D51:D56))</f>
        <v>0</v>
      </c>
      <c r="E58" s="367">
        <f t="shared" si="29"/>
        <v>0</v>
      </c>
      <c r="F58" s="366"/>
    </row>
    <row r="59" spans="2:17" ht="18" customHeight="1">
      <c r="B59" s="212" t="s">
        <v>545</v>
      </c>
    </row>
    <row r="60" spans="2:17" ht="18" customHeight="1">
      <c r="B60" s="227" t="s">
        <v>290</v>
      </c>
    </row>
    <row r="61" spans="2:17" ht="18" customHeight="1">
      <c r="B61" s="225" t="s">
        <v>291</v>
      </c>
      <c r="C61" s="226"/>
      <c r="D61" s="226"/>
    </row>
    <row r="62" spans="2:17" ht="18" customHeight="1">
      <c r="B62" s="21" t="s">
        <v>292</v>
      </c>
      <c r="H62" s="21" t="s">
        <v>293</v>
      </c>
      <c r="K62" s="21" t="s">
        <v>294</v>
      </c>
      <c r="O62" s="21" t="s">
        <v>295</v>
      </c>
    </row>
    <row r="63" spans="2:17" ht="18" customHeight="1">
      <c r="B63" s="199" t="s">
        <v>64</v>
      </c>
      <c r="C63" s="196"/>
      <c r="D63" s="30" t="s">
        <v>233</v>
      </c>
      <c r="E63" s="30" t="s">
        <v>234</v>
      </c>
      <c r="F63" s="30" t="s">
        <v>235</v>
      </c>
      <c r="H63" s="30" t="s">
        <v>233</v>
      </c>
      <c r="I63" s="30" t="s">
        <v>234</v>
      </c>
      <c r="J63" s="30" t="s">
        <v>235</v>
      </c>
      <c r="K63" s="30" t="s">
        <v>233</v>
      </c>
      <c r="L63" s="30" t="s">
        <v>234</v>
      </c>
      <c r="M63" s="30" t="s">
        <v>235</v>
      </c>
      <c r="O63" s="30" t="s">
        <v>233</v>
      </c>
      <c r="P63" s="30" t="s">
        <v>234</v>
      </c>
      <c r="Q63" s="30" t="s">
        <v>235</v>
      </c>
    </row>
    <row r="64" spans="2:17" ht="18" customHeight="1">
      <c r="B64" s="764" t="s">
        <v>236</v>
      </c>
      <c r="C64" s="196" t="s">
        <v>237</v>
      </c>
      <c r="D64" s="3">
        <v>511.06563536427802</v>
      </c>
      <c r="E64" s="3">
        <v>466.63509937184898</v>
      </c>
      <c r="F64" s="3">
        <v>551.84514815438695</v>
      </c>
      <c r="H64" s="3">
        <f>'3收入'!D9</f>
        <v>849.25232100000005</v>
      </c>
      <c r="I64" s="3">
        <f>'3收入'!E9</f>
        <v>761.74942538461596</v>
      </c>
      <c r="J64" s="3">
        <f>'3收入'!F9</f>
        <v>881.84195399999987</v>
      </c>
      <c r="K64" s="3">
        <f t="shared" ref="K64:M70" si="30">H64-D64</f>
        <v>338.18668563572203</v>
      </c>
      <c r="L64" s="3">
        <f t="shared" si="30"/>
        <v>295.11432601276698</v>
      </c>
      <c r="M64" s="3">
        <f t="shared" si="30"/>
        <v>329.99680584561293</v>
      </c>
      <c r="O64" s="12">
        <f t="shared" ref="O64:Q71" si="31">K64/H64</f>
        <v>0.39821696953092228</v>
      </c>
      <c r="P64" s="12">
        <f t="shared" si="31"/>
        <v>0.38741653905910123</v>
      </c>
      <c r="Q64" s="12">
        <f t="shared" si="31"/>
        <v>0.37421309379618489</v>
      </c>
    </row>
    <row r="65" spans="2:17" ht="18" customHeight="1">
      <c r="B65" s="764"/>
      <c r="C65" s="196" t="s">
        <v>238</v>
      </c>
      <c r="D65" s="3">
        <v>2160.8727547185999</v>
      </c>
      <c r="E65" s="3">
        <v>3354.2285207692703</v>
      </c>
      <c r="F65" s="3">
        <v>4490.1830495636905</v>
      </c>
      <c r="H65" s="3">
        <f>'3收入'!D10</f>
        <v>3332.4018858971303</v>
      </c>
      <c r="I65" s="3">
        <f>'3收入'!E10</f>
        <v>5230.7696280366999</v>
      </c>
      <c r="J65" s="3">
        <f>'3收入'!F10</f>
        <v>7346.3833340000001</v>
      </c>
      <c r="K65" s="3">
        <f t="shared" si="30"/>
        <v>1171.5291311785304</v>
      </c>
      <c r="L65" s="3">
        <f t="shared" si="30"/>
        <v>1876.5411072674297</v>
      </c>
      <c r="M65" s="3">
        <f t="shared" si="30"/>
        <v>2856.2002844363096</v>
      </c>
      <c r="O65" s="12">
        <f t="shared" si="31"/>
        <v>0.35155697640686517</v>
      </c>
      <c r="P65" s="12">
        <f t="shared" si="31"/>
        <v>0.35875047855467579</v>
      </c>
      <c r="Q65" s="12">
        <f t="shared" si="31"/>
        <v>0.38878998747825344</v>
      </c>
    </row>
    <row r="66" spans="2:17" ht="18" customHeight="1">
      <c r="B66" s="764"/>
      <c r="C66" s="196" t="s">
        <v>88</v>
      </c>
      <c r="D66" s="3">
        <v>32.659751</v>
      </c>
      <c r="E66" s="3">
        <v>108.62106396000001</v>
      </c>
      <c r="F66" s="3">
        <v>167.798780666667</v>
      </c>
      <c r="H66" s="3">
        <f>'3收入'!D11</f>
        <v>62.584147999999999</v>
      </c>
      <c r="I66" s="3">
        <f>'3收入'!E11</f>
        <v>126.49228851874999</v>
      </c>
      <c r="J66" s="3">
        <f>'3收入'!F11</f>
        <v>169.474568</v>
      </c>
      <c r="K66" s="3">
        <f t="shared" si="30"/>
        <v>29.924396999999999</v>
      </c>
      <c r="L66" s="3">
        <f t="shared" si="30"/>
        <v>17.871224558749972</v>
      </c>
      <c r="M66" s="3">
        <f t="shared" si="30"/>
        <v>1.6757873333330053</v>
      </c>
      <c r="O66" s="12">
        <f t="shared" si="31"/>
        <v>0.47814659073093074</v>
      </c>
      <c r="P66" s="12">
        <f t="shared" si="31"/>
        <v>0.14128311510547867</v>
      </c>
      <c r="Q66" s="12">
        <f t="shared" si="31"/>
        <v>9.8881345626619637E-3</v>
      </c>
    </row>
    <row r="67" spans="2:17" ht="18" customHeight="1">
      <c r="B67" s="764" t="s">
        <v>239</v>
      </c>
      <c r="C67" s="196" t="s">
        <v>237</v>
      </c>
      <c r="D67" s="3">
        <v>77.302257701058807</v>
      </c>
      <c r="E67" s="3">
        <v>73.634991860906496</v>
      </c>
      <c r="F67" s="3">
        <v>84.816581999999997</v>
      </c>
      <c r="H67" s="3">
        <f>'3收入'!D12</f>
        <v>189.80228382906</v>
      </c>
      <c r="I67" s="3">
        <f>'3收入'!E12</f>
        <v>103.84240765208699</v>
      </c>
      <c r="J67" s="3">
        <f>'3收入'!F12</f>
        <v>188.39998400000002</v>
      </c>
      <c r="K67" s="3">
        <f t="shared" si="30"/>
        <v>112.5000261280012</v>
      </c>
      <c r="L67" s="3">
        <f t="shared" si="30"/>
        <v>30.207415791180495</v>
      </c>
      <c r="M67" s="3">
        <f t="shared" si="30"/>
        <v>103.58340200000002</v>
      </c>
      <c r="O67" s="12">
        <f t="shared" si="31"/>
        <v>0.59272219416137861</v>
      </c>
      <c r="P67" s="12">
        <f t="shared" si="31"/>
        <v>0.29089672007978906</v>
      </c>
      <c r="Q67" s="12">
        <f t="shared" si="31"/>
        <v>0.54980578979242378</v>
      </c>
    </row>
    <row r="68" spans="2:17" ht="18" customHeight="1">
      <c r="B68" s="764"/>
      <c r="C68" s="196" t="s">
        <v>238</v>
      </c>
      <c r="D68" s="3">
        <v>461.86368671495302</v>
      </c>
      <c r="E68" s="3">
        <v>412.53462762599003</v>
      </c>
      <c r="F68" s="3">
        <v>246.15404816838497</v>
      </c>
      <c r="H68" s="3">
        <f>'3收入'!D13</f>
        <v>759.94411536837606</v>
      </c>
      <c r="I68" s="3">
        <f>'3收入'!E13</f>
        <v>659.68711958174902</v>
      </c>
      <c r="J68" s="3">
        <f>'3收入'!F13</f>
        <v>515.859329</v>
      </c>
      <c r="K68" s="3">
        <f t="shared" si="30"/>
        <v>298.08042865342304</v>
      </c>
      <c r="L68" s="3">
        <f t="shared" si="30"/>
        <v>247.15249195575899</v>
      </c>
      <c r="M68" s="3">
        <f t="shared" si="30"/>
        <v>269.70528083161503</v>
      </c>
      <c r="O68" s="12">
        <f t="shared" si="31"/>
        <v>0.39223993268101198</v>
      </c>
      <c r="P68" s="12">
        <f t="shared" si="31"/>
        <v>0.37465108021581073</v>
      </c>
      <c r="Q68" s="12">
        <f t="shared" si="31"/>
        <v>0.52282718498944702</v>
      </c>
    </row>
    <row r="69" spans="2:17" ht="18" customHeight="1">
      <c r="B69" s="764"/>
      <c r="C69" s="196" t="s">
        <v>88</v>
      </c>
      <c r="D69" s="3">
        <v>146.15817900000101</v>
      </c>
      <c r="E69" s="3">
        <v>68.709655600000005</v>
      </c>
      <c r="F69" s="3">
        <v>118.16651433333301</v>
      </c>
      <c r="H69" s="3">
        <f>'3收入'!D14</f>
        <v>288.58919199999997</v>
      </c>
      <c r="I69" s="3">
        <f>'3收入'!E14</f>
        <v>163.05443452941199</v>
      </c>
      <c r="J69" s="3">
        <f>'3收入'!F14</f>
        <v>294.89550499999996</v>
      </c>
      <c r="K69" s="3">
        <f t="shared" si="30"/>
        <v>142.43101299999896</v>
      </c>
      <c r="L69" s="3">
        <f t="shared" si="30"/>
        <v>94.344778929411987</v>
      </c>
      <c r="M69" s="3">
        <f t="shared" si="30"/>
        <v>176.72899066666696</v>
      </c>
      <c r="O69" s="12">
        <f t="shared" si="31"/>
        <v>0.49354243661349234</v>
      </c>
      <c r="P69" s="12">
        <f t="shared" si="31"/>
        <v>0.57860909580103415</v>
      </c>
      <c r="Q69" s="12">
        <f t="shared" si="31"/>
        <v>0.59929360627815265</v>
      </c>
    </row>
    <row r="70" spans="2:17" ht="18" customHeight="1">
      <c r="B70" s="195" t="s">
        <v>240</v>
      </c>
      <c r="C70" s="196"/>
      <c r="D70" s="3">
        <v>61.073903501109271</v>
      </c>
      <c r="E70" s="3">
        <v>141.32227581198458</v>
      </c>
      <c r="F70" s="3">
        <v>104.02186411353705</v>
      </c>
      <c r="H70" s="3">
        <f>'3收入'!D15</f>
        <v>164.98690990543309</v>
      </c>
      <c r="I70" s="3">
        <f>'3收入'!E15</f>
        <v>259.17922429668579</v>
      </c>
      <c r="J70" s="3">
        <f>'3收入'!F15</f>
        <v>218.72165799999857</v>
      </c>
      <c r="K70" s="3">
        <f t="shared" si="30"/>
        <v>103.91300640432382</v>
      </c>
      <c r="L70" s="3">
        <f t="shared" si="30"/>
        <v>117.85694848470121</v>
      </c>
      <c r="M70" s="3">
        <f t="shared" si="30"/>
        <v>114.69979388646152</v>
      </c>
      <c r="O70" s="12">
        <f t="shared" si="31"/>
        <v>0.6298257629280074</v>
      </c>
      <c r="P70" s="12">
        <f t="shared" si="31"/>
        <v>0.45473146547343951</v>
      </c>
      <c r="Q70" s="12">
        <f t="shared" si="31"/>
        <v>0.52440985924888273</v>
      </c>
    </row>
    <row r="71" spans="2:17" ht="18" customHeight="1">
      <c r="B71" s="198" t="s">
        <v>79</v>
      </c>
      <c r="C71" s="197"/>
      <c r="D71" s="10">
        <f>SUM(D64:D70)</f>
        <v>3450.9961680000001</v>
      </c>
      <c r="E71" s="10">
        <f t="shared" ref="E71:F71" si="32">SUM(E64:E70)</f>
        <v>4625.6862350000001</v>
      </c>
      <c r="F71" s="10">
        <f t="shared" si="32"/>
        <v>5762.985987</v>
      </c>
      <c r="H71" s="10">
        <f>SUM(H64:H70)</f>
        <v>5647.5608560000001</v>
      </c>
      <c r="I71" s="10">
        <f t="shared" ref="I71:J71" si="33">SUM(I64:I70)</f>
        <v>7304.7745279999999</v>
      </c>
      <c r="J71" s="10">
        <f t="shared" si="33"/>
        <v>9615.5763319999987</v>
      </c>
      <c r="K71" s="10">
        <f>SUM(K64:K70)</f>
        <v>2196.5646879999995</v>
      </c>
      <c r="L71" s="10">
        <f t="shared" ref="L71" si="34">SUM(L64:L70)</f>
        <v>2679.0882929999993</v>
      </c>
      <c r="M71" s="10">
        <f>SUM(M64:M70)</f>
        <v>3852.5903449999992</v>
      </c>
      <c r="O71" s="203">
        <f t="shared" si="31"/>
        <v>0.38894041941422497</v>
      </c>
      <c r="P71" s="203">
        <f t="shared" si="31"/>
        <v>0.36675851975044005</v>
      </c>
      <c r="Q71" s="203">
        <f t="shared" si="31"/>
        <v>0.40066140728131239</v>
      </c>
    </row>
    <row r="73" spans="2:17" ht="18" customHeight="1">
      <c r="B73" s="204" t="s">
        <v>241</v>
      </c>
      <c r="G73" s="21" t="s">
        <v>293</v>
      </c>
      <c r="K73" s="21" t="s">
        <v>294</v>
      </c>
      <c r="N73" s="21" t="s">
        <v>295</v>
      </c>
    </row>
    <row r="74" spans="2:17" ht="18" customHeight="1">
      <c r="B74" s="195" t="s">
        <v>290</v>
      </c>
      <c r="C74" s="30" t="s">
        <v>233</v>
      </c>
      <c r="D74" s="30" t="s">
        <v>234</v>
      </c>
      <c r="E74" s="30" t="s">
        <v>235</v>
      </c>
      <c r="G74" s="30" t="s">
        <v>233</v>
      </c>
      <c r="H74" s="30" t="s">
        <v>234</v>
      </c>
      <c r="I74" s="30" t="s">
        <v>235</v>
      </c>
      <c r="K74" s="30" t="s">
        <v>233</v>
      </c>
      <c r="L74" s="30" t="s">
        <v>234</v>
      </c>
      <c r="M74" s="30" t="s">
        <v>235</v>
      </c>
      <c r="N74" s="30" t="s">
        <v>233</v>
      </c>
      <c r="O74" s="30" t="s">
        <v>234</v>
      </c>
      <c r="P74" s="30" t="s">
        <v>235</v>
      </c>
    </row>
    <row r="75" spans="2:17" ht="18" customHeight="1">
      <c r="B75" s="196" t="s">
        <v>237</v>
      </c>
      <c r="C75" s="3">
        <f t="shared" ref="C75:E77" si="35">D64+D67</f>
        <v>588.36789306533683</v>
      </c>
      <c r="D75" s="3">
        <f t="shared" si="35"/>
        <v>540.27009123275548</v>
      </c>
      <c r="E75" s="3">
        <f t="shared" si="35"/>
        <v>636.66173015438699</v>
      </c>
      <c r="G75" s="3">
        <f t="shared" ref="G75:I77" si="36">H64+H67</f>
        <v>1039.0546048290601</v>
      </c>
      <c r="H75" s="3">
        <f t="shared" si="36"/>
        <v>865.59183303670295</v>
      </c>
      <c r="I75" s="3">
        <f t="shared" si="36"/>
        <v>1070.2419379999999</v>
      </c>
      <c r="K75" s="3">
        <f t="shared" ref="K75:M77" si="37">G75-C75</f>
        <v>450.68671176372322</v>
      </c>
      <c r="L75" s="3">
        <f t="shared" si="37"/>
        <v>325.32174180394748</v>
      </c>
      <c r="M75" s="3">
        <f t="shared" si="37"/>
        <v>433.5802078456129</v>
      </c>
      <c r="N75" s="12">
        <f t="shared" ref="N75:P78" si="38">K75/G75</f>
        <v>0.43374689806400302</v>
      </c>
      <c r="O75" s="12">
        <f t="shared" si="38"/>
        <v>0.37583735126363321</v>
      </c>
      <c r="P75" s="12">
        <f t="shared" si="38"/>
        <v>0.40512354492093633</v>
      </c>
    </row>
    <row r="76" spans="2:17" ht="18" customHeight="1">
      <c r="B76" s="196" t="s">
        <v>238</v>
      </c>
      <c r="C76" s="3">
        <f t="shared" si="35"/>
        <v>2622.736441433553</v>
      </c>
      <c r="D76" s="3">
        <f t="shared" si="35"/>
        <v>3766.7631483952605</v>
      </c>
      <c r="E76" s="3">
        <f t="shared" si="35"/>
        <v>4736.3370977320756</v>
      </c>
      <c r="G76" s="3">
        <f t="shared" si="36"/>
        <v>4092.3460012655064</v>
      </c>
      <c r="H76" s="3">
        <f t="shared" si="36"/>
        <v>5890.4567476184493</v>
      </c>
      <c r="I76" s="3">
        <f t="shared" si="36"/>
        <v>7862.242663</v>
      </c>
      <c r="K76" s="3">
        <f t="shared" si="37"/>
        <v>1469.6095598319534</v>
      </c>
      <c r="L76" s="3">
        <f t="shared" si="37"/>
        <v>2123.6935992231888</v>
      </c>
      <c r="M76" s="3">
        <f t="shared" si="37"/>
        <v>3125.9055652679244</v>
      </c>
      <c r="N76" s="12">
        <f t="shared" si="38"/>
        <v>0.35911175628294756</v>
      </c>
      <c r="O76" s="12">
        <f t="shared" si="38"/>
        <v>0.36053122707026281</v>
      </c>
      <c r="P76" s="12">
        <f t="shared" si="38"/>
        <v>0.39758446784891921</v>
      </c>
    </row>
    <row r="77" spans="2:17" ht="18" customHeight="1">
      <c r="B77" s="196" t="s">
        <v>88</v>
      </c>
      <c r="C77" s="3">
        <f t="shared" si="35"/>
        <v>178.81793000000101</v>
      </c>
      <c r="D77" s="3">
        <f t="shared" si="35"/>
        <v>177.33071956000003</v>
      </c>
      <c r="E77" s="3">
        <f t="shared" si="35"/>
        <v>285.96529500000003</v>
      </c>
      <c r="F77" s="200" t="s">
        <v>296</v>
      </c>
      <c r="G77" s="3">
        <f t="shared" si="36"/>
        <v>351.17333999999994</v>
      </c>
      <c r="H77" s="3">
        <f t="shared" si="36"/>
        <v>289.54672304816199</v>
      </c>
      <c r="I77" s="3">
        <f t="shared" si="36"/>
        <v>464.37007299999993</v>
      </c>
      <c r="K77" s="3">
        <f t="shared" si="37"/>
        <v>172.35540999999893</v>
      </c>
      <c r="L77" s="3">
        <f t="shared" si="37"/>
        <v>112.21600348816196</v>
      </c>
      <c r="M77" s="3">
        <f t="shared" si="37"/>
        <v>178.40477799999991</v>
      </c>
      <c r="N77" s="12">
        <f t="shared" si="38"/>
        <v>0.49079867509304365</v>
      </c>
      <c r="O77" s="12">
        <f t="shared" si="38"/>
        <v>0.38755749782564941</v>
      </c>
      <c r="P77" s="12">
        <f t="shared" si="38"/>
        <v>0.38418663986557106</v>
      </c>
    </row>
    <row r="78" spans="2:17" ht="18" customHeight="1">
      <c r="B78" s="202" t="s">
        <v>242</v>
      </c>
      <c r="C78" s="10">
        <f>SUM(C75:C77)</f>
        <v>3389.9222644988909</v>
      </c>
      <c r="D78" s="10">
        <f t="shared" ref="D78:E78" si="39">SUM(D75:D77)</f>
        <v>4484.3639591880155</v>
      </c>
      <c r="E78" s="10">
        <f t="shared" si="39"/>
        <v>5658.9641228864621</v>
      </c>
      <c r="G78" s="10">
        <f>SUM(G75:G77)</f>
        <v>5482.573946094567</v>
      </c>
      <c r="H78" s="10">
        <f t="shared" ref="H78" si="40">SUM(H75:H77)</f>
        <v>7045.5953037033141</v>
      </c>
      <c r="I78" s="10">
        <f>SUM(I75:I77)</f>
        <v>9396.8546740000002</v>
      </c>
      <c r="K78" s="10">
        <f>SUM(K75:K77)</f>
        <v>2092.6516815956757</v>
      </c>
      <c r="L78" s="10">
        <f t="shared" ref="L78" si="41">SUM(L75:L77)</f>
        <v>2561.2313445152986</v>
      </c>
      <c r="M78" s="10">
        <f>SUM(M75:M77)</f>
        <v>3737.8905511135372</v>
      </c>
      <c r="N78" s="203">
        <f t="shared" si="38"/>
        <v>0.38169146502553714</v>
      </c>
      <c r="O78" s="203">
        <f t="shared" si="38"/>
        <v>0.3635223475252774</v>
      </c>
      <c r="P78" s="203">
        <f t="shared" si="38"/>
        <v>0.39778103214215327</v>
      </c>
    </row>
    <row r="79" spans="2:17" ht="18" customHeight="1">
      <c r="B79" s="205" t="s">
        <v>299</v>
      </c>
      <c r="G79" s="21" t="s">
        <v>298</v>
      </c>
      <c r="K79" s="21" t="s">
        <v>300</v>
      </c>
      <c r="N79" s="21" t="s">
        <v>297</v>
      </c>
    </row>
    <row r="80" spans="2:17" ht="18" customHeight="1">
      <c r="B80" s="726" t="s">
        <v>245</v>
      </c>
      <c r="C80" s="30" t="s">
        <v>233</v>
      </c>
      <c r="D80" s="30" t="s">
        <v>234</v>
      </c>
      <c r="E80" s="30" t="s">
        <v>235</v>
      </c>
      <c r="G80" s="30" t="s">
        <v>233</v>
      </c>
      <c r="H80" s="30" t="s">
        <v>234</v>
      </c>
      <c r="I80" s="30" t="s">
        <v>235</v>
      </c>
      <c r="K80" s="30" t="s">
        <v>233</v>
      </c>
      <c r="L80" s="30" t="s">
        <v>234</v>
      </c>
      <c r="M80" s="30" t="s">
        <v>235</v>
      </c>
      <c r="N80" s="30" t="s">
        <v>233</v>
      </c>
      <c r="O80" s="30" t="s">
        <v>234</v>
      </c>
      <c r="P80" s="30" t="s">
        <v>235</v>
      </c>
    </row>
    <row r="81" spans="1:17" ht="18" customHeight="1">
      <c r="B81" s="196" t="s">
        <v>237</v>
      </c>
      <c r="C81" s="3"/>
      <c r="D81" s="12">
        <f>D75/C75-1</f>
        <v>-8.1747835664513713E-2</v>
      </c>
      <c r="E81" s="12">
        <f>E75/D75-1</f>
        <v>0.17841379799812884</v>
      </c>
      <c r="G81" s="3"/>
      <c r="H81" s="12">
        <f>H75/G75-1</f>
        <v>-0.16694288345018626</v>
      </c>
      <c r="I81" s="12">
        <f>I75/H75-1</f>
        <v>0.2364279527053017</v>
      </c>
      <c r="K81" s="3"/>
      <c r="L81" s="12">
        <f>L75/K75-1</f>
        <v>-0.27816433608430757</v>
      </c>
      <c r="M81" s="12">
        <f>M75/L75-1</f>
        <v>0.33277353502830609</v>
      </c>
      <c r="N81" s="3"/>
      <c r="O81" s="12">
        <f>O75-N75</f>
        <v>-5.7909546800369804E-2</v>
      </c>
      <c r="P81" s="12">
        <f>P75-O75</f>
        <v>2.9286193657303117E-2</v>
      </c>
    </row>
    <row r="82" spans="1:17" ht="18" customHeight="1">
      <c r="B82" s="196" t="s">
        <v>238</v>
      </c>
      <c r="C82" s="3"/>
      <c r="D82" s="12">
        <f t="shared" ref="D82:E82" si="42">D76/C76-1</f>
        <v>0.4361958330576281</v>
      </c>
      <c r="E82" s="12">
        <f t="shared" si="42"/>
        <v>0.25740241983355894</v>
      </c>
      <c r="G82" s="3"/>
      <c r="H82" s="12">
        <f t="shared" ref="H82:I82" si="43">H76/G76-1</f>
        <v>0.43938385116920697</v>
      </c>
      <c r="I82" s="12">
        <f t="shared" si="43"/>
        <v>0.33474244865285807</v>
      </c>
      <c r="J82" s="23">
        <f>I82-E82</f>
        <v>7.7340028819299134E-2</v>
      </c>
      <c r="K82" s="3"/>
      <c r="L82" s="12">
        <f t="shared" ref="L82" si="44">L76/K76-1</f>
        <v>0.44507334279046762</v>
      </c>
      <c r="M82" s="12">
        <f t="shared" ref="M82" si="45">M76/L76-1</f>
        <v>0.4719192855369192</v>
      </c>
      <c r="N82" s="3"/>
      <c r="O82" s="12">
        <f t="shared" ref="O82:P84" si="46">O76-N76</f>
        <v>1.4194707873152468E-3</v>
      </c>
      <c r="P82" s="12">
        <f>P76-O76</f>
        <v>3.7053240778656404E-2</v>
      </c>
      <c r="Q82" s="23">
        <f>M82-L82</f>
        <v>2.6845942746451579E-2</v>
      </c>
    </row>
    <row r="83" spans="1:17" ht="18" customHeight="1">
      <c r="B83" s="196" t="s">
        <v>88</v>
      </c>
      <c r="C83" s="3"/>
      <c r="D83" s="12">
        <f>D77/C77-1</f>
        <v>-8.3168977518136566E-3</v>
      </c>
      <c r="E83" s="12">
        <f>E77/D77-1</f>
        <v>0.61261001878043686</v>
      </c>
      <c r="G83" s="3"/>
      <c r="H83" s="12">
        <f>H77/G77-1</f>
        <v>-0.17548774332310635</v>
      </c>
      <c r="I83" s="12">
        <f>I77/H77-1</f>
        <v>0.60378286485652466</v>
      </c>
      <c r="K83" s="3"/>
      <c r="L83" s="12">
        <f>L77/K77-1</f>
        <v>-0.34892671202973746</v>
      </c>
      <c r="M83" s="12">
        <f>M77/L77-1</f>
        <v>0.58983364631071034</v>
      </c>
      <c r="N83" s="3"/>
      <c r="O83" s="12">
        <f t="shared" si="46"/>
        <v>-0.10324117726739424</v>
      </c>
      <c r="P83" s="12">
        <f t="shared" si="46"/>
        <v>-3.370857960078355E-3</v>
      </c>
    </row>
    <row r="84" spans="1:17" ht="18" customHeight="1">
      <c r="B84" s="202" t="s">
        <v>243</v>
      </c>
      <c r="C84" s="10"/>
      <c r="D84" s="203">
        <f>D78/C78-1</f>
        <v>0.32285156097846635</v>
      </c>
      <c r="E84" s="203">
        <f>E78/D78-1</f>
        <v>0.2619323887151952</v>
      </c>
      <c r="G84" s="3"/>
      <c r="H84" s="203">
        <f>H78/G78-1</f>
        <v>0.28508896970229514</v>
      </c>
      <c r="I84" s="203">
        <f>I78/H78-1</f>
        <v>0.33372046916472975</v>
      </c>
      <c r="K84" s="3"/>
      <c r="L84" s="203">
        <f>L78/K78-1</f>
        <v>0.22391670197226721</v>
      </c>
      <c r="M84" s="203">
        <f>M78/L78-1</f>
        <v>0.4594115284111191</v>
      </c>
      <c r="N84" s="3"/>
      <c r="O84" s="203">
        <f t="shared" si="46"/>
        <v>-1.8169117500259735E-2</v>
      </c>
      <c r="P84" s="203">
        <f t="shared" si="46"/>
        <v>3.4258684616875867E-2</v>
      </c>
    </row>
    <row r="85" spans="1:17" ht="18" customHeight="1">
      <c r="B85" s="86"/>
    </row>
    <row r="86" spans="1:17" ht="18" customHeight="1">
      <c r="B86" s="726" t="s">
        <v>244</v>
      </c>
      <c r="C86" s="30" t="s">
        <v>233</v>
      </c>
      <c r="D86" s="30" t="s">
        <v>234</v>
      </c>
      <c r="E86" s="30" t="s">
        <v>235</v>
      </c>
      <c r="G86" s="24" t="s">
        <v>238</v>
      </c>
    </row>
    <row r="87" spans="1:17" ht="18" customHeight="1">
      <c r="B87" s="196" t="s">
        <v>237</v>
      </c>
      <c r="C87" s="12">
        <f>C75/C$78</f>
        <v>0.17356383042379625</v>
      </c>
      <c r="D87" s="12">
        <f t="shared" ref="D87:E87" si="47">D75/D$78</f>
        <v>0.12047864449668404</v>
      </c>
      <c r="E87" s="12">
        <f t="shared" si="47"/>
        <v>0.11250499496534104</v>
      </c>
      <c r="F87" s="159" t="s">
        <v>301</v>
      </c>
      <c r="G87" s="14" t="s">
        <v>302</v>
      </c>
    </row>
    <row r="88" spans="1:17" ht="18" customHeight="1">
      <c r="B88" s="196" t="s">
        <v>238</v>
      </c>
      <c r="C88" s="12">
        <f t="shared" ref="C88:D88" si="48">C76/C$78</f>
        <v>0.77368630806088834</v>
      </c>
      <c r="D88" s="12">
        <f t="shared" si="48"/>
        <v>0.83997712555813797</v>
      </c>
      <c r="E88" s="12">
        <f>E76/E$78</f>
        <v>0.83696185289052816</v>
      </c>
      <c r="G88" s="21" t="s">
        <v>303</v>
      </c>
    </row>
    <row r="89" spans="1:17" ht="18" customHeight="1">
      <c r="B89" s="196" t="s">
        <v>88</v>
      </c>
      <c r="C89" s="12">
        <f>C77/C$78</f>
        <v>5.2749861515315438E-2</v>
      </c>
      <c r="D89" s="12">
        <f t="shared" ref="D89:E89" si="49">D77/D$78</f>
        <v>3.9544229945178075E-2</v>
      </c>
      <c r="E89" s="12">
        <f t="shared" si="49"/>
        <v>5.0533152144130927E-2</v>
      </c>
      <c r="G89" s="24" t="s">
        <v>237</v>
      </c>
    </row>
    <row r="90" spans="1:17" ht="18" customHeight="1">
      <c r="B90" s="86"/>
      <c r="F90" s="159" t="s">
        <v>306</v>
      </c>
      <c r="G90" s="14" t="s">
        <v>304</v>
      </c>
    </row>
    <row r="91" spans="1:17" ht="18" customHeight="1">
      <c r="B91" s="204" t="s">
        <v>247</v>
      </c>
      <c r="G91" s="14" t="s">
        <v>305</v>
      </c>
    </row>
    <row r="92" spans="1:17" ht="18" customHeight="1">
      <c r="B92" s="196"/>
      <c r="C92" s="30" t="s">
        <v>233</v>
      </c>
      <c r="D92" s="30" t="s">
        <v>234</v>
      </c>
      <c r="E92" s="30" t="s">
        <v>235</v>
      </c>
      <c r="G92" s="24" t="s">
        <v>88</v>
      </c>
    </row>
    <row r="93" spans="1:17" ht="18" customHeight="1">
      <c r="B93" s="196" t="s">
        <v>236</v>
      </c>
      <c r="C93" s="12">
        <f>(SUM(D64:D66)+D70)/D71</f>
        <v>0.80141266751588791</v>
      </c>
      <c r="D93" s="12">
        <f>(SUM(E64:E66)+E70)/E71</f>
        <v>0.88004390118628606</v>
      </c>
      <c r="E93" s="12">
        <f>(SUM(F64:F66)+F70)/F71</f>
        <v>0.9220652027412749</v>
      </c>
      <c r="F93" s="159" t="s">
        <v>308</v>
      </c>
      <c r="G93" s="21" t="s">
        <v>307</v>
      </c>
    </row>
    <row r="94" spans="1:17" ht="18" customHeight="1">
      <c r="B94" s="196" t="s">
        <v>239</v>
      </c>
      <c r="C94" s="12">
        <f>SUM(D67:D69)/D71</f>
        <v>0.19858733248411212</v>
      </c>
      <c r="D94" s="12">
        <f>SUM(E67:E69)/E71</f>
        <v>0.11995609881371397</v>
      </c>
      <c r="E94" s="12">
        <f>SUM(F67:F69)/F71</f>
        <v>7.7934797258724958E-2</v>
      </c>
      <c r="F94" s="159" t="s">
        <v>309</v>
      </c>
      <c r="G94" s="14" t="s">
        <v>310</v>
      </c>
    </row>
    <row r="95" spans="1:17" ht="18" customHeight="1">
      <c r="G95" s="21" t="s">
        <v>311</v>
      </c>
    </row>
    <row r="96" spans="1:17" ht="18" customHeight="1">
      <c r="A96" s="21"/>
      <c r="C96" s="41" t="s">
        <v>319</v>
      </c>
      <c r="G96" s="160" t="s">
        <v>375</v>
      </c>
    </row>
    <row r="97" spans="1:14" ht="18" customHeight="1">
      <c r="A97" s="21"/>
      <c r="B97" s="21" t="s">
        <v>318</v>
      </c>
      <c r="C97" s="3"/>
      <c r="D97" s="236" t="s">
        <v>321</v>
      </c>
      <c r="E97" s="237" t="s">
        <v>320</v>
      </c>
    </row>
    <row r="98" spans="1:14" ht="18" customHeight="1">
      <c r="A98" s="21"/>
      <c r="C98" s="8" t="s">
        <v>316</v>
      </c>
      <c r="D98" s="3">
        <v>4270.2525370000003</v>
      </c>
      <c r="E98" s="238">
        <f>D98/D$101</f>
        <v>0.79946098011342082</v>
      </c>
      <c r="F98" s="21" t="s">
        <v>323</v>
      </c>
      <c r="I98" s="160" t="s">
        <v>324</v>
      </c>
    </row>
    <row r="99" spans="1:14" ht="18" customHeight="1">
      <c r="A99" s="21"/>
      <c r="C99" s="8" t="s">
        <v>317</v>
      </c>
      <c r="D99" s="3">
        <v>231.43623099999999</v>
      </c>
      <c r="E99" s="12">
        <f>D99/D$101</f>
        <v>4.332864027732701E-2</v>
      </c>
      <c r="F99" s="21" t="s">
        <v>328</v>
      </c>
    </row>
    <row r="100" spans="1:14" ht="18" customHeight="1">
      <c r="A100" s="39"/>
      <c r="C100" s="8" t="s">
        <v>285</v>
      </c>
      <c r="D100" s="3">
        <v>839.72581410277201</v>
      </c>
      <c r="E100" s="238">
        <f>D100/D$101</f>
        <v>0.15721037960925219</v>
      </c>
      <c r="F100" s="21" t="s">
        <v>329</v>
      </c>
    </row>
    <row r="101" spans="1:14" ht="18" customHeight="1">
      <c r="C101" s="8" t="s">
        <v>322</v>
      </c>
      <c r="D101" s="3">
        <f>SUM(D98:D100)</f>
        <v>5341.4145821027723</v>
      </c>
      <c r="E101" s="238">
        <f>D101/D$101</f>
        <v>1</v>
      </c>
      <c r="F101" s="207" t="s">
        <v>374</v>
      </c>
    </row>
    <row r="102" spans="1:14" ht="18" customHeight="1" thickBot="1">
      <c r="B102" s="220"/>
      <c r="C102" s="220"/>
      <c r="D102" s="220"/>
      <c r="E102" s="414" t="s">
        <v>312</v>
      </c>
      <c r="F102" s="220"/>
      <c r="G102" s="220"/>
      <c r="H102" s="220"/>
      <c r="I102" s="220"/>
      <c r="J102" s="220"/>
    </row>
    <row r="103" spans="1:14" ht="18" customHeight="1">
      <c r="C103" s="345" t="str">
        <f t="shared" ref="C103:J103" si="50">C4</f>
        <v>2015年</v>
      </c>
      <c r="D103" s="345" t="str">
        <f t="shared" si="50"/>
        <v>2016年</v>
      </c>
      <c r="E103" s="345" t="str">
        <f t="shared" si="50"/>
        <v>2017年</v>
      </c>
      <c r="F103" s="413" t="str">
        <f t="shared" si="50"/>
        <v>2018年</v>
      </c>
      <c r="G103" s="413" t="str">
        <f t="shared" si="50"/>
        <v>2019年</v>
      </c>
      <c r="H103" s="413" t="str">
        <f t="shared" si="50"/>
        <v>2020年</v>
      </c>
      <c r="I103" s="413" t="str">
        <f t="shared" si="50"/>
        <v>2021年</v>
      </c>
      <c r="J103" s="413" t="str">
        <f t="shared" si="50"/>
        <v>2022年</v>
      </c>
      <c r="K103" s="138"/>
      <c r="L103" s="138"/>
      <c r="M103" s="138"/>
      <c r="N103" s="138"/>
    </row>
    <row r="104" spans="1:14" ht="18" customHeight="1">
      <c r="B104" s="88" t="s">
        <v>104</v>
      </c>
      <c r="C104" s="221">
        <f t="shared" ref="C104:J104" si="51">C6</f>
        <v>5647.5608560000001</v>
      </c>
      <c r="D104" s="221">
        <f t="shared" si="51"/>
        <v>7304.7745279999999</v>
      </c>
      <c r="E104" s="221">
        <f t="shared" si="51"/>
        <v>9615.5763319999987</v>
      </c>
      <c r="F104" s="221">
        <f t="shared" si="51"/>
        <v>11935.47732058755</v>
      </c>
      <c r="G104" s="221">
        <f t="shared" si="51"/>
        <v>14141.383768720463</v>
      </c>
      <c r="H104" s="221">
        <f t="shared" si="51"/>
        <v>15896.179912814478</v>
      </c>
      <c r="I104" s="221">
        <f t="shared" si="51"/>
        <v>16863.122702610581</v>
      </c>
      <c r="J104" s="221">
        <f t="shared" si="51"/>
        <v>17224.451164859773</v>
      </c>
      <c r="K104" s="4"/>
      <c r="L104" s="4"/>
    </row>
    <row r="105" spans="1:14" ht="18" customHeight="1">
      <c r="B105" s="21" t="s">
        <v>313</v>
      </c>
      <c r="C105" s="22">
        <f>(C104-C106)/C104</f>
        <v>0.38894041941422508</v>
      </c>
      <c r="D105" s="22">
        <f t="shared" ref="D105:E105" si="52">(D104-D106)/D104</f>
        <v>0.3667585197504401</v>
      </c>
      <c r="E105" s="22">
        <f t="shared" si="52"/>
        <v>0.40066140728131233</v>
      </c>
      <c r="F105" s="228">
        <v>0.4</v>
      </c>
      <c r="G105" s="22">
        <f>F105</f>
        <v>0.4</v>
      </c>
      <c r="H105" s="22">
        <f t="shared" ref="H105:J105" si="53">G105</f>
        <v>0.4</v>
      </c>
      <c r="I105" s="22">
        <f t="shared" si="53"/>
        <v>0.4</v>
      </c>
      <c r="J105" s="22">
        <f t="shared" si="53"/>
        <v>0.4</v>
      </c>
      <c r="K105" s="4"/>
      <c r="L105" s="4"/>
    </row>
    <row r="106" spans="1:14" ht="18" customHeight="1" thickBot="1">
      <c r="A106" s="39"/>
      <c r="B106" s="229" t="s">
        <v>314</v>
      </c>
      <c r="C106" s="229">
        <f>C5</f>
        <v>3450.9961680000001</v>
      </c>
      <c r="D106" s="229">
        <f>D5</f>
        <v>4625.6862350000001</v>
      </c>
      <c r="E106" s="229">
        <f>E5</f>
        <v>5762.985987</v>
      </c>
      <c r="F106" s="229">
        <f>F104*(1-F105)</f>
        <v>7161.2863923525301</v>
      </c>
      <c r="G106" s="229">
        <f t="shared" ref="G106:J106" si="54">G104*(1-G105)</f>
        <v>8484.8302612322768</v>
      </c>
      <c r="H106" s="229">
        <f t="shared" si="54"/>
        <v>9537.7079476886865</v>
      </c>
      <c r="I106" s="229">
        <f t="shared" si="54"/>
        <v>10117.873621566348</v>
      </c>
      <c r="J106" s="229">
        <f t="shared" si="54"/>
        <v>10334.670698915863</v>
      </c>
    </row>
    <row r="107" spans="1:14" ht="18" customHeight="1">
      <c r="A107" s="39"/>
    </row>
  </sheetData>
  <sheetProtection formatCells="0" formatColumns="0" formatRows="0" insertColumns="0" insertRows="0" deleteColumns="0" deleteRows="0"/>
  <mergeCells count="3">
    <mergeCell ref="B1:J1"/>
    <mergeCell ref="B64:B66"/>
    <mergeCell ref="B67:B69"/>
  </mergeCells>
  <phoneticPr fontId="6" type="noConversion"/>
  <pageMargins left="0.74803149606299213" right="0.74803149606299213" top="0.98425196850393704" bottom="0.98425196850393704" header="0.51181102362204722" footer="0.51181102362204722"/>
  <pageSetup paperSize="9" orientation="landscape" r:id="rId1"/>
  <headerFooter alignWithMargins="0"/>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FFFF00"/>
  </sheetPr>
  <dimension ref="B1:N48"/>
  <sheetViews>
    <sheetView topLeftCell="A22" zoomScaleNormal="100" workbookViewId="0">
      <selection activeCell="B46" sqref="B46:J46"/>
    </sheetView>
  </sheetViews>
  <sheetFormatPr defaultColWidth="9" defaultRowHeight="18" customHeight="1" outlineLevelRow="1"/>
  <cols>
    <col min="1" max="1" width="3.33203125" style="14" customWidth="1"/>
    <col min="2" max="2" width="11.83203125" style="14" customWidth="1"/>
    <col min="3" max="10" width="9.08203125" style="14" customWidth="1"/>
    <col min="11" max="12" width="9" style="14"/>
    <col min="13" max="13" width="17.58203125" style="14" customWidth="1"/>
    <col min="14" max="16384" width="9" style="14"/>
  </cols>
  <sheetData>
    <row r="1" spans="2:12" ht="26.25" customHeight="1">
      <c r="B1" s="765" t="s">
        <v>447</v>
      </c>
      <c r="C1" s="765"/>
      <c r="D1" s="765"/>
      <c r="E1" s="765"/>
      <c r="F1" s="765"/>
      <c r="G1" s="765"/>
      <c r="H1" s="765"/>
      <c r="I1" s="765"/>
      <c r="J1" s="765"/>
    </row>
    <row r="2" spans="2:12" ht="18" customHeight="1">
      <c r="B2" s="265" t="str">
        <f>'1报表'!B11</f>
        <v>评估基准日：2017/12/31</v>
      </c>
      <c r="E2" s="438"/>
      <c r="G2" s="79"/>
      <c r="H2" s="79"/>
      <c r="I2" s="79"/>
      <c r="J2" s="79"/>
    </row>
    <row r="3" spans="2:12" ht="18" customHeight="1">
      <c r="B3" s="265" t="str">
        <f>'1报表'!B12</f>
        <v>被评估单位：JSBD公司</v>
      </c>
      <c r="C3" s="4"/>
      <c r="D3" s="4"/>
      <c r="E3" s="4"/>
      <c r="F3" s="4"/>
      <c r="G3" s="4"/>
      <c r="H3" s="4"/>
      <c r="I3" s="4"/>
      <c r="J3" s="19" t="s">
        <v>52</v>
      </c>
    </row>
    <row r="4" spans="2:12" ht="24" customHeight="1">
      <c r="B4" s="28" t="s">
        <v>91</v>
      </c>
      <c r="C4" s="69" t="str">
        <f>'3收入'!C4</f>
        <v>2015年</v>
      </c>
      <c r="D4" s="69" t="str">
        <f>'3收入'!D4</f>
        <v>2016年</v>
      </c>
      <c r="E4" s="69" t="str">
        <f>'3收入'!E4</f>
        <v>2017年</v>
      </c>
      <c r="F4" s="27" t="str">
        <f>'3收入'!F4</f>
        <v>2018年</v>
      </c>
      <c r="G4" s="27" t="str">
        <f>'3收入'!G4</f>
        <v>2019年</v>
      </c>
      <c r="H4" s="27" t="str">
        <f>'3收入'!H4</f>
        <v>2020年</v>
      </c>
      <c r="I4" s="27" t="str">
        <f>'3收入'!I4</f>
        <v>2021年</v>
      </c>
      <c r="J4" s="27" t="str">
        <f>'3收入'!J4</f>
        <v>2022年</v>
      </c>
    </row>
    <row r="5" spans="2:12" ht="18" customHeight="1">
      <c r="B5" s="8" t="s">
        <v>287</v>
      </c>
      <c r="C5" s="699">
        <f>'1报表'!C99</f>
        <v>53.873420999999993</v>
      </c>
      <c r="D5" s="699">
        <f>'1报表'!D99</f>
        <v>81.41623100000001</v>
      </c>
      <c r="E5" s="699">
        <f>'1报表'!E99</f>
        <v>113.39455900000002</v>
      </c>
      <c r="F5" s="699">
        <f>F32</f>
        <v>107.26835541722282</v>
      </c>
      <c r="G5" s="699">
        <f t="shared" ref="G5:J5" si="0">G32</f>
        <v>127.21454394475082</v>
      </c>
      <c r="H5" s="699">
        <f>H32</f>
        <v>142.79594350458177</v>
      </c>
      <c r="I5" s="699">
        <f t="shared" si="0"/>
        <v>152.48180914883849</v>
      </c>
      <c r="J5" s="699">
        <f t="shared" si="0"/>
        <v>155.38376810740826</v>
      </c>
    </row>
    <row r="6" spans="2:12" ht="18" customHeight="1">
      <c r="B6" s="218" t="s">
        <v>66</v>
      </c>
      <c r="C6" s="16">
        <f>'3收入'!C5</f>
        <v>5647.5608560000001</v>
      </c>
      <c r="D6" s="16">
        <f>'3收入'!D5</f>
        <v>7304.7745279999999</v>
      </c>
      <c r="E6" s="16">
        <f>'3收入'!E5</f>
        <v>9615.5763319999987</v>
      </c>
      <c r="F6" s="16">
        <f>'3收入'!F5</f>
        <v>11935.47732058755</v>
      </c>
      <c r="G6" s="16">
        <f>'3收入'!G5</f>
        <v>14141.383768720463</v>
      </c>
      <c r="H6" s="16">
        <f>'3收入'!H5</f>
        <v>15896.179912814478</v>
      </c>
      <c r="I6" s="16">
        <f>'3收入'!I5</f>
        <v>16863.122702610581</v>
      </c>
      <c r="J6" s="16">
        <f>'3收入'!J5</f>
        <v>17224.451164859773</v>
      </c>
      <c r="K6" s="4"/>
      <c r="L6" s="4"/>
    </row>
    <row r="7" spans="2:12" ht="18" customHeight="1">
      <c r="B7" s="309" t="s">
        <v>99</v>
      </c>
      <c r="C7" s="310">
        <f t="shared" ref="C7:J7" si="1">IF(C6,C5/C6,"na")</f>
        <v>9.5392369154844205E-3</v>
      </c>
      <c r="D7" s="310">
        <f t="shared" si="1"/>
        <v>1.1145618620796945E-2</v>
      </c>
      <c r="E7" s="310">
        <f t="shared" si="1"/>
        <v>1.1792799004946845E-2</v>
      </c>
      <c r="F7" s="310">
        <f t="shared" si="1"/>
        <v>8.9873536295188815E-3</v>
      </c>
      <c r="G7" s="310">
        <f t="shared" si="1"/>
        <v>8.9959049287763864E-3</v>
      </c>
      <c r="H7" s="310">
        <f t="shared" si="1"/>
        <v>8.9830351875590485E-3</v>
      </c>
      <c r="I7" s="310">
        <f t="shared" si="1"/>
        <v>9.0423234081806678E-3</v>
      </c>
      <c r="J7" s="310">
        <f t="shared" si="1"/>
        <v>9.0211157743250656E-3</v>
      </c>
      <c r="K7" s="4"/>
      <c r="L7" s="4"/>
    </row>
    <row r="8" spans="2:12" ht="18" customHeight="1" thickBot="1">
      <c r="B8" s="315" t="s">
        <v>936</v>
      </c>
      <c r="C8" s="334"/>
      <c r="D8" s="334"/>
      <c r="E8" s="727" t="s">
        <v>938</v>
      </c>
      <c r="F8" s="334"/>
      <c r="G8" s="334"/>
      <c r="H8" s="334"/>
      <c r="I8" s="334"/>
      <c r="J8" s="334"/>
    </row>
    <row r="9" spans="2:12" ht="18" customHeight="1" outlineLevel="1">
      <c r="C9" s="337" t="str">
        <f t="shared" ref="C9:J9" si="2">C4</f>
        <v>2015年</v>
      </c>
      <c r="D9" s="337" t="str">
        <f t="shared" si="2"/>
        <v>2016年</v>
      </c>
      <c r="E9" s="337" t="str">
        <f t="shared" si="2"/>
        <v>2017年</v>
      </c>
      <c r="F9" s="328" t="str">
        <f t="shared" si="2"/>
        <v>2018年</v>
      </c>
      <c r="G9" s="328" t="str">
        <f t="shared" si="2"/>
        <v>2019年</v>
      </c>
      <c r="H9" s="328" t="str">
        <f t="shared" si="2"/>
        <v>2020年</v>
      </c>
      <c r="I9" s="328" t="str">
        <f t="shared" si="2"/>
        <v>2021年</v>
      </c>
      <c r="J9" s="328" t="str">
        <f t="shared" si="2"/>
        <v>2022年</v>
      </c>
    </row>
    <row r="10" spans="2:12" ht="18" customHeight="1" outlineLevel="1">
      <c r="B10" s="335" t="s">
        <v>94</v>
      </c>
      <c r="C10" s="90">
        <f t="shared" ref="C10:J10" si="3">C6</f>
        <v>5647.5608560000001</v>
      </c>
      <c r="D10" s="90">
        <f t="shared" si="3"/>
        <v>7304.7745279999999</v>
      </c>
      <c r="E10" s="90">
        <f t="shared" si="3"/>
        <v>9615.5763319999987</v>
      </c>
      <c r="F10" s="90">
        <f t="shared" si="3"/>
        <v>11935.47732058755</v>
      </c>
      <c r="G10" s="90">
        <f t="shared" si="3"/>
        <v>14141.383768720463</v>
      </c>
      <c r="H10" s="90">
        <f t="shared" si="3"/>
        <v>15896.179912814478</v>
      </c>
      <c r="I10" s="90">
        <f t="shared" si="3"/>
        <v>16863.122702610581</v>
      </c>
      <c r="J10" s="90">
        <f t="shared" si="3"/>
        <v>17224.451164859773</v>
      </c>
    </row>
    <row r="11" spans="2:12" ht="18" customHeight="1" outlineLevel="1">
      <c r="B11" s="21" t="s">
        <v>176</v>
      </c>
      <c r="C11" s="83">
        <f>C5</f>
        <v>53.873420999999993</v>
      </c>
      <c r="D11" s="83">
        <f t="shared" ref="D11:E11" si="4">D5</f>
        <v>81.41623100000001</v>
      </c>
      <c r="E11" s="83">
        <f t="shared" si="4"/>
        <v>113.39455900000002</v>
      </c>
      <c r="F11" s="222"/>
      <c r="G11" s="222"/>
      <c r="H11" s="222"/>
      <c r="I11" s="222"/>
      <c r="J11" s="222"/>
    </row>
    <row r="12" spans="2:12" ht="18" customHeight="1" outlineLevel="1">
      <c r="B12" s="21" t="s">
        <v>92</v>
      </c>
      <c r="C12" s="317">
        <f t="shared" ref="C12:D12" si="5">IF(C10,C11/C10,"na")</f>
        <v>9.5392369154844205E-3</v>
      </c>
      <c r="D12" s="317">
        <f t="shared" si="5"/>
        <v>1.1145618620796945E-2</v>
      </c>
      <c r="E12" s="317">
        <f>IF(E10,E11/E10,"na")</f>
        <v>1.1792799004946845E-2</v>
      </c>
      <c r="F12" s="230"/>
      <c r="G12" s="230"/>
      <c r="H12" s="230"/>
      <c r="I12" s="230"/>
      <c r="J12" s="230"/>
    </row>
    <row r="13" spans="2:12" ht="18" customHeight="1" outlineLevel="1">
      <c r="B13" s="88" t="s">
        <v>176</v>
      </c>
      <c r="C13" s="49"/>
      <c r="D13" s="49"/>
      <c r="E13" s="49"/>
      <c r="F13" s="47">
        <f>IF(F11,F11,F12*F10)</f>
        <v>0</v>
      </c>
      <c r="G13" s="47">
        <f t="shared" ref="G13:J13" si="6">IF(G11,G11,G12*G10)</f>
        <v>0</v>
      </c>
      <c r="H13" s="47">
        <f t="shared" si="6"/>
        <v>0</v>
      </c>
      <c r="I13" s="47">
        <f t="shared" si="6"/>
        <v>0</v>
      </c>
      <c r="J13" s="47">
        <f t="shared" si="6"/>
        <v>0</v>
      </c>
    </row>
    <row r="14" spans="2:12" ht="18" customHeight="1" outlineLevel="1" thickBot="1">
      <c r="B14" s="224" t="s">
        <v>92</v>
      </c>
      <c r="C14" s="50"/>
      <c r="D14" s="50"/>
      <c r="E14" s="50"/>
      <c r="F14" s="347">
        <f>IF(F10,F13/F10,"na")</f>
        <v>0</v>
      </c>
      <c r="G14" s="347">
        <f t="shared" ref="G14:J14" si="7">IF(G10,G13/G10,"na")</f>
        <v>0</v>
      </c>
      <c r="H14" s="347">
        <f t="shared" si="7"/>
        <v>0</v>
      </c>
      <c r="I14" s="347">
        <f t="shared" si="7"/>
        <v>0</v>
      </c>
      <c r="J14" s="347">
        <f t="shared" si="7"/>
        <v>0</v>
      </c>
    </row>
    <row r="16" spans="2:12" ht="18" customHeight="1">
      <c r="B16" s="39" t="s">
        <v>937</v>
      </c>
      <c r="D16" s="160" t="s">
        <v>157</v>
      </c>
    </row>
    <row r="17" spans="2:14" ht="19.5" customHeight="1" outlineLevel="1">
      <c r="B17" s="28" t="s">
        <v>65</v>
      </c>
      <c r="C17" s="69" t="str">
        <f t="shared" ref="C17:J17" si="8">C4</f>
        <v>2015年</v>
      </c>
      <c r="D17" s="69" t="str">
        <f t="shared" si="8"/>
        <v>2016年</v>
      </c>
      <c r="E17" s="69" t="str">
        <f t="shared" si="8"/>
        <v>2017年</v>
      </c>
      <c r="F17" s="27" t="str">
        <f t="shared" si="8"/>
        <v>2018年</v>
      </c>
      <c r="G17" s="27" t="str">
        <f t="shared" si="8"/>
        <v>2019年</v>
      </c>
      <c r="H17" s="27" t="str">
        <f t="shared" si="8"/>
        <v>2020年</v>
      </c>
      <c r="I17" s="27" t="str">
        <f t="shared" si="8"/>
        <v>2021年</v>
      </c>
      <c r="J17" s="27" t="str">
        <f t="shared" si="8"/>
        <v>2022年</v>
      </c>
      <c r="K17" s="157" t="s">
        <v>158</v>
      </c>
      <c r="L17" s="158" t="s">
        <v>166</v>
      </c>
      <c r="M17" s="158" t="s">
        <v>167</v>
      </c>
    </row>
    <row r="18" spans="2:14" ht="18" customHeight="1" outlineLevel="1">
      <c r="B18" s="8" t="s">
        <v>933</v>
      </c>
      <c r="C18" s="74"/>
      <c r="D18" s="74"/>
      <c r="E18" s="74"/>
      <c r="F18" s="46"/>
      <c r="G18" s="46"/>
      <c r="H18" s="46"/>
      <c r="I18" s="46"/>
      <c r="J18" s="46"/>
      <c r="K18" s="231">
        <v>0.16</v>
      </c>
      <c r="L18" s="232"/>
      <c r="M18" s="3"/>
    </row>
    <row r="19" spans="2:14" ht="18" customHeight="1" outlineLevel="1">
      <c r="B19" s="8" t="s">
        <v>934</v>
      </c>
      <c r="C19" s="74"/>
      <c r="D19" s="74"/>
      <c r="E19" s="74"/>
      <c r="F19" s="46"/>
      <c r="G19" s="46"/>
      <c r="H19" s="46"/>
      <c r="I19" s="46"/>
      <c r="J19" s="46"/>
      <c r="K19" s="231">
        <v>0.16</v>
      </c>
      <c r="L19" s="232"/>
      <c r="M19" s="233" t="s">
        <v>179</v>
      </c>
    </row>
    <row r="20" spans="2:14" ht="18" customHeight="1" outlineLevel="1">
      <c r="B20" s="8" t="s">
        <v>161</v>
      </c>
      <c r="C20" s="46">
        <f t="shared" ref="C20:J20" si="9">C18-C19</f>
        <v>0</v>
      </c>
      <c r="D20" s="46">
        <f t="shared" si="9"/>
        <v>0</v>
      </c>
      <c r="E20" s="46">
        <f t="shared" si="9"/>
        <v>0</v>
      </c>
      <c r="F20" s="46">
        <f t="shared" si="9"/>
        <v>0</v>
      </c>
      <c r="G20" s="46">
        <f t="shared" si="9"/>
        <v>0</v>
      </c>
      <c r="H20" s="46">
        <f t="shared" si="9"/>
        <v>0</v>
      </c>
      <c r="I20" s="46">
        <f t="shared" si="9"/>
        <v>0</v>
      </c>
      <c r="J20" s="46">
        <f t="shared" si="9"/>
        <v>0</v>
      </c>
      <c r="K20" s="73"/>
      <c r="L20" s="232" t="s">
        <v>160</v>
      </c>
      <c r="M20" s="3"/>
    </row>
    <row r="21" spans="2:14" ht="18" customHeight="1" outlineLevel="1">
      <c r="B21" s="8" t="s">
        <v>162</v>
      </c>
      <c r="C21" s="338"/>
      <c r="D21" s="338"/>
      <c r="E21" s="338"/>
      <c r="F21" s="74"/>
      <c r="G21" s="74"/>
      <c r="H21" s="74"/>
      <c r="I21" s="74"/>
      <c r="J21" s="74"/>
      <c r="K21" s="231"/>
      <c r="L21" s="232"/>
      <c r="M21" s="8" t="s">
        <v>939</v>
      </c>
    </row>
    <row r="22" spans="2:14" ht="18" customHeight="1" outlineLevel="1">
      <c r="B22" s="8" t="s">
        <v>163</v>
      </c>
      <c r="C22" s="46">
        <f t="shared" ref="C22:E22" si="10">C20+C21</f>
        <v>0</v>
      </c>
      <c r="D22" s="46">
        <f t="shared" si="10"/>
        <v>0</v>
      </c>
      <c r="E22" s="46">
        <f t="shared" si="10"/>
        <v>0</v>
      </c>
      <c r="F22" s="46">
        <f>IF(F20+F21&lt;0,0,F20+F21)</f>
        <v>0</v>
      </c>
      <c r="G22" s="46">
        <f>IF(G20+G21&lt;0,0,G20+G21)</f>
        <v>0</v>
      </c>
      <c r="H22" s="46">
        <f t="shared" ref="H22:J22" si="11">IF(H20+H21&lt;0,0,H20+H21)</f>
        <v>0</v>
      </c>
      <c r="I22" s="46">
        <f t="shared" si="11"/>
        <v>0</v>
      </c>
      <c r="J22" s="46">
        <f t="shared" si="11"/>
        <v>0</v>
      </c>
      <c r="K22" s="234"/>
      <c r="L22" s="232" t="s">
        <v>164</v>
      </c>
      <c r="M22" s="3"/>
    </row>
    <row r="23" spans="2:14" ht="18" customHeight="1" outlineLevel="1">
      <c r="B23" s="8" t="s">
        <v>169</v>
      </c>
      <c r="C23" s="339"/>
      <c r="D23" s="339"/>
      <c r="E23" s="339"/>
      <c r="F23" s="46"/>
      <c r="G23" s="46"/>
      <c r="H23" s="46"/>
      <c r="I23" s="46"/>
      <c r="J23" s="46"/>
      <c r="K23" s="231"/>
      <c r="L23" s="3"/>
      <c r="M23" s="3"/>
    </row>
    <row r="24" spans="2:14" ht="18" customHeight="1" outlineLevel="1">
      <c r="B24" s="8" t="s">
        <v>168</v>
      </c>
      <c r="C24" s="339">
        <v>29.624300000000002</v>
      </c>
      <c r="D24" s="339">
        <v>36.904780000000002</v>
      </c>
      <c r="E24" s="339">
        <v>51.920506000000003</v>
      </c>
      <c r="F24" s="46">
        <f>F48*$K$24</f>
        <v>46.785573835164385</v>
      </c>
      <c r="G24" s="46">
        <f>G48*$K$24</f>
        <v>58.112023573483775</v>
      </c>
      <c r="H24" s="46">
        <f>H48*$K$24</f>
        <v>66.955501856545339</v>
      </c>
      <c r="I24" s="46">
        <f>I48*$K$24</f>
        <v>72.470218158456987</v>
      </c>
      <c r="J24" s="46">
        <f>J48*$K$24</f>
        <v>74.112441566241117</v>
      </c>
      <c r="K24" s="231">
        <v>7.0000000000000007E-2</v>
      </c>
      <c r="L24" s="232" t="s">
        <v>159</v>
      </c>
      <c r="M24" s="3"/>
    </row>
    <row r="25" spans="2:14" ht="18" customHeight="1" outlineLevel="1">
      <c r="B25" s="8" t="s">
        <v>170</v>
      </c>
      <c r="C25" s="339"/>
      <c r="D25" s="339"/>
      <c r="E25" s="339"/>
      <c r="F25" s="340"/>
      <c r="G25" s="340"/>
      <c r="H25" s="340"/>
      <c r="I25" s="340"/>
      <c r="J25" s="340"/>
      <c r="K25" s="231"/>
      <c r="L25" s="232"/>
      <c r="M25" s="3"/>
    </row>
    <row r="26" spans="2:14" ht="18" customHeight="1" outlineLevel="1">
      <c r="B26" s="8" t="s">
        <v>935</v>
      </c>
      <c r="C26" s="339">
        <v>21.160215000000001</v>
      </c>
      <c r="D26" s="339">
        <v>26.360554999999998</v>
      </c>
      <c r="E26" s="339">
        <v>37.086081</v>
      </c>
      <c r="F26" s="46">
        <f>F48*$K$26</f>
        <v>33.418267025117416</v>
      </c>
      <c r="G26" s="46">
        <f>G48*$K$26</f>
        <v>41.508588266774126</v>
      </c>
      <c r="H26" s="46">
        <f>H48*$K$26</f>
        <v>47.825358468960957</v>
      </c>
      <c r="I26" s="46">
        <f>I48*$K$26</f>
        <v>51.764441541754991</v>
      </c>
      <c r="J26" s="46">
        <f>J48*$K$26</f>
        <v>52.937458261600796</v>
      </c>
      <c r="K26" s="231">
        <v>0.05</v>
      </c>
      <c r="L26" s="232" t="s">
        <v>159</v>
      </c>
      <c r="M26" s="3"/>
    </row>
    <row r="27" spans="2:14" ht="18" customHeight="1" outlineLevel="1">
      <c r="B27" s="8" t="s">
        <v>171</v>
      </c>
      <c r="C27" s="339"/>
      <c r="D27" s="339">
        <v>10.499706</v>
      </c>
      <c r="E27" s="339">
        <v>13.999607999999998</v>
      </c>
      <c r="F27" s="340">
        <v>16.41</v>
      </c>
      <c r="G27" s="340">
        <f>F27</f>
        <v>16.41</v>
      </c>
      <c r="H27" s="340">
        <f t="shared" ref="H27:J27" si="12">G27</f>
        <v>16.41</v>
      </c>
      <c r="I27" s="340">
        <f t="shared" si="12"/>
        <v>16.41</v>
      </c>
      <c r="J27" s="340">
        <f t="shared" si="12"/>
        <v>16.41</v>
      </c>
      <c r="K27" s="231"/>
      <c r="L27" s="232"/>
      <c r="M27" s="3"/>
      <c r="N27" s="14" t="s">
        <v>347</v>
      </c>
    </row>
    <row r="28" spans="2:14" ht="18" customHeight="1" outlineLevel="1">
      <c r="B28" s="8" t="s">
        <v>172</v>
      </c>
      <c r="C28" s="339"/>
      <c r="D28" s="339">
        <v>5.8387500000000001</v>
      </c>
      <c r="E28" s="339">
        <v>7.7850000000000001</v>
      </c>
      <c r="F28" s="340">
        <v>7.79</v>
      </c>
      <c r="G28" s="340">
        <f>F28</f>
        <v>7.79</v>
      </c>
      <c r="H28" s="340">
        <f t="shared" ref="H28:J28" si="13">G28</f>
        <v>7.79</v>
      </c>
      <c r="I28" s="340">
        <f t="shared" si="13"/>
        <v>7.79</v>
      </c>
      <c r="J28" s="340">
        <f t="shared" si="13"/>
        <v>7.79</v>
      </c>
      <c r="K28" s="231"/>
      <c r="L28" s="232"/>
      <c r="M28" s="3"/>
      <c r="N28" s="267" t="s">
        <v>346</v>
      </c>
    </row>
    <row r="29" spans="2:14" ht="18" customHeight="1" outlineLevel="1">
      <c r="B29" s="8" t="s">
        <v>173</v>
      </c>
      <c r="C29" s="339"/>
      <c r="D29" s="339"/>
      <c r="E29" s="339"/>
      <c r="F29" s="340"/>
      <c r="G29" s="340"/>
      <c r="H29" s="340"/>
      <c r="I29" s="340"/>
      <c r="J29" s="340"/>
      <c r="K29" s="231"/>
      <c r="L29" s="232"/>
      <c r="M29" s="3"/>
    </row>
    <row r="30" spans="2:14" ht="18" customHeight="1" outlineLevel="1">
      <c r="B30" s="8" t="s">
        <v>174</v>
      </c>
      <c r="C30" s="339">
        <v>9.75E-3</v>
      </c>
      <c r="D30" s="339">
        <v>1.8124400000000001</v>
      </c>
      <c r="E30" s="339">
        <v>2.603364</v>
      </c>
      <c r="F30" s="340">
        <f>'3收入'!F5*0.8*0.03%</f>
        <v>2.8645145569410118</v>
      </c>
      <c r="G30" s="340">
        <f>'3收入'!G5*0.8*0.03%</f>
        <v>3.3939321044929112</v>
      </c>
      <c r="H30" s="340">
        <f>'3收入'!H5*0.8*0.03%</f>
        <v>3.8150831790754745</v>
      </c>
      <c r="I30" s="340">
        <f>'3收入'!I5*0.8*0.03%</f>
        <v>4.0471494486265387</v>
      </c>
      <c r="J30" s="340">
        <f>'3收入'!J5*0.8*0.03%</f>
        <v>4.1338682795663457</v>
      </c>
      <c r="K30" s="235">
        <v>2.9999999999999997E-4</v>
      </c>
      <c r="L30" s="232"/>
      <c r="M30" s="233" t="s">
        <v>180</v>
      </c>
      <c r="N30" s="266" t="s">
        <v>345</v>
      </c>
    </row>
    <row r="31" spans="2:14" ht="18" customHeight="1" outlineLevel="1">
      <c r="B31" s="8" t="s">
        <v>315</v>
      </c>
      <c r="C31" s="339">
        <v>3.0791560000000002</v>
      </c>
      <c r="D31" s="339"/>
      <c r="E31" s="339"/>
      <c r="F31" s="340"/>
      <c r="G31" s="340"/>
      <c r="H31" s="340"/>
      <c r="I31" s="340"/>
      <c r="J31" s="340"/>
      <c r="K31" s="231"/>
      <c r="L31" s="232"/>
      <c r="M31" s="3"/>
    </row>
    <row r="32" spans="2:14" ht="18" customHeight="1" outlineLevel="1">
      <c r="B32" s="9" t="s">
        <v>165</v>
      </c>
      <c r="C32" s="45">
        <f t="shared" ref="C32:D32" si="14">C21+SUM(C23:C31)</f>
        <v>53.873420999999993</v>
      </c>
      <c r="D32" s="45">
        <f t="shared" si="14"/>
        <v>81.416230999999996</v>
      </c>
      <c r="E32" s="45">
        <f>E21+SUM(E23:E31)</f>
        <v>113.39455899999999</v>
      </c>
      <c r="F32" s="45">
        <f>F21+SUM(F23:F31)</f>
        <v>107.26835541722282</v>
      </c>
      <c r="G32" s="45">
        <f t="shared" ref="G32:J32" si="15">G21+SUM(G23:G31)</f>
        <v>127.21454394475082</v>
      </c>
      <c r="H32" s="45">
        <f t="shared" si="15"/>
        <v>142.79594350458177</v>
      </c>
      <c r="I32" s="45">
        <f t="shared" si="15"/>
        <v>152.48180914883849</v>
      </c>
      <c r="J32" s="45">
        <f t="shared" si="15"/>
        <v>155.38376810740826</v>
      </c>
      <c r="K32" s="3"/>
      <c r="L32" s="232"/>
      <c r="M32" s="3"/>
    </row>
    <row r="33" spans="2:10" ht="18" customHeight="1" outlineLevel="1">
      <c r="B33" s="160" t="s">
        <v>99</v>
      </c>
      <c r="F33" s="312">
        <f>IF(F6,F32/F6,"na")</f>
        <v>8.9873536295188815E-3</v>
      </c>
      <c r="G33" s="312">
        <f t="shared" ref="G33:J33" si="16">IF(G6,G32/G6,"na")</f>
        <v>8.9959049287763864E-3</v>
      </c>
      <c r="H33" s="312">
        <f t="shared" si="16"/>
        <v>8.9830351875590485E-3</v>
      </c>
      <c r="I33" s="312">
        <f t="shared" si="16"/>
        <v>9.0423234081806678E-3</v>
      </c>
      <c r="J33" s="312">
        <f t="shared" si="16"/>
        <v>9.0211157743250656E-3</v>
      </c>
    </row>
    <row r="34" spans="2:10" ht="18" customHeight="1" outlineLevel="1"/>
    <row r="35" spans="2:10" ht="18" customHeight="1" outlineLevel="1" thickBot="1">
      <c r="B35" s="728" t="s">
        <v>940</v>
      </c>
      <c r="C35" s="220"/>
      <c r="D35" s="220"/>
      <c r="E35" s="220"/>
      <c r="F35" s="220"/>
      <c r="G35" s="220"/>
      <c r="H35" s="220"/>
      <c r="I35" s="220"/>
      <c r="J35" s="220"/>
    </row>
    <row r="36" spans="2:10" ht="18" customHeight="1" outlineLevel="1">
      <c r="B36" s="311" t="s">
        <v>441</v>
      </c>
      <c r="C36" s="42"/>
      <c r="D36" s="42"/>
      <c r="E36" s="42"/>
      <c r="F36" s="336" t="str">
        <f t="shared" ref="F36:J36" si="17">F4</f>
        <v>2018年</v>
      </c>
      <c r="G36" s="336" t="str">
        <f t="shared" si="17"/>
        <v>2019年</v>
      </c>
      <c r="H36" s="336" t="str">
        <f t="shared" si="17"/>
        <v>2020年</v>
      </c>
      <c r="I36" s="336" t="str">
        <f t="shared" si="17"/>
        <v>2021年</v>
      </c>
      <c r="J36" s="336" t="str">
        <f t="shared" si="17"/>
        <v>2022年</v>
      </c>
    </row>
    <row r="37" spans="2:10" ht="18" customHeight="1" outlineLevel="1">
      <c r="B37" s="730" t="s">
        <v>945</v>
      </c>
      <c r="C37" s="268"/>
      <c r="D37" s="268"/>
      <c r="E37" s="268"/>
      <c r="F37" s="731">
        <f>F6*0.9*(0.25*17%+0.75*16%)</f>
        <v>1745.5635581359293</v>
      </c>
      <c r="G37" s="731">
        <f>G6*0.9*16%</f>
        <v>2036.3592626957468</v>
      </c>
      <c r="H37" s="731">
        <f t="shared" ref="H37:J37" si="18">H6*0.9*16%</f>
        <v>2289.049907445285</v>
      </c>
      <c r="I37" s="731">
        <f t="shared" si="18"/>
        <v>2428.2896691759238</v>
      </c>
      <c r="J37" s="731">
        <f t="shared" si="18"/>
        <v>2480.3209677398077</v>
      </c>
    </row>
    <row r="38" spans="2:10" ht="18" customHeight="1" outlineLevel="1"/>
    <row r="39" spans="2:10" ht="18" customHeight="1" outlineLevel="1">
      <c r="B39" s="21" t="s">
        <v>944</v>
      </c>
      <c r="F39" s="222">
        <f>'4成本'!F5*0.8*(0.25*17%+0.75*16%)</f>
        <v>930.96723100582903</v>
      </c>
      <c r="G39" s="222">
        <f>'4成本'!G5*0.8*16%</f>
        <v>1086.0582734377315</v>
      </c>
      <c r="H39" s="222">
        <f>'4成本'!H5*0.8*16%</f>
        <v>1220.8266173041518</v>
      </c>
      <c r="I39" s="222">
        <f>'4成本'!I5*0.8*16%</f>
        <v>1295.0878235604928</v>
      </c>
      <c r="J39" s="222">
        <f>'4成本'!J5*0.8*16%</f>
        <v>1322.8378494612305</v>
      </c>
    </row>
    <row r="40" spans="2:10" ht="18" customHeight="1" outlineLevel="1">
      <c r="B40" s="21" t="s">
        <v>943</v>
      </c>
      <c r="F40" s="222">
        <f>'6销管'!F15*(0.25*11%+0.75*10%)</f>
        <v>24.46772850720448</v>
      </c>
      <c r="G40" s="222">
        <f>'6销管'!G15*10%</f>
        <v>28.282767537440932</v>
      </c>
      <c r="H40" s="222">
        <f>'6销管'!H15*10%</f>
        <v>31.792359825628957</v>
      </c>
      <c r="I40" s="222">
        <f>'6销管'!I15*10%</f>
        <v>33.726245405221164</v>
      </c>
      <c r="J40" s="222">
        <f>'6销管'!J15*10%</f>
        <v>34.448902329719544</v>
      </c>
    </row>
    <row r="41" spans="2:10" ht="18" customHeight="1" outlineLevel="1">
      <c r="B41" s="21" t="s">
        <v>942</v>
      </c>
      <c r="F41" s="222">
        <f>('6销管'!F59+'6销管'!F65)*(0.25*17%+0.75*16%)</f>
        <v>3.2971756098123106</v>
      </c>
      <c r="G41" s="222">
        <f>('6销管'!G59+'6销管'!G65)*16%</f>
        <v>3.8464563850919662</v>
      </c>
      <c r="H41" s="222">
        <f>('6销管'!H59+'6销管'!H65)*16%</f>
        <v>4.323760936285538</v>
      </c>
      <c r="I41" s="222">
        <f>('6销管'!I59+'6销管'!I65)*16%</f>
        <v>4.5867693751100784</v>
      </c>
      <c r="J41" s="222">
        <f>('6销管'!J59+'6销管'!J65)*16%</f>
        <v>4.6850507168418583</v>
      </c>
    </row>
    <row r="42" spans="2:10" ht="18" customHeight="1" outlineLevel="1">
      <c r="B42" s="21" t="s">
        <v>455</v>
      </c>
      <c r="F42" s="222">
        <v>24.56268</v>
      </c>
      <c r="G42" s="222"/>
      <c r="H42" s="222"/>
      <c r="I42" s="222"/>
      <c r="J42" s="222"/>
    </row>
    <row r="43" spans="2:10" ht="18" customHeight="1" outlineLevel="1">
      <c r="B43" s="21" t="s">
        <v>377</v>
      </c>
      <c r="F43" s="222">
        <v>91.536403586206902</v>
      </c>
      <c r="G43" s="222">
        <v>88</v>
      </c>
      <c r="H43" s="222">
        <v>72</v>
      </c>
      <c r="I43" s="222">
        <v>56</v>
      </c>
      <c r="J43" s="222">
        <v>56</v>
      </c>
    </row>
    <row r="44" spans="2:10" ht="18" customHeight="1" outlineLevel="1">
      <c r="B44" s="21" t="s">
        <v>580</v>
      </c>
      <c r="F44" s="222"/>
      <c r="G44" s="222"/>
      <c r="H44" s="222"/>
      <c r="I44" s="222"/>
      <c r="J44" s="222"/>
    </row>
    <row r="45" spans="2:10" ht="18" customHeight="1" outlineLevel="1">
      <c r="B45" s="21" t="s">
        <v>376</v>
      </c>
      <c r="F45" s="222">
        <v>2.3669989245283021</v>
      </c>
      <c r="G45" s="222">
        <v>0</v>
      </c>
      <c r="H45" s="222">
        <v>3.5999999999999996</v>
      </c>
      <c r="I45" s="222">
        <v>3.5999999999999996</v>
      </c>
      <c r="J45" s="222">
        <v>3.5999999999999996</v>
      </c>
    </row>
    <row r="46" spans="2:10" ht="18" customHeight="1" outlineLevel="1">
      <c r="B46" s="219" t="s">
        <v>941</v>
      </c>
      <c r="C46" s="42"/>
      <c r="D46" s="42"/>
      <c r="E46" s="42"/>
      <c r="F46" s="732"/>
      <c r="G46" s="732"/>
      <c r="H46" s="732"/>
      <c r="I46" s="732"/>
      <c r="J46" s="732"/>
    </row>
    <row r="47" spans="2:10" ht="18" customHeight="1" outlineLevel="1">
      <c r="B47" s="227" t="s">
        <v>946</v>
      </c>
      <c r="F47" s="14">
        <f>SUM(F39:F46)</f>
        <v>1077.198217633581</v>
      </c>
      <c r="G47" s="14">
        <f t="shared" ref="G47:J47" si="19">SUM(G39:G46)</f>
        <v>1206.1874973602644</v>
      </c>
      <c r="H47" s="14">
        <f t="shared" si="19"/>
        <v>1332.542738066066</v>
      </c>
      <c r="I47" s="14">
        <f t="shared" si="19"/>
        <v>1393.000838340824</v>
      </c>
      <c r="J47" s="14">
        <f t="shared" si="19"/>
        <v>1421.5718025077917</v>
      </c>
    </row>
    <row r="48" spans="2:10" ht="18" customHeight="1" outlineLevel="1" thickBot="1">
      <c r="B48" s="729" t="s">
        <v>947</v>
      </c>
      <c r="C48" s="229"/>
      <c r="D48" s="229"/>
      <c r="E48" s="229"/>
      <c r="F48" s="229">
        <f>F37-F47</f>
        <v>668.36534050234832</v>
      </c>
      <c r="G48" s="229">
        <f t="shared" ref="G48:J48" si="20">G37-G47</f>
        <v>830.17176533548241</v>
      </c>
      <c r="H48" s="229">
        <f t="shared" si="20"/>
        <v>956.50716937921902</v>
      </c>
      <c r="I48" s="229">
        <f t="shared" si="20"/>
        <v>1035.2888308350998</v>
      </c>
      <c r="J48" s="229">
        <f t="shared" si="20"/>
        <v>1058.7491652320159</v>
      </c>
    </row>
  </sheetData>
  <sheetProtection formatCells="0" formatColumns="0" formatRows="0" insertColumns="0" insertRows="0" deleteColumns="0" deleteRows="0"/>
  <mergeCells count="1">
    <mergeCell ref="B1:J1"/>
  </mergeCells>
  <phoneticPr fontId="6" type="noConversion"/>
  <pageMargins left="0.75" right="0.75" top="1" bottom="1" header="0.5" footer="0.5"/>
  <pageSetup paperSize="9" orientation="landscape" r:id="rId1"/>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tabColor rgb="FFFFFF00"/>
  </sheetPr>
  <dimension ref="B1:K170"/>
  <sheetViews>
    <sheetView zoomScaleNormal="100" workbookViewId="0">
      <selection activeCell="B95" sqref="B95"/>
    </sheetView>
  </sheetViews>
  <sheetFormatPr defaultColWidth="9" defaultRowHeight="18" customHeight="1" outlineLevelRow="1"/>
  <cols>
    <col min="1" max="1" width="4.5" style="14" customWidth="1"/>
    <col min="2" max="2" width="20.5" style="14" customWidth="1"/>
    <col min="3" max="3" width="9.08203125" style="14" customWidth="1"/>
    <col min="4" max="4" width="9.75" style="14" customWidth="1"/>
    <col min="5" max="10" width="9.08203125" style="14" customWidth="1"/>
    <col min="11" max="16384" width="9" style="14"/>
  </cols>
  <sheetData>
    <row r="1" spans="2:10" ht="26.25" customHeight="1">
      <c r="B1" s="765" t="s">
        <v>555</v>
      </c>
      <c r="C1" s="765"/>
      <c r="D1" s="765"/>
      <c r="E1" s="765"/>
      <c r="F1" s="765"/>
      <c r="G1" s="765"/>
      <c r="H1" s="765"/>
      <c r="I1" s="765"/>
      <c r="J1" s="765"/>
    </row>
    <row r="2" spans="2:10" ht="18" customHeight="1">
      <c r="B2" s="265" t="str">
        <f>'1报表'!B11</f>
        <v>评估基准日：2017/12/31</v>
      </c>
      <c r="D2" s="79"/>
      <c r="E2" s="389"/>
      <c r="G2" s="79"/>
      <c r="H2" s="79"/>
      <c r="I2" s="79"/>
      <c r="J2" s="79"/>
    </row>
    <row r="3" spans="2:10" ht="18" customHeight="1">
      <c r="B3" s="265" t="str">
        <f>'1报表'!B12</f>
        <v>被评估单位：JSBD公司</v>
      </c>
      <c r="C3" s="4"/>
      <c r="D3" s="4"/>
      <c r="E3" s="4"/>
      <c r="F3" s="4"/>
      <c r="G3" s="4"/>
      <c r="H3" s="4"/>
      <c r="J3" s="19" t="s">
        <v>52</v>
      </c>
    </row>
    <row r="4" spans="2:10" ht="25.5" customHeight="1">
      <c r="B4" s="28" t="s">
        <v>326</v>
      </c>
      <c r="C4" s="69" t="str">
        <f>'3收入'!C4</f>
        <v>2015年</v>
      </c>
      <c r="D4" s="69" t="str">
        <f>'3收入'!D4</f>
        <v>2016年</v>
      </c>
      <c r="E4" s="69" t="str">
        <f>'3收入'!E4</f>
        <v>2017年</v>
      </c>
      <c r="F4" s="27" t="str">
        <f>'3收入'!F4</f>
        <v>2018年</v>
      </c>
      <c r="G4" s="27" t="str">
        <f>'3收入'!G4</f>
        <v>2019年</v>
      </c>
      <c r="H4" s="27" t="str">
        <f>'3收入'!H4</f>
        <v>2020年</v>
      </c>
      <c r="I4" s="27" t="str">
        <f>'3收入'!I4</f>
        <v>2021年</v>
      </c>
      <c r="J4" s="27" t="str">
        <f>'3收入'!J4</f>
        <v>2022年</v>
      </c>
    </row>
    <row r="5" spans="2:10" ht="18" customHeight="1">
      <c r="B5" s="700" t="s">
        <v>227</v>
      </c>
      <c r="C5" s="46">
        <f>'1报表'!C100</f>
        <v>481.45909900000004</v>
      </c>
      <c r="D5" s="46">
        <f>'1报表'!D100</f>
        <v>588.55086500000004</v>
      </c>
      <c r="E5" s="46">
        <f>'1报表'!E100</f>
        <v>750.19684400000006</v>
      </c>
      <c r="F5" s="46">
        <f>F41</f>
        <v>950.06399471876898</v>
      </c>
      <c r="G5" s="46">
        <f t="shared" ref="G5:J5" si="0">G41</f>
        <v>1125.6541479901491</v>
      </c>
      <c r="H5" s="46">
        <f t="shared" si="0"/>
        <v>1265.3359210600324</v>
      </c>
      <c r="I5" s="46">
        <f t="shared" si="0"/>
        <v>1342.3045671278023</v>
      </c>
      <c r="J5" s="46">
        <f t="shared" si="0"/>
        <v>1371.0663127228379</v>
      </c>
    </row>
    <row r="6" spans="2:10" ht="18" customHeight="1">
      <c r="B6" s="700" t="s">
        <v>72</v>
      </c>
      <c r="C6" s="46">
        <f>'1报表'!C101</f>
        <v>694.30697500000019</v>
      </c>
      <c r="D6" s="46">
        <f>'1报表'!D101</f>
        <v>710.43653900000004</v>
      </c>
      <c r="E6" s="46">
        <f>'1报表'!E101</f>
        <v>1052.4467249999998</v>
      </c>
      <c r="F6" s="46">
        <f>F121</f>
        <v>1140.1680865915284</v>
      </c>
      <c r="G6" s="46">
        <f t="shared" ref="G6:J6" si="1">G121</f>
        <v>1284.8846646328643</v>
      </c>
      <c r="H6" s="46">
        <f t="shared" si="1"/>
        <v>1341.4960891320359</v>
      </c>
      <c r="I6" s="46">
        <f t="shared" si="1"/>
        <v>1376.4757945411359</v>
      </c>
      <c r="J6" s="46">
        <f t="shared" si="1"/>
        <v>1432.4397334915836</v>
      </c>
    </row>
    <row r="7" spans="2:10" ht="18" customHeight="1">
      <c r="B7" s="700" t="s">
        <v>533</v>
      </c>
      <c r="C7" s="46">
        <f>'1报表'!C102</f>
        <v>384.83577599999995</v>
      </c>
      <c r="D7" s="46">
        <f>'1报表'!D102</f>
        <v>369.90656899999999</v>
      </c>
      <c r="E7" s="46">
        <f>'1报表'!E102</f>
        <v>435.36899800000003</v>
      </c>
      <c r="F7" s="46">
        <f>F128</f>
        <v>596.77386602937747</v>
      </c>
      <c r="G7" s="46">
        <f t="shared" ref="G7:J7" si="2">G128</f>
        <v>707.06918843602318</v>
      </c>
      <c r="H7" s="46">
        <f t="shared" si="2"/>
        <v>794.80899564072388</v>
      </c>
      <c r="I7" s="46">
        <f t="shared" si="2"/>
        <v>843.15613513052904</v>
      </c>
      <c r="J7" s="46">
        <f t="shared" si="2"/>
        <v>861.22255824298873</v>
      </c>
    </row>
    <row r="8" spans="2:10" ht="18" customHeight="1">
      <c r="B8" s="9" t="s">
        <v>540</v>
      </c>
      <c r="C8" s="45">
        <f>SUM(C5:C7)</f>
        <v>1560.60185</v>
      </c>
      <c r="D8" s="45">
        <f t="shared" ref="D8:J8" si="3">SUM(D5:D7)</f>
        <v>1668.893973</v>
      </c>
      <c r="E8" s="45">
        <f t="shared" si="3"/>
        <v>2238.0125669999998</v>
      </c>
      <c r="F8" s="45">
        <f t="shared" si="3"/>
        <v>2687.005947339675</v>
      </c>
      <c r="G8" s="45">
        <f t="shared" si="3"/>
        <v>3117.6080010590367</v>
      </c>
      <c r="H8" s="45">
        <f t="shared" si="3"/>
        <v>3401.641005832792</v>
      </c>
      <c r="I8" s="45">
        <f t="shared" si="3"/>
        <v>3561.936496799467</v>
      </c>
      <c r="J8" s="45">
        <f t="shared" si="3"/>
        <v>3664.7286044574103</v>
      </c>
    </row>
    <row r="9" spans="2:10" ht="18" customHeight="1">
      <c r="B9" s="239" t="s">
        <v>94</v>
      </c>
      <c r="C9" s="47">
        <f>'3收入'!C5</f>
        <v>5647.5608560000001</v>
      </c>
      <c r="D9" s="47">
        <f>'3收入'!D5</f>
        <v>7304.7745279999999</v>
      </c>
      <c r="E9" s="47">
        <f>'3收入'!E5</f>
        <v>9615.5763319999987</v>
      </c>
      <c r="F9" s="47">
        <f>'3收入'!F5</f>
        <v>11935.47732058755</v>
      </c>
      <c r="G9" s="47">
        <f>'3收入'!G5</f>
        <v>14141.383768720463</v>
      </c>
      <c r="H9" s="47">
        <f>'3收入'!H5</f>
        <v>15896.179912814478</v>
      </c>
      <c r="I9" s="47">
        <f>'3收入'!I5</f>
        <v>16863.122702610581</v>
      </c>
      <c r="J9" s="47">
        <f>'3收入'!J5</f>
        <v>17224.451164859773</v>
      </c>
    </row>
    <row r="10" spans="2:10" ht="18" customHeight="1">
      <c r="B10" s="14" t="s">
        <v>330</v>
      </c>
      <c r="C10" s="312">
        <f t="shared" ref="C10:J10" si="4">IF(C9,C8/C9,"na")</f>
        <v>0.27633201125084078</v>
      </c>
      <c r="D10" s="312">
        <f t="shared" si="4"/>
        <v>0.22846618558902082</v>
      </c>
      <c r="E10" s="312">
        <f t="shared" si="4"/>
        <v>0.23274866630219998</v>
      </c>
      <c r="F10" s="312">
        <f t="shared" si="4"/>
        <v>0.22512764887122264</v>
      </c>
      <c r="G10" s="312">
        <f t="shared" si="4"/>
        <v>0.2204598964321243</v>
      </c>
      <c r="H10" s="312">
        <f t="shared" si="4"/>
        <v>0.21399109877276917</v>
      </c>
      <c r="I10" s="312">
        <f t="shared" si="4"/>
        <v>0.21122638787702372</v>
      </c>
      <c r="J10" s="312">
        <f t="shared" si="4"/>
        <v>0.21276315682754268</v>
      </c>
    </row>
    <row r="11" spans="2:10" ht="18" customHeight="1">
      <c r="B11" s="419" t="s">
        <v>536</v>
      </c>
      <c r="D11" s="332"/>
      <c r="E11" s="529" t="s">
        <v>442</v>
      </c>
      <c r="F11" s="180"/>
      <c r="I11" s="242" t="s">
        <v>582</v>
      </c>
    </row>
    <row r="12" spans="2:10" ht="18" customHeight="1" outlineLevel="1">
      <c r="B12" s="185" t="s">
        <v>396</v>
      </c>
      <c r="C12" s="314" t="str">
        <f t="shared" ref="C12:J12" si="5">C4</f>
        <v>2015年</v>
      </c>
      <c r="D12" s="314" t="str">
        <f t="shared" si="5"/>
        <v>2016年</v>
      </c>
      <c r="E12" s="314" t="str">
        <f t="shared" si="5"/>
        <v>2017年</v>
      </c>
      <c r="F12" s="187" t="str">
        <f t="shared" si="5"/>
        <v>2018年</v>
      </c>
      <c r="G12" s="187" t="str">
        <f t="shared" si="5"/>
        <v>2019年</v>
      </c>
      <c r="H12" s="187" t="str">
        <f t="shared" si="5"/>
        <v>2020年</v>
      </c>
      <c r="I12" s="187" t="str">
        <f t="shared" si="5"/>
        <v>2021年</v>
      </c>
      <c r="J12" s="187" t="str">
        <f t="shared" si="5"/>
        <v>2022年</v>
      </c>
    </row>
    <row r="13" spans="2:10" ht="18" customHeight="1" outlineLevel="1">
      <c r="B13" s="357" t="s">
        <v>87</v>
      </c>
      <c r="C13" s="486">
        <v>82.784085000000005</v>
      </c>
      <c r="D13" s="486">
        <v>54.068012000000003</v>
      </c>
      <c r="E13" s="486">
        <v>73.787717999999998</v>
      </c>
      <c r="F13" s="156">
        <f t="shared" ref="F13:J13" si="6">F9*$H$27</f>
        <v>89.516079904406624</v>
      </c>
      <c r="G13" s="156">
        <f t="shared" si="6"/>
        <v>106.06037826540347</v>
      </c>
      <c r="H13" s="156">
        <f t="shared" si="6"/>
        <v>119.22134934610858</v>
      </c>
      <c r="I13" s="156">
        <f t="shared" si="6"/>
        <v>126.47342026957935</v>
      </c>
      <c r="J13" s="156">
        <f t="shared" si="6"/>
        <v>129.18338373644829</v>
      </c>
    </row>
    <row r="14" spans="2:10" ht="18" customHeight="1" outlineLevel="1">
      <c r="B14" s="8" t="s">
        <v>948</v>
      </c>
      <c r="C14" s="156">
        <v>29.756603000000002</v>
      </c>
      <c r="D14" s="156">
        <v>39.310676000000001</v>
      </c>
      <c r="E14" s="156">
        <v>60.444225000000003</v>
      </c>
      <c r="F14" s="156">
        <f t="shared" ref="F14:J14" si="7">F9*$H$28</f>
        <v>66.838672995290281</v>
      </c>
      <c r="G14" s="156">
        <f t="shared" si="7"/>
        <v>79.191749104834599</v>
      </c>
      <c r="H14" s="156">
        <f t="shared" si="7"/>
        <v>89.018607511761076</v>
      </c>
      <c r="I14" s="156">
        <f t="shared" si="7"/>
        <v>94.433487134619256</v>
      </c>
      <c r="J14" s="156">
        <f t="shared" si="7"/>
        <v>96.456926523214733</v>
      </c>
    </row>
    <row r="15" spans="2:10" ht="18" customHeight="1" outlineLevel="1">
      <c r="B15" s="8" t="s">
        <v>943</v>
      </c>
      <c r="C15" s="156">
        <v>97.206980999999999</v>
      </c>
      <c r="D15" s="156">
        <v>162.27442199999999</v>
      </c>
      <c r="E15" s="156">
        <v>196.428282</v>
      </c>
      <c r="F15" s="156">
        <f t="shared" ref="F15:J15" si="8">F9*$H$29</f>
        <v>238.70954641175101</v>
      </c>
      <c r="G15" s="156">
        <f t="shared" si="8"/>
        <v>282.8276753744093</v>
      </c>
      <c r="H15" s="156">
        <f t="shared" si="8"/>
        <v>317.92359825628955</v>
      </c>
      <c r="I15" s="156">
        <f t="shared" si="8"/>
        <v>337.26245405221164</v>
      </c>
      <c r="J15" s="156">
        <f t="shared" si="8"/>
        <v>344.48902329719544</v>
      </c>
    </row>
    <row r="16" spans="2:10" ht="18" customHeight="1" outlineLevel="1">
      <c r="B16" s="3" t="s">
        <v>949</v>
      </c>
      <c r="C16" s="156">
        <v>77.886603000000008</v>
      </c>
      <c r="D16" s="156">
        <v>78.65050500000001</v>
      </c>
      <c r="E16" s="156">
        <v>82.714493000000004</v>
      </c>
      <c r="F16" s="156">
        <f t="shared" ref="F16:J16" si="9">F9*$H$30</f>
        <v>132.4837982585218</v>
      </c>
      <c r="G16" s="156">
        <f t="shared" si="9"/>
        <v>156.96935983279715</v>
      </c>
      <c r="H16" s="156">
        <f t="shared" si="9"/>
        <v>176.44759703224071</v>
      </c>
      <c r="I16" s="156">
        <f t="shared" si="9"/>
        <v>187.18066199897746</v>
      </c>
      <c r="J16" s="156">
        <f t="shared" si="9"/>
        <v>191.19140792994349</v>
      </c>
    </row>
    <row r="17" spans="2:10" ht="18" customHeight="1" outlineLevel="1">
      <c r="B17" s="3" t="s">
        <v>950</v>
      </c>
      <c r="C17" s="156">
        <v>55.205293000000005</v>
      </c>
      <c r="D17" s="156">
        <v>26.047723000000001</v>
      </c>
      <c r="E17" s="156">
        <v>20.436228</v>
      </c>
      <c r="F17" s="156">
        <f t="shared" ref="F17:J17" si="10">F9*$H$31</f>
        <v>25.064502373233854</v>
      </c>
      <c r="G17" s="156">
        <f t="shared" si="10"/>
        <v>29.696905914312971</v>
      </c>
      <c r="H17" s="156">
        <f t="shared" si="10"/>
        <v>33.3819778169104</v>
      </c>
      <c r="I17" s="156">
        <f t="shared" si="10"/>
        <v>35.412557675482219</v>
      </c>
      <c r="J17" s="156">
        <f t="shared" si="10"/>
        <v>36.171347446205523</v>
      </c>
    </row>
    <row r="18" spans="2:10" ht="18" customHeight="1" outlineLevel="1">
      <c r="B18" s="3" t="s">
        <v>951</v>
      </c>
      <c r="C18" s="156">
        <v>28.890596999999996</v>
      </c>
      <c r="D18" s="156">
        <v>46.584152000000003</v>
      </c>
      <c r="E18" s="156">
        <v>97.208652000000001</v>
      </c>
      <c r="F18" s="156">
        <f t="shared" ref="F18:J18" si="11">F9*$H$32</f>
        <v>119.3547732058755</v>
      </c>
      <c r="G18" s="156">
        <f t="shared" si="11"/>
        <v>141.41383768720465</v>
      </c>
      <c r="H18" s="156">
        <f t="shared" si="11"/>
        <v>158.96179912814478</v>
      </c>
      <c r="I18" s="156">
        <f t="shared" si="11"/>
        <v>168.63122702610582</v>
      </c>
      <c r="J18" s="156">
        <f t="shared" si="11"/>
        <v>172.24451164859772</v>
      </c>
    </row>
    <row r="19" spans="2:10" ht="18" customHeight="1" outlineLevel="1">
      <c r="B19" s="8" t="s">
        <v>952</v>
      </c>
      <c r="C19" s="156">
        <v>86.941479999999999</v>
      </c>
      <c r="D19" s="156">
        <v>159.93703200000002</v>
      </c>
      <c r="E19" s="156">
        <v>191.96454800000001</v>
      </c>
      <c r="F19" s="156">
        <f t="shared" ref="F19:J19" si="12">F9*$H$33</f>
        <v>238.70954641175101</v>
      </c>
      <c r="G19" s="156">
        <f t="shared" si="12"/>
        <v>282.8276753744093</v>
      </c>
      <c r="H19" s="156">
        <f t="shared" si="12"/>
        <v>317.92359825628955</v>
      </c>
      <c r="I19" s="156">
        <f t="shared" si="12"/>
        <v>337.26245405221164</v>
      </c>
      <c r="J19" s="156">
        <f t="shared" si="12"/>
        <v>344.48902329719544</v>
      </c>
    </row>
    <row r="20" spans="2:10" ht="18" customHeight="1" outlineLevel="1">
      <c r="B20" s="8" t="s">
        <v>953</v>
      </c>
      <c r="C20" s="156">
        <v>16.949916000000002</v>
      </c>
      <c r="D20" s="156">
        <v>13.427223000000001</v>
      </c>
      <c r="E20" s="156">
        <v>14.380442000000002</v>
      </c>
      <c r="F20" s="156">
        <f t="shared" ref="F20:J20" si="13">F9*$H$34</f>
        <v>25.064502373233854</v>
      </c>
      <c r="G20" s="156">
        <f t="shared" si="13"/>
        <v>29.696905914312971</v>
      </c>
      <c r="H20" s="156">
        <f t="shared" si="13"/>
        <v>33.3819778169104</v>
      </c>
      <c r="I20" s="156">
        <f t="shared" si="13"/>
        <v>35.412557675482219</v>
      </c>
      <c r="J20" s="156">
        <f t="shared" si="13"/>
        <v>36.171347446205523</v>
      </c>
    </row>
    <row r="21" spans="2:10" ht="18" customHeight="1" outlineLevel="1">
      <c r="B21" s="8" t="s">
        <v>954</v>
      </c>
      <c r="C21" s="156">
        <v>5.8375410000000008</v>
      </c>
      <c r="D21" s="156">
        <v>8.2511200000000002</v>
      </c>
      <c r="E21" s="156">
        <v>12.832255999999999</v>
      </c>
      <c r="F21" s="156">
        <f t="shared" ref="F21:J21" si="14">F9*$H$35</f>
        <v>14.322572784705059</v>
      </c>
      <c r="G21" s="156">
        <f t="shared" si="14"/>
        <v>16.969660522464554</v>
      </c>
      <c r="H21" s="156">
        <f t="shared" si="14"/>
        <v>19.075415895377372</v>
      </c>
      <c r="I21" s="156">
        <f t="shared" si="14"/>
        <v>20.235747243132696</v>
      </c>
      <c r="J21" s="156">
        <f t="shared" si="14"/>
        <v>20.669341397831726</v>
      </c>
    </row>
    <row r="22" spans="2:10" ht="18" customHeight="1" outlineLevel="1">
      <c r="B22" s="3"/>
      <c r="C22" s="156"/>
      <c r="D22" s="156"/>
      <c r="E22" s="156"/>
      <c r="F22" s="156"/>
      <c r="G22" s="156"/>
      <c r="H22" s="156"/>
      <c r="I22" s="156"/>
      <c r="J22" s="156"/>
    </row>
    <row r="23" spans="2:10" ht="18" customHeight="1" outlineLevel="1">
      <c r="B23" s="9" t="s">
        <v>955</v>
      </c>
      <c r="C23" s="45">
        <f t="shared" ref="C23:J23" si="15">SUM(C13:C22)</f>
        <v>481.45909900000004</v>
      </c>
      <c r="D23" s="45">
        <f t="shared" si="15"/>
        <v>588.55086500000016</v>
      </c>
      <c r="E23" s="45">
        <f t="shared" si="15"/>
        <v>750.19684400000006</v>
      </c>
      <c r="F23" s="10">
        <f t="shared" si="15"/>
        <v>950.06399471876898</v>
      </c>
      <c r="G23" s="10">
        <f t="shared" si="15"/>
        <v>1125.6541479901491</v>
      </c>
      <c r="H23" s="10">
        <f t="shared" si="15"/>
        <v>1265.3359210600324</v>
      </c>
      <c r="I23" s="10">
        <f t="shared" si="15"/>
        <v>1342.3045671278023</v>
      </c>
      <c r="J23" s="10">
        <f t="shared" si="15"/>
        <v>1371.0663127228379</v>
      </c>
    </row>
    <row r="24" spans="2:10" ht="18" customHeight="1" outlineLevel="1">
      <c r="B24" s="242" t="s">
        <v>379</v>
      </c>
      <c r="C24" s="313">
        <f>C23-C5</f>
        <v>0</v>
      </c>
      <c r="D24" s="313">
        <f>D23-D5</f>
        <v>0</v>
      </c>
      <c r="E24" s="313">
        <f>E23-E5</f>
        <v>0</v>
      </c>
    </row>
    <row r="25" spans="2:10" ht="18" customHeight="1" outlineLevel="1">
      <c r="B25" s="242" t="s">
        <v>380</v>
      </c>
      <c r="C25" s="52" t="str">
        <f t="shared" ref="C25:E25" si="16">IF(ROUND(C24,0)=0,"OK","需要检查")</f>
        <v>OK</v>
      </c>
      <c r="D25" s="52" t="str">
        <f t="shared" si="16"/>
        <v>OK</v>
      </c>
      <c r="E25" s="52" t="str">
        <f t="shared" si="16"/>
        <v>OK</v>
      </c>
    </row>
    <row r="26" spans="2:10" ht="18" customHeight="1" outlineLevel="1">
      <c r="B26" s="227" t="s">
        <v>334</v>
      </c>
      <c r="C26" s="24"/>
      <c r="D26" s="24"/>
      <c r="E26" s="734" t="str">
        <f>C12&amp;"-"&amp;E12</f>
        <v>2015年-2017年</v>
      </c>
      <c r="F26" s="241" t="s">
        <v>331</v>
      </c>
      <c r="G26" s="241" t="s">
        <v>332</v>
      </c>
      <c r="H26" s="241" t="s">
        <v>333</v>
      </c>
    </row>
    <row r="27" spans="2:10" ht="18" customHeight="1" outlineLevel="1">
      <c r="B27" s="8" t="str">
        <f>B13</f>
        <v>差旅费</v>
      </c>
      <c r="C27" s="13">
        <f t="shared" ref="C27:E35" si="17">IF(C13,C13/C$9,"")</f>
        <v>1.4658378565686412E-2</v>
      </c>
      <c r="D27" s="13">
        <f t="shared" si="17"/>
        <v>7.4017359184395627E-3</v>
      </c>
      <c r="E27" s="13">
        <f t="shared" si="17"/>
        <v>7.673769668328603E-3</v>
      </c>
      <c r="F27" s="243">
        <f t="shared" ref="F27:F35" si="18">IF(COUNT(C27:E27)&gt;2,CORREL(C$9:E$9,C13:E13),"")</f>
        <v>-0.21475275940711269</v>
      </c>
      <c r="G27" s="13">
        <f t="shared" ref="G27:G35" si="19">AVERAGE(C27:E27)</f>
        <v>9.911294717484859E-3</v>
      </c>
      <c r="H27" s="351">
        <v>7.4999999999999997E-3</v>
      </c>
    </row>
    <row r="28" spans="2:10" ht="18" customHeight="1" outlineLevel="1">
      <c r="B28" s="8" t="str">
        <f t="shared" ref="B28:B35" si="20">B14</f>
        <v>招待费</v>
      </c>
      <c r="C28" s="13">
        <f t="shared" si="17"/>
        <v>5.268930031694377E-3</v>
      </c>
      <c r="D28" s="13">
        <f t="shared" si="17"/>
        <v>5.381504363935927E-3</v>
      </c>
      <c r="E28" s="13">
        <f t="shared" si="17"/>
        <v>6.2860740649362474E-3</v>
      </c>
      <c r="F28" s="243">
        <f t="shared" si="18"/>
        <v>0.99284574500567602</v>
      </c>
      <c r="G28" s="13">
        <f t="shared" si="19"/>
        <v>5.6455028201888502E-3</v>
      </c>
      <c r="H28" s="351">
        <v>5.5999999999999999E-3</v>
      </c>
    </row>
    <row r="29" spans="2:10" ht="18" customHeight="1" outlineLevel="1">
      <c r="B29" s="8" t="str">
        <f t="shared" si="20"/>
        <v>运输费</v>
      </c>
      <c r="C29" s="13">
        <f t="shared" si="17"/>
        <v>1.7212206026381596E-2</v>
      </c>
      <c r="D29" s="13">
        <f t="shared" si="17"/>
        <v>2.2214843371001304E-2</v>
      </c>
      <c r="E29" s="13">
        <f t="shared" si="17"/>
        <v>2.0428134021077834E-2</v>
      </c>
      <c r="F29" s="243">
        <f t="shared" si="18"/>
        <v>0.96302305561674284</v>
      </c>
      <c r="G29" s="13">
        <f t="shared" si="19"/>
        <v>1.9951727806153577E-2</v>
      </c>
      <c r="H29" s="351">
        <v>0.02</v>
      </c>
    </row>
    <row r="30" spans="2:10" ht="18" customHeight="1" outlineLevel="1">
      <c r="B30" s="8" t="str">
        <f t="shared" si="20"/>
        <v>广告/宣传费</v>
      </c>
      <c r="C30" s="13">
        <f t="shared" si="17"/>
        <v>1.3791193222336479E-2</v>
      </c>
      <c r="D30" s="13">
        <f t="shared" si="17"/>
        <v>1.0766999679254168E-2</v>
      </c>
      <c r="E30" s="13">
        <f t="shared" si="17"/>
        <v>8.6021357580753303E-3</v>
      </c>
      <c r="F30" s="243">
        <f t="shared" si="18"/>
        <v>0.96075935327852557</v>
      </c>
      <c r="G30" s="13">
        <f t="shared" si="19"/>
        <v>1.1053442886555326E-2</v>
      </c>
      <c r="H30" s="351">
        <v>1.11E-2</v>
      </c>
    </row>
    <row r="31" spans="2:10" ht="18" customHeight="1" outlineLevel="1">
      <c r="B31" s="8" t="str">
        <f t="shared" si="20"/>
        <v>商检/报关费</v>
      </c>
      <c r="C31" s="13">
        <f t="shared" si="17"/>
        <v>9.7750682830357802E-3</v>
      </c>
      <c r="D31" s="13">
        <f t="shared" si="17"/>
        <v>3.5658490074068992E-3</v>
      </c>
      <c r="E31" s="13">
        <f t="shared" si="17"/>
        <v>2.1253253361412767E-3</v>
      </c>
      <c r="F31" s="243">
        <f t="shared" si="18"/>
        <v>-0.89268550632789145</v>
      </c>
      <c r="G31" s="13">
        <f t="shared" si="19"/>
        <v>5.1554142088613185E-3</v>
      </c>
      <c r="H31" s="351">
        <v>2.0999999999999999E-3</v>
      </c>
    </row>
    <row r="32" spans="2:10" ht="18" customHeight="1" outlineLevel="1">
      <c r="B32" s="8" t="str">
        <f t="shared" si="20"/>
        <v>检定费/检测费</v>
      </c>
      <c r="C32" s="13">
        <f t="shared" si="17"/>
        <v>5.1155884348384603E-3</v>
      </c>
      <c r="D32" s="13">
        <f t="shared" si="17"/>
        <v>6.3772196967117672E-3</v>
      </c>
      <c r="E32" s="13">
        <f t="shared" si="17"/>
        <v>1.0109498239486288E-2</v>
      </c>
      <c r="F32" s="243">
        <f t="shared" si="18"/>
        <v>0.98444390509038071</v>
      </c>
      <c r="G32" s="13">
        <f t="shared" si="19"/>
        <v>7.2007687903455049E-3</v>
      </c>
      <c r="H32" s="351">
        <v>0.01</v>
      </c>
    </row>
    <row r="33" spans="2:11" ht="18" customHeight="1" outlineLevel="1">
      <c r="B33" s="8" t="str">
        <f t="shared" si="20"/>
        <v>工资</v>
      </c>
      <c r="C33" s="13">
        <f t="shared" si="17"/>
        <v>1.539451848626525E-2</v>
      </c>
      <c r="D33" s="13">
        <f t="shared" si="17"/>
        <v>2.1894862242077956E-2</v>
      </c>
      <c r="E33" s="13">
        <f t="shared" si="17"/>
        <v>1.9963914940922964E-2</v>
      </c>
      <c r="F33" s="243">
        <f t="shared" si="18"/>
        <v>0.95038257554128969</v>
      </c>
      <c r="G33" s="13">
        <f t="shared" si="19"/>
        <v>1.908443188975539E-2</v>
      </c>
      <c r="H33" s="351">
        <v>0.02</v>
      </c>
      <c r="I33" s="21"/>
      <c r="J33" s="160"/>
    </row>
    <row r="34" spans="2:11" ht="18" customHeight="1" outlineLevel="1">
      <c r="B34" s="8" t="str">
        <f t="shared" si="20"/>
        <v>社保费</v>
      </c>
      <c r="C34" s="13">
        <f t="shared" si="17"/>
        <v>3.0012808063842847E-3</v>
      </c>
      <c r="D34" s="13">
        <f t="shared" si="17"/>
        <v>1.8381433880720051E-3</v>
      </c>
      <c r="E34" s="13">
        <f t="shared" si="17"/>
        <v>1.4955361492106144E-3</v>
      </c>
      <c r="F34" s="243">
        <f t="shared" si="18"/>
        <v>-0.63478804864248495</v>
      </c>
      <c r="G34" s="13">
        <f t="shared" si="19"/>
        <v>2.1116534478889683E-3</v>
      </c>
      <c r="H34" s="351">
        <v>2.0999999999999999E-3</v>
      </c>
      <c r="I34" s="21"/>
    </row>
    <row r="35" spans="2:11" ht="18" customHeight="1" outlineLevel="1">
      <c r="B35" s="8" t="str">
        <f t="shared" si="20"/>
        <v>其他</v>
      </c>
      <c r="C35" s="13">
        <f t="shared" si="17"/>
        <v>1.0336393265772718E-3</v>
      </c>
      <c r="D35" s="13">
        <f t="shared" si="17"/>
        <v>1.1295516334381786E-3</v>
      </c>
      <c r="E35" s="13">
        <f t="shared" si="17"/>
        <v>1.3345280154757968E-3</v>
      </c>
      <c r="F35" s="243">
        <f t="shared" si="18"/>
        <v>0.99662131063561321</v>
      </c>
      <c r="G35" s="13">
        <f t="shared" si="19"/>
        <v>1.165906325163749E-3</v>
      </c>
      <c r="H35" s="351">
        <v>1.1999999999999999E-3</v>
      </c>
    </row>
    <row r="36" spans="2:11" ht="18" customHeight="1" outlineLevel="1"/>
    <row r="37" spans="2:11" ht="18" customHeight="1" outlineLevel="1" thickBot="1">
      <c r="B37" s="315" t="s">
        <v>335</v>
      </c>
      <c r="C37" s="220"/>
      <c r="D37" s="220"/>
      <c r="E37" s="220"/>
      <c r="F37" s="220"/>
      <c r="G37" s="220"/>
      <c r="H37" s="220"/>
      <c r="I37" s="220"/>
      <c r="J37" s="220"/>
    </row>
    <row r="38" spans="2:11" ht="18" customHeight="1" outlineLevel="1">
      <c r="B38" s="321" t="s">
        <v>144</v>
      </c>
      <c r="C38" s="322" t="str">
        <f t="shared" ref="C38:J38" si="21">C4</f>
        <v>2015年</v>
      </c>
      <c r="D38" s="322" t="str">
        <f t="shared" si="21"/>
        <v>2016年</v>
      </c>
      <c r="E38" s="322" t="str">
        <f t="shared" si="21"/>
        <v>2017年</v>
      </c>
      <c r="F38" s="323" t="str">
        <f t="shared" si="21"/>
        <v>2018年</v>
      </c>
      <c r="G38" s="324" t="str">
        <f t="shared" si="21"/>
        <v>2019年</v>
      </c>
      <c r="H38" s="324" t="str">
        <f t="shared" si="21"/>
        <v>2020年</v>
      </c>
      <c r="I38" s="324" t="str">
        <f t="shared" si="21"/>
        <v>2021年</v>
      </c>
      <c r="J38" s="324" t="str">
        <f t="shared" si="21"/>
        <v>2022年</v>
      </c>
    </row>
    <row r="39" spans="2:11" ht="18" customHeight="1" outlineLevel="1">
      <c r="B39" s="88" t="s">
        <v>325</v>
      </c>
      <c r="C39" s="90">
        <f t="shared" ref="C39:J39" si="22">C23</f>
        <v>481.45909900000004</v>
      </c>
      <c r="D39" s="90">
        <f t="shared" si="22"/>
        <v>588.55086500000016</v>
      </c>
      <c r="E39" s="318">
        <f t="shared" si="22"/>
        <v>750.19684400000006</v>
      </c>
      <c r="F39" s="364">
        <f>F23</f>
        <v>950.06399471876898</v>
      </c>
      <c r="G39" s="364">
        <f t="shared" si="22"/>
        <v>1125.6541479901491</v>
      </c>
      <c r="H39" s="364">
        <f t="shared" si="22"/>
        <v>1265.3359210600324</v>
      </c>
      <c r="I39" s="364">
        <f t="shared" si="22"/>
        <v>1342.3045671278023</v>
      </c>
      <c r="J39" s="364">
        <f t="shared" si="22"/>
        <v>1371.0663127228379</v>
      </c>
      <c r="K39" s="21"/>
    </row>
    <row r="40" spans="2:11" ht="18" customHeight="1" outlineLevel="1">
      <c r="B40" s="219" t="s">
        <v>92</v>
      </c>
      <c r="C40" s="317">
        <f>IF(C9,C39/C9,"na")</f>
        <v>8.5250803183199914E-2</v>
      </c>
      <c r="D40" s="317">
        <f>IF(D9,D39/D9,"na")</f>
        <v>8.0570709300337787E-2</v>
      </c>
      <c r="E40" s="319">
        <f>IF(E9,E39/E9,"na")</f>
        <v>7.8018916193654961E-2</v>
      </c>
      <c r="F40" s="223"/>
      <c r="G40" s="223"/>
      <c r="H40" s="223"/>
      <c r="I40" s="223"/>
      <c r="J40" s="223"/>
    </row>
    <row r="41" spans="2:11" ht="18" customHeight="1" outlineLevel="1">
      <c r="B41" s="21" t="s">
        <v>325</v>
      </c>
      <c r="C41" s="90"/>
      <c r="D41" s="90"/>
      <c r="E41" s="318"/>
      <c r="F41" s="49">
        <f t="shared" ref="F41:J41" si="23">IF(F39,F39,F40*F9)</f>
        <v>950.06399471876898</v>
      </c>
      <c r="G41" s="49">
        <f t="shared" si="23"/>
        <v>1125.6541479901491</v>
      </c>
      <c r="H41" s="49">
        <f t="shared" si="23"/>
        <v>1265.3359210600324</v>
      </c>
      <c r="I41" s="49">
        <f t="shared" si="23"/>
        <v>1342.3045671278023</v>
      </c>
      <c r="J41" s="49">
        <f t="shared" si="23"/>
        <v>1371.0663127228379</v>
      </c>
    </row>
    <row r="42" spans="2:11" ht="18" customHeight="1" outlineLevel="1" thickBot="1">
      <c r="B42" s="220" t="s">
        <v>99</v>
      </c>
      <c r="C42" s="50"/>
      <c r="D42" s="50"/>
      <c r="E42" s="348"/>
      <c r="F42" s="347">
        <f t="shared" ref="F42:J42" si="24">IF(F9,F41/F9,"na")</f>
        <v>7.9600000000000004E-2</v>
      </c>
      <c r="G42" s="347">
        <f t="shared" si="24"/>
        <v>7.9600000000000018E-2</v>
      </c>
      <c r="H42" s="347">
        <f t="shared" si="24"/>
        <v>7.9600000000000004E-2</v>
      </c>
      <c r="I42" s="347">
        <f t="shared" si="24"/>
        <v>7.9600000000000004E-2</v>
      </c>
      <c r="J42" s="347">
        <f t="shared" si="24"/>
        <v>7.9600000000000004E-2</v>
      </c>
    </row>
    <row r="43" spans="2:11" ht="18" customHeight="1">
      <c r="B43" s="21"/>
      <c r="C43" s="22"/>
      <c r="D43" s="22"/>
      <c r="E43" s="22"/>
    </row>
    <row r="44" spans="2:11" ht="18" customHeight="1">
      <c r="B44" s="419" t="s">
        <v>538</v>
      </c>
      <c r="D44" s="22"/>
      <c r="E44" s="529" t="s">
        <v>442</v>
      </c>
      <c r="I44" s="160" t="s">
        <v>582</v>
      </c>
    </row>
    <row r="45" spans="2:11" ht="18" customHeight="1" outlineLevel="1">
      <c r="B45" s="185" t="s">
        <v>72</v>
      </c>
      <c r="C45" s="314" t="str">
        <f t="shared" ref="C45:J45" si="25">C4</f>
        <v>2015年</v>
      </c>
      <c r="D45" s="314" t="str">
        <f t="shared" si="25"/>
        <v>2016年</v>
      </c>
      <c r="E45" s="314" t="str">
        <f t="shared" si="25"/>
        <v>2017年</v>
      </c>
      <c r="F45" s="187" t="str">
        <f t="shared" si="25"/>
        <v>2018年</v>
      </c>
      <c r="G45" s="187" t="str">
        <f t="shared" si="25"/>
        <v>2019年</v>
      </c>
      <c r="H45" s="187" t="str">
        <f t="shared" si="25"/>
        <v>2020年</v>
      </c>
      <c r="I45" s="187" t="str">
        <f t="shared" si="25"/>
        <v>2021年</v>
      </c>
      <c r="J45" s="187" t="str">
        <f t="shared" si="25"/>
        <v>2022年</v>
      </c>
      <c r="K45" s="22"/>
    </row>
    <row r="46" spans="2:11" ht="18" customHeight="1" outlineLevel="1">
      <c r="B46" s="8" t="s">
        <v>956</v>
      </c>
      <c r="C46" s="156">
        <v>41.822010999999996</v>
      </c>
      <c r="D46" s="156">
        <v>8.2636020000000006</v>
      </c>
      <c r="E46" s="156">
        <v>45.229921000000004</v>
      </c>
      <c r="F46" s="156">
        <v>25</v>
      </c>
      <c r="G46" s="156">
        <f>F46*(1+$H$95)</f>
        <v>26.25</v>
      </c>
      <c r="H46" s="156">
        <f t="shared" ref="H46:J46" si="26">G46*(1+$H$95)</f>
        <v>27.5625</v>
      </c>
      <c r="I46" s="156">
        <f t="shared" si="26"/>
        <v>28.940625000000001</v>
      </c>
      <c r="J46" s="156">
        <f t="shared" si="26"/>
        <v>30.387656250000003</v>
      </c>
      <c r="K46" s="21" t="s">
        <v>340</v>
      </c>
    </row>
    <row r="47" spans="2:11" ht="18" customHeight="1" outlineLevel="1">
      <c r="B47" s="8" t="s">
        <v>957</v>
      </c>
      <c r="C47" s="156"/>
      <c r="D47" s="156">
        <v>6.1092750000000002</v>
      </c>
      <c r="E47" s="156">
        <v>4.9880550000000001</v>
      </c>
      <c r="F47" s="156">
        <v>6</v>
      </c>
      <c r="G47" s="156">
        <f>F47*(1+$H$96)</f>
        <v>6.3000000000000007</v>
      </c>
      <c r="H47" s="156">
        <f t="shared" ref="H47:J47" si="27">G47*(1+$H$96)</f>
        <v>6.6150000000000011</v>
      </c>
      <c r="I47" s="156">
        <f t="shared" si="27"/>
        <v>6.9457500000000012</v>
      </c>
      <c r="J47" s="156">
        <f t="shared" si="27"/>
        <v>7.2930375000000014</v>
      </c>
    </row>
    <row r="48" spans="2:11" ht="18" customHeight="1" outlineLevel="1">
      <c r="B48" s="8" t="s">
        <v>958</v>
      </c>
      <c r="C48" s="156">
        <v>28.550806999999999</v>
      </c>
      <c r="D48" s="156">
        <v>24.986498000000001</v>
      </c>
      <c r="E48" s="156">
        <v>29.397226</v>
      </c>
      <c r="F48" s="156">
        <f>E48*(1+$H$96)</f>
        <v>30.867087300000001</v>
      </c>
      <c r="G48" s="156">
        <f>F48*(1+$H$96)</f>
        <v>32.410441665</v>
      </c>
      <c r="H48" s="156">
        <f t="shared" ref="H48:J48" si="28">G48*(1+$H$96)</f>
        <v>34.030963748250002</v>
      </c>
      <c r="I48" s="156">
        <f t="shared" si="28"/>
        <v>35.732511935662501</v>
      </c>
      <c r="J48" s="156">
        <f t="shared" si="28"/>
        <v>37.519137532445626</v>
      </c>
    </row>
    <row r="49" spans="2:11" ht="18" customHeight="1" outlineLevel="1">
      <c r="B49" s="8" t="s">
        <v>959</v>
      </c>
      <c r="C49" s="156">
        <v>47.528550000000003</v>
      </c>
      <c r="D49" s="156">
        <v>57.051292000000004</v>
      </c>
      <c r="E49" s="156">
        <v>75.583543999999989</v>
      </c>
      <c r="F49" s="156">
        <f t="shared" ref="F49:J49" si="29">F9*$H$75</f>
        <v>95.4838185647004</v>
      </c>
      <c r="G49" s="156">
        <f t="shared" si="29"/>
        <v>113.1310701497637</v>
      </c>
      <c r="H49" s="156">
        <f t="shared" si="29"/>
        <v>127.16943930251583</v>
      </c>
      <c r="I49" s="156">
        <f t="shared" si="29"/>
        <v>134.90498162088466</v>
      </c>
      <c r="J49" s="156">
        <f t="shared" si="29"/>
        <v>137.79560931887818</v>
      </c>
    </row>
    <row r="50" spans="2:11" ht="18" customHeight="1" outlineLevel="1">
      <c r="B50" s="8" t="s">
        <v>952</v>
      </c>
      <c r="C50" s="156">
        <v>177.67083400000001</v>
      </c>
      <c r="D50" s="156">
        <v>197.30127099999999</v>
      </c>
      <c r="E50" s="156">
        <v>195.131023</v>
      </c>
      <c r="F50" s="156">
        <f t="shared" ref="F50:J50" si="30">F9*$H$76</f>
        <v>313.90305353145254</v>
      </c>
      <c r="G50" s="156">
        <f t="shared" si="30"/>
        <v>371.91839311734822</v>
      </c>
      <c r="H50" s="156">
        <f t="shared" si="30"/>
        <v>418.06953170702076</v>
      </c>
      <c r="I50" s="156">
        <f t="shared" si="30"/>
        <v>443.50012707865829</v>
      </c>
      <c r="J50" s="156">
        <f t="shared" si="30"/>
        <v>453.00306563581205</v>
      </c>
    </row>
    <row r="51" spans="2:11" ht="18" customHeight="1" outlineLevel="1">
      <c r="B51" s="8" t="s">
        <v>960</v>
      </c>
      <c r="C51" s="156">
        <v>81.736865000000009</v>
      </c>
      <c r="D51" s="156">
        <v>86.809174999999996</v>
      </c>
      <c r="E51" s="156">
        <v>96.303903999999989</v>
      </c>
      <c r="F51" s="156">
        <f t="shared" ref="F51:J51" si="31">F9*$H$77</f>
        <v>144.41927557910935</v>
      </c>
      <c r="G51" s="156">
        <f t="shared" si="31"/>
        <v>171.11074360151761</v>
      </c>
      <c r="H51" s="156">
        <f t="shared" si="31"/>
        <v>192.34377694505517</v>
      </c>
      <c r="I51" s="156">
        <f t="shared" si="31"/>
        <v>204.04378470158801</v>
      </c>
      <c r="J51" s="156">
        <f t="shared" si="31"/>
        <v>208.41585909480324</v>
      </c>
    </row>
    <row r="52" spans="2:11" ht="18" customHeight="1" outlineLevel="1">
      <c r="B52" s="8" t="s">
        <v>961</v>
      </c>
      <c r="C52" s="156">
        <v>101.354484</v>
      </c>
      <c r="D52" s="156">
        <v>77.249111000000013</v>
      </c>
      <c r="E52" s="156">
        <v>74.446045999999996</v>
      </c>
      <c r="F52" s="487">
        <f>'7折旧'!F7</f>
        <v>73.468799999999987</v>
      </c>
      <c r="G52" s="487">
        <f>'7折旧'!G7</f>
        <v>78.040799999999976</v>
      </c>
      <c r="H52" s="487">
        <f>'7折旧'!H7</f>
        <v>40.81051301490001</v>
      </c>
      <c r="I52" s="487">
        <f>'7折旧'!I7</f>
        <v>20.071100298299999</v>
      </c>
      <c r="J52" s="487">
        <f>'7折旧'!J7</f>
        <v>21.3911002983</v>
      </c>
      <c r="K52" s="21" t="s">
        <v>146</v>
      </c>
    </row>
    <row r="53" spans="2:11" ht="18" customHeight="1" outlineLevel="1">
      <c r="B53" s="8" t="s">
        <v>962</v>
      </c>
      <c r="C53" s="156">
        <v>14.546207000000001</v>
      </c>
      <c r="D53" s="156">
        <v>11.930153000000001</v>
      </c>
      <c r="E53" s="156">
        <v>14.700807999999999</v>
      </c>
      <c r="F53" s="487">
        <f>'8摊销'!F6</f>
        <v>71.838051333333325</v>
      </c>
      <c r="G53" s="487">
        <f>'8摊销'!G6</f>
        <v>71.838051333333325</v>
      </c>
      <c r="H53" s="487">
        <f>'8摊销'!H6</f>
        <v>51.201763333333332</v>
      </c>
      <c r="I53" s="487">
        <f>'8摊销'!I6</f>
        <v>37.678504000000004</v>
      </c>
      <c r="J53" s="487">
        <f>'8摊销'!J6</f>
        <v>57.678504000000004</v>
      </c>
    </row>
    <row r="54" spans="2:11" ht="18" customHeight="1" outlineLevel="1">
      <c r="B54" s="8" t="s">
        <v>963</v>
      </c>
      <c r="C54" s="156"/>
      <c r="D54" s="156"/>
      <c r="E54" s="156"/>
      <c r="F54" s="487">
        <f>'8摊销'!F5</f>
        <v>0</v>
      </c>
      <c r="G54" s="487">
        <f>'8摊销'!G5</f>
        <v>0</v>
      </c>
      <c r="H54" s="487">
        <f>'8摊销'!H5</f>
        <v>0</v>
      </c>
      <c r="I54" s="487">
        <f>'8摊销'!I5</f>
        <v>0</v>
      </c>
      <c r="J54" s="487">
        <f>'8摊销'!J5</f>
        <v>0</v>
      </c>
    </row>
    <row r="55" spans="2:11" ht="18" customHeight="1" outlineLevel="1">
      <c r="B55" s="8" t="s">
        <v>964</v>
      </c>
      <c r="C55" s="156">
        <v>22.648039999999998</v>
      </c>
      <c r="D55" s="156">
        <v>13.569060999999998</v>
      </c>
      <c r="E55" s="156">
        <v>27.834029999999998</v>
      </c>
      <c r="F55" s="156">
        <f>E55*(1+$H$104)</f>
        <v>29.225731499999998</v>
      </c>
      <c r="G55" s="156">
        <f>F55*(1+$H$104)</f>
        <v>30.687018075000001</v>
      </c>
      <c r="H55" s="156">
        <f t="shared" ref="H55:J55" si="32">G55*(1+$H$104)</f>
        <v>32.22136897875</v>
      </c>
      <c r="I55" s="156">
        <f t="shared" si="32"/>
        <v>33.832437427687502</v>
      </c>
      <c r="J55" s="156">
        <f t="shared" si="32"/>
        <v>35.52405929907188</v>
      </c>
    </row>
    <row r="56" spans="2:11" ht="18" customHeight="1" outlineLevel="1">
      <c r="B56" s="8" t="s">
        <v>965</v>
      </c>
      <c r="C56" s="156">
        <v>30.431999999999999</v>
      </c>
      <c r="D56" s="156">
        <v>3.670093</v>
      </c>
      <c r="E56" s="156">
        <v>47.188879999999997</v>
      </c>
      <c r="F56" s="156">
        <v>25</v>
      </c>
      <c r="G56" s="156">
        <f>F56</f>
        <v>25</v>
      </c>
      <c r="H56" s="156">
        <f t="shared" ref="H56:J56" si="33">G56</f>
        <v>25</v>
      </c>
      <c r="I56" s="156">
        <f t="shared" si="33"/>
        <v>25</v>
      </c>
      <c r="J56" s="156">
        <f t="shared" si="33"/>
        <v>25</v>
      </c>
    </row>
    <row r="57" spans="2:11" ht="18" customHeight="1" outlineLevel="1">
      <c r="B57" s="8" t="s">
        <v>966</v>
      </c>
      <c r="C57" s="156">
        <v>3.9136010000000003</v>
      </c>
      <c r="D57" s="156">
        <v>13.850792999999999</v>
      </c>
      <c r="E57" s="156">
        <v>18.189399999999999</v>
      </c>
      <c r="F57" s="156">
        <f t="shared" ref="F57:J57" si="34">F9*$H$83</f>
        <v>23.8709546411751</v>
      </c>
      <c r="G57" s="156">
        <f t="shared" si="34"/>
        <v>28.282767537440925</v>
      </c>
      <c r="H57" s="156">
        <f t="shared" si="34"/>
        <v>31.792359825628957</v>
      </c>
      <c r="I57" s="156">
        <f t="shared" si="34"/>
        <v>33.726245405221164</v>
      </c>
      <c r="J57" s="156">
        <f t="shared" si="34"/>
        <v>34.448902329719544</v>
      </c>
    </row>
    <row r="58" spans="2:11" ht="18" customHeight="1" outlineLevel="1">
      <c r="B58" s="8" t="s">
        <v>967</v>
      </c>
      <c r="C58" s="156"/>
      <c r="D58" s="156"/>
      <c r="E58" s="156">
        <v>11.0471</v>
      </c>
      <c r="F58" s="156">
        <f t="shared" ref="F58:J58" si="35">F9*$H$84</f>
        <v>13.129025052646305</v>
      </c>
      <c r="G58" s="156">
        <f t="shared" si="35"/>
        <v>15.55552214559251</v>
      </c>
      <c r="H58" s="156">
        <f t="shared" si="35"/>
        <v>17.485797904095925</v>
      </c>
      <c r="I58" s="156">
        <f t="shared" si="35"/>
        <v>18.549434972871641</v>
      </c>
      <c r="J58" s="156">
        <f t="shared" si="35"/>
        <v>18.946896281345751</v>
      </c>
    </row>
    <row r="59" spans="2:11" ht="18" customHeight="1" outlineLevel="1">
      <c r="B59" s="8" t="s">
        <v>968</v>
      </c>
      <c r="C59" s="156"/>
      <c r="D59" s="156">
        <v>5.5504600000000002</v>
      </c>
      <c r="E59" s="156">
        <v>6.0852309999999994</v>
      </c>
      <c r="F59" s="156">
        <f t="shared" ref="F59:J59" si="36">F9*$H$85</f>
        <v>8.3548341244112851</v>
      </c>
      <c r="G59" s="156">
        <f t="shared" si="36"/>
        <v>9.8989686381043249</v>
      </c>
      <c r="H59" s="156">
        <f t="shared" si="36"/>
        <v>11.127325938970134</v>
      </c>
      <c r="I59" s="156">
        <f t="shared" si="36"/>
        <v>11.804185891827407</v>
      </c>
      <c r="J59" s="156">
        <f t="shared" si="36"/>
        <v>12.057115815401842</v>
      </c>
    </row>
    <row r="60" spans="2:11" ht="18" customHeight="1" outlineLevel="1">
      <c r="B60" s="733" t="s">
        <v>336</v>
      </c>
      <c r="C60" s="156">
        <v>14.686545000000001</v>
      </c>
      <c r="D60" s="156"/>
      <c r="E60" s="156">
        <v>85.490876</v>
      </c>
      <c r="F60" s="156">
        <v>50</v>
      </c>
      <c r="G60" s="156">
        <f>F60*(1+$H$109)</f>
        <v>52.5</v>
      </c>
      <c r="H60" s="156">
        <f t="shared" ref="H60:J60" si="37">G60*(1+$H$109)</f>
        <v>55.125</v>
      </c>
      <c r="I60" s="156">
        <f t="shared" si="37"/>
        <v>57.881250000000001</v>
      </c>
      <c r="J60" s="156">
        <f t="shared" si="37"/>
        <v>60.775312500000005</v>
      </c>
    </row>
    <row r="61" spans="2:11" ht="18" customHeight="1" outlineLevel="1">
      <c r="B61" s="733" t="s">
        <v>337</v>
      </c>
      <c r="C61" s="156">
        <v>6.09</v>
      </c>
      <c r="D61" s="156">
        <v>7.8004749999999996</v>
      </c>
      <c r="E61" s="156">
        <v>22.264154999999999</v>
      </c>
      <c r="F61" s="156">
        <f>E61*(1+$H$110)</f>
        <v>23.37736275</v>
      </c>
      <c r="G61" s="156">
        <f>F61*(1+$H$110)</f>
        <v>24.546230887500002</v>
      </c>
      <c r="H61" s="156">
        <f t="shared" ref="H61:J61" si="38">G61*(1+$H$110)</f>
        <v>25.773542431875004</v>
      </c>
      <c r="I61" s="156">
        <f t="shared" si="38"/>
        <v>27.062219553468754</v>
      </c>
      <c r="J61" s="156">
        <f t="shared" si="38"/>
        <v>28.415330531142192</v>
      </c>
    </row>
    <row r="62" spans="2:11" ht="18" customHeight="1" outlineLevel="1">
      <c r="B62" s="733" t="s">
        <v>338</v>
      </c>
      <c r="C62" s="156"/>
      <c r="D62" s="156">
        <v>11.824258</v>
      </c>
      <c r="E62" s="156">
        <v>138.25888500000002</v>
      </c>
      <c r="F62" s="156">
        <v>11</v>
      </c>
      <c r="G62" s="156">
        <f>F62*(1+$H$111)</f>
        <v>11.55</v>
      </c>
      <c r="H62" s="156">
        <f t="shared" ref="H62:J62" si="39">G62*(1+$H$111)</f>
        <v>12.127500000000001</v>
      </c>
      <c r="I62" s="156">
        <f t="shared" si="39"/>
        <v>12.733875000000001</v>
      </c>
      <c r="J62" s="156">
        <f t="shared" si="39"/>
        <v>13.370568750000002</v>
      </c>
      <c r="K62" s="21" t="s">
        <v>341</v>
      </c>
    </row>
    <row r="63" spans="2:11" ht="18" customHeight="1" outlineLevel="1">
      <c r="B63" s="733" t="s">
        <v>87</v>
      </c>
      <c r="C63" s="156">
        <v>23.790020999999999</v>
      </c>
      <c r="D63" s="156">
        <v>74.207793999999993</v>
      </c>
      <c r="E63" s="156">
        <v>62.853445999999998</v>
      </c>
      <c r="F63" s="156">
        <f t="shared" ref="F63:J63" si="40">F9*$H$89</f>
        <v>83.548341244112848</v>
      </c>
      <c r="G63" s="156">
        <f t="shared" si="40"/>
        <v>98.989686381043242</v>
      </c>
      <c r="H63" s="156">
        <f t="shared" si="40"/>
        <v>111.27325938970135</v>
      </c>
      <c r="I63" s="156">
        <f t="shared" si="40"/>
        <v>118.04185891827407</v>
      </c>
      <c r="J63" s="156">
        <f t="shared" si="40"/>
        <v>120.57115815401841</v>
      </c>
    </row>
    <row r="64" spans="2:11" ht="18" customHeight="1" outlineLevel="1">
      <c r="B64" s="733" t="s">
        <v>327</v>
      </c>
      <c r="C64" s="156">
        <v>60.284089999999999</v>
      </c>
      <c r="D64" s="156">
        <v>77.368081000000004</v>
      </c>
      <c r="E64" s="156">
        <v>56.901212999999998</v>
      </c>
      <c r="F64" s="156">
        <f>E64*(1+$H$113)</f>
        <v>59.746273649999999</v>
      </c>
      <c r="G64" s="156">
        <f>F64*(1+$H$113)</f>
        <v>62.733587332500001</v>
      </c>
      <c r="H64" s="156">
        <f t="shared" ref="H64:J64" si="41">G64*(1+$H$113)</f>
        <v>65.870266699124997</v>
      </c>
      <c r="I64" s="156">
        <f t="shared" si="41"/>
        <v>69.163780034081256</v>
      </c>
      <c r="J64" s="156">
        <f t="shared" si="41"/>
        <v>72.621969035785327</v>
      </c>
    </row>
    <row r="65" spans="2:10" ht="18" customHeight="1" outlineLevel="1">
      <c r="B65" s="733" t="s">
        <v>339</v>
      </c>
      <c r="C65" s="156">
        <v>6.2276870000000004</v>
      </c>
      <c r="D65" s="156">
        <v>6.8346499999999999</v>
      </c>
      <c r="E65" s="156">
        <v>8.1317749999999993</v>
      </c>
      <c r="F65" s="156">
        <f t="shared" ref="F65:J65" si="42">F9*$H$91</f>
        <v>11.93547732058755</v>
      </c>
      <c r="G65" s="156">
        <f t="shared" si="42"/>
        <v>14.141383768720463</v>
      </c>
      <c r="H65" s="156">
        <f t="shared" si="42"/>
        <v>15.896179912814478</v>
      </c>
      <c r="I65" s="156">
        <f t="shared" si="42"/>
        <v>16.863122702610582</v>
      </c>
      <c r="J65" s="156">
        <f t="shared" si="42"/>
        <v>17.224451164859772</v>
      </c>
    </row>
    <row r="66" spans="2:10" ht="18" customHeight="1" outlineLevel="1">
      <c r="B66" s="733" t="s">
        <v>88</v>
      </c>
      <c r="C66" s="156">
        <v>33.025233</v>
      </c>
      <c r="D66" s="156">
        <v>26.060497000000002</v>
      </c>
      <c r="E66" s="156">
        <v>32.421207000000003</v>
      </c>
      <c r="F66" s="156">
        <v>40</v>
      </c>
      <c r="G66" s="156">
        <f>F66</f>
        <v>40</v>
      </c>
      <c r="H66" s="156">
        <f t="shared" ref="H66:J66" si="43">G66</f>
        <v>40</v>
      </c>
      <c r="I66" s="156">
        <f t="shared" si="43"/>
        <v>40</v>
      </c>
      <c r="J66" s="156">
        <f t="shared" si="43"/>
        <v>40</v>
      </c>
    </row>
    <row r="67" spans="2:10" ht="18" customHeight="1" outlineLevel="1">
      <c r="B67" s="3"/>
      <c r="C67" s="156"/>
      <c r="D67" s="156"/>
      <c r="E67" s="156"/>
      <c r="F67" s="156"/>
      <c r="G67" s="156"/>
      <c r="H67" s="156"/>
      <c r="I67" s="156"/>
      <c r="J67" s="156"/>
    </row>
    <row r="68" spans="2:10" ht="18" customHeight="1" outlineLevel="1">
      <c r="B68" s="9" t="s">
        <v>955</v>
      </c>
      <c r="C68" s="45">
        <f>SUM(C46:C67)</f>
        <v>694.30697499999997</v>
      </c>
      <c r="D68" s="45">
        <f t="shared" ref="D68:E68" si="44">SUM(D46:D67)</f>
        <v>710.43653900000004</v>
      </c>
      <c r="E68" s="45">
        <f t="shared" si="44"/>
        <v>1052.4467249999998</v>
      </c>
      <c r="F68" s="45">
        <f t="shared" ref="F68:H68" si="45">SUM(F46:F67)</f>
        <v>1140.1680865915284</v>
      </c>
      <c r="G68" s="45">
        <f t="shared" si="45"/>
        <v>1284.8846646328643</v>
      </c>
      <c r="H68" s="45">
        <f t="shared" si="45"/>
        <v>1341.4960891320359</v>
      </c>
      <c r="I68" s="45">
        <f>SUM(I46:I67)</f>
        <v>1376.4757945411359</v>
      </c>
      <c r="J68" s="45">
        <f>SUM(J46:J67)</f>
        <v>1432.4397334915836</v>
      </c>
    </row>
    <row r="69" spans="2:10" ht="18" customHeight="1" outlineLevel="1">
      <c r="B69" s="242" t="s">
        <v>379</v>
      </c>
      <c r="C69" s="313">
        <f>C68-C6</f>
        <v>0</v>
      </c>
      <c r="D69" s="313">
        <f>D68-D6</f>
        <v>0</v>
      </c>
      <c r="E69" s="313">
        <f>E68-E6</f>
        <v>0</v>
      </c>
    </row>
    <row r="70" spans="2:10" ht="18" customHeight="1" outlineLevel="1">
      <c r="B70" s="242" t="s">
        <v>380</v>
      </c>
      <c r="C70" s="52" t="str">
        <f t="shared" ref="C70:E70" si="46">IF(ROUND(C69,0)=0,"OK","需要检查")</f>
        <v>OK</v>
      </c>
      <c r="D70" s="52" t="str">
        <f t="shared" si="46"/>
        <v>OK</v>
      </c>
      <c r="E70" s="52" t="str">
        <f t="shared" si="46"/>
        <v>OK</v>
      </c>
    </row>
    <row r="71" spans="2:10" ht="18" customHeight="1" outlineLevel="1">
      <c r="B71" s="227" t="s">
        <v>334</v>
      </c>
      <c r="C71" s="24"/>
      <c r="D71" s="24"/>
      <c r="E71" s="734" t="str">
        <f>C45&amp;"-"&amp;E45</f>
        <v>2015年-2017年</v>
      </c>
      <c r="F71" s="241" t="s">
        <v>331</v>
      </c>
      <c r="G71" s="241" t="s">
        <v>332</v>
      </c>
      <c r="H71" s="241" t="s">
        <v>333</v>
      </c>
    </row>
    <row r="72" spans="2:10" ht="18" customHeight="1" outlineLevel="1">
      <c r="B72" s="8" t="str">
        <f>B46</f>
        <v>办公费</v>
      </c>
      <c r="C72" s="13">
        <f t="shared" ref="C72:E74" si="47">IF(C46,C46/C$9,"")</f>
        <v>7.4053227696640155E-3</v>
      </c>
      <c r="D72" s="13">
        <f t="shared" si="47"/>
        <v>1.1312603788555978E-3</v>
      </c>
      <c r="E72" s="13">
        <f t="shared" si="47"/>
        <v>4.7038179967931653E-3</v>
      </c>
      <c r="F72" s="243">
        <f t="shared" ref="F72:F79" si="48">IF(COUNT(C72:E72)&gt;2,CORREL(C$9:E$9,C46:E46),"")</f>
        <v>0.17737104563802963</v>
      </c>
      <c r="G72" s="13">
        <f t="shared" ref="G72:G92" si="49">AVERAGE(C72:E72)</f>
        <v>4.4134670484375924E-3</v>
      </c>
      <c r="H72" s="351"/>
    </row>
    <row r="73" spans="2:10" ht="18" customHeight="1" outlineLevel="1">
      <c r="B73" s="8" t="str">
        <f t="shared" ref="B73:B92" si="50">B47</f>
        <v>通讯费</v>
      </c>
      <c r="C73" s="13" t="str">
        <f t="shared" si="47"/>
        <v/>
      </c>
      <c r="D73" s="13">
        <f t="shared" si="47"/>
        <v>8.3633998237488106E-4</v>
      </c>
      <c r="E73" s="13">
        <f t="shared" si="47"/>
        <v>5.187473769409E-4</v>
      </c>
      <c r="F73" s="243" t="str">
        <f t="shared" si="48"/>
        <v/>
      </c>
      <c r="G73" s="13">
        <f t="shared" si="49"/>
        <v>6.7754367965789058E-4</v>
      </c>
      <c r="H73" s="351"/>
      <c r="I73" s="21" t="s">
        <v>969</v>
      </c>
    </row>
    <row r="74" spans="2:10" ht="18" customHeight="1" outlineLevel="1">
      <c r="B74" s="8" t="str">
        <f t="shared" si="50"/>
        <v>汽车费</v>
      </c>
      <c r="C74" s="13">
        <f t="shared" si="47"/>
        <v>5.0554226378397432E-3</v>
      </c>
      <c r="D74" s="13">
        <f t="shared" si="47"/>
        <v>3.4205707382512656E-3</v>
      </c>
      <c r="E74" s="13">
        <f t="shared" si="47"/>
        <v>3.0572505469243674E-3</v>
      </c>
      <c r="F74" s="243">
        <f t="shared" si="48"/>
        <v>0.27309762792300896</v>
      </c>
      <c r="G74" s="13">
        <f t="shared" si="49"/>
        <v>3.8444146410051253E-3</v>
      </c>
      <c r="H74" s="351"/>
    </row>
    <row r="75" spans="2:10" ht="18" customHeight="1" outlineLevel="1">
      <c r="B75" s="8" t="str">
        <f t="shared" si="50"/>
        <v>社会保险费</v>
      </c>
      <c r="C75" s="13">
        <f t="shared" ref="C75:E75" si="51">IF(C49,C49/C$9,"")</f>
        <v>8.4157658875876305E-3</v>
      </c>
      <c r="D75" s="13">
        <f t="shared" si="51"/>
        <v>7.8101372987374436E-3</v>
      </c>
      <c r="E75" s="13">
        <f t="shared" si="51"/>
        <v>7.8605318485656418E-3</v>
      </c>
      <c r="F75" s="243">
        <f t="shared" si="48"/>
        <v>0.99608515644073414</v>
      </c>
      <c r="G75" s="13">
        <f t="shared" si="49"/>
        <v>8.028811678296905E-3</v>
      </c>
      <c r="H75" s="351">
        <v>8.0000000000000002E-3</v>
      </c>
    </row>
    <row r="76" spans="2:10" ht="18" customHeight="1" outlineLevel="1">
      <c r="B76" s="8" t="str">
        <f t="shared" si="50"/>
        <v>工资</v>
      </c>
      <c r="C76" s="13">
        <f t="shared" ref="C76:E76" si="52">IF(C50,C50/C$9,"")</f>
        <v>3.1459746699540478E-2</v>
      </c>
      <c r="D76" s="13">
        <f t="shared" si="52"/>
        <v>2.7009905677953867E-2</v>
      </c>
      <c r="E76" s="13">
        <f t="shared" si="52"/>
        <v>2.029322177502943E-2</v>
      </c>
      <c r="F76" s="243">
        <f t="shared" si="48"/>
        <v>0.75219308811108454</v>
      </c>
      <c r="G76" s="13">
        <f t="shared" si="49"/>
        <v>2.6254291384174594E-2</v>
      </c>
      <c r="H76" s="351">
        <v>2.63E-2</v>
      </c>
    </row>
    <row r="77" spans="2:10" ht="18" customHeight="1" outlineLevel="1">
      <c r="B77" s="8" t="str">
        <f t="shared" si="50"/>
        <v>福利费</v>
      </c>
      <c r="C77" s="13">
        <f t="shared" ref="C77:E77" si="53">IF(C51,C51/C$9,"")</f>
        <v>1.4472949842260188E-2</v>
      </c>
      <c r="D77" s="13">
        <f t="shared" si="53"/>
        <v>1.1883895206792616E-2</v>
      </c>
      <c r="E77" s="13">
        <f t="shared" si="53"/>
        <v>1.0015406323540588E-2</v>
      </c>
      <c r="F77" s="243">
        <f t="shared" si="48"/>
        <v>0.9969045164764927</v>
      </c>
      <c r="G77" s="13">
        <f t="shared" si="49"/>
        <v>1.2124083790864465E-2</v>
      </c>
      <c r="H77" s="351">
        <v>1.21E-2</v>
      </c>
    </row>
    <row r="78" spans="2:10" ht="18" customHeight="1" outlineLevel="1">
      <c r="B78" s="8" t="str">
        <f t="shared" si="50"/>
        <v>折旧</v>
      </c>
      <c r="C78" s="13">
        <f t="shared" ref="C78:E78" si="54">IF(C52,C52/C$9,"")</f>
        <v>1.7946594394342902E-2</v>
      </c>
      <c r="D78" s="13">
        <f t="shared" si="54"/>
        <v>1.0575153374535479E-2</v>
      </c>
      <c r="E78" s="13">
        <f t="shared" si="54"/>
        <v>7.7422344152423299E-3</v>
      </c>
      <c r="F78" s="243">
        <f t="shared" si="48"/>
        <v>-0.86606185687739279</v>
      </c>
      <c r="G78" s="13">
        <f t="shared" si="49"/>
        <v>1.2087994061373571E-2</v>
      </c>
      <c r="H78" s="351"/>
    </row>
    <row r="79" spans="2:10" ht="18" customHeight="1" outlineLevel="1">
      <c r="B79" s="8" t="str">
        <f t="shared" si="50"/>
        <v>无形资产摊销</v>
      </c>
      <c r="C79" s="13">
        <f t="shared" ref="C79:E79" si="55">IF(C53,C53/C$9,"")</f>
        <v>2.5756618425007371E-3</v>
      </c>
      <c r="D79" s="13">
        <f t="shared" si="55"/>
        <v>1.6331993484905549E-3</v>
      </c>
      <c r="E79" s="13">
        <f t="shared" si="55"/>
        <v>1.5288535489107072E-3</v>
      </c>
      <c r="F79" s="243">
        <f t="shared" si="48"/>
        <v>0.14398020798754274</v>
      </c>
      <c r="G79" s="13">
        <f t="shared" si="49"/>
        <v>1.9125715799673329E-3</v>
      </c>
      <c r="H79" s="351"/>
    </row>
    <row r="80" spans="2:10" ht="18" customHeight="1" outlineLevel="1">
      <c r="B80" s="8" t="str">
        <f t="shared" si="50"/>
        <v>长摊资产摊销</v>
      </c>
      <c r="C80" s="13"/>
      <c r="D80" s="13"/>
      <c r="E80" s="13"/>
      <c r="F80" s="243"/>
      <c r="G80" s="13"/>
      <c r="H80" s="351"/>
    </row>
    <row r="81" spans="2:11" ht="18" customHeight="1" outlineLevel="1">
      <c r="B81" s="8" t="str">
        <f t="shared" si="50"/>
        <v>培训费</v>
      </c>
      <c r="C81" s="13">
        <f t="shared" ref="C81:E81" si="56">IF(C55,C55/C$9,"")</f>
        <v>4.0102339005233731E-3</v>
      </c>
      <c r="D81" s="13">
        <f t="shared" si="56"/>
        <v>1.8575605513884519E-3</v>
      </c>
      <c r="E81" s="13">
        <f t="shared" si="56"/>
        <v>2.8946814043137692E-3</v>
      </c>
      <c r="F81" s="243">
        <f t="shared" ref="F81:F92" si="57">IF(COUNT(C81:E81)&gt;2,CORREL(C$9:E$9,C55:E55),"")</f>
        <v>0.44585934422906598</v>
      </c>
      <c r="G81" s="13">
        <f t="shared" si="49"/>
        <v>2.9208252854085316E-3</v>
      </c>
      <c r="H81" s="351"/>
    </row>
    <row r="82" spans="2:11" ht="18" customHeight="1" outlineLevel="1">
      <c r="B82" s="8" t="str">
        <f t="shared" si="50"/>
        <v>诉讼律师费</v>
      </c>
      <c r="C82" s="13">
        <f t="shared" ref="C82:E82" si="58">IF(C56,C56/C$9,"")</f>
        <v>5.3885209519555456E-3</v>
      </c>
      <c r="D82" s="13">
        <f t="shared" si="58"/>
        <v>5.0242385797564756E-4</v>
      </c>
      <c r="E82" s="13">
        <f t="shared" si="58"/>
        <v>4.9075456707632324E-3</v>
      </c>
      <c r="F82" s="243">
        <f t="shared" si="57"/>
        <v>0.46748990354059705</v>
      </c>
      <c r="G82" s="13">
        <f t="shared" si="49"/>
        <v>3.5994968268981422E-3</v>
      </c>
      <c r="H82" s="351"/>
    </row>
    <row r="83" spans="2:11" ht="18" customHeight="1" outlineLevel="1">
      <c r="B83" s="8" t="str">
        <f t="shared" si="50"/>
        <v>工会经费</v>
      </c>
      <c r="C83" s="13">
        <f t="shared" ref="C83:E83" si="59">IF(C57,C57/C$9,"")</f>
        <v>6.9297190411718522E-4</v>
      </c>
      <c r="D83" s="13">
        <f t="shared" si="59"/>
        <v>1.8961287507107023E-3</v>
      </c>
      <c r="E83" s="13">
        <f t="shared" si="59"/>
        <v>1.8916598830864548E-3</v>
      </c>
      <c r="F83" s="243">
        <f t="shared" si="57"/>
        <v>0.95002529136002178</v>
      </c>
      <c r="G83" s="13">
        <f t="shared" si="49"/>
        <v>1.4935868459714475E-3</v>
      </c>
      <c r="H83" s="351">
        <v>2E-3</v>
      </c>
    </row>
    <row r="84" spans="2:11" ht="18" customHeight="1" outlineLevel="1">
      <c r="B84" s="8" t="str">
        <f t="shared" si="50"/>
        <v>住房公积金</v>
      </c>
      <c r="C84" s="13" t="str">
        <f t="shared" ref="C84:E84" si="60">IF(C58,C58/C$9,"")</f>
        <v/>
      </c>
      <c r="D84" s="13" t="str">
        <f t="shared" si="60"/>
        <v/>
      </c>
      <c r="E84" s="13">
        <f t="shared" si="60"/>
        <v>1.1488754931138123E-3</v>
      </c>
      <c r="F84" s="243" t="str">
        <f t="shared" si="57"/>
        <v/>
      </c>
      <c r="G84" s="13">
        <f t="shared" si="49"/>
        <v>1.1488754931138123E-3</v>
      </c>
      <c r="H84" s="351">
        <v>1.1000000000000001E-3</v>
      </c>
    </row>
    <row r="85" spans="2:11" ht="18" customHeight="1" outlineLevel="1">
      <c r="B85" s="8" t="str">
        <f t="shared" si="50"/>
        <v>电费</v>
      </c>
      <c r="C85" s="13" t="str">
        <f t="shared" ref="C85:E85" si="61">IF(C59,C59/C$9,"")</f>
        <v/>
      </c>
      <c r="D85" s="13">
        <f t="shared" si="61"/>
        <v>7.5984001678963253E-4</v>
      </c>
      <c r="E85" s="13">
        <f t="shared" si="61"/>
        <v>6.3285140587452412E-4</v>
      </c>
      <c r="F85" s="243" t="str">
        <f t="shared" si="57"/>
        <v/>
      </c>
      <c r="G85" s="13">
        <f t="shared" si="49"/>
        <v>6.9634571133207832E-4</v>
      </c>
      <c r="H85" s="351">
        <v>6.9999999999999999E-4</v>
      </c>
      <c r="I85" s="21" t="s">
        <v>969</v>
      </c>
    </row>
    <row r="86" spans="2:11" ht="18" customHeight="1" outlineLevel="1">
      <c r="B86" s="8" t="str">
        <f t="shared" si="50"/>
        <v>服务费</v>
      </c>
      <c r="C86" s="13">
        <f t="shared" ref="C86:E86" si="62">IF(C60,C60/C$9,"")</f>
        <v>2.6005111541909163E-3</v>
      </c>
      <c r="D86" s="13" t="str">
        <f t="shared" si="62"/>
        <v/>
      </c>
      <c r="E86" s="13">
        <f t="shared" si="62"/>
        <v>8.8908738330631364E-3</v>
      </c>
      <c r="F86" s="243" t="str">
        <f t="shared" si="57"/>
        <v/>
      </c>
      <c r="G86" s="13">
        <f t="shared" si="49"/>
        <v>5.7456924936270266E-3</v>
      </c>
      <c r="H86" s="351"/>
      <c r="I86" s="21" t="s">
        <v>969</v>
      </c>
      <c r="K86" s="14" t="s">
        <v>342</v>
      </c>
    </row>
    <row r="87" spans="2:11" ht="18" customHeight="1" outlineLevel="1">
      <c r="B87" s="8" t="str">
        <f t="shared" si="50"/>
        <v>劳务费</v>
      </c>
      <c r="C87" s="13">
        <f t="shared" ref="C87:E87" si="63">IF(C61,C61/C$9,"")</f>
        <v>1.0783416337213879E-3</v>
      </c>
      <c r="D87" s="13">
        <f t="shared" si="63"/>
        <v>1.0678597908942878E-3</v>
      </c>
      <c r="E87" s="13">
        <f t="shared" si="63"/>
        <v>2.3154259538147883E-3</v>
      </c>
      <c r="F87" s="243">
        <f t="shared" si="57"/>
        <v>0.94526599980174297</v>
      </c>
      <c r="G87" s="13">
        <f t="shared" si="49"/>
        <v>1.4872091261434878E-3</v>
      </c>
      <c r="H87" s="351"/>
    </row>
    <row r="88" spans="2:11" ht="18" customHeight="1" outlineLevel="1">
      <c r="B88" s="8" t="str">
        <f t="shared" si="50"/>
        <v>咨询顾问费</v>
      </c>
      <c r="C88" s="13" t="str">
        <f t="shared" ref="C88:E88" si="64">IF(C62,C62/C$9,"")</f>
        <v/>
      </c>
      <c r="D88" s="13">
        <f t="shared" si="64"/>
        <v>1.6187026655889688E-3</v>
      </c>
      <c r="E88" s="13">
        <f t="shared" si="64"/>
        <v>1.4378637351136576E-2</v>
      </c>
      <c r="F88" s="243" t="str">
        <f t="shared" si="57"/>
        <v/>
      </c>
      <c r="G88" s="13">
        <f t="shared" si="49"/>
        <v>7.9986700083627717E-3</v>
      </c>
      <c r="H88" s="351"/>
      <c r="I88" s="21" t="s">
        <v>969</v>
      </c>
    </row>
    <row r="89" spans="2:11" ht="18" customHeight="1" outlineLevel="1">
      <c r="B89" s="8" t="str">
        <f t="shared" si="50"/>
        <v>差旅费</v>
      </c>
      <c r="C89" s="13">
        <f t="shared" ref="C89:E89" si="65">IF(C63,C63/C$9,"")</f>
        <v>4.2124417260108581E-3</v>
      </c>
      <c r="D89" s="13">
        <f t="shared" si="65"/>
        <v>1.0158806916702685E-2</v>
      </c>
      <c r="E89" s="13">
        <f t="shared" si="65"/>
        <v>6.5366280532585348E-3</v>
      </c>
      <c r="F89" s="243">
        <f t="shared" si="57"/>
        <v>0.67136060065433112</v>
      </c>
      <c r="G89" s="13">
        <f t="shared" si="49"/>
        <v>6.9692922319906925E-3</v>
      </c>
      <c r="H89" s="351">
        <v>7.0000000000000001E-3</v>
      </c>
    </row>
    <row r="90" spans="2:11" ht="18" customHeight="1" outlineLevel="1">
      <c r="B90" s="8" t="str">
        <f t="shared" si="50"/>
        <v>招待费</v>
      </c>
      <c r="C90" s="13">
        <f t="shared" ref="C90:E90" si="66">IF(C64,C64/C$9,"")</f>
        <v>1.0674358636782788E-2</v>
      </c>
      <c r="D90" s="13">
        <f t="shared" si="66"/>
        <v>1.0591439982635972E-2</v>
      </c>
      <c r="E90" s="13">
        <f t="shared" si="66"/>
        <v>5.9176081636039372E-3</v>
      </c>
      <c r="F90" s="243">
        <f t="shared" si="57"/>
        <v>-0.24701753258942033</v>
      </c>
      <c r="G90" s="13">
        <f t="shared" si="49"/>
        <v>9.0611355943408991E-3</v>
      </c>
      <c r="H90" s="351"/>
    </row>
    <row r="91" spans="2:11" ht="18" customHeight="1" outlineLevel="1">
      <c r="B91" s="8" t="str">
        <f t="shared" si="50"/>
        <v>水费、污水费</v>
      </c>
      <c r="C91" s="13">
        <f t="shared" ref="C91:E91" si="67">IF(C65,C65/C$9,"")</f>
        <v>1.1027215392258537E-3</v>
      </c>
      <c r="D91" s="13">
        <f t="shared" si="67"/>
        <v>9.3564147309434925E-4</v>
      </c>
      <c r="E91" s="13">
        <f t="shared" si="67"/>
        <v>8.4568773823135205E-4</v>
      </c>
      <c r="F91" s="243">
        <f t="shared" si="57"/>
        <v>0.99379268561275214</v>
      </c>
      <c r="G91" s="13">
        <f t="shared" si="49"/>
        <v>9.6135025018385164E-4</v>
      </c>
      <c r="H91" s="351">
        <v>1E-3</v>
      </c>
    </row>
    <row r="92" spans="2:11" ht="18" customHeight="1" outlineLevel="1">
      <c r="B92" s="8" t="str">
        <f t="shared" si="50"/>
        <v>其他</v>
      </c>
      <c r="C92" s="13">
        <f t="shared" ref="C92:E92" si="68">IF(C66,C66/C$9,"")</f>
        <v>5.8476984740967967E-3</v>
      </c>
      <c r="D92" s="13">
        <f t="shared" si="68"/>
        <v>3.567597726679621E-3</v>
      </c>
      <c r="E92" s="13">
        <f t="shared" si="68"/>
        <v>3.3717383005014874E-3</v>
      </c>
      <c r="F92" s="243">
        <f t="shared" si="57"/>
        <v>1.6460863485819547E-2</v>
      </c>
      <c r="G92" s="13">
        <f t="shared" si="49"/>
        <v>4.2623448337593016E-3</v>
      </c>
      <c r="H92" s="351"/>
    </row>
    <row r="93" spans="2:11" ht="18" customHeight="1" outlineLevel="1">
      <c r="B93" s="16"/>
      <c r="C93" s="47"/>
      <c r="D93" s="47"/>
      <c r="E93" s="47"/>
    </row>
    <row r="94" spans="2:11" ht="18" customHeight="1" outlineLevel="1">
      <c r="B94" s="227" t="s">
        <v>343</v>
      </c>
      <c r="C94" s="24"/>
      <c r="D94" s="24"/>
      <c r="E94" s="24"/>
      <c r="F94" s="241"/>
      <c r="G94" s="241" t="s">
        <v>332</v>
      </c>
      <c r="H94" s="241" t="s">
        <v>333</v>
      </c>
    </row>
    <row r="95" spans="2:11" ht="18" customHeight="1" outlineLevel="1">
      <c r="B95" s="8" t="str">
        <f>B46</f>
        <v>办公费</v>
      </c>
      <c r="C95" s="418"/>
      <c r="D95" s="418">
        <f>IF(C46,D46/C46-1,"")</f>
        <v>-0.8024102188677632</v>
      </c>
      <c r="E95" s="418">
        <f t="shared" ref="D95:E102" si="69">IF(D46,E46/D46-1,"")</f>
        <v>4.4733905384117003</v>
      </c>
      <c r="F95" s="74"/>
      <c r="G95" s="13">
        <f>AVERAGE(C95:E95)</f>
        <v>1.8354901597719686</v>
      </c>
      <c r="H95" s="351">
        <v>0.05</v>
      </c>
    </row>
    <row r="96" spans="2:11" ht="18" customHeight="1" outlineLevel="1">
      <c r="B96" s="8" t="str">
        <f t="shared" ref="B96:B115" si="70">B47</f>
        <v>通讯费</v>
      </c>
      <c r="C96" s="418"/>
      <c r="D96" s="418" t="str">
        <f t="shared" si="69"/>
        <v/>
      </c>
      <c r="E96" s="418">
        <f t="shared" si="69"/>
        <v>-0.18352750530954987</v>
      </c>
      <c r="F96" s="74"/>
      <c r="G96" s="13">
        <f t="shared" ref="G96:G115" si="71">AVERAGE(C96:E96)</f>
        <v>-0.18352750530954987</v>
      </c>
      <c r="H96" s="351">
        <v>0.05</v>
      </c>
    </row>
    <row r="97" spans="2:9" ht="18" customHeight="1" outlineLevel="1">
      <c r="B97" s="8" t="str">
        <f t="shared" si="70"/>
        <v>汽车费</v>
      </c>
      <c r="C97" s="418"/>
      <c r="D97" s="418">
        <f t="shared" si="69"/>
        <v>-0.12484091955789545</v>
      </c>
      <c r="E97" s="418">
        <f t="shared" si="69"/>
        <v>0.1765244573289142</v>
      </c>
      <c r="F97" s="74"/>
      <c r="G97" s="13">
        <f t="shared" si="71"/>
        <v>2.5841768885509375E-2</v>
      </c>
      <c r="H97" s="351">
        <v>0.05</v>
      </c>
    </row>
    <row r="98" spans="2:9" ht="18" customHeight="1" outlineLevel="1">
      <c r="B98" s="8" t="str">
        <f t="shared" si="70"/>
        <v>社会保险费</v>
      </c>
      <c r="C98" s="418"/>
      <c r="D98" s="418">
        <f t="shared" si="69"/>
        <v>0.20035835303201965</v>
      </c>
      <c r="E98" s="418">
        <f t="shared" si="69"/>
        <v>0.32483492223103361</v>
      </c>
      <c r="F98" s="74"/>
      <c r="G98" s="13">
        <f t="shared" si="71"/>
        <v>0.26259663763152663</v>
      </c>
      <c r="H98" s="351"/>
    </row>
    <row r="99" spans="2:9" ht="18" customHeight="1" outlineLevel="1">
      <c r="B99" s="8" t="str">
        <f t="shared" si="70"/>
        <v>工资</v>
      </c>
      <c r="C99" s="418"/>
      <c r="D99" s="418">
        <f t="shared" si="69"/>
        <v>0.1104876729514308</v>
      </c>
      <c r="E99" s="418">
        <f t="shared" si="69"/>
        <v>-1.0999665582488771E-2</v>
      </c>
      <c r="F99" s="74"/>
      <c r="G99" s="13">
        <f t="shared" si="71"/>
        <v>4.9744003684471017E-2</v>
      </c>
      <c r="H99" s="351"/>
    </row>
    <row r="100" spans="2:9" ht="18" customHeight="1" outlineLevel="1">
      <c r="B100" s="8" t="str">
        <f t="shared" si="70"/>
        <v>福利费</v>
      </c>
      <c r="C100" s="418"/>
      <c r="D100" s="418">
        <f t="shared" si="69"/>
        <v>6.2056576307397915E-2</v>
      </c>
      <c r="E100" s="418">
        <f t="shared" si="69"/>
        <v>0.10937471759177519</v>
      </c>
      <c r="F100" s="74"/>
      <c r="G100" s="13">
        <f t="shared" si="71"/>
        <v>8.5715646949586555E-2</v>
      </c>
      <c r="H100" s="351"/>
    </row>
    <row r="101" spans="2:9" ht="18" customHeight="1" outlineLevel="1">
      <c r="B101" s="8" t="str">
        <f t="shared" si="70"/>
        <v>折旧</v>
      </c>
      <c r="C101" s="418"/>
      <c r="D101" s="418">
        <f t="shared" si="69"/>
        <v>-0.23783232915477115</v>
      </c>
      <c r="E101" s="418">
        <f t="shared" si="69"/>
        <v>-3.6286048651097302E-2</v>
      </c>
      <c r="F101" s="74"/>
      <c r="G101" s="13">
        <f t="shared" si="71"/>
        <v>-0.13705918890293423</v>
      </c>
      <c r="H101" s="351"/>
    </row>
    <row r="102" spans="2:9" ht="18" customHeight="1" outlineLevel="1">
      <c r="B102" s="8" t="str">
        <f t="shared" si="70"/>
        <v>无形资产摊销</v>
      </c>
      <c r="C102" s="418"/>
      <c r="D102" s="418">
        <f t="shared" si="69"/>
        <v>-0.17984440892392084</v>
      </c>
      <c r="E102" s="418">
        <f t="shared" si="69"/>
        <v>0.23223968711884901</v>
      </c>
      <c r="F102" s="74"/>
      <c r="G102" s="13">
        <f t="shared" si="71"/>
        <v>2.6197639097464087E-2</v>
      </c>
      <c r="H102" s="351"/>
    </row>
    <row r="103" spans="2:9" ht="18" customHeight="1" outlineLevel="1">
      <c r="B103" s="8" t="str">
        <f t="shared" si="70"/>
        <v>长摊资产摊销</v>
      </c>
      <c r="C103" s="418"/>
      <c r="D103" s="418"/>
      <c r="E103" s="418"/>
      <c r="F103" s="74"/>
      <c r="G103" s="13" t="e">
        <f t="shared" si="71"/>
        <v>#DIV/0!</v>
      </c>
      <c r="H103" s="351"/>
    </row>
    <row r="104" spans="2:9" ht="18" customHeight="1" outlineLevel="1">
      <c r="B104" s="8" t="str">
        <f t="shared" si="70"/>
        <v>培训费</v>
      </c>
      <c r="C104" s="418"/>
      <c r="D104" s="418">
        <f t="shared" ref="D104:E115" si="72">IF(C55,D55/C55-1,"")</f>
        <v>-0.40087261414232755</v>
      </c>
      <c r="E104" s="418">
        <f t="shared" si="72"/>
        <v>1.0512863786226623</v>
      </c>
      <c r="F104" s="74"/>
      <c r="G104" s="13">
        <f t="shared" si="71"/>
        <v>0.32520688224016736</v>
      </c>
      <c r="H104" s="351">
        <v>0.05</v>
      </c>
    </row>
    <row r="105" spans="2:9" ht="18" customHeight="1" outlineLevel="1">
      <c r="B105" s="8" t="str">
        <f t="shared" si="70"/>
        <v>诉讼律师费</v>
      </c>
      <c r="C105" s="418"/>
      <c r="D105" s="418">
        <f t="shared" si="72"/>
        <v>-0.87940020373291272</v>
      </c>
      <c r="E105" s="418">
        <f t="shared" si="72"/>
        <v>11.857679628281899</v>
      </c>
      <c r="F105" s="74"/>
      <c r="G105" s="13">
        <f t="shared" si="71"/>
        <v>5.4891397122744934</v>
      </c>
      <c r="H105" s="351"/>
      <c r="I105" s="21" t="s">
        <v>344</v>
      </c>
    </row>
    <row r="106" spans="2:9" ht="18" customHeight="1" outlineLevel="1">
      <c r="B106" s="8" t="str">
        <f t="shared" si="70"/>
        <v>工会经费</v>
      </c>
      <c r="C106" s="418"/>
      <c r="D106" s="418">
        <f t="shared" si="72"/>
        <v>2.5391428507913809</v>
      </c>
      <c r="E106" s="418">
        <f t="shared" si="72"/>
        <v>0.31323888819939771</v>
      </c>
      <c r="F106" s="74"/>
      <c r="G106" s="13">
        <f t="shared" si="71"/>
        <v>1.4261908694953893</v>
      </c>
      <c r="H106" s="351"/>
    </row>
    <row r="107" spans="2:9" ht="18" customHeight="1" outlineLevel="1">
      <c r="B107" s="8" t="str">
        <f t="shared" si="70"/>
        <v>住房公积金</v>
      </c>
      <c r="C107" s="418"/>
      <c r="D107" s="418" t="str">
        <f t="shared" si="72"/>
        <v/>
      </c>
      <c r="E107" s="418" t="str">
        <f t="shared" si="72"/>
        <v/>
      </c>
      <c r="F107" s="74"/>
      <c r="G107" s="13" t="e">
        <f t="shared" si="71"/>
        <v>#DIV/0!</v>
      </c>
      <c r="H107" s="351"/>
    </row>
    <row r="108" spans="2:9" ht="18" customHeight="1" outlineLevel="1">
      <c r="B108" s="8" t="str">
        <f t="shared" si="70"/>
        <v>电费</v>
      </c>
      <c r="C108" s="418"/>
      <c r="D108" s="418" t="str">
        <f t="shared" si="72"/>
        <v/>
      </c>
      <c r="E108" s="418">
        <f t="shared" si="72"/>
        <v>9.6347149605618077E-2</v>
      </c>
      <c r="F108" s="74"/>
      <c r="G108" s="13">
        <f t="shared" si="71"/>
        <v>9.6347149605618077E-2</v>
      </c>
      <c r="H108" s="351"/>
    </row>
    <row r="109" spans="2:9" ht="18" customHeight="1" outlineLevel="1">
      <c r="B109" s="8" t="str">
        <f t="shared" si="70"/>
        <v>服务费</v>
      </c>
      <c r="C109" s="418"/>
      <c r="D109" s="418">
        <f t="shared" si="72"/>
        <v>-1</v>
      </c>
      <c r="E109" s="418" t="str">
        <f t="shared" si="72"/>
        <v/>
      </c>
      <c r="F109" s="74"/>
      <c r="G109" s="13">
        <f t="shared" si="71"/>
        <v>-1</v>
      </c>
      <c r="H109" s="351">
        <v>0.05</v>
      </c>
    </row>
    <row r="110" spans="2:9" ht="18" customHeight="1" outlineLevel="1">
      <c r="B110" s="8" t="str">
        <f t="shared" si="70"/>
        <v>劳务费</v>
      </c>
      <c r="C110" s="418"/>
      <c r="D110" s="418">
        <f t="shared" si="72"/>
        <v>0.28086617405582914</v>
      </c>
      <c r="E110" s="418">
        <f t="shared" si="72"/>
        <v>1.8542050323858481</v>
      </c>
      <c r="F110" s="74"/>
      <c r="G110" s="13">
        <f t="shared" si="71"/>
        <v>1.0675356032208385</v>
      </c>
      <c r="H110" s="351">
        <v>0.05</v>
      </c>
    </row>
    <row r="111" spans="2:9" ht="18" customHeight="1" outlineLevel="1">
      <c r="B111" s="8" t="str">
        <f t="shared" si="70"/>
        <v>咨询顾问费</v>
      </c>
      <c r="C111" s="418"/>
      <c r="D111" s="418" t="str">
        <f t="shared" si="72"/>
        <v/>
      </c>
      <c r="E111" s="418">
        <f t="shared" si="72"/>
        <v>10.692817003823835</v>
      </c>
      <c r="F111" s="74"/>
      <c r="G111" s="13">
        <f t="shared" si="71"/>
        <v>10.692817003823835</v>
      </c>
      <c r="H111" s="351">
        <v>0.05</v>
      </c>
    </row>
    <row r="112" spans="2:9" ht="18" customHeight="1" outlineLevel="1">
      <c r="B112" s="8" t="str">
        <f t="shared" si="70"/>
        <v>差旅费</v>
      </c>
      <c r="C112" s="418"/>
      <c r="D112" s="418">
        <f t="shared" si="72"/>
        <v>2.119282408367777</v>
      </c>
      <c r="E112" s="418">
        <f t="shared" si="72"/>
        <v>-0.15300748597916813</v>
      </c>
      <c r="F112" s="74"/>
      <c r="G112" s="13">
        <f t="shared" si="71"/>
        <v>0.98313746119430445</v>
      </c>
      <c r="H112" s="351"/>
    </row>
    <row r="113" spans="2:11" ht="18" customHeight="1" outlineLevel="1">
      <c r="B113" s="8" t="str">
        <f t="shared" si="70"/>
        <v>招待费</v>
      </c>
      <c r="C113" s="418"/>
      <c r="D113" s="418">
        <f t="shared" si="72"/>
        <v>0.2833913724168351</v>
      </c>
      <c r="E113" s="418">
        <f t="shared" si="72"/>
        <v>-0.26453891237136928</v>
      </c>
      <c r="F113" s="74"/>
      <c r="G113" s="13">
        <f t="shared" si="71"/>
        <v>9.4262300227329066E-3</v>
      </c>
      <c r="H113" s="351">
        <v>0.05</v>
      </c>
    </row>
    <row r="114" spans="2:11" ht="18" customHeight="1" outlineLevel="1">
      <c r="B114" s="8" t="str">
        <f t="shared" si="70"/>
        <v>水费、污水费</v>
      </c>
      <c r="C114" s="418"/>
      <c r="D114" s="418">
        <f t="shared" si="72"/>
        <v>9.7462027234188175E-2</v>
      </c>
      <c r="E114" s="418">
        <f t="shared" si="72"/>
        <v>0.18978660209374287</v>
      </c>
      <c r="F114" s="74"/>
      <c r="G114" s="13">
        <f>AVERAGE(C114:E114)</f>
        <v>0.14362431466396552</v>
      </c>
      <c r="H114" s="351"/>
    </row>
    <row r="115" spans="2:11" ht="18" customHeight="1" outlineLevel="1">
      <c r="B115" s="8" t="str">
        <f t="shared" si="70"/>
        <v>其他</v>
      </c>
      <c r="C115" s="418"/>
      <c r="D115" s="418">
        <f t="shared" si="72"/>
        <v>-0.21089135086495825</v>
      </c>
      <c r="E115" s="418">
        <f t="shared" si="72"/>
        <v>0.24407477723851545</v>
      </c>
      <c r="F115" s="74"/>
      <c r="G115" s="13">
        <f t="shared" si="71"/>
        <v>1.6591713186778601E-2</v>
      </c>
      <c r="H115" s="351"/>
    </row>
    <row r="116" spans="2:11" ht="18" customHeight="1" outlineLevel="1">
      <c r="B116" s="16"/>
      <c r="C116" s="47"/>
      <c r="D116" s="47"/>
      <c r="E116" s="47"/>
    </row>
    <row r="117" spans="2:11" ht="18" customHeight="1" outlineLevel="1" thickBot="1">
      <c r="B117" s="315" t="s">
        <v>149</v>
      </c>
      <c r="C117" s="51"/>
      <c r="D117" s="51"/>
      <c r="E117" s="51"/>
      <c r="F117" s="220"/>
      <c r="G117" s="220"/>
      <c r="H117" s="220"/>
      <c r="I117" s="220"/>
      <c r="J117" s="220"/>
    </row>
    <row r="118" spans="2:11" ht="18" customHeight="1" outlineLevel="1">
      <c r="B118" s="321" t="s">
        <v>381</v>
      </c>
      <c r="C118" s="322" t="str">
        <f t="shared" ref="C118:J118" si="73">C4</f>
        <v>2015年</v>
      </c>
      <c r="D118" s="322" t="str">
        <f t="shared" si="73"/>
        <v>2016年</v>
      </c>
      <c r="E118" s="322" t="str">
        <f t="shared" si="73"/>
        <v>2017年</v>
      </c>
      <c r="F118" s="323" t="str">
        <f t="shared" si="73"/>
        <v>2018年</v>
      </c>
      <c r="G118" s="324" t="str">
        <f t="shared" si="73"/>
        <v>2019年</v>
      </c>
      <c r="H118" s="324" t="str">
        <f t="shared" si="73"/>
        <v>2020年</v>
      </c>
      <c r="I118" s="324" t="str">
        <f t="shared" si="73"/>
        <v>2021年</v>
      </c>
      <c r="J118" s="324" t="str">
        <f t="shared" si="73"/>
        <v>2022年</v>
      </c>
    </row>
    <row r="119" spans="2:11" ht="18" customHeight="1" outlineLevel="1">
      <c r="B119" s="88" t="s">
        <v>382</v>
      </c>
      <c r="C119" s="90">
        <f t="shared" ref="C119:J119" si="74">C68</f>
        <v>694.30697499999997</v>
      </c>
      <c r="D119" s="90">
        <f t="shared" si="74"/>
        <v>710.43653900000004</v>
      </c>
      <c r="E119" s="318">
        <f t="shared" si="74"/>
        <v>1052.4467249999998</v>
      </c>
      <c r="F119" s="364">
        <f t="shared" si="74"/>
        <v>1140.1680865915284</v>
      </c>
      <c r="G119" s="364">
        <f t="shared" si="74"/>
        <v>1284.8846646328643</v>
      </c>
      <c r="H119" s="364">
        <f t="shared" si="74"/>
        <v>1341.4960891320359</v>
      </c>
      <c r="I119" s="364">
        <f t="shared" si="74"/>
        <v>1376.4757945411359</v>
      </c>
      <c r="J119" s="364">
        <f t="shared" si="74"/>
        <v>1432.4397334915836</v>
      </c>
      <c r="K119" s="21"/>
    </row>
    <row r="120" spans="2:11" ht="18" customHeight="1" outlineLevel="1">
      <c r="B120" s="219" t="s">
        <v>383</v>
      </c>
      <c r="C120" s="317">
        <f>IF(C9,C119/C9,"na")</f>
        <v>0.12293926399436039</v>
      </c>
      <c r="D120" s="317">
        <f>IF(D9,D119/D9,"na")</f>
        <v>9.7256463738452037E-2</v>
      </c>
      <c r="E120" s="319">
        <f>IF(E9,E119/E9,"na")</f>
        <v>0.10945227708270872</v>
      </c>
      <c r="F120" s="223"/>
      <c r="G120" s="223"/>
      <c r="H120" s="223"/>
      <c r="I120" s="223"/>
      <c r="J120" s="223"/>
    </row>
    <row r="121" spans="2:11" ht="18" customHeight="1" outlineLevel="1">
      <c r="B121" s="21" t="s">
        <v>384</v>
      </c>
      <c r="C121" s="90"/>
      <c r="D121" s="90"/>
      <c r="E121" s="318"/>
      <c r="F121" s="49">
        <f t="shared" ref="F121:J121" si="75">IF(F119,F119,F120*F9)</f>
        <v>1140.1680865915284</v>
      </c>
      <c r="G121" s="49">
        <f t="shared" si="75"/>
        <v>1284.8846646328643</v>
      </c>
      <c r="H121" s="49">
        <f t="shared" si="75"/>
        <v>1341.4960891320359</v>
      </c>
      <c r="I121" s="49">
        <f t="shared" si="75"/>
        <v>1376.4757945411359</v>
      </c>
      <c r="J121" s="49">
        <f t="shared" si="75"/>
        <v>1432.4397334915836</v>
      </c>
    </row>
    <row r="122" spans="2:11" ht="18" customHeight="1" outlineLevel="1" thickBot="1">
      <c r="B122" s="220" t="s">
        <v>99</v>
      </c>
      <c r="C122" s="50"/>
      <c r="D122" s="50"/>
      <c r="E122" s="320"/>
      <c r="F122" s="347">
        <f t="shared" ref="F122:J122" si="76">IF(F9,F121/F9,"na")</f>
        <v>9.5527648871222615E-2</v>
      </c>
      <c r="G122" s="347">
        <f t="shared" si="76"/>
        <v>9.0859896432124262E-2</v>
      </c>
      <c r="H122" s="347">
        <f t="shared" si="76"/>
        <v>8.439109877276918E-2</v>
      </c>
      <c r="I122" s="347">
        <f t="shared" si="76"/>
        <v>8.1626387877023726E-2</v>
      </c>
      <c r="J122" s="347">
        <f t="shared" si="76"/>
        <v>8.3163156827542689E-2</v>
      </c>
    </row>
    <row r="124" spans="2:11" ht="18" customHeight="1" thickBot="1">
      <c r="B124" s="315" t="s">
        <v>539</v>
      </c>
      <c r="C124" s="51"/>
      <c r="D124" s="51"/>
      <c r="E124" s="51"/>
      <c r="F124" s="220"/>
      <c r="G124" s="220"/>
      <c r="H124" s="220"/>
      <c r="I124" s="220"/>
      <c r="J124" s="220"/>
    </row>
    <row r="125" spans="2:11" ht="18" customHeight="1" outlineLevel="1">
      <c r="B125" s="321" t="s">
        <v>143</v>
      </c>
      <c r="C125" s="322">
        <f t="shared" ref="C125:J125" si="77">C134</f>
        <v>0</v>
      </c>
      <c r="D125" s="322">
        <f t="shared" si="77"/>
        <v>0</v>
      </c>
      <c r="E125" s="322">
        <f t="shared" si="77"/>
        <v>0</v>
      </c>
      <c r="F125" s="323">
        <f t="shared" si="77"/>
        <v>0</v>
      </c>
      <c r="G125" s="324">
        <f t="shared" si="77"/>
        <v>0</v>
      </c>
      <c r="H125" s="324">
        <f t="shared" si="77"/>
        <v>0</v>
      </c>
      <c r="I125" s="324">
        <f t="shared" si="77"/>
        <v>0</v>
      </c>
      <c r="J125" s="324">
        <f t="shared" si="77"/>
        <v>0</v>
      </c>
    </row>
    <row r="126" spans="2:11" ht="18" customHeight="1" outlineLevel="1">
      <c r="B126" s="88" t="s">
        <v>537</v>
      </c>
      <c r="C126" s="353">
        <v>384.83577599999995</v>
      </c>
      <c r="D126" s="353">
        <v>369.90656899999999</v>
      </c>
      <c r="E126" s="469">
        <v>435.36899800000003</v>
      </c>
      <c r="F126" s="316"/>
      <c r="G126" s="316"/>
      <c r="H126" s="316"/>
      <c r="I126" s="316"/>
      <c r="J126" s="316"/>
      <c r="K126" s="21"/>
    </row>
    <row r="127" spans="2:11" ht="18" customHeight="1" outlineLevel="1">
      <c r="B127" s="219" t="s">
        <v>92</v>
      </c>
      <c r="C127" s="317">
        <f>IF(C126,C126/C9,"na")</f>
        <v>6.8141944073280461E-2</v>
      </c>
      <c r="D127" s="317">
        <f>IF(D126,D126/D9,"na")</f>
        <v>5.0639012550231038E-2</v>
      </c>
      <c r="E127" s="319">
        <f>IF(E126,E126/E9,"na")</f>
        <v>4.5277473025836318E-2</v>
      </c>
      <c r="F127" s="223">
        <v>0.05</v>
      </c>
      <c r="G127" s="223">
        <f>F127</f>
        <v>0.05</v>
      </c>
      <c r="H127" s="223">
        <f t="shared" ref="H127:J127" si="78">G127</f>
        <v>0.05</v>
      </c>
      <c r="I127" s="223">
        <f t="shared" si="78"/>
        <v>0.05</v>
      </c>
      <c r="J127" s="223">
        <f t="shared" si="78"/>
        <v>0.05</v>
      </c>
    </row>
    <row r="128" spans="2:11" ht="18" customHeight="1" outlineLevel="1">
      <c r="B128" s="21" t="s">
        <v>537</v>
      </c>
      <c r="C128" s="90"/>
      <c r="D128" s="90"/>
      <c r="E128" s="318"/>
      <c r="F128" s="49">
        <f t="shared" ref="F128:J128" si="79">IF(F126,F126,F127*F9)</f>
        <v>596.77386602937747</v>
      </c>
      <c r="G128" s="49">
        <f t="shared" si="79"/>
        <v>707.06918843602318</v>
      </c>
      <c r="H128" s="49">
        <f t="shared" si="79"/>
        <v>794.80899564072388</v>
      </c>
      <c r="I128" s="49">
        <f t="shared" si="79"/>
        <v>843.15613513052904</v>
      </c>
      <c r="J128" s="49">
        <f t="shared" si="79"/>
        <v>861.22255824298873</v>
      </c>
    </row>
    <row r="129" spans="2:10" ht="18" customHeight="1" outlineLevel="1" thickBot="1">
      <c r="B129" s="220" t="s">
        <v>99</v>
      </c>
      <c r="C129" s="50"/>
      <c r="D129" s="50"/>
      <c r="E129" s="320"/>
      <c r="F129" s="347">
        <f t="shared" ref="F129:J129" si="80">IF(F9,F128/F9,"na")</f>
        <v>4.9999999999999996E-2</v>
      </c>
      <c r="G129" s="347">
        <f t="shared" si="80"/>
        <v>0.05</v>
      </c>
      <c r="H129" s="347">
        <f t="shared" si="80"/>
        <v>0.05</v>
      </c>
      <c r="I129" s="347">
        <f t="shared" si="80"/>
        <v>0.05</v>
      </c>
      <c r="J129" s="347">
        <f t="shared" si="80"/>
        <v>0.05</v>
      </c>
    </row>
    <row r="130" spans="2:10" ht="18" customHeight="1" outlineLevel="1">
      <c r="B130" s="16"/>
      <c r="C130" s="87"/>
      <c r="D130" s="87"/>
      <c r="E130" s="87"/>
      <c r="F130" s="310"/>
      <c r="G130" s="310"/>
      <c r="H130" s="310"/>
      <c r="I130" s="310"/>
      <c r="J130" s="310"/>
    </row>
    <row r="131" spans="2:10" ht="18" customHeight="1" outlineLevel="1">
      <c r="B131" s="242" t="s">
        <v>970</v>
      </c>
      <c r="C131" s="87"/>
      <c r="D131" s="87"/>
      <c r="E131" s="87"/>
      <c r="F131" s="310"/>
      <c r="G131" s="310"/>
      <c r="H131" s="310"/>
      <c r="I131" s="310"/>
      <c r="J131" s="310"/>
    </row>
    <row r="132" spans="2:10" ht="18" customHeight="1" outlineLevel="1">
      <c r="B132" s="16"/>
      <c r="C132" s="87"/>
      <c r="D132" s="87"/>
      <c r="E132" s="87"/>
      <c r="F132" s="310"/>
      <c r="G132" s="310"/>
      <c r="H132" s="310"/>
      <c r="I132" s="310"/>
      <c r="J132" s="310"/>
    </row>
    <row r="134" spans="2:10" ht="18" customHeight="1" thickBot="1">
      <c r="B134" s="485" t="s">
        <v>581</v>
      </c>
      <c r="C134" s="312"/>
      <c r="D134" s="312"/>
      <c r="E134" s="312"/>
      <c r="F134" s="312"/>
      <c r="H134" s="312"/>
      <c r="I134" s="312"/>
      <c r="J134" s="312"/>
    </row>
    <row r="135" spans="2:10" ht="18" customHeight="1" outlineLevel="1">
      <c r="B135" s="327"/>
      <c r="C135" s="350" t="str">
        <f>C4</f>
        <v>2015年</v>
      </c>
      <c r="D135" s="350" t="str">
        <f>D4</f>
        <v>2016年</v>
      </c>
      <c r="E135" s="350" t="str">
        <f>E4</f>
        <v>2017年</v>
      </c>
      <c r="F135" s="330" t="str">
        <f t="shared" ref="F135" si="81">F151</f>
        <v>平均值</v>
      </c>
      <c r="I135" s="312"/>
      <c r="J135" s="312"/>
    </row>
    <row r="136" spans="2:10" ht="18" customHeight="1" outlineLevel="1">
      <c r="B136" s="218" t="s">
        <v>444</v>
      </c>
      <c r="C136" s="87">
        <f>C148</f>
        <v>0</v>
      </c>
      <c r="D136" s="87">
        <f>D148</f>
        <v>0</v>
      </c>
      <c r="E136" s="87">
        <f>E148</f>
        <v>0</v>
      </c>
      <c r="F136" s="331">
        <f>IF(ISERROR(AVERAGE(C136:E136)),0,AVERAGE(C136:E136))</f>
        <v>0</v>
      </c>
      <c r="I136" s="312"/>
      <c r="J136" s="312"/>
    </row>
    <row r="137" spans="2:10" ht="18" customHeight="1" outlineLevel="1">
      <c r="B137" s="14" t="s">
        <v>202</v>
      </c>
      <c r="C137" s="23">
        <f>C158</f>
        <v>0</v>
      </c>
      <c r="D137" s="23">
        <f>D158</f>
        <v>0</v>
      </c>
      <c r="E137" s="23">
        <f>E158</f>
        <v>0</v>
      </c>
      <c r="F137" s="332">
        <f>IF(ISERROR(AVERAGE(C137:E137)),0,AVERAGE(C137:E137))</f>
        <v>0</v>
      </c>
      <c r="I137" s="312"/>
      <c r="J137" s="312"/>
    </row>
    <row r="138" spans="2:10" ht="18" customHeight="1" outlineLevel="1">
      <c r="B138" s="14" t="s">
        <v>546</v>
      </c>
      <c r="C138" s="23">
        <f t="shared" ref="C138:E138" si="82">C168</f>
        <v>0</v>
      </c>
      <c r="D138" s="23">
        <f t="shared" si="82"/>
        <v>0</v>
      </c>
      <c r="E138" s="23">
        <f t="shared" si="82"/>
        <v>0</v>
      </c>
      <c r="F138" s="332">
        <f>IF(ISERROR(AVERAGE(C138:E138)),0,AVERAGE(C138:E138))</f>
        <v>0</v>
      </c>
      <c r="I138" s="312"/>
      <c r="J138" s="312"/>
    </row>
    <row r="139" spans="2:10" ht="18" customHeight="1" outlineLevel="1" thickBot="1">
      <c r="B139" s="325" t="s">
        <v>547</v>
      </c>
      <c r="C139" s="326">
        <f t="shared" ref="C139:E139" si="83">SUM(C136:C137)</f>
        <v>0</v>
      </c>
      <c r="D139" s="326">
        <f t="shared" si="83"/>
        <v>0</v>
      </c>
      <c r="E139" s="326">
        <f t="shared" si="83"/>
        <v>0</v>
      </c>
      <c r="F139" s="333">
        <f>IF(ISERROR(AVERAGE(C139:E139)),0,AVERAGE(C139:E139))</f>
        <v>0</v>
      </c>
      <c r="I139" s="312"/>
      <c r="J139" s="312"/>
    </row>
    <row r="140" spans="2:10" ht="18" customHeight="1" outlineLevel="1" thickBot="1">
      <c r="B140" s="344"/>
      <c r="C140" s="344"/>
      <c r="D140" s="344"/>
      <c r="E140" s="344"/>
      <c r="F140" s="344"/>
      <c r="I140" s="312"/>
      <c r="J140" s="312"/>
    </row>
    <row r="141" spans="2:10" ht="18" customHeight="1" outlineLevel="1">
      <c r="B141" s="227" t="s">
        <v>444</v>
      </c>
      <c r="C141" s="349" t="str">
        <f>C4</f>
        <v>2015年</v>
      </c>
      <c r="D141" s="349" t="str">
        <f>D4</f>
        <v>2016年</v>
      </c>
      <c r="E141" s="349" t="str">
        <f>E4</f>
        <v>2017年</v>
      </c>
      <c r="F141" s="329" t="s">
        <v>201</v>
      </c>
      <c r="I141" s="312"/>
      <c r="J141" s="312"/>
    </row>
    <row r="142" spans="2:10" ht="18" customHeight="1" outlineLevel="1">
      <c r="B142" s="88" t="s">
        <v>378</v>
      </c>
      <c r="C142" s="89"/>
      <c r="D142" s="89"/>
      <c r="E142" s="89"/>
      <c r="F142" s="331">
        <f t="shared" ref="F142:F147" si="84">IF(ISERROR(AVERAGE(C142:E142)),0,AVERAGE(C142:E142))</f>
        <v>0</v>
      </c>
    </row>
    <row r="143" spans="2:10" ht="18" customHeight="1" outlineLevel="1">
      <c r="C143" s="23"/>
      <c r="D143" s="23"/>
      <c r="E143" s="23"/>
      <c r="F143" s="332">
        <f t="shared" si="84"/>
        <v>0</v>
      </c>
    </row>
    <row r="144" spans="2:10" ht="18" customHeight="1" outlineLevel="1">
      <c r="C144" s="23"/>
      <c r="D144" s="23"/>
      <c r="E144" s="23"/>
      <c r="F144" s="332">
        <f t="shared" si="84"/>
        <v>0</v>
      </c>
    </row>
    <row r="145" spans="2:6" ht="18" customHeight="1" outlineLevel="1">
      <c r="C145" s="23"/>
      <c r="D145" s="23"/>
      <c r="E145" s="23"/>
      <c r="F145" s="332">
        <f t="shared" si="84"/>
        <v>0</v>
      </c>
    </row>
    <row r="146" spans="2:6" ht="18" customHeight="1" outlineLevel="1">
      <c r="C146" s="23"/>
      <c r="D146" s="23"/>
      <c r="E146" s="23"/>
      <c r="F146" s="332">
        <f t="shared" si="84"/>
        <v>0</v>
      </c>
    </row>
    <row r="147" spans="2:6" ht="18" customHeight="1" outlineLevel="1">
      <c r="C147" s="23"/>
      <c r="D147" s="23"/>
      <c r="E147" s="23"/>
      <c r="F147" s="332">
        <f t="shared" si="84"/>
        <v>0</v>
      </c>
    </row>
    <row r="148" spans="2:6" ht="18" customHeight="1" outlineLevel="1">
      <c r="B148" s="363" t="s">
        <v>201</v>
      </c>
      <c r="C148" s="331">
        <f t="shared" ref="C148:E148" si="85">IF(ISERROR(AVERAGE(C142:C147)),0,AVERAGE(C142:C147))</f>
        <v>0</v>
      </c>
      <c r="D148" s="331">
        <f t="shared" si="85"/>
        <v>0</v>
      </c>
      <c r="E148" s="331">
        <f t="shared" si="85"/>
        <v>0</v>
      </c>
      <c r="F148" s="364"/>
    </row>
    <row r="149" spans="2:6" ht="18" customHeight="1" outlineLevel="1" thickBot="1">
      <c r="B149" s="365" t="s">
        <v>393</v>
      </c>
      <c r="C149" s="367">
        <f t="shared" ref="C149:D149" si="86">IF(ISERROR(MEDIAN(C142:C147)),0,MEDIAN(C142:C147))</f>
        <v>0</v>
      </c>
      <c r="D149" s="367">
        <f t="shared" si="86"/>
        <v>0</v>
      </c>
      <c r="E149" s="367">
        <f>IF(ISERROR(MEDIAN(E142:E147)),0,MEDIAN(E142:E147))</f>
        <v>0</v>
      </c>
      <c r="F149" s="366"/>
    </row>
    <row r="150" spans="2:6" ht="18" customHeight="1" outlineLevel="1" thickBot="1">
      <c r="B150" s="369"/>
      <c r="C150" s="371"/>
      <c r="D150" s="371"/>
      <c r="E150" s="371"/>
      <c r="F150" s="370"/>
    </row>
    <row r="151" spans="2:6" ht="18" customHeight="1" outlineLevel="1">
      <c r="B151" s="227" t="s">
        <v>200</v>
      </c>
      <c r="C151" s="349" t="str">
        <f t="shared" ref="C151:E151" si="87">C141</f>
        <v>2015年</v>
      </c>
      <c r="D151" s="349" t="str">
        <f t="shared" si="87"/>
        <v>2016年</v>
      </c>
      <c r="E151" s="349" t="str">
        <f t="shared" si="87"/>
        <v>2017年</v>
      </c>
      <c r="F151" s="328" t="s">
        <v>535</v>
      </c>
    </row>
    <row r="152" spans="2:6" ht="18" customHeight="1" outlineLevel="1">
      <c r="B152" s="221" t="str">
        <f>B142</f>
        <v>xx公司</v>
      </c>
      <c r="C152" s="89"/>
      <c r="D152" s="89"/>
      <c r="E152" s="89"/>
      <c r="F152" s="331">
        <f t="shared" ref="F152:F157" si="88">IF(ISERROR(AVERAGE(C152:E152)),0,AVERAGE(C152:E152))</f>
        <v>0</v>
      </c>
    </row>
    <row r="153" spans="2:6" ht="18" customHeight="1" outlineLevel="1">
      <c r="B153" s="14">
        <f>B143</f>
        <v>0</v>
      </c>
      <c r="C153" s="23"/>
      <c r="D153" s="23"/>
      <c r="E153" s="23"/>
      <c r="F153" s="332">
        <f t="shared" si="88"/>
        <v>0</v>
      </c>
    </row>
    <row r="154" spans="2:6" ht="18" customHeight="1" outlineLevel="1">
      <c r="B154" s="14">
        <f t="shared" ref="B154" si="89">B144</f>
        <v>0</v>
      </c>
      <c r="C154" s="23"/>
      <c r="D154" s="23"/>
      <c r="E154" s="23"/>
      <c r="F154" s="332">
        <f t="shared" si="88"/>
        <v>0</v>
      </c>
    </row>
    <row r="155" spans="2:6" ht="18" customHeight="1" outlineLevel="1">
      <c r="B155" s="14">
        <f t="shared" ref="B155" si="90">B145</f>
        <v>0</v>
      </c>
      <c r="C155" s="23"/>
      <c r="D155" s="23"/>
      <c r="E155" s="23"/>
      <c r="F155" s="332">
        <f t="shared" si="88"/>
        <v>0</v>
      </c>
    </row>
    <row r="156" spans="2:6" ht="18" customHeight="1" outlineLevel="1">
      <c r="B156" s="14">
        <f t="shared" ref="B156" si="91">B146</f>
        <v>0</v>
      </c>
      <c r="C156" s="23"/>
      <c r="D156" s="23"/>
      <c r="E156" s="23"/>
      <c r="F156" s="332">
        <f t="shared" si="88"/>
        <v>0</v>
      </c>
    </row>
    <row r="157" spans="2:6" ht="18" customHeight="1" outlineLevel="1">
      <c r="B157" s="14">
        <f>B147</f>
        <v>0</v>
      </c>
      <c r="C157" s="23"/>
      <c r="D157" s="23"/>
      <c r="E157" s="23"/>
      <c r="F157" s="332">
        <f t="shared" si="88"/>
        <v>0</v>
      </c>
    </row>
    <row r="158" spans="2:6" ht="18" customHeight="1" outlineLevel="1">
      <c r="B158" s="363" t="s">
        <v>394</v>
      </c>
      <c r="C158" s="331">
        <f t="shared" ref="C158" si="92">IF(ISERROR(AVERAGE(C152:C157)),0,AVERAGE(C152:C157))</f>
        <v>0</v>
      </c>
      <c r="D158" s="331">
        <f t="shared" ref="D158" si="93">IF(ISERROR(AVERAGE(D152:D157)),0,AVERAGE(D152:D157))</f>
        <v>0</v>
      </c>
      <c r="E158" s="331">
        <f>IF(ISERROR(AVERAGE(E152:E157)),0,AVERAGE(E152:E157))</f>
        <v>0</v>
      </c>
      <c r="F158" s="364"/>
    </row>
    <row r="159" spans="2:6" ht="18" customHeight="1" outlineLevel="1" thickBot="1">
      <c r="B159" s="365" t="s">
        <v>395</v>
      </c>
      <c r="C159" s="367">
        <f t="shared" ref="C159:D159" si="94">IF(ISERROR(MEDIAN(C152:C157)),0,MEDIAN(C152:C157))</f>
        <v>0</v>
      </c>
      <c r="D159" s="367">
        <f t="shared" si="94"/>
        <v>0</v>
      </c>
      <c r="E159" s="367">
        <f>IF(ISERROR(MEDIAN(E152:E157)),0,MEDIAN(E152:E157))</f>
        <v>0</v>
      </c>
      <c r="F159" s="366"/>
    </row>
    <row r="160" spans="2:6" ht="18" customHeight="1" outlineLevel="1" thickBot="1">
      <c r="B160" s="369"/>
      <c r="C160" s="371"/>
      <c r="D160" s="371"/>
      <c r="E160" s="371"/>
      <c r="F160" s="370"/>
    </row>
    <row r="161" spans="2:6" ht="18" customHeight="1" outlineLevel="1">
      <c r="B161" s="227" t="s">
        <v>534</v>
      </c>
      <c r="C161" s="349" t="str">
        <f t="shared" ref="C161:E161" si="95">C151</f>
        <v>2015年</v>
      </c>
      <c r="D161" s="349" t="str">
        <f t="shared" si="95"/>
        <v>2016年</v>
      </c>
      <c r="E161" s="349" t="str">
        <f t="shared" si="95"/>
        <v>2017年</v>
      </c>
      <c r="F161" s="328" t="s">
        <v>535</v>
      </c>
    </row>
    <row r="162" spans="2:6" ht="18" customHeight="1" outlineLevel="1">
      <c r="B162" s="221" t="str">
        <f>B152</f>
        <v>xx公司</v>
      </c>
      <c r="C162" s="89"/>
      <c r="D162" s="89"/>
      <c r="E162" s="89"/>
      <c r="F162" s="331">
        <f t="shared" ref="F162:F167" si="96">IF(ISERROR(AVERAGE(C162:E162)),0,AVERAGE(C162:E162))</f>
        <v>0</v>
      </c>
    </row>
    <row r="163" spans="2:6" ht="18" customHeight="1" outlineLevel="1">
      <c r="B163" s="16">
        <f t="shared" ref="B163" si="97">B153</f>
        <v>0</v>
      </c>
      <c r="C163" s="23"/>
      <c r="D163" s="23"/>
      <c r="E163" s="23"/>
      <c r="F163" s="332">
        <f t="shared" si="96"/>
        <v>0</v>
      </c>
    </row>
    <row r="164" spans="2:6" ht="18" customHeight="1" outlineLevel="1">
      <c r="B164" s="16">
        <f t="shared" ref="B164" si="98">B154</f>
        <v>0</v>
      </c>
      <c r="C164" s="23"/>
      <c r="D164" s="23"/>
      <c r="E164" s="23"/>
      <c r="F164" s="332">
        <f t="shared" si="96"/>
        <v>0</v>
      </c>
    </row>
    <row r="165" spans="2:6" ht="18" customHeight="1" outlineLevel="1">
      <c r="B165" s="16">
        <f t="shared" ref="B165" si="99">B155</f>
        <v>0</v>
      </c>
      <c r="C165" s="23"/>
      <c r="D165" s="23"/>
      <c r="E165" s="23"/>
      <c r="F165" s="332">
        <f t="shared" si="96"/>
        <v>0</v>
      </c>
    </row>
    <row r="166" spans="2:6" ht="18" customHeight="1" outlineLevel="1">
      <c r="B166" s="16">
        <f t="shared" ref="B166:B167" si="100">B156</f>
        <v>0</v>
      </c>
      <c r="C166" s="23"/>
      <c r="D166" s="23"/>
      <c r="E166" s="23"/>
      <c r="F166" s="332">
        <f t="shared" si="96"/>
        <v>0</v>
      </c>
    </row>
    <row r="167" spans="2:6" ht="18" customHeight="1" outlineLevel="1">
      <c r="B167" s="16">
        <f t="shared" si="100"/>
        <v>0</v>
      </c>
      <c r="C167" s="23"/>
      <c r="D167" s="23"/>
      <c r="E167" s="23"/>
      <c r="F167" s="332">
        <f t="shared" si="96"/>
        <v>0</v>
      </c>
    </row>
    <row r="168" spans="2:6" ht="18" customHeight="1" outlineLevel="1">
      <c r="B168" s="363" t="s">
        <v>148</v>
      </c>
      <c r="C168" s="331">
        <f t="shared" ref="C168:D168" si="101">IF(ISERROR(AVERAGE(C162:C167)),0,AVERAGE(C162:C167))</f>
        <v>0</v>
      </c>
      <c r="D168" s="331">
        <f t="shared" si="101"/>
        <v>0</v>
      </c>
      <c r="E168" s="331">
        <f>IF(ISERROR(AVERAGE(E162:E167)),0,AVERAGE(E162:E167))</f>
        <v>0</v>
      </c>
      <c r="F168" s="364"/>
    </row>
    <row r="169" spans="2:6" ht="18" customHeight="1" outlineLevel="1" thickBot="1">
      <c r="B169" s="365" t="s">
        <v>393</v>
      </c>
      <c r="C169" s="367">
        <f t="shared" ref="C169:D169" si="102">IF(ISERROR(MEDIAN(C162:C167)),0,MEDIAN(C162:C167))</f>
        <v>0</v>
      </c>
      <c r="D169" s="367">
        <f t="shared" si="102"/>
        <v>0</v>
      </c>
      <c r="E169" s="367">
        <f>IF(ISERROR(MEDIAN(E162:E167)),0,MEDIAN(E162:E167))</f>
        <v>0</v>
      </c>
      <c r="F169" s="366"/>
    </row>
    <row r="170" spans="2:6" ht="18" customHeight="1">
      <c r="B170" s="361"/>
      <c r="C170" s="332"/>
      <c r="D170" s="332"/>
      <c r="E170" s="332"/>
      <c r="F170" s="180"/>
    </row>
  </sheetData>
  <sheetProtection formatCells="0" formatColumns="0" formatRows="0" insertColumns="0" insertRows="0" deleteColumns="0" deleteRows="0"/>
  <mergeCells count="1">
    <mergeCell ref="B1:J1"/>
  </mergeCells>
  <phoneticPr fontId="6" type="noConversion"/>
  <pageMargins left="0.75" right="0.75" top="1" bottom="1" header="0.5" footer="0.5"/>
  <pageSetup paperSize="9" orientation="landscape" r:id="rId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rgb="FFFFFF00"/>
  </sheetPr>
  <dimension ref="A1:V77"/>
  <sheetViews>
    <sheetView tabSelected="1" topLeftCell="A22" zoomScaleNormal="100" workbookViewId="0">
      <selection activeCell="E33" sqref="E33"/>
    </sheetView>
  </sheetViews>
  <sheetFormatPr defaultColWidth="9" defaultRowHeight="18" customHeight="1" outlineLevelRow="1"/>
  <cols>
    <col min="1" max="1" width="2.25" style="539" customWidth="1"/>
    <col min="2" max="2" width="20.75" style="539" customWidth="1"/>
    <col min="3" max="4" width="8.5" style="539" customWidth="1"/>
    <col min="5" max="5" width="9.75" style="539" customWidth="1"/>
    <col min="6" max="10" width="9.58203125" style="539" customWidth="1"/>
    <col min="11" max="11" width="3" style="539" customWidth="1"/>
    <col min="12" max="18" width="9" style="539"/>
    <col min="19" max="19" width="9.25" style="539" customWidth="1"/>
    <col min="20" max="16384" width="9" style="539"/>
  </cols>
  <sheetData>
    <row r="1" spans="1:11" s="538" customFormat="1" ht="30" customHeight="1">
      <c r="B1" s="765" t="s">
        <v>772</v>
      </c>
      <c r="C1" s="765"/>
      <c r="D1" s="765"/>
      <c r="E1" s="765"/>
      <c r="F1" s="765"/>
      <c r="G1" s="765"/>
      <c r="H1" s="765"/>
      <c r="I1" s="765"/>
      <c r="J1" s="765"/>
      <c r="K1" s="537"/>
    </row>
    <row r="2" spans="1:11" s="538" customFormat="1" ht="18" customHeight="1">
      <c r="B2" s="265" t="str">
        <f>'1报表'!B11</f>
        <v>评估基准日：2017/12/31</v>
      </c>
      <c r="C2" s="83"/>
      <c r="D2" s="79"/>
      <c r="E2" s="389"/>
      <c r="F2" s="83"/>
      <c r="G2" s="79"/>
      <c r="H2" s="79"/>
      <c r="I2" s="79"/>
      <c r="J2" s="79"/>
      <c r="K2" s="552" t="s">
        <v>678</v>
      </c>
    </row>
    <row r="3" spans="1:11" ht="18" customHeight="1">
      <c r="B3" s="265" t="str">
        <f>'1报表'!B12</f>
        <v>被评估单位：JSBD公司</v>
      </c>
      <c r="C3" s="213"/>
      <c r="D3" s="213"/>
      <c r="E3" s="213"/>
      <c r="F3" s="213"/>
      <c r="G3" s="213"/>
      <c r="H3" s="213"/>
      <c r="I3" s="213"/>
      <c r="J3" s="214" t="s">
        <v>93</v>
      </c>
    </row>
    <row r="4" spans="1:11" ht="18" customHeight="1">
      <c r="B4" s="530" t="s">
        <v>65</v>
      </c>
      <c r="C4" s="596" t="s">
        <v>661</v>
      </c>
      <c r="D4" s="597" t="str">
        <f>E4&amp;"占比"</f>
        <v>2017年占比</v>
      </c>
      <c r="E4" s="532" t="str">
        <f>'3收入'!E4</f>
        <v>2017年</v>
      </c>
      <c r="F4" s="533" t="str">
        <f>'3收入'!F4</f>
        <v>2018年</v>
      </c>
      <c r="G4" s="533" t="str">
        <f>'3收入'!G4</f>
        <v>2019年</v>
      </c>
      <c r="H4" s="533" t="str">
        <f>'3收入'!H4</f>
        <v>2020年</v>
      </c>
      <c r="I4" s="533" t="str">
        <f>'3收入'!I4</f>
        <v>2021年</v>
      </c>
      <c r="J4" s="533" t="str">
        <f>'3收入'!J4</f>
        <v>2022年</v>
      </c>
      <c r="K4" s="540"/>
    </row>
    <row r="5" spans="1:11" ht="18" customHeight="1">
      <c r="B5" s="181" t="s">
        <v>286</v>
      </c>
      <c r="C5" s="550">
        <v>0.88</v>
      </c>
      <c r="D5" s="139">
        <f>IF(E5,E5/E$9,"")</f>
        <v>0.87156503001863217</v>
      </c>
      <c r="E5" s="549">
        <v>505.19395399999985</v>
      </c>
      <c r="F5" s="156">
        <f t="shared" ref="F5:J8" si="0">$C5*F$9</f>
        <v>538.77119999999991</v>
      </c>
      <c r="G5" s="156">
        <f t="shared" si="0"/>
        <v>572.29919999999981</v>
      </c>
      <c r="H5" s="156">
        <f t="shared" si="0"/>
        <v>299.27709544260011</v>
      </c>
      <c r="I5" s="156">
        <f t="shared" si="0"/>
        <v>147.1880688542</v>
      </c>
      <c r="J5" s="156">
        <f t="shared" si="0"/>
        <v>156.8680688542</v>
      </c>
    </row>
    <row r="6" spans="1:11" s="538" customFormat="1" ht="18" customHeight="1">
      <c r="A6" s="539"/>
      <c r="B6" s="181" t="s">
        <v>224</v>
      </c>
      <c r="C6" s="550"/>
      <c r="D6" s="139" t="str">
        <f>IF(E6,E6/E$9,"")</f>
        <v/>
      </c>
      <c r="E6" s="549"/>
      <c r="F6" s="156">
        <f t="shared" si="0"/>
        <v>0</v>
      </c>
      <c r="G6" s="156">
        <f t="shared" si="0"/>
        <v>0</v>
      </c>
      <c r="H6" s="156">
        <f t="shared" si="0"/>
        <v>0</v>
      </c>
      <c r="I6" s="156">
        <f t="shared" si="0"/>
        <v>0</v>
      </c>
      <c r="J6" s="156">
        <f t="shared" si="0"/>
        <v>0</v>
      </c>
      <c r="K6" s="539"/>
    </row>
    <row r="7" spans="1:11" s="538" customFormat="1" ht="18" customHeight="1">
      <c r="A7" s="539"/>
      <c r="B7" s="181" t="s">
        <v>146</v>
      </c>
      <c r="C7" s="550">
        <v>0.12</v>
      </c>
      <c r="D7" s="139">
        <f>IF(E7,E7/E$9,"")</f>
        <v>0.12843496998136777</v>
      </c>
      <c r="E7" s="549">
        <v>74.446045999999996</v>
      </c>
      <c r="F7" s="156">
        <f t="shared" si="0"/>
        <v>73.468799999999987</v>
      </c>
      <c r="G7" s="156">
        <f t="shared" si="0"/>
        <v>78.040799999999976</v>
      </c>
      <c r="H7" s="156">
        <f t="shared" si="0"/>
        <v>40.81051301490001</v>
      </c>
      <c r="I7" s="156">
        <f t="shared" si="0"/>
        <v>20.071100298299999</v>
      </c>
      <c r="J7" s="156">
        <f t="shared" si="0"/>
        <v>21.3911002983</v>
      </c>
      <c r="K7" s="539"/>
    </row>
    <row r="8" spans="1:11" s="538" customFormat="1" ht="18" customHeight="1">
      <c r="A8" s="539"/>
      <c r="B8" s="181" t="s">
        <v>548</v>
      </c>
      <c r="C8" s="550"/>
      <c r="D8" s="139" t="str">
        <f>IF(E8,E8/E$9,"")</f>
        <v/>
      </c>
      <c r="E8" s="549"/>
      <c r="F8" s="156">
        <f t="shared" si="0"/>
        <v>0</v>
      </c>
      <c r="G8" s="156">
        <f t="shared" si="0"/>
        <v>0</v>
      </c>
      <c r="H8" s="156">
        <f t="shared" si="0"/>
        <v>0</v>
      </c>
      <c r="I8" s="156">
        <f t="shared" si="0"/>
        <v>0</v>
      </c>
      <c r="J8" s="156">
        <f t="shared" si="0"/>
        <v>0</v>
      </c>
      <c r="K8" s="539"/>
    </row>
    <row r="9" spans="1:11" ht="18" customHeight="1">
      <c r="B9" s="185" t="s">
        <v>147</v>
      </c>
      <c r="C9" s="352">
        <f>SUM(C5:C8)</f>
        <v>1</v>
      </c>
      <c r="D9" s="352">
        <f>SUM(D5:D8)</f>
        <v>1</v>
      </c>
      <c r="E9" s="155">
        <f>SUM(E5:E8)</f>
        <v>579.63999999999987</v>
      </c>
      <c r="F9" s="614">
        <f>F28+F43</f>
        <v>612.2399999999999</v>
      </c>
      <c r="G9" s="614">
        <f>G28+G43</f>
        <v>650.3399999999998</v>
      </c>
      <c r="H9" s="614">
        <f>H28+H43</f>
        <v>340.0876084575001</v>
      </c>
      <c r="I9" s="614">
        <f>I28+I43</f>
        <v>167.25916915249999</v>
      </c>
      <c r="J9" s="614">
        <f>J28+J43</f>
        <v>178.25916915249999</v>
      </c>
    </row>
    <row r="10" spans="1:11" ht="18" customHeight="1">
      <c r="B10" s="519" t="s">
        <v>770</v>
      </c>
      <c r="C10" s="74"/>
      <c r="D10" s="74"/>
      <c r="E10" s="74"/>
      <c r="F10" s="493">
        <f>F26+SUM(F37:F39)</f>
        <v>232</v>
      </c>
      <c r="G10" s="493">
        <f>G26+SUM(G37:G39)</f>
        <v>50</v>
      </c>
      <c r="H10" s="493">
        <f>H26+SUM(H37:H39)</f>
        <v>50</v>
      </c>
      <c r="I10" s="493">
        <f>I26+SUM(I37:I39)</f>
        <v>50</v>
      </c>
      <c r="J10" s="493">
        <f>J26+SUM(J37:J39)</f>
        <v>50</v>
      </c>
    </row>
    <row r="11" spans="1:11" ht="18" customHeight="1">
      <c r="B11" s="591" t="s">
        <v>795</v>
      </c>
    </row>
    <row r="12" spans="1:11" ht="17.5" customHeight="1">
      <c r="B12" s="595" t="s">
        <v>145</v>
      </c>
      <c r="C12" s="531" t="s">
        <v>761</v>
      </c>
      <c r="D12" s="531" t="s">
        <v>427</v>
      </c>
      <c r="E12" s="598" t="str">
        <f t="shared" ref="E12:J12" si="1">E4</f>
        <v>2017年</v>
      </c>
      <c r="F12" s="597" t="str">
        <f t="shared" si="1"/>
        <v>2018年</v>
      </c>
      <c r="G12" s="597" t="str">
        <f t="shared" si="1"/>
        <v>2019年</v>
      </c>
      <c r="H12" s="597" t="str">
        <f t="shared" si="1"/>
        <v>2020年</v>
      </c>
      <c r="I12" s="597" t="str">
        <f t="shared" si="1"/>
        <v>2021年</v>
      </c>
      <c r="J12" s="597" t="str">
        <f t="shared" si="1"/>
        <v>2022年</v>
      </c>
    </row>
    <row r="13" spans="1:11" ht="18" customHeight="1">
      <c r="B13" s="615" t="s">
        <v>796</v>
      </c>
      <c r="C13" s="74"/>
      <c r="D13" s="541"/>
      <c r="E13" s="613"/>
      <c r="F13" s="74"/>
      <c r="G13" s="74"/>
      <c r="H13" s="74"/>
      <c r="I13" s="74"/>
      <c r="J13" s="74"/>
    </row>
    <row r="14" spans="1:11" ht="18" customHeight="1">
      <c r="B14" s="628" t="s">
        <v>797</v>
      </c>
      <c r="C14" s="74"/>
      <c r="D14" s="74"/>
      <c r="E14" s="74"/>
      <c r="F14" s="599"/>
      <c r="G14" s="599"/>
      <c r="H14" s="599"/>
      <c r="I14" s="599"/>
      <c r="J14" s="599"/>
    </row>
    <row r="15" spans="1:11" ht="18.649999999999999" customHeight="1">
      <c r="B15" s="534" t="s">
        <v>798</v>
      </c>
      <c r="C15" s="74"/>
      <c r="D15" s="74"/>
      <c r="E15" s="541">
        <f>201.28+153.52</f>
        <v>354.8</v>
      </c>
      <c r="F15" s="74"/>
      <c r="G15" s="74"/>
      <c r="H15" s="74"/>
      <c r="I15" s="74"/>
      <c r="J15" s="74"/>
    </row>
    <row r="16" spans="1:11" ht="18" customHeight="1">
      <c r="B16" s="628" t="s">
        <v>799</v>
      </c>
      <c r="C16" s="74"/>
      <c r="D16" s="74"/>
      <c r="E16" s="74"/>
      <c r="F16" s="594">
        <f>E15</f>
        <v>354.8</v>
      </c>
      <c r="G16" s="594"/>
      <c r="H16" s="594"/>
      <c r="I16" s="594"/>
      <c r="J16" s="594"/>
    </row>
    <row r="17" spans="1:22" ht="18" customHeight="1">
      <c r="B17" s="628" t="s">
        <v>800</v>
      </c>
      <c r="C17" s="74"/>
      <c r="D17" s="74"/>
      <c r="E17" s="74"/>
      <c r="F17" s="594"/>
      <c r="G17" s="594"/>
      <c r="H17" s="594"/>
      <c r="I17" s="594"/>
      <c r="J17" s="594"/>
    </row>
    <row r="18" spans="1:22" ht="18" customHeight="1">
      <c r="B18" s="628" t="s">
        <v>801</v>
      </c>
      <c r="C18" s="74"/>
      <c r="D18" s="74"/>
      <c r="E18" s="74"/>
      <c r="F18" s="594"/>
      <c r="G18" s="594"/>
      <c r="H18" s="594"/>
      <c r="I18" s="594"/>
      <c r="J18" s="594"/>
    </row>
    <row r="19" spans="1:22" ht="18" customHeight="1">
      <c r="A19" s="83"/>
      <c r="B19" s="83"/>
      <c r="C19" s="83"/>
      <c r="D19" s="83"/>
      <c r="E19" s="83"/>
      <c r="F19" s="83"/>
      <c r="G19" s="83"/>
      <c r="H19" s="83"/>
      <c r="I19" s="83"/>
      <c r="J19" s="83"/>
    </row>
    <row r="20" spans="1:22" s="538" customFormat="1" ht="18" customHeight="1">
      <c r="A20" s="539"/>
      <c r="B20" s="591" t="s">
        <v>687</v>
      </c>
      <c r="C20" s="184"/>
      <c r="D20" s="184"/>
      <c r="E20" s="184"/>
      <c r="F20" s="184"/>
      <c r="G20" s="83"/>
      <c r="H20" s="83"/>
      <c r="I20" s="83"/>
      <c r="J20" s="186"/>
      <c r="K20" s="539"/>
      <c r="L20" s="539"/>
      <c r="M20" s="539"/>
      <c r="N20" s="539"/>
      <c r="O20" s="539"/>
      <c r="P20" s="539"/>
      <c r="Q20" s="539"/>
      <c r="R20" s="539"/>
      <c r="S20" s="539"/>
      <c r="T20" s="539"/>
      <c r="U20" s="539"/>
      <c r="V20" s="539"/>
    </row>
    <row r="21" spans="1:22" ht="18" customHeight="1">
      <c r="B21" s="530" t="s">
        <v>143</v>
      </c>
      <c r="C21" s="531" t="s">
        <v>761</v>
      </c>
      <c r="D21" s="531" t="s">
        <v>427</v>
      </c>
      <c r="E21" s="532" t="str">
        <f>'3收入'!E4</f>
        <v>2017年</v>
      </c>
      <c r="F21" s="533" t="str">
        <f>'3收入'!F4</f>
        <v>2018年</v>
      </c>
      <c r="G21" s="533" t="str">
        <f>'3收入'!G4</f>
        <v>2019年</v>
      </c>
      <c r="H21" s="533" t="str">
        <f>'3收入'!H4</f>
        <v>2020年</v>
      </c>
      <c r="I21" s="533" t="str">
        <f>'3收入'!I4</f>
        <v>2021年</v>
      </c>
      <c r="J21" s="533" t="str">
        <f>'3收入'!J4</f>
        <v>2022年</v>
      </c>
    </row>
    <row r="22" spans="1:22" ht="18" customHeight="1">
      <c r="B22" s="746" t="s">
        <v>1028</v>
      </c>
      <c r="C22" s="531"/>
      <c r="D22" s="531"/>
      <c r="E22" s="532">
        <v>0</v>
      </c>
      <c r="F22" s="533"/>
      <c r="G22" s="533"/>
      <c r="H22" s="533"/>
      <c r="I22" s="533"/>
      <c r="J22" s="533"/>
    </row>
    <row r="23" spans="1:22" ht="18" customHeight="1">
      <c r="B23" s="746" t="s">
        <v>1029</v>
      </c>
      <c r="C23" s="74"/>
      <c r="D23" s="74"/>
      <c r="E23" s="541">
        <v>1569.6667190000001</v>
      </c>
      <c r="F23" s="74"/>
      <c r="G23" s="74"/>
      <c r="H23" s="74"/>
      <c r="I23" s="74"/>
      <c r="J23" s="74"/>
    </row>
    <row r="24" spans="1:22" ht="18" customHeight="1">
      <c r="B24" s="534" t="s">
        <v>654</v>
      </c>
      <c r="C24" s="74"/>
      <c r="D24" s="74"/>
      <c r="E24" s="541">
        <v>1134.7382319999999</v>
      </c>
      <c r="F24" s="74"/>
      <c r="G24" s="74"/>
      <c r="H24" s="74"/>
      <c r="I24" s="74"/>
      <c r="J24" s="74"/>
    </row>
    <row r="25" spans="1:22" ht="18" customHeight="1">
      <c r="B25" s="519" t="s">
        <v>655</v>
      </c>
      <c r="C25" s="543">
        <v>4.7500000000000001E-2</v>
      </c>
      <c r="D25" s="74"/>
      <c r="E25" s="74"/>
      <c r="F25" s="156">
        <f>IF(E24&gt;E23*C25,E23*C25,E24)</f>
        <v>74.559169152500004</v>
      </c>
      <c r="G25" s="156">
        <f>IF(($E24-SUM($F25:F25))&gt;$F25,$F25,$E24-SUM($F25:F25))</f>
        <v>74.559169152500004</v>
      </c>
      <c r="H25" s="156">
        <f>IF(($E24-SUM($F25:G25))&gt;$F25,$F25,$E24-SUM($F25:G25))</f>
        <v>74.559169152500004</v>
      </c>
      <c r="I25" s="156">
        <f>IF(($E24-SUM($F25:H25))&gt;$F25,$F25,$E24-SUM($F25:H25))</f>
        <v>74.559169152500004</v>
      </c>
      <c r="J25" s="156">
        <f>IF(($E24-SUM($F25:I25))&gt;$F25,$F25,$E24-SUM($F25:I25))</f>
        <v>74.559169152500004</v>
      </c>
    </row>
    <row r="26" spans="1:22" ht="18" customHeight="1">
      <c r="B26" s="519" t="s">
        <v>791</v>
      </c>
      <c r="C26" s="74"/>
      <c r="D26" s="74"/>
      <c r="E26" s="74"/>
      <c r="F26" s="544"/>
      <c r="G26" s="544"/>
      <c r="H26" s="544"/>
      <c r="I26" s="544"/>
      <c r="J26" s="544"/>
    </row>
    <row r="27" spans="1:22" ht="18" customHeight="1">
      <c r="B27" s="519" t="s">
        <v>763</v>
      </c>
      <c r="C27" s="74"/>
      <c r="D27" s="541"/>
      <c r="E27" s="74"/>
      <c r="F27" s="430">
        <f>IF($D13,SUM($F14:F14)/$D13,0)+IF($D27,SUM($F26:F26)/$D27,0)</f>
        <v>0</v>
      </c>
      <c r="G27" s="430">
        <f>IF($D13,SUM($F14:G14)/$D13,0)+IF($D27,SUM($F26:G26)/$D27,0)</f>
        <v>0</v>
      </c>
      <c r="H27" s="430">
        <f>IF($D13,SUM($F14:H14)/$D13,0)+IF($D27,SUM($F26:H26)/$D27,0)</f>
        <v>0</v>
      </c>
      <c r="I27" s="430">
        <f>IF($D13,SUM($F14:I14)/$D13,0)+IF($D27,SUM($F26:I26)/$D27,0)</f>
        <v>0</v>
      </c>
      <c r="J27" s="430">
        <f>IF($D13,SUM($F14:J14)/$D13,0)+IF($D27,SUM($F26:J26)/$D27,0)</f>
        <v>0</v>
      </c>
    </row>
    <row r="28" spans="1:22" ht="18" customHeight="1">
      <c r="B28" s="534" t="s">
        <v>762</v>
      </c>
      <c r="C28" s="74"/>
      <c r="D28" s="74"/>
      <c r="E28" s="74"/>
      <c r="F28" s="430">
        <f>F25+F27</f>
        <v>74.559169152500004</v>
      </c>
      <c r="G28" s="430">
        <f t="shared" ref="G28:J28" si="2">G25+G27</f>
        <v>74.559169152500004</v>
      </c>
      <c r="H28" s="430">
        <f>H25+H27</f>
        <v>74.559169152500004</v>
      </c>
      <c r="I28" s="430">
        <f t="shared" si="2"/>
        <v>74.559169152500004</v>
      </c>
      <c r="J28" s="430">
        <f t="shared" si="2"/>
        <v>74.559169152500004</v>
      </c>
    </row>
    <row r="29" spans="1:22" ht="18" customHeight="1">
      <c r="B29" s="534" t="s">
        <v>656</v>
      </c>
      <c r="C29" s="74"/>
      <c r="D29" s="74"/>
      <c r="E29" s="74"/>
      <c r="F29" s="430">
        <f>E24+F14+F26-F28</f>
        <v>1060.1790628474998</v>
      </c>
      <c r="G29" s="430">
        <f>F29+G14+G26-G28</f>
        <v>985.61989369499986</v>
      </c>
      <c r="H29" s="430">
        <f>G29+H14+H26-H28</f>
        <v>911.06072454249988</v>
      </c>
      <c r="I29" s="430">
        <f>H29+I14+I26-I28</f>
        <v>836.50155538999991</v>
      </c>
      <c r="J29" s="430">
        <f>I29+J14+J26-J28</f>
        <v>761.94238623749993</v>
      </c>
    </row>
    <row r="30" spans="1:22" ht="18" customHeight="1">
      <c r="B30" s="616"/>
      <c r="C30" s="617"/>
      <c r="D30" s="617"/>
      <c r="E30" s="617"/>
      <c r="F30" s="618"/>
      <c r="G30" s="618"/>
      <c r="H30" s="618"/>
      <c r="I30" s="618"/>
      <c r="J30" s="618"/>
    </row>
    <row r="31" spans="1:22" ht="18" customHeight="1">
      <c r="B31" s="591" t="s">
        <v>790</v>
      </c>
      <c r="K31" s="542"/>
    </row>
    <row r="32" spans="1:22" ht="18" customHeight="1">
      <c r="B32" s="530" t="s">
        <v>143</v>
      </c>
      <c r="C32" s="531" t="s">
        <v>761</v>
      </c>
      <c r="D32" s="531" t="s">
        <v>427</v>
      </c>
      <c r="E32" s="532" t="str">
        <f t="shared" ref="E32:J32" si="3">E21</f>
        <v>2017年</v>
      </c>
      <c r="F32" s="533" t="str">
        <f t="shared" si="3"/>
        <v>2018年</v>
      </c>
      <c r="G32" s="533" t="str">
        <f t="shared" si="3"/>
        <v>2019年</v>
      </c>
      <c r="H32" s="533" t="str">
        <f t="shared" si="3"/>
        <v>2020年</v>
      </c>
      <c r="I32" s="533" t="str">
        <f t="shared" si="3"/>
        <v>2021年</v>
      </c>
      <c r="J32" s="533" t="str">
        <f t="shared" si="3"/>
        <v>2022年</v>
      </c>
      <c r="K32" s="542"/>
    </row>
    <row r="33" spans="2:11" ht="18" customHeight="1">
      <c r="B33" s="746" t="s">
        <v>1030</v>
      </c>
      <c r="C33" s="531"/>
      <c r="D33" s="531"/>
      <c r="E33" s="532">
        <v>0</v>
      </c>
      <c r="F33" s="533"/>
      <c r="G33" s="533"/>
      <c r="H33" s="533"/>
      <c r="I33" s="533"/>
      <c r="J33" s="533"/>
      <c r="K33" s="542"/>
    </row>
    <row r="34" spans="2:11" ht="18" customHeight="1">
      <c r="B34" s="746" t="s">
        <v>1031</v>
      </c>
      <c r="C34" s="74"/>
      <c r="D34" s="74"/>
      <c r="E34" s="541">
        <v>3572.8486529999996</v>
      </c>
      <c r="F34" s="74"/>
      <c r="G34" s="74"/>
      <c r="H34" s="74"/>
      <c r="I34" s="74"/>
      <c r="J34" s="74"/>
      <c r="K34" s="542"/>
    </row>
    <row r="35" spans="2:11" ht="18" customHeight="1">
      <c r="B35" s="534" t="s">
        <v>802</v>
      </c>
      <c r="C35" s="74"/>
      <c r="D35" s="74"/>
      <c r="E35" s="541">
        <v>1193.9901009999999</v>
      </c>
      <c r="F35" s="74"/>
      <c r="G35" s="74"/>
      <c r="H35" s="74"/>
      <c r="I35" s="74"/>
      <c r="J35" s="74"/>
      <c r="K35" s="542"/>
    </row>
    <row r="36" spans="2:11" ht="18" customHeight="1">
      <c r="B36" s="519" t="s">
        <v>653</v>
      </c>
      <c r="C36" s="543">
        <v>0.14136642211905637</v>
      </c>
      <c r="D36" s="74"/>
      <c r="E36" s="74"/>
      <c r="F36" s="156">
        <f>IF(E35&gt;E34*C36,E34*C36,E35)</f>
        <v>505.0808308474999</v>
      </c>
      <c r="G36" s="156">
        <f>IF(($E35-SUM($F36:F36))&gt;$F36,$F36,$E35-SUM($F36:F36))</f>
        <v>505.0808308474999</v>
      </c>
      <c r="H36" s="156">
        <f>IF(($E35-SUM($F36:G36))&gt;$F36,$F36,$E35-SUM($F36:G36))</f>
        <v>183.82843930500007</v>
      </c>
      <c r="I36" s="156">
        <f>IF(($E35-SUM($F36:H36))&gt;$F36,$F36,$E35-SUM($F36:H36))</f>
        <v>0</v>
      </c>
      <c r="J36" s="156">
        <f>IF(($E35-SUM($F36:I36))&gt;$F36,$F36,$E35-SUM($F36:I36))</f>
        <v>0</v>
      </c>
    </row>
    <row r="37" spans="2:11" ht="18" customHeight="1">
      <c r="B37" s="535" t="s">
        <v>803</v>
      </c>
      <c r="C37" s="74"/>
      <c r="D37" s="593">
        <v>9</v>
      </c>
      <c r="E37" s="74"/>
      <c r="F37" s="541">
        <f>232</f>
        <v>232</v>
      </c>
      <c r="G37" s="541"/>
      <c r="H37" s="541"/>
      <c r="I37" s="541"/>
      <c r="J37" s="541"/>
    </row>
    <row r="38" spans="2:11" ht="18" customHeight="1">
      <c r="B38" s="535" t="s">
        <v>804</v>
      </c>
      <c r="C38" s="74"/>
      <c r="D38" s="593">
        <v>4</v>
      </c>
      <c r="E38" s="74"/>
      <c r="F38" s="541"/>
      <c r="G38" s="541">
        <v>20</v>
      </c>
      <c r="H38" s="541">
        <v>20</v>
      </c>
      <c r="I38" s="541">
        <v>20</v>
      </c>
      <c r="J38" s="541">
        <v>20</v>
      </c>
    </row>
    <row r="39" spans="2:11" ht="18.75" customHeight="1">
      <c r="B39" s="535" t="s">
        <v>805</v>
      </c>
      <c r="C39" s="74"/>
      <c r="D39" s="593">
        <v>5</v>
      </c>
      <c r="E39" s="74"/>
      <c r="F39" s="541"/>
      <c r="G39" s="541">
        <v>30</v>
      </c>
      <c r="H39" s="541">
        <v>30</v>
      </c>
      <c r="I39" s="541">
        <v>30</v>
      </c>
      <c r="J39" s="541">
        <v>30</v>
      </c>
    </row>
    <row r="40" spans="2:11" ht="18" customHeight="1">
      <c r="B40" s="519" t="s">
        <v>764</v>
      </c>
      <c r="C40" s="74"/>
      <c r="D40" s="74"/>
      <c r="E40" s="74"/>
      <c r="F40" s="430">
        <f>F55</f>
        <v>32.599999999999994</v>
      </c>
      <c r="G40" s="430">
        <f>G55</f>
        <v>65.199999999999989</v>
      </c>
      <c r="H40" s="430">
        <f>H55</f>
        <v>65.199999999999989</v>
      </c>
      <c r="I40" s="430">
        <f>I55</f>
        <v>65.199999999999989</v>
      </c>
      <c r="J40" s="430">
        <f>J55</f>
        <v>65.199999999999989</v>
      </c>
    </row>
    <row r="41" spans="2:11" ht="18" customHeight="1">
      <c r="B41" s="519" t="s">
        <v>765</v>
      </c>
      <c r="C41" s="74"/>
      <c r="D41" s="74"/>
      <c r="E41" s="74"/>
      <c r="F41" s="430">
        <f>F63</f>
        <v>0</v>
      </c>
      <c r="G41" s="430">
        <f>G63</f>
        <v>2.5</v>
      </c>
      <c r="H41" s="430">
        <f>H63</f>
        <v>7.5</v>
      </c>
      <c r="I41" s="430">
        <f>I63</f>
        <v>12.5</v>
      </c>
      <c r="J41" s="430">
        <f>J63</f>
        <v>17.5</v>
      </c>
    </row>
    <row r="42" spans="2:11" ht="18" customHeight="1">
      <c r="B42" s="519" t="s">
        <v>766</v>
      </c>
      <c r="C42" s="74"/>
      <c r="D42" s="74"/>
      <c r="E42" s="74"/>
      <c r="F42" s="430">
        <f>F71</f>
        <v>0</v>
      </c>
      <c r="G42" s="430">
        <f>G71</f>
        <v>3</v>
      </c>
      <c r="H42" s="430">
        <f>H71</f>
        <v>9</v>
      </c>
      <c r="I42" s="430">
        <f>I71</f>
        <v>15</v>
      </c>
      <c r="J42" s="430">
        <f>J71</f>
        <v>21</v>
      </c>
    </row>
    <row r="43" spans="2:11" ht="18" customHeight="1">
      <c r="B43" s="534" t="s">
        <v>771</v>
      </c>
      <c r="C43" s="74"/>
      <c r="D43" s="74"/>
      <c r="E43" s="74"/>
      <c r="F43" s="430">
        <f t="shared" ref="F43:J43" si="4">F36+SUM(F40:F42)</f>
        <v>537.68083084749992</v>
      </c>
      <c r="G43" s="430">
        <f t="shared" si="4"/>
        <v>575.78083084749983</v>
      </c>
      <c r="H43" s="430">
        <f t="shared" si="4"/>
        <v>265.52843930500006</v>
      </c>
      <c r="I43" s="430">
        <f t="shared" si="4"/>
        <v>92.699999999999989</v>
      </c>
      <c r="J43" s="430">
        <f t="shared" si="4"/>
        <v>103.69999999999999</v>
      </c>
    </row>
    <row r="44" spans="2:11" ht="18" customHeight="1">
      <c r="B44" s="534" t="s">
        <v>677</v>
      </c>
      <c r="C44" s="74"/>
      <c r="D44" s="74"/>
      <c r="E44" s="74"/>
      <c r="F44" s="430">
        <f>E35+SUM(F16:F18)+SUM(F37:F39)-F43</f>
        <v>1243.1092701524999</v>
      </c>
      <c r="G44" s="430">
        <f>F44+SUM(G16:G18)+SUM(G37:G39)-G43</f>
        <v>717.32843930500007</v>
      </c>
      <c r="H44" s="430">
        <f>G44+SUM(H16:H18)+SUM(H37:H39)-H43</f>
        <v>501.8</v>
      </c>
      <c r="I44" s="430">
        <f>H44+SUM(I16:I18)+SUM(I37:I39)-I43</f>
        <v>459.09999999999997</v>
      </c>
      <c r="J44" s="430">
        <f>I44+SUM(J16:J18)+SUM(J37:J39)-J43</f>
        <v>405.4</v>
      </c>
    </row>
    <row r="45" spans="2:11" ht="18" customHeight="1">
      <c r="B45" s="545" t="s">
        <v>827</v>
      </c>
    </row>
    <row r="46" spans="2:11" ht="18" customHeight="1">
      <c r="B46" s="539" t="s">
        <v>13</v>
      </c>
      <c r="E46" s="629" t="str">
        <f>IF(ROUND(E24+E35-'2报表调整'!G32,-1),"数据不一致","OK")</f>
        <v>OK</v>
      </c>
    </row>
    <row r="47" spans="2:11" ht="18" customHeight="1">
      <c r="B47" s="539" t="s">
        <v>14</v>
      </c>
      <c r="E47" s="629" t="str">
        <f>IF(ROUND(E13+E15+'8摊销'!E13-'2报表调整'!G33,-1),"数据不一致","OK")</f>
        <v>OK</v>
      </c>
    </row>
    <row r="49" spans="2:14" ht="18" hidden="1" customHeight="1" outlineLevel="1">
      <c r="B49" s="530" t="s">
        <v>662</v>
      </c>
      <c r="C49" s="592" t="s">
        <v>767</v>
      </c>
      <c r="D49" s="590"/>
      <c r="E49" s="590"/>
      <c r="F49" s="533" t="str">
        <f t="shared" ref="F49:J49" si="5">F32</f>
        <v>2018年</v>
      </c>
      <c r="G49" s="533" t="str">
        <f t="shared" si="5"/>
        <v>2019年</v>
      </c>
      <c r="H49" s="533" t="str">
        <f t="shared" si="5"/>
        <v>2020年</v>
      </c>
      <c r="I49" s="533" t="str">
        <f t="shared" si="5"/>
        <v>2021年</v>
      </c>
      <c r="J49" s="533" t="str">
        <f t="shared" si="5"/>
        <v>2022年</v>
      </c>
    </row>
    <row r="50" spans="2:14" ht="15" hidden="1" customHeight="1" outlineLevel="1">
      <c r="B50" s="533" t="str">
        <f>F49</f>
        <v>2018年</v>
      </c>
      <c r="C50" s="590"/>
      <c r="D50" s="590"/>
      <c r="E50" s="590"/>
      <c r="F50" s="156">
        <f>IF(D37,(F16+F37)/D37/2,0)</f>
        <v>32.599999999999994</v>
      </c>
      <c r="G50" s="156">
        <f>IF(D37,(F16+F37)/D37,0)</f>
        <v>65.199999999999989</v>
      </c>
      <c r="H50" s="156">
        <f>IF(($F16+$F37-SUM($F50:G50))&gt;$G50,$G50,$F16+$F37-SUM($F50:G50))</f>
        <v>65.199999999999989</v>
      </c>
      <c r="I50" s="156">
        <f>IF(($F16+$F37-SUM($F50:H50))&gt;$G50,$G50,$F16+$F37-SUM($F50:H50))</f>
        <v>65.199999999999989</v>
      </c>
      <c r="J50" s="156">
        <f>IF(($F16+$F37-SUM($F50:I50))&gt;$G50,$G50,$F16+$F37-SUM($F50:I50))</f>
        <v>65.199999999999989</v>
      </c>
    </row>
    <row r="51" spans="2:14" ht="18" hidden="1" customHeight="1" outlineLevel="1">
      <c r="B51" s="533" t="str">
        <f>G49</f>
        <v>2019年</v>
      </c>
      <c r="C51" s="590"/>
      <c r="D51" s="590"/>
      <c r="E51" s="590"/>
      <c r="F51" s="156"/>
      <c r="G51" s="156">
        <f>IF(D37,(G16+G37)/D37/2,0)</f>
        <v>0</v>
      </c>
      <c r="H51" s="156">
        <f>IF(D37,(G16+G37)/D37,0)</f>
        <v>0</v>
      </c>
      <c r="I51" s="156">
        <f>IF(($G16+$G37-SUM($G51:H51))&gt;$H51,$H51,$G16+$G37-SUM($G51:H51))</f>
        <v>0</v>
      </c>
      <c r="J51" s="156">
        <f>IF(($G16+$G37-SUM($G51:I51))&gt;$H51,$H51,$G16+$G37-SUM($G51:I51))</f>
        <v>0</v>
      </c>
    </row>
    <row r="52" spans="2:14" ht="18" hidden="1" customHeight="1" outlineLevel="1">
      <c r="B52" s="533" t="str">
        <f>H49</f>
        <v>2020年</v>
      </c>
      <c r="C52" s="590"/>
      <c r="D52" s="590"/>
      <c r="E52" s="590"/>
      <c r="F52" s="156"/>
      <c r="G52" s="156"/>
      <c r="H52" s="156">
        <f>IF(D37,(H16+H37)/D37/2,0)</f>
        <v>0</v>
      </c>
      <c r="I52" s="156">
        <f>IF(D37,(H16+H37)/D37,0)</f>
        <v>0</v>
      </c>
      <c r="J52" s="156">
        <f>IF(($H16+$H37-SUM($H52:I52))&gt;$I52,$I52,$H16+$H37-SUM($H52:I52))</f>
        <v>0</v>
      </c>
    </row>
    <row r="53" spans="2:14" ht="18" hidden="1" customHeight="1" outlineLevel="1">
      <c r="B53" s="533" t="str">
        <f>I49</f>
        <v>2021年</v>
      </c>
      <c r="C53" s="590"/>
      <c r="D53" s="590"/>
      <c r="E53" s="590"/>
      <c r="F53" s="156"/>
      <c r="G53" s="156"/>
      <c r="H53" s="156"/>
      <c r="I53" s="156">
        <f>IF(D37,(I16+I37)/D37/2,0)</f>
        <v>0</v>
      </c>
      <c r="J53" s="156">
        <f>IF(D37,(I16+I37)/D37,0)</f>
        <v>0</v>
      </c>
    </row>
    <row r="54" spans="2:14" ht="18" hidden="1" customHeight="1" outlineLevel="1">
      <c r="B54" s="533" t="str">
        <f>J49</f>
        <v>2022年</v>
      </c>
      <c r="C54" s="590"/>
      <c r="D54" s="590"/>
      <c r="E54" s="590"/>
      <c r="F54" s="156"/>
      <c r="G54" s="156"/>
      <c r="H54" s="156"/>
      <c r="I54" s="156"/>
      <c r="J54" s="156">
        <f>IF(D37,(J16+J37)/D37/2,0)</f>
        <v>0</v>
      </c>
    </row>
    <row r="55" spans="2:14" ht="18" hidden="1" customHeight="1" outlineLevel="1">
      <c r="B55" s="530" t="s">
        <v>165</v>
      </c>
      <c r="C55" s="590"/>
      <c r="D55" s="590"/>
      <c r="E55" s="590"/>
      <c r="F55" s="46">
        <f>SUM(F50:F54)</f>
        <v>32.599999999999994</v>
      </c>
      <c r="G55" s="46">
        <f>SUM(G50:G54)</f>
        <v>65.199999999999989</v>
      </c>
      <c r="H55" s="46">
        <f>SUM(H50:H54)</f>
        <v>65.199999999999989</v>
      </c>
      <c r="I55" s="46">
        <f>SUM(I50:I54)</f>
        <v>65.199999999999989</v>
      </c>
      <c r="J55" s="46">
        <f>SUM(J50:J54)</f>
        <v>65.199999999999989</v>
      </c>
    </row>
    <row r="56" spans="2:14" ht="18" hidden="1" customHeight="1" outlineLevel="1"/>
    <row r="57" spans="2:14" ht="18" hidden="1" customHeight="1" outlineLevel="1">
      <c r="B57" s="530" t="s">
        <v>662</v>
      </c>
      <c r="C57" s="592" t="s">
        <v>768</v>
      </c>
      <c r="D57" s="590"/>
      <c r="E57" s="590"/>
      <c r="F57" s="533" t="str">
        <f>F32</f>
        <v>2018年</v>
      </c>
      <c r="G57" s="533" t="str">
        <f>G32</f>
        <v>2019年</v>
      </c>
      <c r="H57" s="533" t="str">
        <f>H32</f>
        <v>2020年</v>
      </c>
      <c r="I57" s="533" t="str">
        <f>I32</f>
        <v>2021年</v>
      </c>
      <c r="J57" s="533" t="str">
        <f>J32</f>
        <v>2022年</v>
      </c>
    </row>
    <row r="58" spans="2:14" ht="18" hidden="1" customHeight="1" outlineLevel="1">
      <c r="B58" s="533" t="str">
        <f>F57</f>
        <v>2018年</v>
      </c>
      <c r="C58" s="590"/>
      <c r="D58" s="590"/>
      <c r="E58" s="590"/>
      <c r="F58" s="156">
        <f>IF(D38,(F17+F38)/D38/2,0)</f>
        <v>0</v>
      </c>
      <c r="G58" s="156">
        <f>IF(D38,(F17+F38)/D38,0)</f>
        <v>0</v>
      </c>
      <c r="H58" s="156">
        <f>IF(($F17+$F38-SUM($F58:G58))&gt;$G58,$G58,$F17+$F38-SUM($F58:G58))</f>
        <v>0</v>
      </c>
      <c r="I58" s="156">
        <f>IF(($F17+$F38-SUM($F58:H58))&gt;$G58,$G58,$F17+$F38-SUM($F58:H58))</f>
        <v>0</v>
      </c>
      <c r="J58" s="156">
        <f>IF(($F17+$F38-SUM($F58:I58))&gt;$G58,$G58,$F17+$F38-SUM($F58:I58))</f>
        <v>0</v>
      </c>
    </row>
    <row r="59" spans="2:14" ht="18" hidden="1" customHeight="1" outlineLevel="1">
      <c r="B59" s="533" t="str">
        <f>G57</f>
        <v>2019年</v>
      </c>
      <c r="C59" s="590"/>
      <c r="D59" s="590"/>
      <c r="E59" s="590"/>
      <c r="F59" s="156"/>
      <c r="G59" s="156">
        <f>IF(D38,(G17+G38)/D38/2,0)</f>
        <v>2.5</v>
      </c>
      <c r="H59" s="156">
        <f>IF(D38,(G17+G38)/D38,0)</f>
        <v>5</v>
      </c>
      <c r="I59" s="156">
        <f>IF(($G17+$G38-SUM($G59:H59))&gt;$H59,$H59,$G17+$G38-SUM($G59:H59))</f>
        <v>5</v>
      </c>
      <c r="J59" s="156">
        <f>IF(($G17+$G38-SUM($G59:I59))&gt;$H59,$H59,$G17+$G38-SUM($G59:I59))</f>
        <v>5</v>
      </c>
    </row>
    <row r="60" spans="2:14" ht="18" hidden="1" customHeight="1" outlineLevel="1">
      <c r="B60" s="533" t="str">
        <f>H57</f>
        <v>2020年</v>
      </c>
      <c r="C60" s="590"/>
      <c r="D60" s="590"/>
      <c r="E60" s="590"/>
      <c r="F60" s="156"/>
      <c r="G60" s="156"/>
      <c r="H60" s="156">
        <f>IF(D38,(H17+H38)/D38/2,0)</f>
        <v>2.5</v>
      </c>
      <c r="I60" s="156">
        <f>IF(D38,(H17+H38)/D38,0)</f>
        <v>5</v>
      </c>
      <c r="J60" s="156">
        <f>IF(($H17+$H38-SUM($H60:I60))&gt;$I60,$I60,$H17+$H38-SUM($H60:I60))</f>
        <v>5</v>
      </c>
    </row>
    <row r="61" spans="2:14" ht="18" hidden="1" customHeight="1" outlineLevel="1">
      <c r="B61" s="533" t="str">
        <f>I57</f>
        <v>2021年</v>
      </c>
      <c r="C61" s="590"/>
      <c r="D61" s="590"/>
      <c r="E61" s="590"/>
      <c r="F61" s="156"/>
      <c r="G61" s="156"/>
      <c r="H61" s="156"/>
      <c r="I61" s="156">
        <f>IF(D38,(I17+I38)/D38/2,0)</f>
        <v>2.5</v>
      </c>
      <c r="J61" s="156">
        <f>IF(D38,(I17+I38)/D38,0)</f>
        <v>5</v>
      </c>
      <c r="L61" s="551"/>
      <c r="M61" s="547"/>
      <c r="N61" s="547"/>
    </row>
    <row r="62" spans="2:14" ht="18" hidden="1" customHeight="1" outlineLevel="1">
      <c r="B62" s="533" t="str">
        <f>J57</f>
        <v>2022年</v>
      </c>
      <c r="C62" s="590"/>
      <c r="D62" s="590"/>
      <c r="E62" s="590"/>
      <c r="F62" s="156"/>
      <c r="G62" s="156"/>
      <c r="H62" s="156"/>
      <c r="I62" s="156"/>
      <c r="J62" s="156">
        <f>IF(D38,(J17+J38)/D38/2,0)</f>
        <v>2.5</v>
      </c>
    </row>
    <row r="63" spans="2:14" ht="18" hidden="1" customHeight="1" outlineLevel="1">
      <c r="B63" s="530" t="s">
        <v>165</v>
      </c>
      <c r="C63" s="590"/>
      <c r="D63" s="590"/>
      <c r="E63" s="590"/>
      <c r="F63" s="46">
        <f>SUM(F58:F62)</f>
        <v>0</v>
      </c>
      <c r="G63" s="46">
        <f>SUM(G58:G62)</f>
        <v>2.5</v>
      </c>
      <c r="H63" s="46">
        <f>SUM(H58:H62)</f>
        <v>7.5</v>
      </c>
      <c r="I63" s="46">
        <f>SUM(I58:I62)</f>
        <v>12.5</v>
      </c>
      <c r="J63" s="46">
        <f>SUM(J58:J62)</f>
        <v>17.5</v>
      </c>
    </row>
    <row r="64" spans="2:14" ht="18" hidden="1" customHeight="1" outlineLevel="1"/>
    <row r="65" spans="2:18" ht="18" hidden="1" customHeight="1" outlineLevel="1">
      <c r="B65" s="530" t="s">
        <v>662</v>
      </c>
      <c r="C65" s="592" t="s">
        <v>769</v>
      </c>
      <c r="D65" s="590"/>
      <c r="E65" s="590"/>
      <c r="F65" s="533" t="str">
        <f>F32</f>
        <v>2018年</v>
      </c>
      <c r="G65" s="533" t="str">
        <f>G32</f>
        <v>2019年</v>
      </c>
      <c r="H65" s="533" t="str">
        <f>H32</f>
        <v>2020年</v>
      </c>
      <c r="I65" s="533" t="str">
        <f>I32</f>
        <v>2021年</v>
      </c>
      <c r="J65" s="533" t="str">
        <f>J32</f>
        <v>2022年</v>
      </c>
    </row>
    <row r="66" spans="2:18" ht="18" hidden="1" customHeight="1" outlineLevel="1">
      <c r="B66" s="533" t="str">
        <f>F65</f>
        <v>2018年</v>
      </c>
      <c r="C66" s="590"/>
      <c r="D66" s="590"/>
      <c r="E66" s="590"/>
      <c r="F66" s="156">
        <f>IF(D39,(F18+F39)/D39/2,0)</f>
        <v>0</v>
      </c>
      <c r="G66" s="156">
        <f>IF(D39,(F18+F39)/D39,0)</f>
        <v>0</v>
      </c>
      <c r="H66" s="156">
        <f>IF(($F18+$F39-SUM($F66:G66))&gt;$G66,$G66,$F18+$F39-SUM($F66:G66))</f>
        <v>0</v>
      </c>
      <c r="I66" s="156">
        <f>IF(($F18+$F39-SUM($F66:H66))&gt;$G66,$G66,$F18+$F39-SUM($F66:H66))</f>
        <v>0</v>
      </c>
      <c r="J66" s="156">
        <f>IF(($F18+$F39-SUM($F66:I66))&gt;$G66,$G66,$F18+$F39-SUM($F66:I66))</f>
        <v>0</v>
      </c>
      <c r="L66" s="551"/>
      <c r="M66" s="547"/>
      <c r="N66" s="547"/>
      <c r="O66" s="547"/>
      <c r="P66" s="547"/>
      <c r="Q66" s="547"/>
      <c r="R66" s="547"/>
    </row>
    <row r="67" spans="2:18" ht="18" hidden="1" customHeight="1" outlineLevel="1">
      <c r="B67" s="533" t="str">
        <f>G65</f>
        <v>2019年</v>
      </c>
      <c r="C67" s="590"/>
      <c r="D67" s="590"/>
      <c r="E67" s="590"/>
      <c r="F67" s="156"/>
      <c r="G67" s="156">
        <f>IF(D39,(G18+G39)/D39/2,0)</f>
        <v>3</v>
      </c>
      <c r="H67" s="156">
        <f>IF(D39,(G18+G39)/D39,0)</f>
        <v>6</v>
      </c>
      <c r="I67" s="156">
        <f>IF(($G18+$G39-SUM($G67:H67))&gt;$H67,$H67,$G18+$G39-SUM($G67:H67))</f>
        <v>6</v>
      </c>
      <c r="J67" s="156">
        <f>IF(($G18+$G39-SUM($G67:I67))&gt;$H67,$H67,$G18+$G39-SUM($G67:I67))</f>
        <v>6</v>
      </c>
      <c r="L67" s="551"/>
      <c r="M67" s="547"/>
      <c r="N67" s="547"/>
      <c r="O67" s="547"/>
      <c r="P67" s="547"/>
      <c r="Q67" s="547"/>
      <c r="R67" s="547"/>
    </row>
    <row r="68" spans="2:18" ht="18" hidden="1" customHeight="1" outlineLevel="1">
      <c r="B68" s="533" t="str">
        <f>H65</f>
        <v>2020年</v>
      </c>
      <c r="C68" s="590"/>
      <c r="D68" s="590"/>
      <c r="E68" s="590"/>
      <c r="F68" s="156"/>
      <c r="G68" s="156"/>
      <c r="H68" s="156">
        <f>IF(D39,(H18+H39)/D39/2,0)</f>
        <v>3</v>
      </c>
      <c r="I68" s="156">
        <f>IF(D39,(H18+H39)/D39,0)</f>
        <v>6</v>
      </c>
      <c r="J68" s="156">
        <f>IF(($H18+$H39-SUM($H68:I68))&gt;$I68,$I68,$H18+$H39-SUM($H68:I68))</f>
        <v>6</v>
      </c>
      <c r="L68" s="551"/>
      <c r="M68" s="547"/>
      <c r="N68" s="547"/>
      <c r="O68" s="547"/>
      <c r="P68" s="547"/>
      <c r="Q68" s="547"/>
      <c r="R68" s="547"/>
    </row>
    <row r="69" spans="2:18" ht="18" hidden="1" customHeight="1" outlineLevel="1">
      <c r="B69" s="533" t="str">
        <f>I65</f>
        <v>2021年</v>
      </c>
      <c r="C69" s="590"/>
      <c r="D69" s="590"/>
      <c r="E69" s="590"/>
      <c r="F69" s="156"/>
      <c r="G69" s="156"/>
      <c r="H69" s="156"/>
      <c r="I69" s="156">
        <f>IF(D39,(I18+I39)/D39/2,0)</f>
        <v>3</v>
      </c>
      <c r="J69" s="156">
        <f>IF(D39,(I18+I39)/D39,0)</f>
        <v>6</v>
      </c>
      <c r="L69" s="551"/>
      <c r="M69" s="547"/>
      <c r="N69" s="547"/>
      <c r="O69" s="547"/>
      <c r="P69" s="547"/>
      <c r="Q69" s="547"/>
      <c r="R69" s="547"/>
    </row>
    <row r="70" spans="2:18" ht="18" hidden="1" customHeight="1" outlineLevel="1">
      <c r="B70" s="533" t="str">
        <f>J65</f>
        <v>2022年</v>
      </c>
      <c r="C70" s="590"/>
      <c r="D70" s="590"/>
      <c r="E70" s="590"/>
      <c r="F70" s="156"/>
      <c r="G70" s="156"/>
      <c r="H70" s="156"/>
      <c r="I70" s="156"/>
      <c r="J70" s="156">
        <f>IF(D39,(J18+J39)/D39/2,0)</f>
        <v>3</v>
      </c>
      <c r="L70" s="551"/>
      <c r="M70" s="547"/>
      <c r="N70" s="547"/>
      <c r="O70" s="547"/>
      <c r="P70" s="547"/>
      <c r="Q70" s="547"/>
      <c r="R70" s="547"/>
    </row>
    <row r="71" spans="2:18" ht="18" hidden="1" customHeight="1" outlineLevel="1">
      <c r="B71" s="530" t="s">
        <v>165</v>
      </c>
      <c r="C71" s="590"/>
      <c r="D71" s="590"/>
      <c r="E71" s="590"/>
      <c r="F71" s="46">
        <f>SUM(F66:F70)</f>
        <v>0</v>
      </c>
      <c r="G71" s="46">
        <f>SUM(G66:G70)</f>
        <v>3</v>
      </c>
      <c r="H71" s="46">
        <f>SUM(H66:H70)</f>
        <v>9</v>
      </c>
      <c r="I71" s="46">
        <f>SUM(I66:I70)</f>
        <v>15</v>
      </c>
      <c r="J71" s="46">
        <f>SUM(J66:J70)</f>
        <v>21</v>
      </c>
      <c r="L71" s="551"/>
      <c r="M71" s="547"/>
      <c r="N71" s="547"/>
      <c r="O71" s="547"/>
      <c r="P71" s="547"/>
      <c r="Q71" s="547"/>
      <c r="R71" s="547"/>
    </row>
    <row r="72" spans="2:18" ht="18" customHeight="1" collapsed="1">
      <c r="B72" s="621" t="s">
        <v>806</v>
      </c>
      <c r="L72" s="551"/>
      <c r="M72" s="547"/>
      <c r="N72" s="547"/>
      <c r="O72" s="547"/>
      <c r="P72" s="547"/>
      <c r="Q72" s="547"/>
      <c r="R72" s="547"/>
    </row>
    <row r="73" spans="2:18" ht="18" customHeight="1">
      <c r="C73" s="619" t="s">
        <v>807</v>
      </c>
      <c r="D73" s="619" t="s">
        <v>808</v>
      </c>
      <c r="L73" s="551"/>
      <c r="M73" s="547"/>
      <c r="N73" s="547"/>
      <c r="O73" s="547"/>
      <c r="P73" s="547"/>
      <c r="Q73" s="547"/>
      <c r="R73" s="547"/>
    </row>
    <row r="74" spans="2:18" ht="18" customHeight="1">
      <c r="B74" s="140" t="str">
        <f>E4&amp;"账面净值"</f>
        <v>2017年账面净值</v>
      </c>
      <c r="C74" s="140">
        <f>E24</f>
        <v>1134.7382319999999</v>
      </c>
      <c r="D74" s="140">
        <f>E35</f>
        <v>1193.9901009999999</v>
      </c>
    </row>
    <row r="75" spans="2:18" ht="18" customHeight="1">
      <c r="B75" s="140" t="str">
        <f>E4&amp;"资产负债表中已计入"</f>
        <v>2017年资产负债表中已计入</v>
      </c>
      <c r="C75" s="140">
        <f>E13</f>
        <v>0</v>
      </c>
      <c r="D75" s="140">
        <f>E15</f>
        <v>354.8</v>
      </c>
    </row>
    <row r="76" spans="2:18" ht="18" customHeight="1">
      <c r="B76" s="620" t="str">
        <f>F4&amp;"尚需要再投入"</f>
        <v>2018年尚需要再投入</v>
      </c>
      <c r="C76" s="620">
        <f>F26</f>
        <v>0</v>
      </c>
      <c r="D76" s="620">
        <f>SUM(F37:F39)</f>
        <v>232</v>
      </c>
    </row>
    <row r="77" spans="2:18" ht="18" customHeight="1">
      <c r="B77" s="619" t="s">
        <v>242</v>
      </c>
      <c r="C77" s="182">
        <f>SUM(C74:C76)</f>
        <v>1134.7382319999999</v>
      </c>
      <c r="D77" s="182">
        <f>SUM(D74:D76)</f>
        <v>1780.7901009999998</v>
      </c>
    </row>
  </sheetData>
  <sheetProtection password="CCEB" sheet="1" objects="1" scenarios="1" formatColumns="0" formatRows="0"/>
  <mergeCells count="1">
    <mergeCell ref="B1:J1"/>
  </mergeCells>
  <phoneticPr fontId="6" type="noConversion"/>
  <pageMargins left="0.75" right="0.75" top="1" bottom="1" header="0.5" footer="0.5"/>
  <pageSetup paperSize="9" orientation="landscape" r:id="rId1"/>
  <headerFooter alignWithMargins="0">
    <oddFooter>&amp;R&amp;P/&amp;N</oddFoot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B1:P65"/>
  <sheetViews>
    <sheetView zoomScaleNormal="100" workbookViewId="0">
      <selection activeCell="E66" sqref="E66"/>
    </sheetView>
  </sheetViews>
  <sheetFormatPr defaultColWidth="9" defaultRowHeight="18" customHeight="1" outlineLevelRow="1"/>
  <cols>
    <col min="1" max="1" width="2.25" style="539" customWidth="1"/>
    <col min="2" max="2" width="20.75" style="539" customWidth="1"/>
    <col min="3" max="4" width="8.5" style="539" customWidth="1"/>
    <col min="5" max="5" width="9.75" style="539" customWidth="1"/>
    <col min="6" max="10" width="9.58203125" style="539" customWidth="1"/>
    <col min="11" max="11" width="3" style="539" customWidth="1"/>
    <col min="12" max="16384" width="9" style="539"/>
  </cols>
  <sheetData>
    <row r="1" spans="2:12" s="538" customFormat="1" ht="30" customHeight="1">
      <c r="B1" s="765" t="s">
        <v>781</v>
      </c>
      <c r="C1" s="765"/>
      <c r="D1" s="765"/>
      <c r="E1" s="765"/>
      <c r="F1" s="765"/>
      <c r="G1" s="765"/>
      <c r="H1" s="765"/>
      <c r="I1" s="765"/>
      <c r="J1" s="765"/>
      <c r="K1" s="537"/>
    </row>
    <row r="2" spans="2:12" s="538" customFormat="1" ht="18" customHeight="1">
      <c r="B2" s="265" t="str">
        <f>'1报表'!B11</f>
        <v>评估基准日：2017/12/31</v>
      </c>
      <c r="C2" s="83"/>
      <c r="D2" s="79"/>
      <c r="E2" s="389"/>
      <c r="F2" s="83"/>
      <c r="G2" s="79"/>
      <c r="H2" s="79"/>
      <c r="I2" s="79"/>
      <c r="J2" s="79"/>
      <c r="L2" s="552" t="s">
        <v>678</v>
      </c>
    </row>
    <row r="3" spans="2:12" ht="18" customHeight="1">
      <c r="B3" s="265" t="str">
        <f>'1报表'!B12</f>
        <v>被评估单位：JSBD公司</v>
      </c>
      <c r="C3" s="213"/>
      <c r="D3" s="213"/>
      <c r="E3" s="213"/>
      <c r="F3" s="213"/>
      <c r="G3" s="213"/>
      <c r="H3" s="213"/>
      <c r="I3" s="213"/>
      <c r="J3" s="214" t="s">
        <v>52</v>
      </c>
    </row>
    <row r="4" spans="2:12" ht="18" customHeight="1">
      <c r="B4" s="533" t="s">
        <v>809</v>
      </c>
      <c r="C4" s="532"/>
      <c r="D4" s="532"/>
      <c r="E4" s="532" t="str">
        <f>'3收入'!E4</f>
        <v>2017年</v>
      </c>
      <c r="F4" s="533" t="str">
        <f>'3收入'!F4</f>
        <v>2018年</v>
      </c>
      <c r="G4" s="533" t="str">
        <f>'3收入'!G4</f>
        <v>2019年</v>
      </c>
      <c r="H4" s="533" t="str">
        <f>'3收入'!H4</f>
        <v>2020年</v>
      </c>
      <c r="I4" s="533" t="str">
        <f>'3收入'!I4</f>
        <v>2021年</v>
      </c>
      <c r="J4" s="533" t="str">
        <f>'3收入'!J4</f>
        <v>2022年</v>
      </c>
      <c r="K4" s="540"/>
    </row>
    <row r="5" spans="2:12" ht="18" customHeight="1">
      <c r="B5" s="622" t="s">
        <v>814</v>
      </c>
      <c r="C5" s="74"/>
      <c r="D5" s="74"/>
      <c r="E5" s="74"/>
      <c r="F5" s="430">
        <f>F51</f>
        <v>0</v>
      </c>
      <c r="G5" s="430">
        <f>G51</f>
        <v>0</v>
      </c>
      <c r="H5" s="430">
        <f>H51</f>
        <v>0</v>
      </c>
      <c r="I5" s="430">
        <f>I51</f>
        <v>0</v>
      </c>
      <c r="J5" s="430">
        <f>J51</f>
        <v>0</v>
      </c>
    </row>
    <row r="6" spans="2:12" ht="18" customHeight="1">
      <c r="B6" s="622" t="s">
        <v>811</v>
      </c>
      <c r="C6" s="74"/>
      <c r="D6" s="74"/>
      <c r="E6" s="74"/>
      <c r="F6" s="430">
        <f>F25+F34</f>
        <v>71.838051333333325</v>
      </c>
      <c r="G6" s="430">
        <f t="shared" ref="G6:J6" si="0">G25+G34</f>
        <v>71.838051333333325</v>
      </c>
      <c r="H6" s="430">
        <f t="shared" si="0"/>
        <v>51.201763333333332</v>
      </c>
      <c r="I6" s="430">
        <f t="shared" si="0"/>
        <v>37.678504000000004</v>
      </c>
      <c r="J6" s="430">
        <f t="shared" si="0"/>
        <v>57.678504000000004</v>
      </c>
    </row>
    <row r="7" spans="2:12" ht="18" customHeight="1">
      <c r="B7" s="624" t="s">
        <v>812</v>
      </c>
      <c r="C7" s="74"/>
      <c r="D7" s="74"/>
      <c r="E7" s="74"/>
      <c r="F7" s="614">
        <f>F5+F6</f>
        <v>71.838051333333325</v>
      </c>
      <c r="G7" s="614">
        <f t="shared" ref="G7:J7" si="1">G5+G6</f>
        <v>71.838051333333325</v>
      </c>
      <c r="H7" s="614">
        <f t="shared" si="1"/>
        <v>51.201763333333332</v>
      </c>
      <c r="I7" s="614">
        <f t="shared" si="1"/>
        <v>37.678504000000004</v>
      </c>
      <c r="J7" s="614">
        <f t="shared" si="1"/>
        <v>57.678504000000004</v>
      </c>
    </row>
    <row r="8" spans="2:12" ht="18" customHeight="1">
      <c r="B8" s="622" t="s">
        <v>810</v>
      </c>
      <c r="C8" s="74"/>
      <c r="D8" s="74"/>
      <c r="E8" s="74"/>
      <c r="F8" s="430">
        <f>F49</f>
        <v>0</v>
      </c>
      <c r="G8" s="430">
        <f>G49</f>
        <v>0</v>
      </c>
      <c r="H8" s="430">
        <f>H49</f>
        <v>0</v>
      </c>
      <c r="I8" s="430">
        <f>I49</f>
        <v>0</v>
      </c>
      <c r="J8" s="430">
        <f>J49</f>
        <v>0</v>
      </c>
    </row>
    <row r="9" spans="2:12" ht="18" customHeight="1">
      <c r="B9" s="622" t="s">
        <v>813</v>
      </c>
      <c r="C9" s="74"/>
      <c r="D9" s="74"/>
      <c r="E9" s="74"/>
      <c r="F9" s="430">
        <f>F23+F32</f>
        <v>0</v>
      </c>
      <c r="G9" s="430">
        <f>G23+G32</f>
        <v>0</v>
      </c>
      <c r="H9" s="430">
        <f>H23+H32</f>
        <v>60</v>
      </c>
      <c r="I9" s="430">
        <f>I23+I32</f>
        <v>60</v>
      </c>
      <c r="J9" s="430">
        <f>J23+J32</f>
        <v>60</v>
      </c>
    </row>
    <row r="10" spans="2:12" ht="18" customHeight="1">
      <c r="B10" s="623" t="s">
        <v>815</v>
      </c>
      <c r="C10" s="74"/>
      <c r="D10" s="74"/>
      <c r="E10" s="74"/>
      <c r="F10" s="493">
        <f>F8+F9</f>
        <v>0</v>
      </c>
      <c r="G10" s="493">
        <f t="shared" ref="G10:J10" si="2">G8+G9</f>
        <v>0</v>
      </c>
      <c r="H10" s="493">
        <f>H8+H9</f>
        <v>60</v>
      </c>
      <c r="I10" s="493">
        <f t="shared" si="2"/>
        <v>60</v>
      </c>
      <c r="J10" s="493">
        <f t="shared" si="2"/>
        <v>60</v>
      </c>
    </row>
    <row r="11" spans="2:12" ht="18" customHeight="1">
      <c r="B11" s="591" t="s">
        <v>816</v>
      </c>
      <c r="C11" s="625"/>
      <c r="D11" s="625"/>
      <c r="E11" s="625"/>
      <c r="F11" s="626"/>
      <c r="G11" s="626"/>
      <c r="H11" s="626"/>
      <c r="I11" s="626"/>
      <c r="J11" s="626"/>
    </row>
    <row r="12" spans="2:12" ht="18" customHeight="1">
      <c r="B12" s="595" t="s">
        <v>53</v>
      </c>
      <c r="C12" s="532"/>
      <c r="D12" s="531" t="s">
        <v>773</v>
      </c>
      <c r="E12" s="532" t="str">
        <f t="shared" ref="E12:J12" si="3">E4</f>
        <v>2017年</v>
      </c>
      <c r="F12" s="533" t="str">
        <f t="shared" si="3"/>
        <v>2018年</v>
      </c>
      <c r="G12" s="533" t="str">
        <f t="shared" si="3"/>
        <v>2019年</v>
      </c>
      <c r="H12" s="533" t="str">
        <f t="shared" si="3"/>
        <v>2020年</v>
      </c>
      <c r="I12" s="533" t="str">
        <f t="shared" si="3"/>
        <v>2021年</v>
      </c>
      <c r="J12" s="533" t="str">
        <f t="shared" si="3"/>
        <v>2022年</v>
      </c>
      <c r="K12" s="540"/>
    </row>
    <row r="13" spans="2:12" ht="18" customHeight="1">
      <c r="B13" s="534" t="s">
        <v>817</v>
      </c>
      <c r="C13" s="74"/>
      <c r="D13" s="541"/>
      <c r="E13" s="602"/>
      <c r="F13" s="74"/>
      <c r="G13" s="74"/>
      <c r="H13" s="74"/>
      <c r="I13" s="74"/>
      <c r="J13" s="74"/>
    </row>
    <row r="14" spans="2:12" ht="18" customHeight="1">
      <c r="B14" s="628" t="s">
        <v>819</v>
      </c>
      <c r="C14" s="74"/>
      <c r="D14" s="74"/>
      <c r="E14" s="74"/>
      <c r="F14" s="601"/>
      <c r="G14" s="600"/>
      <c r="H14" s="600"/>
      <c r="I14" s="600"/>
      <c r="J14" s="600"/>
    </row>
    <row r="15" spans="2:12" ht="18" customHeight="1">
      <c r="B15" s="534" t="s">
        <v>818</v>
      </c>
      <c r="C15" s="74"/>
      <c r="D15" s="74"/>
      <c r="E15" s="541">
        <f>'2报表调整'!G37</f>
        <v>0</v>
      </c>
      <c r="F15" s="74"/>
      <c r="G15" s="74"/>
      <c r="H15" s="74"/>
      <c r="I15" s="74"/>
      <c r="J15" s="74"/>
      <c r="K15" s="542"/>
    </row>
    <row r="16" spans="2:12" ht="18" customHeight="1">
      <c r="B16" s="628" t="s">
        <v>819</v>
      </c>
      <c r="C16" s="74"/>
      <c r="D16" s="74"/>
      <c r="E16" s="74"/>
      <c r="F16" s="594"/>
      <c r="G16" s="594"/>
      <c r="H16" s="594"/>
      <c r="I16" s="594"/>
      <c r="J16" s="594"/>
      <c r="K16" s="542"/>
    </row>
    <row r="17" spans="2:16" ht="18" customHeight="1">
      <c r="B17" s="627"/>
      <c r="C17" s="618"/>
      <c r="D17" s="16"/>
      <c r="E17" s="16"/>
      <c r="F17" s="16"/>
      <c r="G17" s="16"/>
      <c r="H17" s="16"/>
      <c r="I17" s="16"/>
      <c r="J17" s="16"/>
      <c r="K17" s="16"/>
      <c r="L17" s="16"/>
    </row>
    <row r="18" spans="2:16" ht="18" customHeight="1">
      <c r="B18" s="536" t="s">
        <v>774</v>
      </c>
      <c r="C18" s="83"/>
      <c r="D18" s="83"/>
      <c r="E18" s="83"/>
      <c r="F18" s="83"/>
      <c r="G18" s="83"/>
      <c r="H18" s="83"/>
      <c r="I18" s="83"/>
      <c r="J18" s="83"/>
    </row>
    <row r="19" spans="2:16" ht="18" customHeight="1">
      <c r="B19" s="530" t="s">
        <v>65</v>
      </c>
      <c r="C19" s="531"/>
      <c r="D19" s="531" t="s">
        <v>773</v>
      </c>
      <c r="E19" s="532" t="str">
        <f t="shared" ref="E19:J19" si="4">E4</f>
        <v>2017年</v>
      </c>
      <c r="F19" s="533" t="str">
        <f t="shared" si="4"/>
        <v>2018年</v>
      </c>
      <c r="G19" s="533" t="str">
        <f t="shared" si="4"/>
        <v>2019年</v>
      </c>
      <c r="H19" s="533" t="str">
        <f t="shared" si="4"/>
        <v>2020年</v>
      </c>
      <c r="I19" s="533" t="str">
        <f t="shared" si="4"/>
        <v>2021年</v>
      </c>
      <c r="J19" s="533" t="str">
        <f t="shared" si="4"/>
        <v>2022年</v>
      </c>
    </row>
    <row r="20" spans="2:16" ht="18" customHeight="1">
      <c r="B20" s="8" t="s">
        <v>820</v>
      </c>
      <c r="C20" s="74"/>
      <c r="D20" s="74"/>
      <c r="E20" s="541">
        <v>383.92520000000002</v>
      </c>
      <c r="F20" s="74"/>
      <c r="G20" s="74"/>
      <c r="H20" s="74"/>
      <c r="I20" s="74"/>
      <c r="J20" s="74"/>
    </row>
    <row r="21" spans="2:16" ht="18" customHeight="1">
      <c r="B21" s="8" t="s">
        <v>821</v>
      </c>
      <c r="C21" s="74"/>
      <c r="D21" s="74"/>
      <c r="E21" s="541">
        <v>297.76609999999999</v>
      </c>
      <c r="F21" s="74"/>
      <c r="G21" s="74"/>
      <c r="H21" s="74"/>
      <c r="I21" s="74"/>
      <c r="J21" s="74"/>
    </row>
    <row r="22" spans="2:16" ht="18" customHeight="1">
      <c r="B22" s="8" t="s">
        <v>824</v>
      </c>
      <c r="C22" s="74"/>
      <c r="D22" s="541">
        <v>50</v>
      </c>
      <c r="E22" s="74"/>
      <c r="F22" s="140">
        <f>IF(D22,IF(E21&gt;E20/D22,E20/D22,E21),0)</f>
        <v>7.6785040000000002</v>
      </c>
      <c r="G22" s="156">
        <f>IF(($E21-SUM($F22:F22))&gt;$F22,$F22,$E21-SUM($F22:F22))</f>
        <v>7.6785040000000002</v>
      </c>
      <c r="H22" s="156">
        <f>IF(($E21-SUM($F22:G22))&gt;$F22,$F22,$E21-SUM($F22:G22))</f>
        <v>7.6785040000000002</v>
      </c>
      <c r="I22" s="156">
        <f>IF(($E21-SUM($F22:H22))&gt;$F22,$F22,$E21-SUM($F22:H22))</f>
        <v>7.6785040000000002</v>
      </c>
      <c r="J22" s="156">
        <f>IF(($E21-SUM($F22:I22))&gt;$F22,$F22,$E21-SUM($F22:I22))</f>
        <v>7.6785040000000002</v>
      </c>
    </row>
    <row r="23" spans="2:16" ht="18" customHeight="1">
      <c r="B23" s="9" t="s">
        <v>826</v>
      </c>
      <c r="C23" s="74"/>
      <c r="D23" s="74"/>
      <c r="E23" s="74"/>
      <c r="F23" s="541"/>
      <c r="G23" s="541"/>
      <c r="H23" s="541"/>
      <c r="I23" s="541"/>
      <c r="J23" s="541"/>
    </row>
    <row r="24" spans="2:16" ht="18" customHeight="1">
      <c r="B24" s="9" t="s">
        <v>823</v>
      </c>
      <c r="C24" s="74"/>
      <c r="D24" s="541"/>
      <c r="E24" s="74"/>
      <c r="F24" s="430">
        <f>IF($D13,SUM($F14:F14)/$D13,0)+IF($D24,SUM($F23:F23)/$D24,0)</f>
        <v>0</v>
      </c>
      <c r="G24" s="430">
        <f>IF($D13,SUM($F14:G14)/$D13,0)+IF($D24,SUM($F23:G23)/$D24,0)</f>
        <v>0</v>
      </c>
      <c r="H24" s="430">
        <f>IF($D13,SUM($F14:H14)/$D13,0)+IF($D24,SUM($F23:H23)/$D24,0)</f>
        <v>0</v>
      </c>
      <c r="I24" s="430">
        <f>IF($D13,SUM($F14:I14)/$D13,0)+IF($D24,SUM($F23:I23)/$D24,0)</f>
        <v>0</v>
      </c>
      <c r="J24" s="430">
        <f>IF($D13,SUM($F14:J14)/$D13,0)+IF($D24,SUM($F23:J23)/$D24,0)</f>
        <v>0</v>
      </c>
    </row>
    <row r="25" spans="2:16" ht="18" customHeight="1">
      <c r="B25" s="8" t="s">
        <v>822</v>
      </c>
      <c r="C25" s="74"/>
      <c r="D25" s="74"/>
      <c r="E25" s="74"/>
      <c r="F25" s="430">
        <f>F22+F24</f>
        <v>7.6785040000000002</v>
      </c>
      <c r="G25" s="430">
        <f t="shared" ref="G25:J25" si="5">G22+G24</f>
        <v>7.6785040000000002</v>
      </c>
      <c r="H25" s="430">
        <f t="shared" si="5"/>
        <v>7.6785040000000002</v>
      </c>
      <c r="I25" s="430">
        <f t="shared" si="5"/>
        <v>7.6785040000000002</v>
      </c>
      <c r="J25" s="430">
        <f t="shared" si="5"/>
        <v>7.6785040000000002</v>
      </c>
    </row>
    <row r="26" spans="2:16" ht="18" customHeight="1">
      <c r="B26" s="8" t="s">
        <v>660</v>
      </c>
      <c r="C26" s="74"/>
      <c r="D26" s="74"/>
      <c r="E26" s="74"/>
      <c r="F26" s="430">
        <f>E21+F14+F23-F25</f>
        <v>290.08759600000002</v>
      </c>
      <c r="G26" s="430">
        <f>F26+G14+G23-G25</f>
        <v>282.40909200000004</v>
      </c>
      <c r="H26" s="430">
        <f>G26+H14+H23-H25</f>
        <v>274.73058800000007</v>
      </c>
      <c r="I26" s="430">
        <f>H26+I14+I23-I25</f>
        <v>267.05208400000009</v>
      </c>
      <c r="J26" s="430">
        <f>I26+J14+J23-J25</f>
        <v>259.37358000000012</v>
      </c>
    </row>
    <row r="27" spans="2:16" ht="18" customHeight="1">
      <c r="B27" s="536" t="s">
        <v>776</v>
      </c>
      <c r="K27" s="542"/>
    </row>
    <row r="28" spans="2:16" ht="18" customHeight="1">
      <c r="B28" s="530" t="s">
        <v>65</v>
      </c>
      <c r="C28" s="531"/>
      <c r="D28" s="531" t="s">
        <v>773</v>
      </c>
      <c r="E28" s="532" t="str">
        <f t="shared" ref="E28:J28" si="6">E19</f>
        <v>2017年</v>
      </c>
      <c r="F28" s="533" t="str">
        <f t="shared" si="6"/>
        <v>2018年</v>
      </c>
      <c r="G28" s="533" t="str">
        <f t="shared" si="6"/>
        <v>2019年</v>
      </c>
      <c r="H28" s="533" t="str">
        <f t="shared" si="6"/>
        <v>2020年</v>
      </c>
      <c r="I28" s="533" t="str">
        <f t="shared" si="6"/>
        <v>2021年</v>
      </c>
      <c r="J28" s="533" t="str">
        <f t="shared" si="6"/>
        <v>2022年</v>
      </c>
      <c r="K28" s="542"/>
    </row>
    <row r="29" spans="2:16" ht="18" customHeight="1">
      <c r="B29" s="8" t="s">
        <v>673</v>
      </c>
      <c r="C29" s="74"/>
      <c r="D29" s="74"/>
      <c r="E29" s="541">
        <v>192.47864199999998</v>
      </c>
      <c r="F29" s="74"/>
      <c r="G29" s="74"/>
      <c r="H29" s="74"/>
      <c r="I29" s="74"/>
      <c r="J29" s="74"/>
      <c r="K29" s="542"/>
    </row>
    <row r="30" spans="2:16" ht="18" customHeight="1">
      <c r="B30" s="8" t="s">
        <v>674</v>
      </c>
      <c r="C30" s="74"/>
      <c r="D30" s="74"/>
      <c r="E30" s="541">
        <v>161.84235399999997</v>
      </c>
      <c r="F30" s="74"/>
      <c r="G30" s="74"/>
      <c r="H30" s="74"/>
      <c r="I30" s="74"/>
      <c r="J30" s="74"/>
      <c r="K30" s="542"/>
    </row>
    <row r="31" spans="2:16" ht="18" customHeight="1">
      <c r="B31" s="8" t="s">
        <v>675</v>
      </c>
      <c r="C31" s="74"/>
      <c r="D31" s="541">
        <v>3</v>
      </c>
      <c r="E31" s="74"/>
      <c r="F31" s="140">
        <f>IF(D31,IF(E30&gt;E29/D31,E29/D31,E30),0)</f>
        <v>64.159547333333322</v>
      </c>
      <c r="G31" s="156">
        <f>IF(($E30-SUM($F31:F31))&gt;$F31,$F31,$E30-SUM($F31:F31))</f>
        <v>64.159547333333322</v>
      </c>
      <c r="H31" s="156">
        <f>IF(($E30-SUM($F31:G31))&gt;$F31,$F31,$E30-SUM($F31:G31))</f>
        <v>33.523259333333328</v>
      </c>
      <c r="I31" s="156">
        <f>IF(($E30-SUM($F31:H31))&gt;$F31,$F31,$E30-SUM($F31:H31))</f>
        <v>0</v>
      </c>
      <c r="J31" s="156">
        <f>IF(($E30-SUM($F31:I31))&gt;$F31,$F31,$E30-SUM($F31:I31))</f>
        <v>0</v>
      </c>
      <c r="K31" s="542"/>
    </row>
    <row r="32" spans="2:16" ht="18" customHeight="1">
      <c r="B32" s="9" t="s">
        <v>825</v>
      </c>
      <c r="C32" s="74"/>
      <c r="D32" s="541">
        <v>3</v>
      </c>
      <c r="E32" s="74"/>
      <c r="F32" s="541"/>
      <c r="G32" s="541"/>
      <c r="H32" s="541">
        <v>60</v>
      </c>
      <c r="I32" s="541">
        <v>60</v>
      </c>
      <c r="J32" s="541">
        <v>60</v>
      </c>
      <c r="K32" s="542"/>
      <c r="P32" s="548"/>
    </row>
    <row r="33" spans="2:16" ht="18" customHeight="1">
      <c r="B33" s="9" t="s">
        <v>778</v>
      </c>
      <c r="C33" s="74"/>
      <c r="D33" s="74"/>
      <c r="E33" s="74"/>
      <c r="F33" s="46">
        <f>F43</f>
        <v>0</v>
      </c>
      <c r="G33" s="46">
        <f>G43</f>
        <v>0</v>
      </c>
      <c r="H33" s="46">
        <f>H43</f>
        <v>10</v>
      </c>
      <c r="I33" s="46">
        <f>I43</f>
        <v>30</v>
      </c>
      <c r="J33" s="46">
        <f>J43</f>
        <v>50</v>
      </c>
      <c r="K33" s="542"/>
      <c r="P33" s="548"/>
    </row>
    <row r="34" spans="2:16" ht="18" customHeight="1">
      <c r="B34" s="8" t="s">
        <v>779</v>
      </c>
      <c r="C34" s="74"/>
      <c r="D34" s="74"/>
      <c r="E34" s="74"/>
      <c r="F34" s="46">
        <f t="shared" ref="F34:J34" si="7">F31+F33</f>
        <v>64.159547333333322</v>
      </c>
      <c r="G34" s="46">
        <f t="shared" si="7"/>
        <v>64.159547333333322</v>
      </c>
      <c r="H34" s="46">
        <f t="shared" si="7"/>
        <v>43.523259333333328</v>
      </c>
      <c r="I34" s="46">
        <f t="shared" si="7"/>
        <v>30</v>
      </c>
      <c r="J34" s="46">
        <f t="shared" si="7"/>
        <v>50</v>
      </c>
      <c r="K34" s="542"/>
      <c r="P34" s="548"/>
    </row>
    <row r="35" spans="2:16" ht="18" customHeight="1">
      <c r="B35" s="8" t="s">
        <v>676</v>
      </c>
      <c r="C35" s="74"/>
      <c r="D35" s="74"/>
      <c r="E35" s="74"/>
      <c r="F35" s="46">
        <f>E30+F16+F32-F34</f>
        <v>97.68280666666665</v>
      </c>
      <c r="G35" s="46">
        <f>F35+G16+G32-G34</f>
        <v>33.523259333333328</v>
      </c>
      <c r="H35" s="46">
        <f>G35+H16+H32-H34</f>
        <v>50</v>
      </c>
      <c r="I35" s="46">
        <f>H35+I16+I32-I34</f>
        <v>80</v>
      </c>
      <c r="J35" s="46">
        <f>I35+J16+J32-J34</f>
        <v>90</v>
      </c>
      <c r="K35" s="542"/>
      <c r="P35" s="548"/>
    </row>
    <row r="36" spans="2:16" ht="18" customHeight="1">
      <c r="K36" s="542"/>
    </row>
    <row r="37" spans="2:16" ht="18" hidden="1" customHeight="1" outlineLevel="1">
      <c r="B37" s="530" t="s">
        <v>90</v>
      </c>
      <c r="C37" s="603" t="s">
        <v>777</v>
      </c>
      <c r="D37" s="590"/>
      <c r="E37" s="590"/>
      <c r="F37" s="533" t="str">
        <f t="shared" ref="F37:J37" si="8">F19</f>
        <v>2018年</v>
      </c>
      <c r="G37" s="533" t="str">
        <f t="shared" si="8"/>
        <v>2019年</v>
      </c>
      <c r="H37" s="533" t="str">
        <f t="shared" si="8"/>
        <v>2020年</v>
      </c>
      <c r="I37" s="533" t="str">
        <f t="shared" si="8"/>
        <v>2021年</v>
      </c>
      <c r="J37" s="533" t="str">
        <f t="shared" si="8"/>
        <v>2022年</v>
      </c>
      <c r="K37" s="542"/>
    </row>
    <row r="38" spans="2:16" ht="18" hidden="1" customHeight="1" outlineLevel="1">
      <c r="B38" s="533" t="str">
        <f>F37</f>
        <v>2018年</v>
      </c>
      <c r="C38" s="590"/>
      <c r="D38" s="590"/>
      <c r="E38" s="590"/>
      <c r="F38" s="156">
        <f>IF(D32,(F16+F32)/D32/2,0)</f>
        <v>0</v>
      </c>
      <c r="G38" s="156">
        <f>IF(D32,(F16+F32)/D32,0)</f>
        <v>0</v>
      </c>
      <c r="H38" s="156">
        <f>IF(($F16+$F32-SUM($F38:G38))&gt;$G38,$G38,$F16+$F32-SUM($F38:G38))</f>
        <v>0</v>
      </c>
      <c r="I38" s="156">
        <f>IF(($F16+$F32-SUM($F38:H38))&gt;$G38,$G38,$F16+$F32-SUM($F38:H38))</f>
        <v>0</v>
      </c>
      <c r="J38" s="156">
        <f>IF(($F16+$F32-SUM($F38:I38))&gt;$G38,$G38,$F16+$F32-SUM($F38:I38))</f>
        <v>0</v>
      </c>
      <c r="K38" s="542"/>
    </row>
    <row r="39" spans="2:16" ht="18" hidden="1" customHeight="1" outlineLevel="1">
      <c r="B39" s="533" t="str">
        <f>G37</f>
        <v>2019年</v>
      </c>
      <c r="C39" s="590"/>
      <c r="D39" s="590"/>
      <c r="E39" s="590"/>
      <c r="F39" s="156"/>
      <c r="G39" s="156">
        <f>IF(D32,(G16+G32)/D32/2,0)</f>
        <v>0</v>
      </c>
      <c r="H39" s="156">
        <f>IF(D32,(G16+G32)/D32,0)</f>
        <v>0</v>
      </c>
      <c r="I39" s="156">
        <f>IF(($G16+$G32-SUM($G39:H39))&gt;$H39,$H39,$G16+$G32-SUM($G39:H39))</f>
        <v>0</v>
      </c>
      <c r="J39" s="156">
        <f>IF(($G16+$G32-SUM($G39:I39))&gt;$H39,$H39,$G16+$G32-SUM($G39:I39))</f>
        <v>0</v>
      </c>
      <c r="K39" s="542"/>
    </row>
    <row r="40" spans="2:16" ht="18" hidden="1" customHeight="1" outlineLevel="1">
      <c r="B40" s="533" t="str">
        <f>H37</f>
        <v>2020年</v>
      </c>
      <c r="C40" s="590"/>
      <c r="D40" s="590"/>
      <c r="E40" s="590"/>
      <c r="F40" s="156"/>
      <c r="G40" s="156"/>
      <c r="H40" s="156">
        <f>IF(D32,(H16+H32)/D32/2,0)</f>
        <v>10</v>
      </c>
      <c r="I40" s="156">
        <f>IF(D32,(H16+H32)/D32,0)</f>
        <v>20</v>
      </c>
      <c r="J40" s="156">
        <f>IF(($H16+$H32-SUM($H40:I40))&gt;$I40,$I40,$H16+$H32-SUM($H40:I40))</f>
        <v>20</v>
      </c>
      <c r="K40" s="542"/>
    </row>
    <row r="41" spans="2:16" ht="18" hidden="1" customHeight="1" outlineLevel="1">
      <c r="B41" s="533" t="str">
        <f>I37</f>
        <v>2021年</v>
      </c>
      <c r="C41" s="590"/>
      <c r="D41" s="590"/>
      <c r="E41" s="590"/>
      <c r="F41" s="156"/>
      <c r="G41" s="156"/>
      <c r="H41" s="156"/>
      <c r="I41" s="156">
        <f>IF(D32,(I16+I32)/D32/2,0)</f>
        <v>10</v>
      </c>
      <c r="J41" s="156">
        <f>IF(D32,(I16+I32)/D32,0)</f>
        <v>20</v>
      </c>
      <c r="K41" s="542"/>
    </row>
    <row r="42" spans="2:16" ht="18" hidden="1" customHeight="1" outlineLevel="1">
      <c r="B42" s="533" t="str">
        <f>J37</f>
        <v>2022年</v>
      </c>
      <c r="C42" s="590"/>
      <c r="D42" s="590"/>
      <c r="E42" s="590"/>
      <c r="F42" s="156"/>
      <c r="G42" s="156"/>
      <c r="H42" s="156"/>
      <c r="I42" s="156"/>
      <c r="J42" s="156">
        <f>IF(D32,(J16+J32)/D32/2,0)</f>
        <v>10</v>
      </c>
      <c r="K42" s="542"/>
    </row>
    <row r="43" spans="2:16" ht="18" hidden="1" customHeight="1" outlineLevel="1">
      <c r="B43" s="530" t="s">
        <v>165</v>
      </c>
      <c r="C43" s="590"/>
      <c r="D43" s="590"/>
      <c r="E43" s="590"/>
      <c r="F43" s="46">
        <f>SUM(F38:F42)</f>
        <v>0</v>
      </c>
      <c r="G43" s="46">
        <f>SUM(G38:G42)</f>
        <v>0</v>
      </c>
      <c r="H43" s="46">
        <f>SUM(H38:H42)</f>
        <v>10</v>
      </c>
      <c r="I43" s="46">
        <f>SUM(I38:I42)</f>
        <v>30</v>
      </c>
      <c r="J43" s="46">
        <f>SUM(J38:J42)</f>
        <v>50</v>
      </c>
      <c r="K43" s="542"/>
    </row>
    <row r="44" spans="2:16" ht="18" customHeight="1" collapsed="1">
      <c r="B44" s="536" t="s">
        <v>775</v>
      </c>
      <c r="C44" s="83"/>
      <c r="D44" s="83"/>
      <c r="E44" s="83"/>
      <c r="F44" s="83"/>
      <c r="G44" s="83"/>
      <c r="H44" s="83"/>
      <c r="I44" s="83"/>
      <c r="J44" s="83"/>
    </row>
    <row r="45" spans="2:16" ht="15.75" customHeight="1">
      <c r="B45" s="530" t="s">
        <v>65</v>
      </c>
      <c r="C45" s="531"/>
      <c r="D45" s="531" t="s">
        <v>773</v>
      </c>
      <c r="E45" s="532" t="str">
        <f t="shared" ref="E45:J45" si="9">E19</f>
        <v>2017年</v>
      </c>
      <c r="F45" s="533" t="str">
        <f t="shared" si="9"/>
        <v>2018年</v>
      </c>
      <c r="G45" s="533" t="str">
        <f t="shared" si="9"/>
        <v>2019年</v>
      </c>
      <c r="H45" s="533" t="str">
        <f t="shared" si="9"/>
        <v>2020年</v>
      </c>
      <c r="I45" s="533" t="str">
        <f t="shared" si="9"/>
        <v>2021年</v>
      </c>
      <c r="J45" s="533" t="str">
        <f t="shared" si="9"/>
        <v>2022年</v>
      </c>
      <c r="K45" s="542"/>
    </row>
    <row r="46" spans="2:16" ht="18" customHeight="1">
      <c r="B46" s="8" t="s">
        <v>893</v>
      </c>
      <c r="C46" s="74"/>
      <c r="D46" s="74"/>
      <c r="E46" s="541"/>
      <c r="F46" s="74"/>
      <c r="G46" s="74"/>
      <c r="H46" s="74"/>
      <c r="I46" s="74"/>
      <c r="J46" s="74"/>
      <c r="K46" s="542"/>
    </row>
    <row r="47" spans="2:16" ht="18" customHeight="1">
      <c r="B47" s="8" t="s">
        <v>894</v>
      </c>
      <c r="C47" s="74"/>
      <c r="D47" s="74"/>
      <c r="E47" s="46">
        <f>'2报表调整'!G39</f>
        <v>0</v>
      </c>
      <c r="F47" s="74"/>
      <c r="G47" s="74"/>
      <c r="H47" s="74"/>
      <c r="I47" s="74"/>
      <c r="J47" s="74"/>
      <c r="K47" s="542"/>
    </row>
    <row r="48" spans="2:16" ht="17.5" customHeight="1">
      <c r="B48" s="8" t="s">
        <v>895</v>
      </c>
      <c r="C48" s="74"/>
      <c r="D48" s="541"/>
      <c r="E48" s="74"/>
      <c r="F48" s="140">
        <f>IF(D48,IF(E47&gt;E46/D48,E46/D48,E47),0)</f>
        <v>0</v>
      </c>
      <c r="G48" s="156">
        <f>IF(($E47-SUM($F48:F48))&gt;$F48,$F48,$E47-SUM($F48:F48))</f>
        <v>0</v>
      </c>
      <c r="H48" s="156">
        <f>IF(($E47-SUM($F48:G48))&gt;$F48,$F48,$E47-SUM($F48:G48))</f>
        <v>0</v>
      </c>
      <c r="I48" s="156">
        <f>IF(($E47-SUM($F48:H48))&gt;$F48,$F48,$E47-SUM($F48:H48))</f>
        <v>0</v>
      </c>
      <c r="J48" s="156">
        <f>IF(($E47-SUM($F48:I48))&gt;$F48,$F48,$E47-SUM($F48:I48))</f>
        <v>0</v>
      </c>
      <c r="K48" s="542"/>
    </row>
    <row r="49" spans="2:11" ht="18" customHeight="1">
      <c r="B49" s="9" t="s">
        <v>896</v>
      </c>
      <c r="C49" s="74"/>
      <c r="D49" s="541"/>
      <c r="E49" s="74"/>
      <c r="F49" s="541"/>
      <c r="G49" s="541"/>
      <c r="H49" s="541"/>
      <c r="I49" s="541"/>
      <c r="J49" s="541"/>
      <c r="K49" s="542"/>
    </row>
    <row r="50" spans="2:11" ht="18" customHeight="1">
      <c r="B50" s="9" t="s">
        <v>897</v>
      </c>
      <c r="C50" s="74"/>
      <c r="D50" s="74"/>
      <c r="E50" s="74"/>
      <c r="F50" s="46">
        <f>F60</f>
        <v>0</v>
      </c>
      <c r="G50" s="46">
        <f>G60</f>
        <v>0</v>
      </c>
      <c r="H50" s="46">
        <f>H60</f>
        <v>0</v>
      </c>
      <c r="I50" s="46">
        <f>I60</f>
        <v>0</v>
      </c>
      <c r="J50" s="46">
        <f>J60</f>
        <v>0</v>
      </c>
      <c r="K50" s="542"/>
    </row>
    <row r="51" spans="2:11" ht="18" customHeight="1">
      <c r="B51" s="8" t="s">
        <v>898</v>
      </c>
      <c r="C51" s="74"/>
      <c r="D51" s="74"/>
      <c r="E51" s="74"/>
      <c r="F51" s="46">
        <f>F48+F50</f>
        <v>0</v>
      </c>
      <c r="G51" s="46">
        <f t="shared" ref="G51:J51" si="10">G48+G50</f>
        <v>0</v>
      </c>
      <c r="H51" s="46">
        <f>H48+H50</f>
        <v>0</v>
      </c>
      <c r="I51" s="46">
        <f t="shared" si="10"/>
        <v>0</v>
      </c>
      <c r="J51" s="46">
        <f t="shared" si="10"/>
        <v>0</v>
      </c>
      <c r="K51" s="542"/>
    </row>
    <row r="52" spans="2:11" ht="18" customHeight="1">
      <c r="B52" s="8" t="s">
        <v>659</v>
      </c>
      <c r="C52" s="74"/>
      <c r="D52" s="74"/>
      <c r="E52" s="74"/>
      <c r="F52" s="46">
        <f>E47+F49-F51</f>
        <v>0</v>
      </c>
      <c r="G52" s="46">
        <f>F52+G49-G51</f>
        <v>0</v>
      </c>
      <c r="H52" s="46">
        <f>G52+H49-H51</f>
        <v>0</v>
      </c>
      <c r="I52" s="46">
        <f t="shared" ref="I52:J52" si="11">H52+I49-I51</f>
        <v>0</v>
      </c>
      <c r="J52" s="46">
        <f t="shared" si="11"/>
        <v>0</v>
      </c>
      <c r="K52" s="542"/>
    </row>
    <row r="53" spans="2:11" ht="18" customHeight="1">
      <c r="K53" s="542"/>
    </row>
    <row r="54" spans="2:11" ht="18" hidden="1" customHeight="1" outlineLevel="1">
      <c r="B54" s="530" t="s">
        <v>90</v>
      </c>
      <c r="C54" s="603" t="s">
        <v>780</v>
      </c>
      <c r="D54" s="590"/>
      <c r="E54" s="590"/>
      <c r="F54" s="533" t="str">
        <f>F19</f>
        <v>2018年</v>
      </c>
      <c r="G54" s="533" t="str">
        <f>G19</f>
        <v>2019年</v>
      </c>
      <c r="H54" s="533" t="str">
        <f>H19</f>
        <v>2020年</v>
      </c>
      <c r="I54" s="533" t="str">
        <f>I19</f>
        <v>2021年</v>
      </c>
      <c r="J54" s="533" t="str">
        <f>J19</f>
        <v>2022年</v>
      </c>
      <c r="K54" s="542"/>
    </row>
    <row r="55" spans="2:11" ht="18" hidden="1" customHeight="1" outlineLevel="1">
      <c r="B55" s="533" t="str">
        <f>F54</f>
        <v>2018年</v>
      </c>
      <c r="C55" s="590"/>
      <c r="D55" s="590"/>
      <c r="E55" s="590"/>
      <c r="F55" s="46">
        <f>IF(D49,F49/D49,0)</f>
        <v>0</v>
      </c>
      <c r="G55" s="156">
        <f>IF(($F49-SUM($F55:F55))&gt;$F55,$F55,$F49-SUM($F55:F55))</f>
        <v>0</v>
      </c>
      <c r="H55" s="156">
        <f>IF(($F49-SUM($F55:G55))&gt;$F55,$F55,$F49-SUM($F55:G55))</f>
        <v>0</v>
      </c>
      <c r="I55" s="156">
        <f>IF(($F49-SUM($F55:H55))&gt;$F55,$F55,$F49-SUM($F55:H55))</f>
        <v>0</v>
      </c>
      <c r="J55" s="156">
        <f>IF(($F49-SUM($F55:I55))&gt;$F55,$F55,$F49-SUM($F55:I55))</f>
        <v>0</v>
      </c>
      <c r="K55" s="542"/>
    </row>
    <row r="56" spans="2:11" ht="18" hidden="1" customHeight="1" outlineLevel="1">
      <c r="B56" s="533" t="str">
        <f>G54</f>
        <v>2019年</v>
      </c>
      <c r="C56" s="590"/>
      <c r="D56" s="590"/>
      <c r="E56" s="590"/>
      <c r="F56" s="46"/>
      <c r="G56" s="49">
        <f>IF(D49,G49/D49,0)</f>
        <v>0</v>
      </c>
      <c r="H56" s="156">
        <f>IF(($G49-SUM($G56:G56))&gt;$G56,$G56,$G49-SUM($G56:G56))</f>
        <v>0</v>
      </c>
      <c r="I56" s="156">
        <f>IF(($G49-SUM($G56:H56))&gt;$G56,$G56,$G49-SUM($G56:H56))</f>
        <v>0</v>
      </c>
      <c r="J56" s="156">
        <f>IF(($G49-SUM($G56:I56))&gt;$G56,$G56,$G49-SUM($G56:I56))</f>
        <v>0</v>
      </c>
      <c r="K56" s="542"/>
    </row>
    <row r="57" spans="2:11" ht="18" hidden="1" customHeight="1" outlineLevel="1">
      <c r="B57" s="533" t="str">
        <f>H54</f>
        <v>2020年</v>
      </c>
      <c r="C57" s="590"/>
      <c r="D57" s="590"/>
      <c r="E57" s="590"/>
      <c r="F57" s="46"/>
      <c r="G57" s="156"/>
      <c r="H57" s="156">
        <f>IF(D49,H49/D49,0)</f>
        <v>0</v>
      </c>
      <c r="I57" s="156">
        <f>IF(($H49-SUM($H57:H57))&gt;$H57,$H57,$H49-SUM($H57:H57))</f>
        <v>0</v>
      </c>
      <c r="J57" s="156">
        <f>IF(($H49-SUM($H57:I57))&gt;$H57,$H57,$H49-SUM($H57:I57))</f>
        <v>0</v>
      </c>
      <c r="K57" s="542"/>
    </row>
    <row r="58" spans="2:11" ht="18" hidden="1" customHeight="1" outlineLevel="1">
      <c r="B58" s="533" t="str">
        <f>I54</f>
        <v>2021年</v>
      </c>
      <c r="C58" s="590"/>
      <c r="D58" s="590"/>
      <c r="E58" s="590"/>
      <c r="F58" s="46"/>
      <c r="G58" s="156"/>
      <c r="H58" s="156"/>
      <c r="I58" s="156">
        <f>IF(D49,I49/D49,0)</f>
        <v>0</v>
      </c>
      <c r="J58" s="156">
        <f>IF(($I49-SUM($I58:I58))&gt;$I58,$I58,$I49-SUM($I58:I58))</f>
        <v>0</v>
      </c>
      <c r="K58" s="542"/>
    </row>
    <row r="59" spans="2:11" ht="18" hidden="1" customHeight="1" outlineLevel="1">
      <c r="B59" s="533" t="str">
        <f>J54</f>
        <v>2022年</v>
      </c>
      <c r="C59" s="590"/>
      <c r="D59" s="590"/>
      <c r="E59" s="590"/>
      <c r="F59" s="156"/>
      <c r="G59" s="156"/>
      <c r="H59" s="156"/>
      <c r="I59" s="156"/>
      <c r="J59" s="156">
        <f>IF(D49,J49/D49,0)</f>
        <v>0</v>
      </c>
      <c r="K59" s="542"/>
    </row>
    <row r="60" spans="2:11" ht="18" hidden="1" customHeight="1" outlineLevel="1">
      <c r="B60" s="530" t="s">
        <v>165</v>
      </c>
      <c r="C60" s="590"/>
      <c r="D60" s="590"/>
      <c r="E60" s="590"/>
      <c r="F60" s="46">
        <f>SUM(F55:F59)</f>
        <v>0</v>
      </c>
      <c r="G60" s="46">
        <f>SUM(G55:G59)</f>
        <v>0</v>
      </c>
      <c r="H60" s="46">
        <f>SUM(H55:H59)</f>
        <v>0</v>
      </c>
      <c r="I60" s="46">
        <f>SUM(I55:I59)</f>
        <v>0</v>
      </c>
      <c r="J60" s="46">
        <f>SUM(J55:J59)</f>
        <v>0</v>
      </c>
      <c r="K60" s="542"/>
    </row>
    <row r="61" spans="2:11" ht="18" customHeight="1" collapsed="1">
      <c r="B61" s="545" t="s">
        <v>827</v>
      </c>
      <c r="K61" s="542"/>
    </row>
    <row r="62" spans="2:11" ht="18" customHeight="1">
      <c r="B62" s="546" t="s">
        <v>830</v>
      </c>
      <c r="E62" s="629" t="str">
        <f>IF(ROUND(E13+'7折旧'!E13+'7折旧'!E15-'2报表调整'!G33,-1),"数据不一致","OK")</f>
        <v>OK</v>
      </c>
      <c r="K62" s="542"/>
    </row>
    <row r="63" spans="2:11" ht="18" customHeight="1">
      <c r="B63" s="546" t="s">
        <v>828</v>
      </c>
      <c r="E63" s="629" t="str">
        <f>IF(ROUND(E21+E30-'2报表调整'!G36,-1),"数据不一致","OK")</f>
        <v>OK</v>
      </c>
      <c r="K63" s="542"/>
    </row>
    <row r="64" spans="2:11" ht="18" customHeight="1">
      <c r="B64" s="546" t="s">
        <v>829</v>
      </c>
      <c r="E64" s="629" t="str">
        <f>IF(E15-'2报表调整'!G37,"数据不一致","OK")</f>
        <v>OK</v>
      </c>
      <c r="K64" s="542"/>
    </row>
    <row r="65" spans="2:5" ht="18" customHeight="1">
      <c r="B65" s="546" t="s">
        <v>20</v>
      </c>
      <c r="E65" s="629" t="str">
        <f>IF(E47-'2报表调整'!G39,"数据不一致","OK")</f>
        <v>OK</v>
      </c>
    </row>
  </sheetData>
  <sheetProtection algorithmName="SHA-512" hashValue="pk/a+HhL4XV5/DgdPHtjEGVl3iZNNgShjfBNAnXoKVYNOitPsSCMT1oOSa2yCBIJCKOL8Wd2lywg+4Z6OaRbTg==" saltValue="SF9hBA937EQVdIu+w9bpOQ==" spinCount="100000" sheet="1" formatColumns="0" formatRows="0"/>
  <mergeCells count="1">
    <mergeCell ref="B1:J1"/>
  </mergeCells>
  <phoneticPr fontId="6" type="noConversion"/>
  <pageMargins left="0.75" right="0.75" top="1" bottom="1" header="0.5" footer="0.5"/>
  <pageSetup paperSize="9" orientation="landscape" r:id="rId1"/>
  <headerFooter alignWithMargins="0">
    <oddFooter>&amp;R&amp;P/&amp;N</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M64"/>
  <sheetViews>
    <sheetView topLeftCell="A13" zoomScaleNormal="100" workbookViewId="0">
      <selection activeCell="E25" sqref="E25"/>
    </sheetView>
  </sheetViews>
  <sheetFormatPr defaultColWidth="9" defaultRowHeight="18" customHeight="1"/>
  <cols>
    <col min="1" max="1" width="2.75" style="4" customWidth="1"/>
    <col min="2" max="2" width="20.83203125" style="4" customWidth="1"/>
    <col min="3" max="5" width="9.08203125" style="4" customWidth="1"/>
    <col min="6" max="6" width="9.58203125" style="4" customWidth="1"/>
    <col min="7" max="7" width="9.5" style="4" customWidth="1"/>
    <col min="8" max="8" width="9.5" style="4" bestFit="1" customWidth="1"/>
    <col min="9" max="10" width="10.5" style="4" bestFit="1" customWidth="1"/>
    <col min="11" max="11" width="3.83203125" style="4" customWidth="1"/>
    <col min="12" max="16384" width="9" style="4"/>
  </cols>
  <sheetData>
    <row r="1" spans="1:10" ht="31.5" customHeight="1">
      <c r="B1" s="765" t="s">
        <v>583</v>
      </c>
      <c r="C1" s="765"/>
      <c r="D1" s="765"/>
      <c r="E1" s="765"/>
      <c r="F1" s="765"/>
      <c r="G1" s="765"/>
      <c r="H1" s="765"/>
      <c r="I1" s="765"/>
      <c r="J1" s="765"/>
    </row>
    <row r="2" spans="1:10" ht="18" customHeight="1">
      <c r="B2" s="265" t="str">
        <f>'1报表'!B11</f>
        <v>评估基准日：2017/12/31</v>
      </c>
      <c r="E2" s="81"/>
      <c r="F2" s="81"/>
      <c r="G2" s="81"/>
      <c r="H2" s="81"/>
    </row>
    <row r="3" spans="1:10" s="14" customFormat="1" ht="18" customHeight="1">
      <c r="B3" s="265" t="str">
        <f>'1报表'!B12</f>
        <v>被评估单位：JSBD公司</v>
      </c>
      <c r="J3" s="19" t="s">
        <v>52</v>
      </c>
    </row>
    <row r="4" spans="1:10" s="14" customFormat="1" ht="18" customHeight="1">
      <c r="B4" s="15" t="s">
        <v>65</v>
      </c>
      <c r="C4" s="69" t="str">
        <f>'3收入'!C4</f>
        <v>2015年</v>
      </c>
      <c r="D4" s="69" t="str">
        <f>'3收入'!D4</f>
        <v>2016年</v>
      </c>
      <c r="E4" s="69" t="str">
        <f>'3收入'!E4</f>
        <v>2017年</v>
      </c>
      <c r="F4" s="488" t="str">
        <f>'3收入'!F4</f>
        <v>2018年</v>
      </c>
      <c r="G4" s="488" t="str">
        <f>'3收入'!G4</f>
        <v>2019年</v>
      </c>
      <c r="H4" s="488" t="str">
        <f>'3收入'!H4</f>
        <v>2020年</v>
      </c>
      <c r="I4" s="488" t="str">
        <f>'3收入'!I4</f>
        <v>2021年</v>
      </c>
      <c r="J4" s="488" t="str">
        <f>'3收入'!J4</f>
        <v>2022年</v>
      </c>
    </row>
    <row r="5" spans="1:10" s="14" customFormat="1" ht="18" customHeight="1">
      <c r="A5" s="138"/>
      <c r="B5" s="431" t="s">
        <v>407</v>
      </c>
      <c r="C5" s="428">
        <v>310.03545790260398</v>
      </c>
      <c r="D5" s="428">
        <v>415.56891986151788</v>
      </c>
      <c r="E5" s="428">
        <v>517.74325799999997</v>
      </c>
      <c r="F5" s="489">
        <v>614.54</v>
      </c>
      <c r="G5" s="489">
        <v>676.29</v>
      </c>
      <c r="H5" s="489">
        <v>710.1</v>
      </c>
      <c r="I5" s="489">
        <v>745.61</v>
      </c>
      <c r="J5" s="489">
        <v>782.89</v>
      </c>
    </row>
    <row r="6" spans="1:10" s="14" customFormat="1" ht="18" customHeight="1">
      <c r="A6" s="138"/>
      <c r="B6" s="431" t="s">
        <v>759</v>
      </c>
      <c r="C6" s="397">
        <f>'5税金'!C5</f>
        <v>53.873420999999993</v>
      </c>
      <c r="D6" s="397">
        <f>'5税金'!D5</f>
        <v>81.41623100000001</v>
      </c>
      <c r="E6" s="397">
        <f>'5税金'!E5</f>
        <v>113.39455900000002</v>
      </c>
      <c r="F6" s="397">
        <f>'5税金'!F5</f>
        <v>107.26835541722282</v>
      </c>
      <c r="G6" s="397">
        <f>'5税金'!G5</f>
        <v>127.21454394475082</v>
      </c>
      <c r="H6" s="397">
        <f>'5税金'!H5</f>
        <v>142.79594350458177</v>
      </c>
      <c r="I6" s="397">
        <f>'5税金'!I5</f>
        <v>152.48180914883849</v>
      </c>
      <c r="J6" s="397">
        <f>'5税金'!J5</f>
        <v>155.38376810740826</v>
      </c>
    </row>
    <row r="7" spans="1:10" s="14" customFormat="1" ht="18" customHeight="1">
      <c r="A7" s="138"/>
      <c r="B7" s="431" t="s">
        <v>227</v>
      </c>
      <c r="C7" s="397">
        <f>'6销管'!C5</f>
        <v>481.45909900000004</v>
      </c>
      <c r="D7" s="397">
        <f>'6销管'!D5</f>
        <v>588.55086500000004</v>
      </c>
      <c r="E7" s="397">
        <f>'6销管'!E5</f>
        <v>750.19684400000006</v>
      </c>
      <c r="F7" s="397">
        <f>'6销管'!F5</f>
        <v>950.06399471876898</v>
      </c>
      <c r="G7" s="397">
        <f>'6销管'!G5</f>
        <v>1125.6541479901491</v>
      </c>
      <c r="H7" s="397">
        <f>'6销管'!H5</f>
        <v>1265.3359210600324</v>
      </c>
      <c r="I7" s="397">
        <f>'6销管'!I5</f>
        <v>1342.3045671278023</v>
      </c>
      <c r="J7" s="397">
        <f>'6销管'!J5</f>
        <v>1371.0663127228379</v>
      </c>
    </row>
    <row r="8" spans="1:10" s="14" customFormat="1" ht="18" customHeight="1">
      <c r="A8" s="138"/>
      <c r="B8" s="431" t="s">
        <v>382</v>
      </c>
      <c r="C8" s="397">
        <f>'6销管'!C6</f>
        <v>694.30697500000019</v>
      </c>
      <c r="D8" s="397">
        <f>'6销管'!D6</f>
        <v>710.43653900000004</v>
      </c>
      <c r="E8" s="397">
        <f>'6销管'!E6</f>
        <v>1052.4467249999998</v>
      </c>
      <c r="F8" s="397">
        <f>'6销管'!F6</f>
        <v>1140.1680865915284</v>
      </c>
      <c r="G8" s="397">
        <f>'6销管'!G6</f>
        <v>1284.8846646328643</v>
      </c>
      <c r="H8" s="397">
        <f>'6销管'!H6</f>
        <v>1341.4960891320359</v>
      </c>
      <c r="I8" s="397">
        <f>'6销管'!I6</f>
        <v>1376.4757945411359</v>
      </c>
      <c r="J8" s="397">
        <f>'6销管'!J6</f>
        <v>1432.4397334915836</v>
      </c>
    </row>
    <row r="9" spans="1:10" s="14" customFormat="1" ht="18" customHeight="1">
      <c r="A9" s="138"/>
      <c r="B9" s="431" t="s">
        <v>531</v>
      </c>
      <c r="C9" s="397">
        <f>'6销管'!C7</f>
        <v>384.83577599999995</v>
      </c>
      <c r="D9" s="397">
        <f>'6销管'!D7</f>
        <v>369.90656899999999</v>
      </c>
      <c r="E9" s="397">
        <f>'6销管'!E7</f>
        <v>435.36899800000003</v>
      </c>
      <c r="F9" s="397">
        <f>'6销管'!F7</f>
        <v>596.77386602937747</v>
      </c>
      <c r="G9" s="397">
        <f>'6销管'!G7</f>
        <v>707.06918843602318</v>
      </c>
      <c r="H9" s="397">
        <f>'6销管'!H7</f>
        <v>794.80899564072388</v>
      </c>
      <c r="I9" s="397">
        <f>'6销管'!I7</f>
        <v>843.15613513052904</v>
      </c>
      <c r="J9" s="397">
        <f>'6销管'!J7</f>
        <v>861.22255824298873</v>
      </c>
    </row>
    <row r="10" spans="1:10" s="14" customFormat="1" ht="18" customHeight="1">
      <c r="A10" s="138"/>
      <c r="B10" s="431" t="s">
        <v>406</v>
      </c>
      <c r="C10" s="397">
        <f>'11财务费用'!C18</f>
        <v>144.025723</v>
      </c>
      <c r="D10" s="397">
        <f>'11财务费用'!D18</f>
        <v>132.215711</v>
      </c>
      <c r="E10" s="397">
        <f>'11财务费用'!E18</f>
        <v>92.333056999999997</v>
      </c>
      <c r="F10" s="397">
        <f>'11财务费用'!F18</f>
        <v>54.1</v>
      </c>
      <c r="G10" s="397">
        <f>'11财务费用'!G18</f>
        <v>71.17894401714311</v>
      </c>
      <c r="H10" s="397">
        <f>'11财务费用'!H18</f>
        <v>54.1</v>
      </c>
      <c r="I10" s="397">
        <f>'11财务费用'!I18</f>
        <v>54.1</v>
      </c>
      <c r="J10" s="397">
        <f>'11财务费用'!J18</f>
        <v>54.1</v>
      </c>
    </row>
    <row r="11" spans="1:10" s="14" customFormat="1" ht="18" customHeight="1">
      <c r="A11" s="138"/>
      <c r="B11" s="431" t="s">
        <v>408</v>
      </c>
      <c r="C11" s="428"/>
      <c r="D11" s="428"/>
      <c r="E11" s="428"/>
      <c r="F11" s="428"/>
      <c r="G11" s="428"/>
      <c r="H11" s="428"/>
      <c r="I11" s="428"/>
      <c r="J11" s="428"/>
    </row>
    <row r="12" spans="1:10" s="14" customFormat="1" ht="18" customHeight="1">
      <c r="A12" s="138"/>
      <c r="B12" s="431" t="s">
        <v>409</v>
      </c>
      <c r="C12" s="428">
        <f>'6销管'!C52+'6销管'!C53</f>
        <v>115.90069099999999</v>
      </c>
      <c r="D12" s="428">
        <f>'6销管'!D52+'6销管'!D53</f>
        <v>89.179264000000018</v>
      </c>
      <c r="E12" s="428">
        <f>'6销管'!E52+'6销管'!E53</f>
        <v>89.14685399999999</v>
      </c>
      <c r="F12" s="428">
        <f>'6销管'!F52+'6销管'!F53</f>
        <v>145.30685133333333</v>
      </c>
      <c r="G12" s="428">
        <f>'6销管'!G52+'6销管'!G53</f>
        <v>149.8788513333333</v>
      </c>
      <c r="H12" s="428">
        <f>'6销管'!H52+'6销管'!H53</f>
        <v>92.012276348233343</v>
      </c>
      <c r="I12" s="428">
        <f>'6销管'!I52+'6销管'!I53</f>
        <v>57.7496042983</v>
      </c>
      <c r="J12" s="428">
        <f>'6销管'!J52+'6销管'!J53</f>
        <v>79.069604298300007</v>
      </c>
    </row>
    <row r="13" spans="1:10" s="14" customFormat="1" ht="18" customHeight="1">
      <c r="A13" s="138"/>
      <c r="B13" s="431" t="s">
        <v>552</v>
      </c>
      <c r="C13" s="428"/>
      <c r="D13" s="428"/>
      <c r="E13" s="428"/>
      <c r="F13" s="428"/>
      <c r="G13" s="428"/>
      <c r="H13" s="428"/>
      <c r="I13" s="428"/>
      <c r="J13" s="428"/>
    </row>
    <row r="14" spans="1:10" s="14" customFormat="1" ht="18" customHeight="1">
      <c r="A14" s="138"/>
      <c r="B14" s="433" t="s">
        <v>411</v>
      </c>
      <c r="C14" s="429">
        <f t="shared" ref="C14:D14" si="0">SUM(C5:C10)-SUM(C11:C13)</f>
        <v>1952.6357609026043</v>
      </c>
      <c r="D14" s="429">
        <f t="shared" si="0"/>
        <v>2208.9155708615181</v>
      </c>
      <c r="E14" s="429">
        <f>SUM(E5:E10)-SUM(E11:E13)</f>
        <v>2872.3365869999993</v>
      </c>
      <c r="F14" s="429">
        <f t="shared" ref="F14:J14" si="1">SUM(F5:F10)-SUM(F11:F13)</f>
        <v>3317.6074514235647</v>
      </c>
      <c r="G14" s="429">
        <f t="shared" si="1"/>
        <v>3842.412637687597</v>
      </c>
      <c r="H14" s="429">
        <f t="shared" si="1"/>
        <v>4216.6246729891409</v>
      </c>
      <c r="I14" s="429">
        <f t="shared" si="1"/>
        <v>4456.3787016500055</v>
      </c>
      <c r="J14" s="429">
        <f t="shared" si="1"/>
        <v>4578.0327682665193</v>
      </c>
    </row>
    <row r="15" spans="1:10" s="14" customFormat="1" ht="18" customHeight="1">
      <c r="A15" s="138"/>
      <c r="B15" s="432" t="s">
        <v>405</v>
      </c>
      <c r="C15" s="430">
        <v>12</v>
      </c>
      <c r="D15" s="430">
        <v>12</v>
      </c>
      <c r="E15" s="430">
        <v>12</v>
      </c>
      <c r="F15" s="430">
        <v>12</v>
      </c>
      <c r="G15" s="430">
        <v>12</v>
      </c>
      <c r="H15" s="430">
        <v>12</v>
      </c>
      <c r="I15" s="430">
        <v>12</v>
      </c>
      <c r="J15" s="430">
        <v>12</v>
      </c>
    </row>
    <row r="16" spans="1:10" s="14" customFormat="1" ht="18" customHeight="1">
      <c r="A16" s="138"/>
      <c r="B16" s="431" t="s">
        <v>410</v>
      </c>
      <c r="C16" s="397">
        <f t="shared" ref="C16:J16" si="2">C14/C15</f>
        <v>162.71964674188368</v>
      </c>
      <c r="D16" s="397">
        <f t="shared" si="2"/>
        <v>184.07629757179316</v>
      </c>
      <c r="E16" s="397">
        <f t="shared" si="2"/>
        <v>239.36138224999993</v>
      </c>
      <c r="F16" s="397">
        <f t="shared" si="2"/>
        <v>276.46728761863039</v>
      </c>
      <c r="G16" s="397">
        <f t="shared" si="2"/>
        <v>320.20105314063306</v>
      </c>
      <c r="H16" s="397">
        <f t="shared" si="2"/>
        <v>351.38538941576172</v>
      </c>
      <c r="I16" s="397">
        <f t="shared" si="2"/>
        <v>371.36489180416714</v>
      </c>
      <c r="J16" s="397">
        <f t="shared" si="2"/>
        <v>381.50273068887662</v>
      </c>
    </row>
    <row r="17" spans="1:13" s="14" customFormat="1" ht="18" customHeight="1">
      <c r="A17" s="138"/>
      <c r="B17" s="431" t="s">
        <v>412</v>
      </c>
      <c r="C17" s="397">
        <f>D17</f>
        <v>1</v>
      </c>
      <c r="D17" s="397">
        <f>E17</f>
        <v>1</v>
      </c>
      <c r="E17" s="428">
        <v>1</v>
      </c>
      <c r="F17" s="397">
        <f>E17</f>
        <v>1</v>
      </c>
      <c r="G17" s="397">
        <f t="shared" ref="G17:J17" si="3">F17</f>
        <v>1</v>
      </c>
      <c r="H17" s="397">
        <f t="shared" si="3"/>
        <v>1</v>
      </c>
      <c r="I17" s="397">
        <f t="shared" si="3"/>
        <v>1</v>
      </c>
      <c r="J17" s="397">
        <f t="shared" si="3"/>
        <v>1</v>
      </c>
      <c r="K17" s="14" t="s">
        <v>483</v>
      </c>
    </row>
    <row r="18" spans="1:13" s="14" customFormat="1" ht="18" customHeight="1">
      <c r="A18" s="138"/>
      <c r="B18" s="606" t="s">
        <v>785</v>
      </c>
      <c r="C18" s="428"/>
      <c r="D18" s="428"/>
      <c r="E18" s="428"/>
      <c r="F18" s="428"/>
      <c r="G18" s="428"/>
      <c r="H18" s="428"/>
      <c r="I18" s="428"/>
      <c r="J18" s="428"/>
    </row>
    <row r="19" spans="1:13" s="14" customFormat="1" ht="18" customHeight="1">
      <c r="A19" s="138"/>
      <c r="B19" s="431" t="s">
        <v>705</v>
      </c>
      <c r="C19" s="630">
        <f t="shared" ref="C19:D19" si="4">MIN(C16*C17,C23)+C18</f>
        <v>162.71964674188368</v>
      </c>
      <c r="D19" s="630">
        <f t="shared" si="4"/>
        <v>184.07629757179316</v>
      </c>
      <c r="E19" s="630">
        <f>MIN(E16*E17,E23)+E18</f>
        <v>239.36138224999993</v>
      </c>
      <c r="F19" s="397">
        <f>F16*F17+F18</f>
        <v>276.46728761863039</v>
      </c>
      <c r="G19" s="397">
        <f t="shared" ref="G19:J19" si="5">G16*G17+G18</f>
        <v>320.20105314063306</v>
      </c>
      <c r="H19" s="397">
        <f t="shared" si="5"/>
        <v>351.38538941576172</v>
      </c>
      <c r="I19" s="397">
        <f t="shared" si="5"/>
        <v>371.36489180416714</v>
      </c>
      <c r="J19" s="397">
        <f t="shared" si="5"/>
        <v>381.50273068887662</v>
      </c>
    </row>
    <row r="20" spans="1:13" s="14" customFormat="1" ht="18" customHeight="1">
      <c r="A20" s="138"/>
      <c r="B20" s="431" t="s">
        <v>901</v>
      </c>
      <c r="C20" s="631">
        <f>C19/'3收入'!C5</f>
        <v>2.8812375978031192E-2</v>
      </c>
      <c r="D20" s="631">
        <f>D19/'3收入'!D5</f>
        <v>2.5199449601929338E-2</v>
      </c>
      <c r="E20" s="631">
        <f>E19/'3收入'!E5</f>
        <v>2.4893087422479417E-2</v>
      </c>
      <c r="F20" s="161">
        <f>F19/'3收入'!F5</f>
        <v>2.3163488161613021E-2</v>
      </c>
      <c r="G20" s="161">
        <f>G19/'3收入'!G5</f>
        <v>2.2642837389710794E-2</v>
      </c>
      <c r="H20" s="161">
        <f>H19/'3收入'!H5</f>
        <v>2.2105020913389225E-2</v>
      </c>
      <c r="I20" s="161">
        <f>I19/'3收入'!I5</f>
        <v>2.2022308581475015E-2</v>
      </c>
      <c r="J20" s="161">
        <f>J19/'3收入'!J5</f>
        <v>2.2148904893248163E-2</v>
      </c>
    </row>
    <row r="21" spans="1:13" ht="31.5" customHeight="1">
      <c r="B21" s="494" t="s">
        <v>679</v>
      </c>
      <c r="C21" s="495"/>
      <c r="D21" s="495"/>
      <c r="E21" s="495"/>
      <c r="F21" s="495"/>
      <c r="G21" s="495"/>
      <c r="H21" s="495"/>
      <c r="I21" s="495"/>
      <c r="J21" s="495"/>
      <c r="L21" s="14"/>
      <c r="M21" s="14"/>
    </row>
    <row r="22" spans="1:13" s="14" customFormat="1" ht="18" customHeight="1">
      <c r="B22" s="28" t="s">
        <v>65</v>
      </c>
      <c r="C22" s="74"/>
      <c r="D22" s="74"/>
      <c r="E22" s="69" t="str">
        <f>E4</f>
        <v>2017年</v>
      </c>
    </row>
    <row r="23" spans="1:13" s="14" customFormat="1" ht="18" customHeight="1">
      <c r="B23" s="431" t="s">
        <v>784</v>
      </c>
      <c r="C23" s="74"/>
      <c r="D23" s="74"/>
      <c r="E23" s="397">
        <f>'2报表调整'!D8</f>
        <v>276.81450999999998</v>
      </c>
    </row>
    <row r="24" spans="1:13" s="14" customFormat="1" ht="18" customHeight="1">
      <c r="B24" s="431" t="s">
        <v>782</v>
      </c>
      <c r="C24" s="74"/>
      <c r="D24" s="74"/>
      <c r="E24" s="605">
        <f>E19</f>
        <v>239.36138224999993</v>
      </c>
    </row>
    <row r="25" spans="1:13" s="14" customFormat="1" ht="18" customHeight="1">
      <c r="B25" s="434" t="s">
        <v>783</v>
      </c>
      <c r="C25" s="74"/>
      <c r="D25" s="74"/>
      <c r="E25" s="429">
        <f>MAX(E23-E24,0)</f>
        <v>37.45312775000005</v>
      </c>
    </row>
    <row r="26" spans="1:13" s="14" customFormat="1" ht="18" customHeight="1"/>
    <row r="27" spans="1:13" s="14" customFormat="1" ht="18" customHeight="1"/>
    <row r="28" spans="1:13" s="14" customFormat="1" ht="18" customHeight="1"/>
    <row r="29" spans="1:13" s="14" customFormat="1" ht="18" customHeight="1"/>
    <row r="30" spans="1:13" s="14" customFormat="1" ht="18" customHeight="1"/>
    <row r="31" spans="1:13" s="14" customFormat="1" ht="18" customHeight="1"/>
    <row r="32" spans="1:13" s="14" customFormat="1" ht="18" customHeight="1"/>
    <row r="33" s="14" customFormat="1" ht="18" customHeight="1"/>
    <row r="34" s="14" customFormat="1" ht="18" customHeight="1"/>
    <row r="35" s="14" customFormat="1" ht="18" customHeight="1"/>
    <row r="36" s="14" customFormat="1" ht="18" customHeight="1"/>
    <row r="37" s="14" customFormat="1" ht="18" customHeight="1"/>
    <row r="38" s="14" customFormat="1" ht="18" customHeight="1"/>
    <row r="39" s="14" customFormat="1" ht="18" customHeight="1"/>
    <row r="40" s="14" customFormat="1" ht="18" customHeight="1"/>
    <row r="41" s="14" customFormat="1" ht="18" customHeight="1"/>
    <row r="42" s="14" customFormat="1" ht="18" customHeight="1"/>
    <row r="43" s="14" customFormat="1" ht="18" customHeight="1"/>
    <row r="44" s="14" customFormat="1" ht="18" customHeight="1"/>
    <row r="45" s="14" customFormat="1" ht="18" customHeight="1"/>
    <row r="46" s="14" customFormat="1" ht="18" customHeight="1"/>
    <row r="47" s="14" customFormat="1" ht="18" customHeight="1"/>
    <row r="48" s="14" customFormat="1" ht="18" customHeight="1"/>
    <row r="49" s="14" customFormat="1" ht="18" customHeight="1"/>
    <row r="50" s="14" customFormat="1" ht="18" customHeight="1"/>
    <row r="51" s="14" customFormat="1" ht="18" customHeight="1"/>
    <row r="52" s="14" customFormat="1" ht="18" customHeight="1"/>
    <row r="53" s="14" customFormat="1" ht="18" customHeight="1"/>
    <row r="54" s="14" customFormat="1" ht="18" customHeight="1"/>
    <row r="55" s="14" customFormat="1" ht="18" customHeight="1"/>
    <row r="56" s="14" customFormat="1" ht="18" customHeight="1"/>
    <row r="57" s="14" customFormat="1" ht="18" customHeight="1"/>
    <row r="58" s="14" customFormat="1" ht="18" customHeight="1"/>
    <row r="59" s="14" customFormat="1" ht="18" customHeight="1"/>
    <row r="60" s="14" customFormat="1" ht="18" customHeight="1"/>
    <row r="61" s="14" customFormat="1" ht="18" customHeight="1"/>
    <row r="62" s="14" customFormat="1" ht="18" customHeight="1"/>
    <row r="63" s="14" customFormat="1" ht="18" customHeight="1"/>
    <row r="64" s="14" customFormat="1" ht="18" customHeight="1"/>
  </sheetData>
  <sheetProtection formatCells="0" formatColumns="0" formatRows="0" insertColumns="0" insertRows="0" deleteColumns="0" deleteRows="0"/>
  <mergeCells count="1">
    <mergeCell ref="B1:J1"/>
  </mergeCells>
  <phoneticPr fontId="6" type="noConversion"/>
  <pageMargins left="0.75" right="0.75" top="1" bottom="1" header="0.5" footer="0.5"/>
  <headerFooter alignWithMargins="0"/>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tabColor rgb="FFFFFF00"/>
  </sheetPr>
  <dimension ref="A1:DZ125"/>
  <sheetViews>
    <sheetView topLeftCell="A34" zoomScaleNormal="100" workbookViewId="0">
      <selection activeCell="J5" sqref="J5"/>
    </sheetView>
  </sheetViews>
  <sheetFormatPr defaultColWidth="9" defaultRowHeight="18" customHeight="1" outlineLevelRow="1"/>
  <cols>
    <col min="1" max="1" width="2.75" style="4" customWidth="1"/>
    <col min="2" max="2" width="20.83203125" style="4" customWidth="1"/>
    <col min="3" max="5" width="9.08203125" style="4" customWidth="1"/>
    <col min="6" max="6" width="9.58203125" style="4" customWidth="1"/>
    <col min="7" max="7" width="9.5" style="4" customWidth="1"/>
    <col min="8" max="8" width="9.5" style="4" bestFit="1" customWidth="1"/>
    <col min="9" max="11" width="10.5" style="4" bestFit="1" customWidth="1"/>
    <col min="12" max="16384" width="9" style="4"/>
  </cols>
  <sheetData>
    <row r="1" spans="1:130" ht="27.75" customHeight="1">
      <c r="A1" s="275"/>
      <c r="B1" s="765" t="s">
        <v>794</v>
      </c>
      <c r="C1" s="765"/>
      <c r="D1" s="765"/>
      <c r="E1" s="765"/>
      <c r="F1" s="765"/>
      <c r="G1" s="765"/>
      <c r="H1" s="765"/>
      <c r="I1" s="765"/>
      <c r="J1" s="765"/>
      <c r="K1" s="495"/>
      <c r="L1" s="14"/>
      <c r="M1" s="14"/>
      <c r="N1" s="14"/>
      <c r="O1" s="14"/>
      <c r="P1" s="14"/>
      <c r="Q1" s="14"/>
      <c r="R1" s="14"/>
      <c r="S1" s="14"/>
      <c r="T1" s="14"/>
      <c r="U1" s="14"/>
      <c r="V1" s="14"/>
      <c r="W1" s="14"/>
      <c r="X1" s="14"/>
    </row>
    <row r="2" spans="1:130" ht="18" customHeight="1">
      <c r="A2" s="276"/>
      <c r="B2" s="265" t="str">
        <f>'1报表'!B11</f>
        <v>评估基准日：2017/12/31</v>
      </c>
      <c r="D2" s="81"/>
      <c r="E2" s="389"/>
      <c r="I2" s="213"/>
      <c r="J2" s="213"/>
      <c r="K2" s="213"/>
      <c r="L2" s="14"/>
      <c r="M2" s="14"/>
      <c r="N2" s="14"/>
      <c r="O2" s="14"/>
      <c r="P2" s="14"/>
      <c r="Q2" s="14"/>
      <c r="R2" s="14"/>
      <c r="S2" s="14"/>
      <c r="T2" s="14"/>
      <c r="U2" s="14"/>
      <c r="V2" s="14"/>
      <c r="W2" s="14"/>
      <c r="X2" s="14"/>
    </row>
    <row r="3" spans="1:130" ht="18" customHeight="1">
      <c r="A3" s="276"/>
      <c r="B3" s="265" t="str">
        <f>'1报表'!B12</f>
        <v>被评估单位：JSBD公司</v>
      </c>
      <c r="J3" s="19" t="s">
        <v>601</v>
      </c>
      <c r="L3" s="14"/>
      <c r="M3" s="252"/>
      <c r="N3" s="14"/>
      <c r="O3" s="14"/>
      <c r="P3" s="14"/>
      <c r="Q3" s="14"/>
      <c r="R3" s="14"/>
      <c r="S3" s="14"/>
      <c r="T3" s="14"/>
      <c r="U3" s="14"/>
      <c r="V3" s="14"/>
      <c r="W3" s="14"/>
      <c r="X3" s="14"/>
    </row>
    <row r="4" spans="1:130" ht="21" customHeight="1">
      <c r="B4" s="28" t="s">
        <v>602</v>
      </c>
      <c r="C4" s="69" t="str">
        <f>'3收入'!C4</f>
        <v>2015年</v>
      </c>
      <c r="D4" s="69" t="str">
        <f>'3收入'!D4</f>
        <v>2016年</v>
      </c>
      <c r="E4" s="69" t="str">
        <f>'3收入'!E4</f>
        <v>2017年</v>
      </c>
      <c r="F4" s="27" t="str">
        <f>'3收入'!F4</f>
        <v>2018年</v>
      </c>
      <c r="G4" s="27" t="str">
        <f>'3收入'!G4</f>
        <v>2019年</v>
      </c>
      <c r="H4" s="27" t="str">
        <f>'3收入'!H4</f>
        <v>2020年</v>
      </c>
      <c r="I4" s="27" t="str">
        <f>'3收入'!I4</f>
        <v>2021年</v>
      </c>
      <c r="J4" s="27" t="str">
        <f>'3收入'!J4</f>
        <v>2022年</v>
      </c>
      <c r="K4" s="612" t="s">
        <v>792</v>
      </c>
      <c r="L4" s="83"/>
      <c r="M4" s="83"/>
      <c r="N4" s="83"/>
      <c r="O4" s="83"/>
      <c r="P4" s="83"/>
      <c r="Q4" s="83"/>
      <c r="R4" s="83"/>
      <c r="S4" s="83"/>
      <c r="T4" s="83"/>
      <c r="U4" s="83"/>
      <c r="V4" s="83"/>
      <c r="W4" s="83"/>
      <c r="X4" s="83"/>
      <c r="Y4" s="82"/>
      <c r="Z4" s="82"/>
      <c r="AA4" s="82"/>
      <c r="AB4" s="82"/>
      <c r="AC4" s="82"/>
      <c r="AD4" s="82"/>
      <c r="AE4" s="82"/>
      <c r="AF4" s="82"/>
      <c r="AG4" s="82"/>
      <c r="AH4" s="82"/>
      <c r="AI4" s="82"/>
      <c r="AJ4" s="82"/>
      <c r="AK4" s="82"/>
      <c r="AL4" s="82"/>
      <c r="AM4" s="82"/>
      <c r="AN4" s="82"/>
      <c r="AO4" s="82"/>
      <c r="AP4" s="82"/>
      <c r="AQ4" s="82"/>
      <c r="AR4" s="82"/>
      <c r="AS4" s="82"/>
      <c r="AT4" s="82"/>
      <c r="AU4" s="82"/>
      <c r="AV4" s="82"/>
      <c r="AW4" s="82"/>
      <c r="AX4" s="82"/>
      <c r="AY4" s="82"/>
      <c r="AZ4" s="82"/>
      <c r="BA4" s="82"/>
      <c r="BB4" s="82"/>
      <c r="BC4" s="82"/>
      <c r="BD4" s="82"/>
      <c r="BE4" s="82"/>
      <c r="BF4" s="82"/>
      <c r="BG4" s="82"/>
      <c r="BH4" s="82"/>
      <c r="BI4" s="82"/>
      <c r="BJ4" s="82"/>
      <c r="BK4" s="82"/>
      <c r="BL4" s="82"/>
      <c r="BM4" s="82"/>
      <c r="BN4" s="82"/>
      <c r="BO4" s="82"/>
      <c r="BP4" s="82"/>
      <c r="BQ4" s="82"/>
      <c r="BR4" s="82"/>
      <c r="BS4" s="82"/>
      <c r="BT4" s="82"/>
      <c r="BU4" s="82"/>
      <c r="BV4" s="82"/>
      <c r="BW4" s="82"/>
      <c r="BX4" s="82"/>
      <c r="BY4" s="82"/>
      <c r="BZ4" s="82"/>
      <c r="CA4" s="82"/>
      <c r="CB4" s="82"/>
      <c r="CC4" s="82"/>
      <c r="CD4" s="82"/>
      <c r="CE4" s="82"/>
      <c r="CF4" s="82"/>
      <c r="CG4" s="82"/>
      <c r="CH4" s="82"/>
      <c r="CI4" s="82"/>
      <c r="CJ4" s="82"/>
      <c r="CK4" s="82"/>
      <c r="CL4" s="82"/>
      <c r="CM4" s="82"/>
      <c r="CN4" s="82"/>
      <c r="CO4" s="82"/>
      <c r="CP4" s="82"/>
      <c r="CQ4" s="82"/>
      <c r="CR4" s="82"/>
      <c r="CS4" s="82"/>
      <c r="CT4" s="82"/>
      <c r="CU4" s="82"/>
      <c r="CV4" s="82"/>
      <c r="CW4" s="82"/>
      <c r="CX4" s="82"/>
      <c r="CY4" s="82"/>
      <c r="CZ4" s="82"/>
      <c r="DA4" s="82"/>
      <c r="DB4" s="82"/>
      <c r="DC4" s="82"/>
      <c r="DD4" s="82"/>
      <c r="DE4" s="82"/>
      <c r="DF4" s="82"/>
      <c r="DG4" s="82"/>
      <c r="DH4" s="82"/>
      <c r="DI4" s="82"/>
      <c r="DJ4" s="82"/>
      <c r="DK4" s="82"/>
      <c r="DL4" s="82"/>
      <c r="DM4" s="82"/>
      <c r="DN4" s="82"/>
      <c r="DO4" s="82"/>
      <c r="DP4" s="82"/>
      <c r="DQ4" s="82"/>
      <c r="DR4" s="82"/>
      <c r="DS4" s="82"/>
      <c r="DT4" s="82"/>
      <c r="DU4" s="82"/>
      <c r="DV4" s="82"/>
      <c r="DW4" s="82"/>
      <c r="DX4" s="82"/>
      <c r="DY4" s="82"/>
      <c r="DZ4" s="82"/>
    </row>
    <row r="5" spans="1:130" ht="18" customHeight="1">
      <c r="A5" s="262"/>
      <c r="B5" s="6" t="s">
        <v>204</v>
      </c>
      <c r="C5" s="58">
        <f>'9溢余现金'!C19</f>
        <v>162.71964674188368</v>
      </c>
      <c r="D5" s="58">
        <f>'9溢余现金'!D19</f>
        <v>184.07629757179316</v>
      </c>
      <c r="E5" s="58">
        <f>'9溢余现金'!E19</f>
        <v>239.36138224999993</v>
      </c>
      <c r="F5" s="58">
        <f>'9溢余现金'!F19</f>
        <v>276.46728761863039</v>
      </c>
      <c r="G5" s="58">
        <f>'9溢余现金'!G19</f>
        <v>320.20105314063306</v>
      </c>
      <c r="H5" s="58">
        <f>'9溢余现金'!H19</f>
        <v>351.38538941576172</v>
      </c>
      <c r="I5" s="58">
        <f>'9溢余现金'!I19</f>
        <v>371.36489180416714</v>
      </c>
      <c r="J5" s="58">
        <f>'9溢余现金'!J19</f>
        <v>381.50273068887662</v>
      </c>
      <c r="K5" s="611" t="s">
        <v>793</v>
      </c>
      <c r="L5" s="83"/>
      <c r="M5" s="83"/>
      <c r="N5" s="83"/>
      <c r="O5" s="83"/>
      <c r="P5" s="83"/>
      <c r="Q5" s="83"/>
      <c r="R5" s="83"/>
      <c r="S5" s="83"/>
      <c r="T5" s="83"/>
      <c r="U5" s="83"/>
      <c r="V5" s="83"/>
      <c r="W5" s="83"/>
      <c r="X5" s="83"/>
      <c r="Y5" s="82"/>
      <c r="Z5" s="82"/>
      <c r="AA5" s="82"/>
      <c r="AB5" s="82"/>
      <c r="AC5" s="82"/>
      <c r="AD5" s="82"/>
      <c r="AE5" s="82"/>
      <c r="AF5" s="82"/>
      <c r="AG5" s="82"/>
      <c r="AH5" s="82"/>
      <c r="AI5" s="82"/>
      <c r="AJ5" s="82"/>
      <c r="AK5" s="82"/>
      <c r="AL5" s="82"/>
      <c r="AM5" s="82"/>
      <c r="AN5" s="82"/>
      <c r="AO5" s="82"/>
      <c r="AP5" s="82"/>
      <c r="AQ5" s="82"/>
      <c r="AR5" s="82"/>
      <c r="AS5" s="82"/>
      <c r="AT5" s="82"/>
      <c r="AU5" s="82"/>
      <c r="AV5" s="82"/>
      <c r="AW5" s="82"/>
      <c r="AX5" s="82"/>
      <c r="AY5" s="82"/>
      <c r="AZ5" s="82"/>
      <c r="BA5" s="82"/>
      <c r="BB5" s="82"/>
      <c r="BC5" s="82"/>
      <c r="BD5" s="82"/>
      <c r="BE5" s="82"/>
      <c r="BF5" s="82"/>
      <c r="BG5" s="82"/>
      <c r="BH5" s="82"/>
      <c r="BI5" s="82"/>
      <c r="BJ5" s="82"/>
      <c r="BK5" s="82"/>
      <c r="BL5" s="82"/>
      <c r="BM5" s="82"/>
      <c r="BN5" s="82"/>
      <c r="BO5" s="82"/>
      <c r="BP5" s="82"/>
      <c r="BQ5" s="82"/>
      <c r="BR5" s="82"/>
      <c r="BS5" s="82"/>
      <c r="BT5" s="82"/>
      <c r="BU5" s="82"/>
      <c r="BV5" s="82"/>
      <c r="BW5" s="82"/>
      <c r="BX5" s="82"/>
      <c r="BY5" s="82"/>
      <c r="BZ5" s="82"/>
      <c r="CA5" s="82"/>
      <c r="CB5" s="82"/>
      <c r="CC5" s="82"/>
      <c r="CD5" s="82"/>
      <c r="CE5" s="82"/>
      <c r="CF5" s="82"/>
      <c r="CG5" s="82"/>
      <c r="CH5" s="82"/>
      <c r="CI5" s="82"/>
      <c r="CJ5" s="82"/>
      <c r="CK5" s="82"/>
      <c r="CL5" s="82"/>
      <c r="CM5" s="82"/>
      <c r="CN5" s="82"/>
      <c r="CO5" s="82"/>
      <c r="CP5" s="82"/>
      <c r="CQ5" s="82"/>
      <c r="CR5" s="82"/>
      <c r="CS5" s="82"/>
      <c r="CT5" s="82"/>
      <c r="CU5" s="82"/>
      <c r="CV5" s="82"/>
      <c r="CW5" s="82"/>
      <c r="CX5" s="82"/>
      <c r="CY5" s="82"/>
      <c r="CZ5" s="82"/>
      <c r="DA5" s="82"/>
      <c r="DB5" s="82"/>
      <c r="DC5" s="82"/>
      <c r="DD5" s="82"/>
      <c r="DE5" s="82"/>
      <c r="DF5" s="82"/>
      <c r="DG5" s="82"/>
      <c r="DH5" s="82"/>
      <c r="DI5" s="82"/>
      <c r="DJ5" s="82"/>
      <c r="DK5" s="82"/>
      <c r="DL5" s="82"/>
      <c r="DM5" s="82"/>
      <c r="DN5" s="82"/>
      <c r="DO5" s="82"/>
      <c r="DP5" s="82"/>
      <c r="DQ5" s="82"/>
      <c r="DR5" s="82"/>
      <c r="DS5" s="82"/>
      <c r="DT5" s="82"/>
      <c r="DU5" s="82"/>
      <c r="DV5" s="82"/>
      <c r="DW5" s="82"/>
      <c r="DX5" s="82"/>
      <c r="DY5" s="82"/>
      <c r="DZ5" s="82"/>
    </row>
    <row r="6" spans="1:130" s="247" customFormat="1" ht="18" customHeight="1" outlineLevel="1">
      <c r="A6" s="145"/>
      <c r="B6" s="496" t="s">
        <v>833</v>
      </c>
      <c r="C6" s="497">
        <f>'1报表'!C18-'2报表调整'!K11</f>
        <v>2177.8959420000001</v>
      </c>
      <c r="D6" s="497">
        <f>'1报表'!D18-'2报表调整'!L11</f>
        <v>2618.1401649999998</v>
      </c>
      <c r="E6" s="497">
        <f>'2报表调整'!G11</f>
        <v>3436.3947279999998</v>
      </c>
      <c r="F6" s="498"/>
      <c r="G6" s="498"/>
      <c r="H6" s="498"/>
      <c r="I6" s="498"/>
      <c r="J6" s="498"/>
      <c r="L6" s="49"/>
      <c r="M6" s="49"/>
      <c r="N6" s="49"/>
      <c r="O6" s="49"/>
      <c r="P6" s="49"/>
      <c r="Q6" s="49"/>
      <c r="R6" s="49"/>
      <c r="S6" s="49"/>
      <c r="T6" s="49"/>
      <c r="U6" s="49"/>
      <c r="V6" s="49"/>
      <c r="W6" s="49"/>
      <c r="X6" s="49"/>
    </row>
    <row r="7" spans="1:130" s="247" customFormat="1" ht="18" customHeight="1" outlineLevel="1">
      <c r="A7" s="145"/>
      <c r="B7" s="420" t="s">
        <v>603</v>
      </c>
      <c r="C7" s="497">
        <f>IF(C41,360*C6/C41,0)</f>
        <v>138.82852422688441</v>
      </c>
      <c r="D7" s="497">
        <f>IF(D41,360*D6/D41,0)</f>
        <v>129.02937055581629</v>
      </c>
      <c r="E7" s="497">
        <f>IF(E41,360*E6/E41,0)</f>
        <v>128.65605340399685</v>
      </c>
      <c r="F7" s="499">
        <v>130</v>
      </c>
      <c r="G7" s="499">
        <f>F7</f>
        <v>130</v>
      </c>
      <c r="H7" s="499">
        <f>G7</f>
        <v>130</v>
      </c>
      <c r="I7" s="499">
        <f>H7</f>
        <v>130</v>
      </c>
      <c r="J7" s="499">
        <f>I7</f>
        <v>130</v>
      </c>
      <c r="L7" s="49"/>
      <c r="M7" s="49"/>
      <c r="N7" s="49"/>
      <c r="O7" s="49"/>
      <c r="P7" s="49"/>
      <c r="Q7" s="49"/>
      <c r="R7" s="49"/>
      <c r="S7" s="49"/>
      <c r="T7" s="49"/>
      <c r="U7" s="49"/>
      <c r="V7" s="49"/>
      <c r="W7" s="49"/>
      <c r="X7" s="49"/>
    </row>
    <row r="8" spans="1:130" s="247" customFormat="1" ht="18" customHeight="1">
      <c r="A8" s="145"/>
      <c r="B8" s="8" t="s">
        <v>834</v>
      </c>
      <c r="C8" s="46">
        <f t="shared" ref="C8:E8" si="0">C6</f>
        <v>2177.8959420000001</v>
      </c>
      <c r="D8" s="46">
        <f t="shared" si="0"/>
        <v>2618.1401649999998</v>
      </c>
      <c r="E8" s="46">
        <f t="shared" si="0"/>
        <v>3436.3947279999998</v>
      </c>
      <c r="F8" s="46">
        <f t="shared" ref="F8:J8" si="1">IF(F6,F6,F41*F7/360)</f>
        <v>4310.0334768788371</v>
      </c>
      <c r="G8" s="46">
        <f t="shared" si="1"/>
        <v>5106.6108053712778</v>
      </c>
      <c r="H8" s="46">
        <f t="shared" si="1"/>
        <v>5740.2871907385615</v>
      </c>
      <c r="I8" s="46">
        <f t="shared" si="1"/>
        <v>6089.4609759427103</v>
      </c>
      <c r="J8" s="46">
        <f t="shared" si="1"/>
        <v>6219.9406984215848</v>
      </c>
      <c r="L8" s="49"/>
      <c r="M8" s="49"/>
      <c r="N8" s="49"/>
      <c r="O8" s="49"/>
      <c r="P8" s="49"/>
      <c r="Q8" s="49"/>
      <c r="R8" s="49"/>
      <c r="S8" s="49"/>
      <c r="T8" s="49"/>
      <c r="U8" s="49"/>
      <c r="V8" s="49"/>
      <c r="W8" s="49"/>
      <c r="X8" s="49"/>
    </row>
    <row r="9" spans="1:130" s="213" customFormat="1" ht="18" customHeight="1" outlineLevel="1">
      <c r="A9" s="146"/>
      <c r="B9" s="500" t="s">
        <v>835</v>
      </c>
      <c r="C9" s="501">
        <f>'1报表'!C19-'2报表调整'!K12</f>
        <v>163.10339500000001</v>
      </c>
      <c r="D9" s="501">
        <f>'1报表'!D19-'2报表调整'!L12</f>
        <v>99.846675000000005</v>
      </c>
      <c r="E9" s="501">
        <f>'2报表调整'!G12</f>
        <v>43.550821999999997</v>
      </c>
      <c r="F9" s="498"/>
      <c r="G9" s="498"/>
      <c r="H9" s="498"/>
      <c r="I9" s="498"/>
      <c r="J9" s="498"/>
      <c r="L9" s="183"/>
      <c r="M9" s="140"/>
      <c r="N9" s="140"/>
      <c r="O9" s="140"/>
      <c r="P9" s="140"/>
      <c r="Q9" s="140"/>
      <c r="R9" s="140"/>
      <c r="S9" s="140"/>
      <c r="T9" s="140"/>
      <c r="U9" s="140"/>
      <c r="V9" s="140"/>
      <c r="W9" s="140"/>
      <c r="X9" s="140"/>
    </row>
    <row r="10" spans="1:130" s="213" customFormat="1" ht="18" customHeight="1" outlineLevel="1">
      <c r="A10" s="146"/>
      <c r="B10" s="421" t="s">
        <v>604</v>
      </c>
      <c r="C10" s="497">
        <f>IF(C42,360*C9/C42,0)</f>
        <v>17.014571834204368</v>
      </c>
      <c r="D10" s="497">
        <f>IF(D42,360*D9/D42,0)</f>
        <v>7.7706963191808445</v>
      </c>
      <c r="E10" s="497">
        <f>IF(E42,360*E9/E42,0)</f>
        <v>2.7205160580585668</v>
      </c>
      <c r="F10" s="251">
        <v>10</v>
      </c>
      <c r="G10" s="499">
        <f>F10</f>
        <v>10</v>
      </c>
      <c r="H10" s="499">
        <f>G10</f>
        <v>10</v>
      </c>
      <c r="I10" s="499">
        <f>H10</f>
        <v>10</v>
      </c>
      <c r="J10" s="499">
        <f>I10</f>
        <v>10</v>
      </c>
      <c r="L10" s="183"/>
      <c r="M10" s="140"/>
      <c r="N10" s="140"/>
      <c r="O10" s="140"/>
      <c r="P10" s="140"/>
      <c r="Q10" s="140"/>
      <c r="R10" s="140"/>
      <c r="S10" s="140"/>
      <c r="T10" s="140"/>
      <c r="U10" s="140"/>
      <c r="V10" s="140"/>
      <c r="W10" s="140"/>
      <c r="X10" s="140"/>
    </row>
    <row r="11" spans="1:130" s="213" customFormat="1" ht="18" customHeight="1">
      <c r="A11" s="146"/>
      <c r="B11" s="502" t="s">
        <v>67</v>
      </c>
      <c r="C11" s="46">
        <f>C9</f>
        <v>163.10339500000001</v>
      </c>
      <c r="D11" s="46">
        <f t="shared" ref="D11" si="2">D9</f>
        <v>99.846675000000005</v>
      </c>
      <c r="E11" s="46">
        <f>E9</f>
        <v>43.550821999999997</v>
      </c>
      <c r="F11" s="46">
        <f t="shared" ref="F11:J11" si="3">IF(F9,F9,F42*F10/360)</f>
        <v>198.92462200979253</v>
      </c>
      <c r="G11" s="46">
        <f t="shared" si="3"/>
        <v>235.68972947867434</v>
      </c>
      <c r="H11" s="46">
        <f t="shared" si="3"/>
        <v>264.93633188024131</v>
      </c>
      <c r="I11" s="46">
        <f t="shared" si="3"/>
        <v>281.05204504350968</v>
      </c>
      <c r="J11" s="46">
        <f t="shared" si="3"/>
        <v>287.07418608099618</v>
      </c>
      <c r="L11" s="183"/>
      <c r="M11" s="140"/>
      <c r="N11" s="140"/>
      <c r="O11" s="140"/>
      <c r="P11" s="140"/>
      <c r="Q11" s="140"/>
      <c r="R11" s="140"/>
      <c r="S11" s="140"/>
      <c r="T11" s="140"/>
      <c r="U11" s="140"/>
      <c r="V11" s="140"/>
      <c r="W11" s="140"/>
      <c r="X11" s="140"/>
    </row>
    <row r="12" spans="1:130" s="247" customFormat="1" ht="18" customHeight="1" outlineLevel="1">
      <c r="A12" s="145"/>
      <c r="B12" s="505" t="s">
        <v>836</v>
      </c>
      <c r="C12" s="497">
        <f>'1报表'!C22-'2报表调整'!K15</f>
        <v>113.81445699999999</v>
      </c>
      <c r="D12" s="497">
        <f>'1报表'!D22-'2报表调整'!L15</f>
        <v>191.70885300000003</v>
      </c>
      <c r="E12" s="497">
        <f>'2报表调整'!G15</f>
        <v>22.319492</v>
      </c>
      <c r="F12" s="503"/>
      <c r="G12" s="503"/>
      <c r="H12" s="503"/>
      <c r="I12" s="503"/>
      <c r="J12" s="503"/>
      <c r="L12" s="49"/>
      <c r="M12" s="49"/>
      <c r="N12" s="49"/>
      <c r="O12" s="49"/>
      <c r="P12" s="49"/>
      <c r="Q12" s="49"/>
      <c r="R12" s="49"/>
      <c r="S12" s="49"/>
      <c r="T12" s="49"/>
      <c r="U12" s="49"/>
      <c r="V12" s="49"/>
      <c r="W12" s="49"/>
      <c r="X12" s="49"/>
    </row>
    <row r="13" spans="1:130" s="247" customFormat="1" ht="18" customHeight="1" outlineLevel="1">
      <c r="A13" s="145"/>
      <c r="B13" s="422" t="s">
        <v>604</v>
      </c>
      <c r="C13" s="497">
        <f>IF(C41,360*C12/C41,0)</f>
        <v>7.2550266503936545</v>
      </c>
      <c r="D13" s="497">
        <f>IF(D41,360*D12/D41,0)</f>
        <v>9.447955828815422</v>
      </c>
      <c r="E13" s="497">
        <f>IF(E41,360*E12/E41,0)</f>
        <v>0.83562511934516059</v>
      </c>
      <c r="F13" s="499">
        <v>7</v>
      </c>
      <c r="G13" s="499">
        <f t="shared" ref="G13:J13" si="4">F13</f>
        <v>7</v>
      </c>
      <c r="H13" s="499">
        <f t="shared" si="4"/>
        <v>7</v>
      </c>
      <c r="I13" s="499">
        <f t="shared" si="4"/>
        <v>7</v>
      </c>
      <c r="J13" s="499">
        <f t="shared" si="4"/>
        <v>7</v>
      </c>
      <c r="L13" s="49"/>
      <c r="M13" s="49"/>
      <c r="N13" s="49"/>
      <c r="O13" s="49"/>
      <c r="P13" s="49"/>
      <c r="Q13" s="49"/>
      <c r="R13" s="49"/>
      <c r="S13" s="49"/>
      <c r="T13" s="49"/>
      <c r="U13" s="49"/>
      <c r="V13" s="49"/>
      <c r="W13" s="49"/>
      <c r="X13" s="49"/>
    </row>
    <row r="14" spans="1:130" s="247" customFormat="1" ht="18" customHeight="1">
      <c r="A14" s="145"/>
      <c r="B14" s="504" t="s">
        <v>68</v>
      </c>
      <c r="C14" s="156">
        <f>C12</f>
        <v>113.81445699999999</v>
      </c>
      <c r="D14" s="156">
        <f t="shared" ref="D14:E14" si="5">D12</f>
        <v>191.70885300000003</v>
      </c>
      <c r="E14" s="156">
        <f t="shared" si="5"/>
        <v>22.319492</v>
      </c>
      <c r="F14" s="156">
        <f t="shared" ref="F14:J14" si="6">IF(F12,F12,F41*F13/360)</f>
        <v>232.07872567809125</v>
      </c>
      <c r="G14" s="156">
        <f t="shared" si="6"/>
        <v>274.97135105845342</v>
      </c>
      <c r="H14" s="156">
        <f t="shared" si="6"/>
        <v>309.09238719361485</v>
      </c>
      <c r="I14" s="156">
        <f t="shared" si="6"/>
        <v>327.89405255076133</v>
      </c>
      <c r="J14" s="156">
        <f t="shared" si="6"/>
        <v>334.91988376116228</v>
      </c>
      <c r="K14" s="213"/>
      <c r="L14" s="140"/>
      <c r="M14" s="49"/>
      <c r="N14" s="49"/>
      <c r="O14" s="49"/>
      <c r="P14" s="49"/>
      <c r="Q14" s="49"/>
      <c r="R14" s="49"/>
      <c r="S14" s="49"/>
      <c r="T14" s="49"/>
      <c r="U14" s="49"/>
      <c r="V14" s="49"/>
      <c r="W14" s="49"/>
      <c r="X14" s="49"/>
    </row>
    <row r="15" spans="1:130" s="250" customFormat="1" ht="18" customHeight="1" outlineLevel="1">
      <c r="A15" s="145"/>
      <c r="B15" s="505" t="s">
        <v>837</v>
      </c>
      <c r="C15" s="501">
        <f>'1报表'!C23-'2报表调整'!K16</f>
        <v>879.7490130000001</v>
      </c>
      <c r="D15" s="501">
        <f>'1报表'!D23-'2报表调整'!L16</f>
        <v>1054.9352279999998</v>
      </c>
      <c r="E15" s="501">
        <f>'2报表调整'!G16</f>
        <v>1331.2815390000001</v>
      </c>
      <c r="F15" s="506"/>
      <c r="G15" s="506"/>
      <c r="H15" s="506"/>
      <c r="I15" s="506"/>
      <c r="J15" s="506"/>
      <c r="K15" s="213"/>
      <c r="L15" s="183"/>
      <c r="M15" s="140"/>
      <c r="N15" s="140"/>
      <c r="O15" s="140"/>
      <c r="P15" s="140"/>
      <c r="Q15" s="140"/>
      <c r="R15" s="140"/>
      <c r="S15" s="140"/>
      <c r="T15" s="140"/>
      <c r="U15" s="140"/>
      <c r="V15" s="140"/>
      <c r="W15" s="140"/>
      <c r="X15" s="140"/>
      <c r="Y15" s="213"/>
      <c r="Z15" s="213"/>
      <c r="AA15" s="213"/>
      <c r="AB15" s="213"/>
      <c r="AC15" s="213"/>
      <c r="AD15" s="213"/>
      <c r="AE15" s="213"/>
      <c r="AF15" s="213"/>
      <c r="AG15" s="213"/>
      <c r="AH15" s="213"/>
    </row>
    <row r="16" spans="1:130" s="250" customFormat="1" ht="18" customHeight="1" outlineLevel="1">
      <c r="A16" s="145"/>
      <c r="B16" s="423" t="s">
        <v>605</v>
      </c>
      <c r="C16" s="497">
        <f>IF(C42,360*C15/C42,0)</f>
        <v>91.773397958754273</v>
      </c>
      <c r="D16" s="497">
        <f>IF(D42,360*D15/D42,0)</f>
        <v>82.101695356343157</v>
      </c>
      <c r="E16" s="497">
        <f>IF(E42,360*E15/E42,0)</f>
        <v>83.161984971177404</v>
      </c>
      <c r="F16" s="499">
        <v>85</v>
      </c>
      <c r="G16" s="499">
        <f>F16</f>
        <v>85</v>
      </c>
      <c r="H16" s="499">
        <f>G16</f>
        <v>85</v>
      </c>
      <c r="I16" s="499">
        <f>H16</f>
        <v>85</v>
      </c>
      <c r="J16" s="499">
        <f>I16</f>
        <v>85</v>
      </c>
      <c r="K16" s="213"/>
      <c r="L16" s="183"/>
      <c r="M16" s="140"/>
      <c r="N16" s="140"/>
      <c r="O16" s="140"/>
      <c r="P16" s="140"/>
      <c r="Q16" s="140"/>
      <c r="R16" s="140"/>
      <c r="S16" s="140"/>
      <c r="T16" s="140"/>
      <c r="U16" s="140"/>
      <c r="V16" s="140"/>
      <c r="W16" s="140"/>
      <c r="X16" s="140"/>
      <c r="Y16" s="213"/>
      <c r="Z16" s="213"/>
      <c r="AA16" s="213"/>
      <c r="AB16" s="213"/>
      <c r="AC16" s="213"/>
      <c r="AD16" s="213"/>
      <c r="AE16" s="213"/>
      <c r="AF16" s="213"/>
      <c r="AG16" s="213"/>
      <c r="AH16" s="213"/>
    </row>
    <row r="17" spans="1:130" s="250" customFormat="1" ht="18" customHeight="1">
      <c r="A17" s="145"/>
      <c r="B17" s="504" t="s">
        <v>712</v>
      </c>
      <c r="C17" s="46">
        <f t="shared" ref="C17:E17" si="7">C15</f>
        <v>879.7490130000001</v>
      </c>
      <c r="D17" s="46">
        <f t="shared" si="7"/>
        <v>1054.9352279999998</v>
      </c>
      <c r="E17" s="46">
        <f t="shared" si="7"/>
        <v>1331.2815390000001</v>
      </c>
      <c r="F17" s="46">
        <f t="shared" ref="F17:J17" si="8">IF(F15,F15,F42*F16/360)</f>
        <v>1690.8592870832363</v>
      </c>
      <c r="G17" s="46">
        <f t="shared" si="8"/>
        <v>2003.362700568732</v>
      </c>
      <c r="H17" s="46">
        <f t="shared" si="8"/>
        <v>2251.9588209820508</v>
      </c>
      <c r="I17" s="46">
        <f t="shared" si="8"/>
        <v>2388.9423828698323</v>
      </c>
      <c r="J17" s="46">
        <f t="shared" si="8"/>
        <v>2440.1305816884678</v>
      </c>
      <c r="K17" s="213"/>
      <c r="L17" s="183"/>
      <c r="M17" s="140"/>
      <c r="N17" s="140"/>
      <c r="O17" s="140"/>
      <c r="P17" s="140"/>
      <c r="Q17" s="140"/>
      <c r="R17" s="140"/>
      <c r="S17" s="140"/>
      <c r="T17" s="140"/>
      <c r="U17" s="140"/>
      <c r="V17" s="140"/>
      <c r="W17" s="140"/>
      <c r="X17" s="140"/>
      <c r="Y17" s="213"/>
      <c r="Z17" s="213"/>
      <c r="AA17" s="213"/>
      <c r="AB17" s="213"/>
      <c r="AC17" s="213"/>
      <c r="AD17" s="213"/>
      <c r="AE17" s="213"/>
      <c r="AF17" s="213"/>
      <c r="AG17" s="213"/>
      <c r="AH17" s="213"/>
    </row>
    <row r="18" spans="1:130" s="250" customFormat="1" ht="18" customHeight="1">
      <c r="A18" s="145"/>
      <c r="B18" s="504" t="s">
        <v>489</v>
      </c>
      <c r="C18" s="46">
        <f>'1报表'!C24-'2报表调整'!K17</f>
        <v>0</v>
      </c>
      <c r="D18" s="46">
        <f>'1报表'!D24-'2报表调整'!L17</f>
        <v>0</v>
      </c>
      <c r="E18" s="46">
        <f>'2报表调整'!G17</f>
        <v>0</v>
      </c>
      <c r="F18" s="240"/>
      <c r="G18" s="240"/>
      <c r="H18" s="240"/>
      <c r="I18" s="240"/>
      <c r="J18" s="240"/>
      <c r="K18" s="213"/>
      <c r="L18" s="183"/>
      <c r="M18" s="140"/>
      <c r="N18" s="140"/>
      <c r="O18" s="140"/>
      <c r="P18" s="140"/>
      <c r="Q18" s="140"/>
      <c r="R18" s="140"/>
      <c r="S18" s="140"/>
      <c r="T18" s="140"/>
      <c r="U18" s="140"/>
      <c r="V18" s="140"/>
      <c r="W18" s="140"/>
      <c r="X18" s="140"/>
      <c r="Y18" s="213"/>
      <c r="Z18" s="213"/>
      <c r="AA18" s="213"/>
      <c r="AB18" s="213"/>
      <c r="AC18" s="213"/>
      <c r="AD18" s="213"/>
      <c r="AE18" s="213"/>
      <c r="AF18" s="213"/>
      <c r="AG18" s="213"/>
      <c r="AH18" s="213"/>
    </row>
    <row r="19" spans="1:130" ht="18" customHeight="1">
      <c r="A19" s="262"/>
      <c r="B19" s="6" t="s">
        <v>838</v>
      </c>
      <c r="C19" s="46">
        <f>'1报表'!C26-'2报表调整'!K19</f>
        <v>0</v>
      </c>
      <c r="D19" s="46">
        <f>'1报表'!D26-'2报表调整'!L19</f>
        <v>0</v>
      </c>
      <c r="E19" s="46">
        <f>'2报表调整'!G19</f>
        <v>0</v>
      </c>
      <c r="F19" s="240"/>
      <c r="G19" s="240"/>
      <c r="H19" s="240"/>
      <c r="I19" s="240"/>
      <c r="J19" s="240"/>
      <c r="K19" s="82"/>
      <c r="L19" s="83"/>
      <c r="M19" s="83"/>
      <c r="N19" s="83"/>
      <c r="O19" s="83"/>
      <c r="P19" s="83"/>
      <c r="Q19" s="83"/>
      <c r="R19" s="83"/>
      <c r="S19" s="83"/>
      <c r="T19" s="83"/>
      <c r="U19" s="83"/>
      <c r="V19" s="83"/>
      <c r="W19" s="83"/>
      <c r="X19" s="83"/>
      <c r="Y19" s="82"/>
      <c r="Z19" s="82"/>
      <c r="AA19" s="82"/>
      <c r="AB19" s="82"/>
      <c r="AC19" s="82"/>
      <c r="AD19" s="82"/>
      <c r="AE19" s="82"/>
      <c r="AF19" s="82"/>
      <c r="AG19" s="82"/>
      <c r="AH19" s="82"/>
      <c r="AI19" s="82"/>
      <c r="AJ19" s="82"/>
      <c r="AK19" s="82"/>
      <c r="AL19" s="82"/>
      <c r="AM19" s="82"/>
      <c r="AN19" s="82"/>
      <c r="AO19" s="82"/>
      <c r="AP19" s="82"/>
      <c r="AQ19" s="82"/>
      <c r="AR19" s="82"/>
      <c r="AS19" s="82"/>
      <c r="AT19" s="82"/>
      <c r="AU19" s="82"/>
      <c r="AV19" s="82"/>
      <c r="AW19" s="82"/>
      <c r="AX19" s="82"/>
      <c r="AY19" s="82"/>
      <c r="AZ19" s="82"/>
      <c r="BA19" s="82"/>
      <c r="BB19" s="82"/>
      <c r="BC19" s="82"/>
      <c r="BD19" s="82"/>
      <c r="BE19" s="82"/>
      <c r="BF19" s="82"/>
      <c r="BG19" s="82"/>
      <c r="BH19" s="82"/>
      <c r="BI19" s="82"/>
      <c r="BJ19" s="82"/>
      <c r="BK19" s="82"/>
      <c r="BL19" s="82"/>
      <c r="BM19" s="82"/>
      <c r="BN19" s="82"/>
      <c r="BO19" s="82"/>
      <c r="BP19" s="82"/>
      <c r="BQ19" s="82"/>
      <c r="BR19" s="82"/>
      <c r="BS19" s="82"/>
      <c r="BT19" s="82"/>
      <c r="BU19" s="82"/>
      <c r="BV19" s="82"/>
      <c r="BW19" s="82"/>
      <c r="BX19" s="82"/>
      <c r="BY19" s="82"/>
      <c r="BZ19" s="82"/>
      <c r="CA19" s="82"/>
      <c r="CB19" s="82"/>
      <c r="CC19" s="82"/>
      <c r="CD19" s="82"/>
      <c r="CE19" s="82"/>
      <c r="CF19" s="82"/>
      <c r="CG19" s="82"/>
      <c r="CH19" s="82"/>
      <c r="CI19" s="82"/>
      <c r="CJ19" s="82"/>
      <c r="CK19" s="82"/>
      <c r="CL19" s="82"/>
      <c r="CM19" s="82"/>
      <c r="CN19" s="82"/>
      <c r="CO19" s="82"/>
      <c r="CP19" s="82"/>
      <c r="CQ19" s="82"/>
      <c r="CR19" s="82"/>
      <c r="CS19" s="82"/>
      <c r="CT19" s="82"/>
      <c r="CU19" s="82"/>
      <c r="CV19" s="82"/>
      <c r="CW19" s="82"/>
      <c r="CX19" s="82"/>
      <c r="CY19" s="82"/>
      <c r="CZ19" s="82"/>
      <c r="DA19" s="82"/>
      <c r="DB19" s="82"/>
      <c r="DC19" s="82"/>
      <c r="DD19" s="82"/>
      <c r="DE19" s="82"/>
      <c r="DF19" s="82"/>
      <c r="DG19" s="82"/>
      <c r="DH19" s="82"/>
      <c r="DI19" s="82"/>
      <c r="DJ19" s="82"/>
      <c r="DK19" s="82"/>
      <c r="DL19" s="82"/>
      <c r="DM19" s="82"/>
      <c r="DN19" s="82"/>
      <c r="DO19" s="82"/>
      <c r="DP19" s="82"/>
      <c r="DQ19" s="82"/>
      <c r="DR19" s="82"/>
      <c r="DS19" s="82"/>
      <c r="DT19" s="82"/>
      <c r="DU19" s="82"/>
      <c r="DV19" s="82"/>
      <c r="DW19" s="82"/>
      <c r="DX19" s="82"/>
      <c r="DY19" s="82"/>
      <c r="DZ19" s="82"/>
    </row>
    <row r="20" spans="1:130" ht="18" customHeight="1">
      <c r="A20" s="262"/>
      <c r="B20" s="6" t="s">
        <v>839</v>
      </c>
      <c r="C20" s="46">
        <f>'1报表'!C27-'2报表调整'!K20</f>
        <v>34.793744000000004</v>
      </c>
      <c r="D20" s="46">
        <f>'1报表'!D27-'2报表调整'!L20</f>
        <v>21.197217999999999</v>
      </c>
      <c r="E20" s="46">
        <f>'2报表调整'!G20</f>
        <v>85.058660000000017</v>
      </c>
      <c r="F20" s="240">
        <f>E20</f>
        <v>85.058660000000017</v>
      </c>
      <c r="G20" s="240">
        <f t="shared" ref="G20:J20" si="9">F20</f>
        <v>85.058660000000017</v>
      </c>
      <c r="H20" s="240">
        <f t="shared" si="9"/>
        <v>85.058660000000017</v>
      </c>
      <c r="I20" s="240">
        <f t="shared" si="9"/>
        <v>85.058660000000017</v>
      </c>
      <c r="J20" s="240">
        <f t="shared" si="9"/>
        <v>85.058660000000017</v>
      </c>
      <c r="L20" s="83"/>
      <c r="M20" s="83"/>
      <c r="N20" s="83"/>
      <c r="O20" s="83"/>
      <c r="P20" s="83"/>
      <c r="Q20" s="83"/>
      <c r="R20" s="83"/>
      <c r="S20" s="83"/>
      <c r="T20" s="83"/>
      <c r="U20" s="83"/>
      <c r="V20" s="83"/>
      <c r="W20" s="83"/>
      <c r="X20" s="83"/>
      <c r="Y20" s="82"/>
      <c r="Z20" s="82"/>
      <c r="AA20" s="82"/>
      <c r="AB20" s="82"/>
      <c r="AC20" s="82"/>
      <c r="AD20" s="82"/>
      <c r="AE20" s="82"/>
      <c r="AF20" s="82"/>
      <c r="AG20" s="82"/>
      <c r="AH20" s="82"/>
      <c r="AI20" s="82"/>
      <c r="AJ20" s="82"/>
      <c r="AK20" s="82"/>
      <c r="AL20" s="82"/>
      <c r="AM20" s="82"/>
      <c r="AN20" s="82"/>
      <c r="AO20" s="82"/>
      <c r="AP20" s="82"/>
      <c r="AQ20" s="82"/>
      <c r="AR20" s="82"/>
      <c r="AS20" s="82"/>
      <c r="AT20" s="82"/>
      <c r="AU20" s="82"/>
      <c r="AV20" s="82"/>
      <c r="AW20" s="82"/>
      <c r="AX20" s="82"/>
      <c r="AY20" s="82"/>
      <c r="AZ20" s="82"/>
      <c r="BA20" s="82"/>
      <c r="BB20" s="82"/>
      <c r="BC20" s="82"/>
      <c r="BD20" s="82"/>
      <c r="BE20" s="82"/>
      <c r="BF20" s="82"/>
      <c r="BG20" s="82"/>
      <c r="BH20" s="82"/>
      <c r="BI20" s="82"/>
      <c r="BJ20" s="82"/>
      <c r="BK20" s="82"/>
      <c r="BL20" s="82"/>
      <c r="BM20" s="82"/>
      <c r="BN20" s="82"/>
      <c r="BO20" s="82"/>
      <c r="BP20" s="82"/>
      <c r="BQ20" s="82"/>
      <c r="BR20" s="82"/>
      <c r="BS20" s="82"/>
      <c r="BT20" s="82"/>
      <c r="BU20" s="82"/>
      <c r="BV20" s="82"/>
      <c r="BW20" s="82"/>
      <c r="BX20" s="82"/>
      <c r="BY20" s="82"/>
      <c r="BZ20" s="82"/>
      <c r="CA20" s="82"/>
      <c r="CB20" s="82"/>
      <c r="CC20" s="82"/>
      <c r="CD20" s="82"/>
      <c r="CE20" s="82"/>
      <c r="CF20" s="82"/>
      <c r="CG20" s="82"/>
      <c r="CH20" s="82"/>
      <c r="CI20" s="82"/>
      <c r="CJ20" s="82"/>
      <c r="CK20" s="82"/>
      <c r="CL20" s="82"/>
      <c r="CM20" s="82"/>
      <c r="CN20" s="82"/>
      <c r="CO20" s="82"/>
      <c r="CP20" s="82"/>
      <c r="CQ20" s="82"/>
      <c r="CR20" s="82"/>
      <c r="CS20" s="82"/>
      <c r="CT20" s="82"/>
      <c r="CU20" s="82"/>
      <c r="CV20" s="82"/>
      <c r="CW20" s="82"/>
      <c r="CX20" s="82"/>
      <c r="CY20" s="82"/>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row>
    <row r="21" spans="1:130" ht="18" customHeight="1">
      <c r="A21" s="262"/>
      <c r="B21" s="43" t="s">
        <v>716</v>
      </c>
      <c r="C21" s="59">
        <f t="shared" ref="C21:D21" si="10">C5+C8+C11+C14+C17+C18+C19+C20</f>
        <v>3532.0761977418838</v>
      </c>
      <c r="D21" s="59">
        <f t="shared" si="10"/>
        <v>4169.9044365717937</v>
      </c>
      <c r="E21" s="59">
        <f>E5+E8+E11+E14+E17+E18+E19+E20</f>
        <v>5157.9666232499994</v>
      </c>
      <c r="F21" s="59">
        <f t="shared" ref="F21:J21" si="11">F5+F8+F11+F14+F17+F18+F19+F20</f>
        <v>6793.4220592685879</v>
      </c>
      <c r="G21" s="59">
        <f t="shared" si="11"/>
        <v>8025.8942996177702</v>
      </c>
      <c r="H21" s="59">
        <f t="shared" si="11"/>
        <v>9002.7187802102308</v>
      </c>
      <c r="I21" s="59">
        <f t="shared" si="11"/>
        <v>9543.7730082109811</v>
      </c>
      <c r="J21" s="59">
        <f t="shared" si="11"/>
        <v>9748.626740641088</v>
      </c>
      <c r="L21" s="83"/>
      <c r="M21" s="83"/>
      <c r="N21" s="83"/>
      <c r="O21" s="83"/>
      <c r="P21" s="83"/>
      <c r="Q21" s="83"/>
      <c r="R21" s="83"/>
      <c r="S21" s="83"/>
      <c r="T21" s="83"/>
      <c r="U21" s="83"/>
      <c r="V21" s="83"/>
      <c r="W21" s="83"/>
      <c r="X21" s="83"/>
      <c r="Y21" s="82"/>
      <c r="Z21" s="82"/>
      <c r="AA21" s="82"/>
      <c r="AB21" s="82"/>
      <c r="AC21" s="82"/>
      <c r="AD21" s="82"/>
      <c r="AE21" s="82"/>
      <c r="AF21" s="82"/>
      <c r="AG21" s="82"/>
      <c r="AH21" s="82"/>
      <c r="AI21" s="82"/>
      <c r="AJ21" s="82"/>
      <c r="AK21" s="82"/>
      <c r="AL21" s="82"/>
      <c r="AM21" s="82"/>
      <c r="AN21" s="82"/>
      <c r="AO21" s="82"/>
      <c r="AP21" s="82"/>
      <c r="AQ21" s="82"/>
      <c r="AR21" s="82"/>
      <c r="AS21" s="82"/>
      <c r="AT21" s="82"/>
      <c r="AU21" s="82"/>
      <c r="AV21" s="82"/>
      <c r="AW21" s="82"/>
      <c r="AX21" s="82"/>
      <c r="AY21" s="82"/>
      <c r="AZ21" s="82"/>
      <c r="BA21" s="82"/>
      <c r="BB21" s="82"/>
      <c r="BC21" s="82"/>
      <c r="BD21" s="82"/>
      <c r="BE21" s="82"/>
      <c r="BF21" s="82"/>
      <c r="BG21" s="82"/>
      <c r="BH21" s="82"/>
      <c r="BI21" s="82"/>
      <c r="BJ21" s="82"/>
      <c r="BK21" s="82"/>
      <c r="BL21" s="82"/>
      <c r="BM21" s="82"/>
      <c r="BN21" s="82"/>
      <c r="BO21" s="82"/>
      <c r="BP21" s="82"/>
      <c r="BQ21" s="82"/>
      <c r="BR21" s="82"/>
      <c r="BS21" s="82"/>
      <c r="BT21" s="82"/>
      <c r="BU21" s="82"/>
      <c r="BV21" s="82"/>
      <c r="BW21" s="82"/>
      <c r="BX21" s="82"/>
      <c r="BY21" s="82"/>
      <c r="BZ21" s="82"/>
      <c r="CA21" s="82"/>
      <c r="CB21" s="82"/>
      <c r="CC21" s="82"/>
      <c r="CD21" s="82"/>
      <c r="CE21" s="82"/>
      <c r="CF21" s="82"/>
      <c r="CG21" s="82"/>
      <c r="CH21" s="82"/>
      <c r="CI21" s="82"/>
      <c r="CJ21" s="82"/>
      <c r="CK21" s="82"/>
      <c r="CL21" s="82"/>
      <c r="CM21" s="82"/>
      <c r="CN21" s="82"/>
      <c r="CO21" s="82"/>
      <c r="CP21" s="82"/>
      <c r="CQ21" s="82"/>
      <c r="CR21" s="82"/>
      <c r="CS21" s="82"/>
      <c r="CT21" s="82"/>
      <c r="CU21" s="82"/>
      <c r="CV21" s="82"/>
      <c r="CW21" s="82"/>
      <c r="CX21" s="82"/>
      <c r="CY21" s="82"/>
      <c r="CZ21" s="82"/>
      <c r="DA21" s="82"/>
      <c r="DB21" s="82"/>
      <c r="DC21" s="82"/>
      <c r="DD21" s="82"/>
      <c r="DE21" s="82"/>
      <c r="DF21" s="82"/>
      <c r="DG21" s="82"/>
      <c r="DH21" s="82"/>
      <c r="DI21" s="82"/>
      <c r="DJ21" s="82"/>
      <c r="DK21" s="82"/>
      <c r="DL21" s="82"/>
      <c r="DM21" s="82"/>
      <c r="DN21" s="82"/>
      <c r="DO21" s="82"/>
      <c r="DP21" s="82"/>
      <c r="DQ21" s="82"/>
      <c r="DR21" s="82"/>
      <c r="DS21" s="82"/>
      <c r="DT21" s="82"/>
      <c r="DU21" s="82"/>
      <c r="DV21" s="82"/>
      <c r="DW21" s="82"/>
      <c r="DX21" s="82"/>
      <c r="DY21" s="82"/>
      <c r="DZ21" s="82"/>
    </row>
    <row r="22" spans="1:130" s="82" customFormat="1" ht="18" customHeight="1">
      <c r="A22" s="262"/>
      <c r="B22" s="177"/>
      <c r="C22" s="507"/>
      <c r="D22" s="508"/>
      <c r="E22" s="507"/>
      <c r="F22" s="507"/>
      <c r="G22" s="507"/>
      <c r="H22" s="507"/>
      <c r="I22" s="507"/>
      <c r="J22" s="507"/>
      <c r="L22" s="83"/>
      <c r="T22" s="83"/>
      <c r="U22" s="83"/>
      <c r="V22" s="83"/>
      <c r="W22" s="83"/>
      <c r="X22" s="83"/>
    </row>
    <row r="23" spans="1:130" s="213" customFormat="1" ht="18" customHeight="1" outlineLevel="1">
      <c r="A23" s="146"/>
      <c r="B23" s="496" t="s">
        <v>840</v>
      </c>
      <c r="C23" s="501">
        <f>'1报表'!C55-'2报表调整'!K48</f>
        <v>417.61031500000001</v>
      </c>
      <c r="D23" s="501">
        <f>'1报表'!D55-'2报表调整'!L48</f>
        <v>1037.9280119999999</v>
      </c>
      <c r="E23" s="501">
        <f>'2报表调整'!G48</f>
        <v>1257.6973660000001</v>
      </c>
      <c r="F23" s="499"/>
      <c r="G23" s="499"/>
      <c r="H23" s="499"/>
      <c r="I23" s="499"/>
      <c r="J23" s="499"/>
      <c r="L23" s="259"/>
      <c r="M23" s="140"/>
      <c r="N23" s="140"/>
      <c r="O23" s="140"/>
      <c r="P23" s="140"/>
      <c r="Q23" s="140"/>
      <c r="R23" s="140"/>
      <c r="S23" s="140"/>
      <c r="T23" s="140"/>
      <c r="U23" s="140"/>
      <c r="V23" s="140"/>
      <c r="W23" s="140"/>
      <c r="X23" s="140"/>
    </row>
    <row r="24" spans="1:130" s="213" customFormat="1" ht="18" customHeight="1" outlineLevel="1">
      <c r="A24" s="146"/>
      <c r="B24" s="420" t="s">
        <v>604</v>
      </c>
      <c r="C24" s="497">
        <f>IF(C42,360*C23/C42,0)</f>
        <v>43.564149619768571</v>
      </c>
      <c r="D24" s="497">
        <f>IF(D42,360*D23/D42,0)</f>
        <v>80.778086825856647</v>
      </c>
      <c r="E24" s="497">
        <f>IF(E42,360*E23/E42,0)</f>
        <v>78.565357052984282</v>
      </c>
      <c r="F24" s="499">
        <v>70</v>
      </c>
      <c r="G24" s="499">
        <f>F24</f>
        <v>70</v>
      </c>
      <c r="H24" s="499">
        <f>G24</f>
        <v>70</v>
      </c>
      <c r="I24" s="499">
        <f>H24</f>
        <v>70</v>
      </c>
      <c r="J24" s="499">
        <f>I24</f>
        <v>70</v>
      </c>
      <c r="L24" s="259"/>
      <c r="M24" s="140"/>
      <c r="N24" s="140"/>
      <c r="O24" s="140"/>
      <c r="P24" s="140"/>
      <c r="Q24" s="140"/>
      <c r="R24" s="140"/>
      <c r="S24" s="140"/>
      <c r="T24" s="140"/>
      <c r="U24" s="140"/>
      <c r="V24" s="140"/>
      <c r="W24" s="140"/>
      <c r="X24" s="140"/>
    </row>
    <row r="25" spans="1:130" s="213" customFormat="1" ht="18" customHeight="1">
      <c r="A25" s="146"/>
      <c r="B25" s="8" t="s">
        <v>841</v>
      </c>
      <c r="C25" s="46">
        <f t="shared" ref="C25:E25" si="12">C23</f>
        <v>417.61031500000001</v>
      </c>
      <c r="D25" s="46">
        <f t="shared" si="12"/>
        <v>1037.9280119999999</v>
      </c>
      <c r="E25" s="46">
        <f t="shared" si="12"/>
        <v>1257.6973660000001</v>
      </c>
      <c r="F25" s="46">
        <f t="shared" ref="F25:J25" si="13">IF(F23,F23,F42*F24/360)</f>
        <v>1392.4723540685477</v>
      </c>
      <c r="G25" s="46">
        <f t="shared" si="13"/>
        <v>1649.8281063507204</v>
      </c>
      <c r="H25" s="46">
        <f t="shared" si="13"/>
        <v>1854.5543231616889</v>
      </c>
      <c r="I25" s="46">
        <f t="shared" si="13"/>
        <v>1967.364315304568</v>
      </c>
      <c r="J25" s="46">
        <f t="shared" si="13"/>
        <v>2009.5193025669732</v>
      </c>
      <c r="L25" s="259"/>
      <c r="M25" s="140"/>
      <c r="N25" s="140"/>
      <c r="O25" s="140"/>
      <c r="P25" s="140"/>
      <c r="Q25" s="140"/>
      <c r="R25" s="140"/>
      <c r="S25" s="140"/>
      <c r="T25" s="140"/>
      <c r="U25" s="140"/>
      <c r="V25" s="140"/>
      <c r="W25" s="140"/>
      <c r="X25" s="140"/>
    </row>
    <row r="26" spans="1:130" s="213" customFormat="1" ht="18" customHeight="1" outlineLevel="1">
      <c r="A26" s="146"/>
      <c r="B26" s="500" t="s">
        <v>842</v>
      </c>
      <c r="C26" s="501">
        <f>'1报表'!C56-'2报表调整'!K49</f>
        <v>131.76531799999998</v>
      </c>
      <c r="D26" s="501">
        <f>'1报表'!D56-'2报表调整'!L49</f>
        <v>195.99938799999998</v>
      </c>
      <c r="E26" s="501">
        <f>'2报表调整'!G49</f>
        <v>351.096362</v>
      </c>
      <c r="F26" s="506"/>
      <c r="G26" s="506"/>
      <c r="H26" s="506"/>
      <c r="I26" s="506"/>
      <c r="J26" s="506"/>
      <c r="L26" s="259"/>
      <c r="M26" s="140"/>
      <c r="N26" s="140"/>
      <c r="O26" s="140"/>
      <c r="P26" s="140"/>
      <c r="Q26" s="140"/>
      <c r="R26" s="140"/>
      <c r="S26" s="140"/>
      <c r="T26" s="140"/>
      <c r="U26" s="140"/>
      <c r="V26" s="140"/>
      <c r="W26" s="140"/>
      <c r="X26" s="140"/>
    </row>
    <row r="27" spans="1:130" s="213" customFormat="1" ht="18" customHeight="1" outlineLevel="1">
      <c r="A27" s="146"/>
      <c r="B27" s="424" t="s">
        <v>605</v>
      </c>
      <c r="C27" s="497">
        <f>IF(C41,360*C26/C41,0)</f>
        <v>8.3992923121145715</v>
      </c>
      <c r="D27" s="497">
        <f>IF(D41,360*D26/D41,0)</f>
        <v>9.6594055585886522</v>
      </c>
      <c r="E27" s="497">
        <f>IF(E41,360*E26/E41,0)</f>
        <v>13.144785705602157</v>
      </c>
      <c r="F27" s="499">
        <v>9</v>
      </c>
      <c r="G27" s="499">
        <f>F27</f>
        <v>9</v>
      </c>
      <c r="H27" s="499">
        <f>G27</f>
        <v>9</v>
      </c>
      <c r="I27" s="499">
        <f>H27</f>
        <v>9</v>
      </c>
      <c r="J27" s="499">
        <f>I27</f>
        <v>9</v>
      </c>
      <c r="L27" s="259"/>
      <c r="M27" s="140"/>
      <c r="N27" s="140"/>
      <c r="O27" s="140"/>
      <c r="P27" s="140"/>
      <c r="Q27" s="140"/>
      <c r="R27" s="140"/>
      <c r="S27" s="140"/>
      <c r="T27" s="140"/>
      <c r="U27" s="140"/>
      <c r="V27" s="140"/>
      <c r="W27" s="140"/>
      <c r="X27" s="140"/>
    </row>
    <row r="28" spans="1:130" s="213" customFormat="1" ht="18" customHeight="1">
      <c r="A28" s="146"/>
      <c r="B28" s="502" t="s">
        <v>728</v>
      </c>
      <c r="C28" s="46">
        <f t="shared" ref="C28:E28" si="14">C26</f>
        <v>131.76531799999998</v>
      </c>
      <c r="D28" s="46">
        <f t="shared" si="14"/>
        <v>195.99938799999998</v>
      </c>
      <c r="E28" s="46">
        <f t="shared" si="14"/>
        <v>351.096362</v>
      </c>
      <c r="F28" s="46">
        <f t="shared" ref="F28:J28" si="15">IF(F26,F26,F41*F27/360)</f>
        <v>298.38693301468874</v>
      </c>
      <c r="G28" s="46">
        <f t="shared" si="15"/>
        <v>353.53459421801159</v>
      </c>
      <c r="H28" s="46">
        <f t="shared" si="15"/>
        <v>397.40449782036188</v>
      </c>
      <c r="I28" s="46">
        <f t="shared" si="15"/>
        <v>421.57806756526458</v>
      </c>
      <c r="J28" s="46">
        <f t="shared" si="15"/>
        <v>430.61127912149436</v>
      </c>
      <c r="L28" s="140"/>
      <c r="M28" s="140"/>
      <c r="N28" s="140"/>
      <c r="O28" s="140"/>
      <c r="P28" s="140"/>
      <c r="Q28" s="140"/>
      <c r="R28" s="140"/>
      <c r="S28" s="140"/>
      <c r="T28" s="140"/>
      <c r="U28" s="140"/>
      <c r="V28" s="140"/>
      <c r="W28" s="140"/>
      <c r="X28" s="140"/>
    </row>
    <row r="29" spans="1:130" s="213" customFormat="1" ht="18" customHeight="1">
      <c r="A29" s="146"/>
      <c r="B29" s="502" t="s">
        <v>499</v>
      </c>
      <c r="C29" s="46">
        <f>'1报表'!C57-'2报表调整'!K50</f>
        <v>0</v>
      </c>
      <c r="D29" s="46">
        <f>'1报表'!D57-'2报表调整'!L50</f>
        <v>0</v>
      </c>
      <c r="E29" s="46">
        <f>'2报表调整'!G50</f>
        <v>0</v>
      </c>
      <c r="F29" s="240"/>
      <c r="G29" s="240"/>
      <c r="H29" s="240"/>
      <c r="I29" s="240"/>
      <c r="J29" s="240"/>
      <c r="L29" s="140"/>
      <c r="M29" s="140"/>
      <c r="N29" s="140"/>
      <c r="O29" s="140"/>
      <c r="P29" s="140"/>
      <c r="Q29" s="140"/>
      <c r="R29" s="140"/>
      <c r="S29" s="140"/>
      <c r="T29" s="140"/>
      <c r="U29" s="140"/>
      <c r="V29" s="140"/>
      <c r="W29" s="140"/>
      <c r="X29" s="140"/>
    </row>
    <row r="30" spans="1:130" ht="18" customHeight="1">
      <c r="A30" s="262"/>
      <c r="B30" s="5" t="s">
        <v>29</v>
      </c>
      <c r="C30" s="46">
        <f>'1报表'!C58-'2报表调整'!K51</f>
        <v>132.57766899999999</v>
      </c>
      <c r="D30" s="46">
        <f>'1报表'!D58-'2报表调整'!L51</f>
        <v>163.35175100000001</v>
      </c>
      <c r="E30" s="46">
        <f>'2报表调整'!G51</f>
        <v>345.76284399999997</v>
      </c>
      <c r="F30" s="240">
        <f>E30</f>
        <v>345.76284399999997</v>
      </c>
      <c r="G30" s="240">
        <f t="shared" ref="G30:J30" si="16">F30</f>
        <v>345.76284399999997</v>
      </c>
      <c r="H30" s="240">
        <f t="shared" si="16"/>
        <v>345.76284399999997</v>
      </c>
      <c r="I30" s="240">
        <f t="shared" si="16"/>
        <v>345.76284399999997</v>
      </c>
      <c r="J30" s="240">
        <f t="shared" si="16"/>
        <v>345.76284399999997</v>
      </c>
      <c r="L30" s="82"/>
      <c r="M30" s="83"/>
      <c r="N30" s="83"/>
      <c r="O30" s="83"/>
      <c r="P30" s="83"/>
      <c r="Q30" s="83"/>
      <c r="R30" s="83"/>
      <c r="S30" s="83"/>
      <c r="T30" s="83"/>
      <c r="U30" s="83"/>
      <c r="V30" s="83"/>
      <c r="W30" s="83"/>
      <c r="X30" s="83"/>
      <c r="Y30" s="82"/>
      <c r="Z30" s="82"/>
      <c r="AA30" s="82"/>
      <c r="AB30" s="82"/>
      <c r="AC30" s="82"/>
      <c r="AD30" s="82"/>
      <c r="AE30" s="82"/>
      <c r="AF30" s="82"/>
      <c r="AG30" s="82"/>
      <c r="AH30" s="82"/>
      <c r="AI30" s="82"/>
      <c r="AJ30" s="82"/>
      <c r="AK30" s="82"/>
      <c r="AL30" s="82"/>
      <c r="AM30" s="82"/>
      <c r="AN30" s="82"/>
      <c r="AO30" s="82"/>
      <c r="AP30" s="82"/>
      <c r="AQ30" s="82"/>
      <c r="AR30" s="82"/>
      <c r="AS30" s="82"/>
      <c r="AT30" s="82"/>
      <c r="AU30" s="82"/>
      <c r="AV30" s="82"/>
      <c r="AW30" s="82"/>
      <c r="AX30" s="82"/>
      <c r="AY30" s="82"/>
      <c r="AZ30" s="82"/>
      <c r="BA30" s="82"/>
      <c r="BB30" s="82"/>
      <c r="BC30" s="82"/>
      <c r="BD30" s="82"/>
      <c r="BE30" s="82"/>
      <c r="BF30" s="82"/>
      <c r="BG30" s="82"/>
      <c r="BH30" s="82"/>
      <c r="BI30" s="82"/>
      <c r="BJ30" s="82"/>
      <c r="BK30" s="82"/>
      <c r="BL30" s="82"/>
      <c r="BM30" s="82"/>
      <c r="BN30" s="82"/>
      <c r="BO30" s="82"/>
      <c r="BP30" s="82"/>
      <c r="BQ30" s="82"/>
      <c r="BR30" s="82"/>
      <c r="BS30" s="82"/>
      <c r="BT30" s="82"/>
      <c r="BU30" s="82"/>
      <c r="BV30" s="82"/>
      <c r="BW30" s="82"/>
      <c r="BX30" s="82"/>
      <c r="BY30" s="82"/>
      <c r="BZ30" s="82"/>
      <c r="CA30" s="82"/>
      <c r="CB30" s="82"/>
      <c r="CC30" s="82"/>
      <c r="CD30" s="82"/>
      <c r="CE30" s="82"/>
      <c r="CF30" s="82"/>
      <c r="CG30" s="82"/>
      <c r="CH30" s="82"/>
      <c r="CI30" s="82"/>
      <c r="CJ30" s="82"/>
      <c r="CK30" s="82"/>
      <c r="CL30" s="82"/>
      <c r="CM30" s="82"/>
      <c r="CN30" s="82"/>
      <c r="CO30" s="82"/>
      <c r="CP30" s="82"/>
      <c r="CQ30" s="82"/>
      <c r="CR30" s="82"/>
      <c r="CS30" s="82"/>
      <c r="CT30" s="82"/>
      <c r="CU30" s="82"/>
      <c r="CV30" s="82"/>
      <c r="CW30" s="82"/>
      <c r="CX30" s="82"/>
      <c r="CY30" s="82"/>
      <c r="CZ30" s="82"/>
      <c r="DA30" s="82"/>
      <c r="DB30" s="82"/>
      <c r="DC30" s="82"/>
      <c r="DD30" s="82"/>
      <c r="DE30" s="82"/>
      <c r="DF30" s="82"/>
      <c r="DG30" s="82"/>
      <c r="DH30" s="82"/>
      <c r="DI30" s="82"/>
      <c r="DJ30" s="82"/>
      <c r="DK30" s="82"/>
      <c r="DL30" s="82"/>
      <c r="DM30" s="82"/>
      <c r="DN30" s="82"/>
      <c r="DO30" s="82"/>
      <c r="DP30" s="82"/>
      <c r="DQ30" s="82"/>
      <c r="DR30" s="82"/>
      <c r="DS30" s="82"/>
      <c r="DT30" s="82"/>
      <c r="DU30" s="82"/>
      <c r="DV30" s="82"/>
      <c r="DW30" s="82"/>
      <c r="DX30" s="82"/>
      <c r="DY30" s="82"/>
      <c r="DZ30" s="82"/>
    </row>
    <row r="31" spans="1:130" s="277" customFormat="1" ht="18" customHeight="1">
      <c r="A31" s="262"/>
      <c r="B31" s="31" t="s">
        <v>30</v>
      </c>
      <c r="C31" s="46">
        <f>'1报表'!C59-'2报表调整'!K52</f>
        <v>104.37590400000001</v>
      </c>
      <c r="D31" s="46">
        <f>'1报表'!D59-'2报表调整'!L52</f>
        <v>117.084018</v>
      </c>
      <c r="E31" s="46">
        <f>'2报表调整'!G52</f>
        <v>225.30200400000001</v>
      </c>
      <c r="F31" s="240">
        <f>E31</f>
        <v>225.30200400000001</v>
      </c>
      <c r="G31" s="240">
        <f t="shared" ref="G31:J31" si="17">F31</f>
        <v>225.30200400000001</v>
      </c>
      <c r="H31" s="240">
        <f t="shared" si="17"/>
        <v>225.30200400000001</v>
      </c>
      <c r="I31" s="240">
        <f t="shared" si="17"/>
        <v>225.30200400000001</v>
      </c>
      <c r="J31" s="240">
        <f t="shared" si="17"/>
        <v>225.30200400000001</v>
      </c>
      <c r="K31" s="82"/>
      <c r="L31" s="215"/>
      <c r="M31" s="82"/>
      <c r="N31" s="83"/>
      <c r="O31" s="83"/>
      <c r="P31" s="83"/>
      <c r="Q31" s="83"/>
      <c r="R31" s="83"/>
      <c r="S31" s="83"/>
      <c r="T31" s="83"/>
      <c r="U31" s="83"/>
      <c r="V31" s="83"/>
      <c r="W31" s="83"/>
      <c r="X31" s="83"/>
      <c r="Y31" s="82"/>
      <c r="Z31" s="82"/>
      <c r="AA31" s="82"/>
      <c r="AB31" s="82"/>
      <c r="AC31" s="82"/>
      <c r="AD31" s="82"/>
      <c r="AE31" s="82"/>
      <c r="AF31" s="82"/>
      <c r="AG31" s="82"/>
      <c r="AH31" s="82"/>
      <c r="AI31" s="82"/>
      <c r="AJ31" s="82"/>
      <c r="AK31" s="82"/>
      <c r="AL31" s="82"/>
      <c r="AM31" s="82"/>
      <c r="AN31" s="82"/>
      <c r="AO31" s="82"/>
      <c r="AP31" s="82"/>
      <c r="AQ31" s="82"/>
      <c r="AR31" s="82"/>
      <c r="AS31" s="82"/>
      <c r="AT31" s="82"/>
      <c r="AU31" s="82"/>
      <c r="AV31" s="82"/>
      <c r="AW31" s="82"/>
      <c r="AX31" s="82"/>
      <c r="AY31" s="82"/>
      <c r="AZ31" s="82"/>
      <c r="BA31" s="82"/>
      <c r="BB31" s="82"/>
      <c r="BC31" s="82"/>
      <c r="BD31" s="82"/>
      <c r="BE31" s="82"/>
      <c r="BF31" s="82"/>
      <c r="BG31" s="82"/>
      <c r="BH31" s="82"/>
      <c r="BI31" s="82"/>
      <c r="BJ31" s="82"/>
      <c r="BK31" s="82"/>
      <c r="BL31" s="82"/>
      <c r="BM31" s="82"/>
      <c r="BN31" s="82"/>
      <c r="BO31" s="82"/>
      <c r="BP31" s="82"/>
      <c r="BQ31" s="82"/>
      <c r="BR31" s="82"/>
      <c r="BS31" s="82"/>
      <c r="BT31" s="82"/>
      <c r="BU31" s="82"/>
      <c r="BV31" s="82"/>
      <c r="BW31" s="82"/>
      <c r="BX31" s="82"/>
      <c r="BY31" s="82"/>
      <c r="BZ31" s="82"/>
      <c r="CA31" s="82"/>
      <c r="CB31" s="82"/>
      <c r="CC31" s="82"/>
      <c r="CD31" s="82"/>
      <c r="CE31" s="82"/>
      <c r="CF31" s="82"/>
      <c r="CG31" s="82"/>
      <c r="CH31" s="82"/>
      <c r="CI31" s="82"/>
      <c r="CJ31" s="82"/>
      <c r="CK31" s="82"/>
      <c r="CL31" s="82"/>
      <c r="CM31" s="82"/>
      <c r="CN31" s="82"/>
      <c r="CO31" s="82"/>
      <c r="CP31" s="82"/>
      <c r="CQ31" s="82"/>
      <c r="CR31" s="82"/>
      <c r="CS31" s="82"/>
      <c r="CT31" s="82"/>
      <c r="CU31" s="82"/>
      <c r="CV31" s="82"/>
      <c r="CW31" s="82"/>
      <c r="CX31" s="82"/>
      <c r="CY31" s="82"/>
      <c r="CZ31" s="82"/>
      <c r="DA31" s="82"/>
      <c r="DB31" s="82"/>
      <c r="DC31" s="82"/>
      <c r="DD31" s="82"/>
      <c r="DE31" s="82"/>
      <c r="DF31" s="82"/>
      <c r="DG31" s="82"/>
      <c r="DH31" s="82"/>
      <c r="DI31" s="82"/>
      <c r="DJ31" s="82"/>
      <c r="DK31" s="82"/>
      <c r="DL31" s="82"/>
      <c r="DM31" s="82"/>
      <c r="DN31" s="82"/>
      <c r="DO31" s="82"/>
      <c r="DP31" s="82"/>
      <c r="DQ31" s="82"/>
      <c r="DR31" s="82"/>
      <c r="DS31" s="82"/>
      <c r="DT31" s="82"/>
      <c r="DU31" s="82"/>
      <c r="DV31" s="82"/>
      <c r="DW31" s="82"/>
      <c r="DX31" s="82"/>
      <c r="DY31" s="82"/>
      <c r="DZ31" s="82"/>
    </row>
    <row r="32" spans="1:130" s="213" customFormat="1" ht="18" customHeight="1" outlineLevel="1">
      <c r="A32" s="146"/>
      <c r="B32" s="500" t="s">
        <v>843</v>
      </c>
      <c r="C32" s="501">
        <f>'1报表'!C62-'2报表调整'!K55</f>
        <v>1493.8280970000001</v>
      </c>
      <c r="D32" s="501">
        <f>'1报表'!D62-'2报表调整'!L55</f>
        <v>1824.9312690000002</v>
      </c>
      <c r="E32" s="501">
        <f>'2报表调整'!G55</f>
        <v>161.15447999999992</v>
      </c>
      <c r="F32" s="506"/>
      <c r="G32" s="506"/>
      <c r="H32" s="506"/>
      <c r="I32" s="506"/>
      <c r="J32" s="506"/>
      <c r="K32" s="213" t="s">
        <v>844</v>
      </c>
      <c r="L32" s="257"/>
      <c r="M32" s="183"/>
      <c r="N32" s="140"/>
      <c r="O32" s="140"/>
      <c r="P32" s="140"/>
      <c r="Q32" s="140"/>
      <c r="R32" s="140"/>
      <c r="S32" s="140"/>
      <c r="T32" s="140"/>
      <c r="U32" s="140"/>
      <c r="V32" s="140"/>
      <c r="W32" s="140"/>
      <c r="X32" s="140"/>
    </row>
    <row r="33" spans="1:130" s="213" customFormat="1" ht="18" customHeight="1" outlineLevel="1">
      <c r="A33" s="146"/>
      <c r="B33" s="424" t="s">
        <v>606</v>
      </c>
      <c r="C33" s="509">
        <f>IF(C42,C32/C42,0)</f>
        <v>0.43286866292457732</v>
      </c>
      <c r="D33" s="509">
        <f>IF(D42,D32/D42,0)</f>
        <v>0.39452119670196351</v>
      </c>
      <c r="E33" s="509">
        <f>IF(E42,E32/E42,0)</f>
        <v>2.7963711930504113E-2</v>
      </c>
      <c r="F33" s="510">
        <v>0.15</v>
      </c>
      <c r="G33" s="510">
        <f>F33</f>
        <v>0.15</v>
      </c>
      <c r="H33" s="510">
        <f>G33</f>
        <v>0.15</v>
      </c>
      <c r="I33" s="510">
        <f>H33</f>
        <v>0.15</v>
      </c>
      <c r="J33" s="510">
        <f>I33</f>
        <v>0.15</v>
      </c>
      <c r="K33" s="435" t="s">
        <v>847</v>
      </c>
      <c r="L33" s="257"/>
      <c r="M33" s="183"/>
      <c r="N33" s="140"/>
      <c r="O33" s="140"/>
      <c r="P33" s="140"/>
      <c r="Q33" s="140"/>
      <c r="R33" s="140"/>
      <c r="S33" s="140"/>
      <c r="T33" s="140"/>
      <c r="U33" s="140"/>
      <c r="V33" s="140"/>
      <c r="W33" s="140"/>
      <c r="X33" s="140"/>
    </row>
    <row r="34" spans="1:130" s="213" customFormat="1" ht="18" customHeight="1">
      <c r="A34" s="146"/>
      <c r="B34" s="502" t="s">
        <v>456</v>
      </c>
      <c r="C34" s="156">
        <f t="shared" ref="C34:E34" si="18">C32</f>
        <v>1493.8280970000001</v>
      </c>
      <c r="D34" s="156">
        <f t="shared" si="18"/>
        <v>1824.9312690000002</v>
      </c>
      <c r="E34" s="156">
        <f t="shared" si="18"/>
        <v>161.15447999999992</v>
      </c>
      <c r="F34" s="46">
        <f t="shared" ref="F34:J34" si="19">IF(F32,F32,F42*F33)</f>
        <v>1074.1929588528794</v>
      </c>
      <c r="G34" s="46">
        <f t="shared" si="19"/>
        <v>1272.7245391848414</v>
      </c>
      <c r="H34" s="46">
        <f t="shared" si="19"/>
        <v>1430.656192153303</v>
      </c>
      <c r="I34" s="46">
        <f t="shared" si="19"/>
        <v>1517.6810432349523</v>
      </c>
      <c r="J34" s="46">
        <f t="shared" si="19"/>
        <v>1550.2006048373794</v>
      </c>
      <c r="L34" s="140"/>
      <c r="M34" s="140"/>
      <c r="N34" s="140"/>
      <c r="O34" s="140"/>
      <c r="P34" s="140"/>
      <c r="Q34" s="140"/>
      <c r="R34" s="140"/>
      <c r="S34" s="140"/>
      <c r="T34" s="140"/>
      <c r="U34" s="140"/>
      <c r="V34" s="140"/>
      <c r="W34" s="140"/>
      <c r="X34" s="140"/>
    </row>
    <row r="35" spans="1:130" s="213" customFormat="1" ht="18" customHeight="1" outlineLevel="1">
      <c r="A35" s="146"/>
      <c r="B35" s="500" t="s">
        <v>845</v>
      </c>
      <c r="C35" s="501">
        <f>'1报表'!C65-'2报表调整'!K58</f>
        <v>0</v>
      </c>
      <c r="D35" s="501">
        <f>'1报表'!D65-'2报表调整'!L58</f>
        <v>0</v>
      </c>
      <c r="E35" s="501">
        <f>'2报表调整'!G58</f>
        <v>0</v>
      </c>
      <c r="F35" s="506"/>
      <c r="G35" s="506"/>
      <c r="H35" s="506"/>
      <c r="I35" s="506"/>
      <c r="J35" s="506"/>
      <c r="L35" s="183"/>
      <c r="M35" s="140"/>
      <c r="N35" s="140"/>
      <c r="O35" s="140"/>
      <c r="P35" s="140"/>
      <c r="Q35" s="140"/>
      <c r="R35" s="140"/>
      <c r="S35" s="140"/>
      <c r="T35" s="140"/>
      <c r="U35" s="140"/>
      <c r="V35" s="140"/>
      <c r="W35" s="140"/>
      <c r="X35" s="140"/>
    </row>
    <row r="36" spans="1:130" s="213" customFormat="1" ht="18" customHeight="1" outlineLevel="1">
      <c r="A36" s="146"/>
      <c r="B36" s="424" t="s">
        <v>606</v>
      </c>
      <c r="C36" s="511">
        <f>IF(C42,C35/C42,0)</f>
        <v>0</v>
      </c>
      <c r="D36" s="511">
        <f>IF(D42,D35/D42,0)</f>
        <v>0</v>
      </c>
      <c r="E36" s="511">
        <f>IF(E42,E35/E42,0)</f>
        <v>0</v>
      </c>
      <c r="F36" s="499"/>
      <c r="G36" s="499"/>
      <c r="H36" s="499"/>
      <c r="I36" s="499"/>
      <c r="J36" s="499"/>
      <c r="L36" s="183"/>
      <c r="M36" s="140"/>
      <c r="N36" s="140"/>
      <c r="O36" s="140"/>
      <c r="P36" s="140"/>
      <c r="Q36" s="140"/>
      <c r="R36" s="140"/>
      <c r="S36" s="140"/>
      <c r="T36" s="140"/>
      <c r="U36" s="140"/>
      <c r="V36" s="140"/>
      <c r="W36" s="140"/>
      <c r="X36" s="140"/>
    </row>
    <row r="37" spans="1:130" s="213" customFormat="1" ht="18" customHeight="1">
      <c r="A37" s="146"/>
      <c r="B37" s="502" t="s">
        <v>731</v>
      </c>
      <c r="C37" s="46">
        <f t="shared" ref="C37:E37" si="20">C35</f>
        <v>0</v>
      </c>
      <c r="D37" s="46">
        <f t="shared" si="20"/>
        <v>0</v>
      </c>
      <c r="E37" s="46">
        <f t="shared" si="20"/>
        <v>0</v>
      </c>
      <c r="F37" s="46">
        <f t="shared" ref="F37:J37" si="21">IF(F35,F35,F42*F36)</f>
        <v>0</v>
      </c>
      <c r="G37" s="46">
        <f t="shared" si="21"/>
        <v>0</v>
      </c>
      <c r="H37" s="46">
        <f t="shared" si="21"/>
        <v>0</v>
      </c>
      <c r="I37" s="46">
        <f t="shared" si="21"/>
        <v>0</v>
      </c>
      <c r="J37" s="46">
        <f t="shared" si="21"/>
        <v>0</v>
      </c>
      <c r="L37" s="183"/>
      <c r="M37" s="140"/>
      <c r="N37" s="140"/>
      <c r="O37" s="140"/>
      <c r="P37" s="140"/>
      <c r="Q37" s="140"/>
      <c r="R37" s="140"/>
      <c r="S37" s="140"/>
      <c r="T37" s="140"/>
      <c r="U37" s="140"/>
      <c r="V37" s="140"/>
      <c r="W37" s="140"/>
      <c r="X37" s="140"/>
    </row>
    <row r="38" spans="1:130" ht="18" customHeight="1">
      <c r="A38" s="262"/>
      <c r="B38" s="43" t="s">
        <v>846</v>
      </c>
      <c r="C38" s="512">
        <f t="shared" ref="C38:D38" si="22">C25+C28+C29+C30+C31+C34+C37</f>
        <v>2280.157303</v>
      </c>
      <c r="D38" s="512">
        <f t="shared" si="22"/>
        <v>3339.2944379999999</v>
      </c>
      <c r="E38" s="512">
        <f>E25+E28+E29+E30+E31+E34+E37</f>
        <v>2341.0130559999998</v>
      </c>
      <c r="F38" s="512">
        <f t="shared" ref="F38:J38" si="23">F25+F28+F29+F30+F31+F34+F37</f>
        <v>3336.1170939361164</v>
      </c>
      <c r="G38" s="512">
        <f t="shared" si="23"/>
        <v>3847.1520877535736</v>
      </c>
      <c r="H38" s="512">
        <f t="shared" si="23"/>
        <v>4253.6798611353533</v>
      </c>
      <c r="I38" s="512">
        <f t="shared" si="23"/>
        <v>4477.6882741047848</v>
      </c>
      <c r="J38" s="512">
        <f t="shared" si="23"/>
        <v>4561.3960345258474</v>
      </c>
      <c r="L38" s="82"/>
      <c r="M38" s="83"/>
      <c r="N38" s="82"/>
      <c r="O38" s="82"/>
      <c r="P38" s="82"/>
      <c r="Q38" s="82"/>
      <c r="R38" s="82"/>
      <c r="S38" s="82"/>
      <c r="T38" s="82"/>
      <c r="U38" s="82"/>
      <c r="V38" s="82"/>
      <c r="W38" s="82"/>
      <c r="X38" s="82"/>
      <c r="Y38" s="82"/>
      <c r="Z38" s="82"/>
      <c r="AA38" s="82"/>
      <c r="AB38" s="82"/>
      <c r="AC38" s="82"/>
      <c r="AD38" s="82"/>
      <c r="AE38" s="82"/>
      <c r="AF38" s="82"/>
      <c r="AG38" s="82"/>
      <c r="AH38" s="82"/>
      <c r="AI38" s="82"/>
      <c r="AJ38" s="82"/>
      <c r="AK38" s="82"/>
      <c r="AL38" s="82"/>
      <c r="AM38" s="82"/>
      <c r="AN38" s="82"/>
      <c r="AO38" s="82"/>
      <c r="AP38" s="82"/>
      <c r="AQ38" s="82"/>
      <c r="AR38" s="82"/>
      <c r="AS38" s="82"/>
      <c r="AT38" s="82"/>
      <c r="AU38" s="82"/>
      <c r="AV38" s="82"/>
      <c r="AW38" s="82"/>
      <c r="AX38" s="82"/>
      <c r="AY38" s="82"/>
      <c r="AZ38" s="82"/>
      <c r="BA38" s="82"/>
      <c r="BB38" s="82"/>
      <c r="BC38" s="82"/>
      <c r="BD38" s="82"/>
      <c r="BE38" s="82"/>
      <c r="BF38" s="82"/>
      <c r="BG38" s="82"/>
      <c r="BH38" s="82"/>
      <c r="BI38" s="82"/>
      <c r="BJ38" s="82"/>
      <c r="BK38" s="82"/>
      <c r="BL38" s="82"/>
      <c r="BM38" s="82"/>
      <c r="BN38" s="82"/>
      <c r="BO38" s="82"/>
      <c r="BP38" s="82"/>
      <c r="BQ38" s="82"/>
      <c r="BR38" s="82"/>
      <c r="BS38" s="82"/>
      <c r="BT38" s="82"/>
      <c r="BU38" s="82"/>
      <c r="BV38" s="82"/>
      <c r="BW38" s="82"/>
      <c r="BX38" s="82"/>
      <c r="BY38" s="82"/>
      <c r="BZ38" s="82"/>
      <c r="CA38" s="82"/>
      <c r="CB38" s="82"/>
      <c r="CC38" s="82"/>
      <c r="CD38" s="82"/>
      <c r="CE38" s="82"/>
      <c r="CF38" s="82"/>
      <c r="CG38" s="82"/>
      <c r="CH38" s="82"/>
      <c r="CI38" s="82"/>
      <c r="CJ38" s="82"/>
      <c r="CK38" s="82"/>
      <c r="CL38" s="82"/>
      <c r="CM38" s="82"/>
      <c r="CN38" s="82"/>
      <c r="CO38" s="82"/>
      <c r="CP38" s="82"/>
      <c r="CQ38" s="82"/>
      <c r="CR38" s="82"/>
      <c r="CS38" s="82"/>
      <c r="CT38" s="82"/>
      <c r="CU38" s="82"/>
      <c r="CV38" s="82"/>
      <c r="CW38" s="82"/>
      <c r="CX38" s="82"/>
      <c r="CY38" s="82"/>
      <c r="CZ38" s="82"/>
      <c r="DA38" s="82"/>
      <c r="DB38" s="82"/>
      <c r="DC38" s="82"/>
      <c r="DD38" s="82"/>
      <c r="DE38" s="82"/>
      <c r="DF38" s="82"/>
      <c r="DG38" s="82"/>
      <c r="DH38" s="82"/>
      <c r="DI38" s="82"/>
      <c r="DJ38" s="82"/>
      <c r="DK38" s="82"/>
      <c r="DL38" s="82"/>
      <c r="DM38" s="82"/>
      <c r="DN38" s="82"/>
      <c r="DO38" s="82"/>
      <c r="DP38" s="82"/>
      <c r="DQ38" s="82"/>
      <c r="DR38" s="82"/>
      <c r="DS38" s="82"/>
      <c r="DT38" s="82"/>
      <c r="DU38" s="82"/>
      <c r="DV38" s="82"/>
      <c r="DW38" s="82"/>
      <c r="DX38" s="82"/>
      <c r="DY38" s="82"/>
      <c r="DZ38" s="82"/>
    </row>
    <row r="39" spans="1:130" ht="19.899999999999999" customHeight="1">
      <c r="B39" s="8" t="s">
        <v>607</v>
      </c>
      <c r="C39" s="151">
        <f t="shared" ref="C39:D39" si="24">C21-C38</f>
        <v>1251.9188947418838</v>
      </c>
      <c r="D39" s="151">
        <f t="shared" si="24"/>
        <v>830.60999857179377</v>
      </c>
      <c r="E39" s="151">
        <f>E21-E38</f>
        <v>2816.9535672499997</v>
      </c>
      <c r="F39" s="151">
        <f>F21-F38</f>
        <v>3457.3049653324715</v>
      </c>
      <c r="G39" s="151">
        <f t="shared" ref="G39:J39" si="25">G21-G38</f>
        <v>4178.7422118641971</v>
      </c>
      <c r="H39" s="151">
        <f t="shared" si="25"/>
        <v>4749.0389190748774</v>
      </c>
      <c r="I39" s="151">
        <f t="shared" si="25"/>
        <v>5066.0847341061963</v>
      </c>
      <c r="J39" s="151">
        <f t="shared" si="25"/>
        <v>5187.2307061152405</v>
      </c>
      <c r="L39" s="278"/>
      <c r="M39" s="82"/>
      <c r="N39" s="83"/>
      <c r="O39" s="83"/>
      <c r="P39" s="83"/>
      <c r="Q39" s="83"/>
      <c r="R39" s="83"/>
      <c r="S39" s="83"/>
      <c r="T39" s="83"/>
      <c r="U39" s="83"/>
      <c r="V39" s="83"/>
      <c r="W39" s="83"/>
      <c r="X39" s="83"/>
      <c r="Y39" s="82"/>
      <c r="Z39" s="82"/>
      <c r="AA39" s="82"/>
      <c r="AB39" s="82"/>
      <c r="AC39" s="82"/>
      <c r="AD39" s="82"/>
      <c r="AE39" s="82"/>
      <c r="AF39" s="82"/>
      <c r="AG39" s="82"/>
      <c r="AH39" s="82"/>
      <c r="AI39" s="82"/>
      <c r="AJ39" s="82"/>
      <c r="AK39" s="82"/>
      <c r="AL39" s="82"/>
      <c r="AM39" s="82"/>
      <c r="AN39" s="82"/>
      <c r="AO39" s="82"/>
      <c r="AP39" s="82"/>
      <c r="AQ39" s="82"/>
      <c r="AR39" s="82"/>
      <c r="AS39" s="82"/>
      <c r="AT39" s="82"/>
      <c r="AU39" s="82"/>
      <c r="AV39" s="82"/>
      <c r="AW39" s="82"/>
      <c r="AX39" s="82"/>
      <c r="AY39" s="82"/>
      <c r="AZ39" s="82"/>
      <c r="BA39" s="82"/>
      <c r="BB39" s="82"/>
      <c r="BC39" s="82"/>
      <c r="BD39" s="82"/>
      <c r="BE39" s="82"/>
      <c r="BF39" s="82"/>
      <c r="BG39" s="82"/>
      <c r="BH39" s="82"/>
      <c r="BI39" s="82"/>
      <c r="BJ39" s="82"/>
      <c r="BK39" s="82"/>
      <c r="BL39" s="82"/>
      <c r="BM39" s="82"/>
      <c r="BN39" s="82"/>
      <c r="BO39" s="82"/>
      <c r="BP39" s="82"/>
      <c r="BQ39" s="82"/>
      <c r="BR39" s="82"/>
      <c r="BS39" s="82"/>
      <c r="BT39" s="82"/>
      <c r="BU39" s="82"/>
      <c r="BV39" s="82"/>
      <c r="BW39" s="82"/>
      <c r="BX39" s="82"/>
      <c r="BY39" s="82"/>
      <c r="BZ39" s="82"/>
      <c r="CA39" s="82"/>
      <c r="CB39" s="82"/>
      <c r="CC39" s="82"/>
      <c r="CD39" s="82"/>
      <c r="CE39" s="82"/>
      <c r="CF39" s="82"/>
      <c r="CG39" s="82"/>
      <c r="CH39" s="82"/>
      <c r="CI39" s="82"/>
      <c r="CJ39" s="82"/>
      <c r="CK39" s="82"/>
      <c r="CL39" s="82"/>
      <c r="CM39" s="82"/>
      <c r="CN39" s="82"/>
      <c r="CO39" s="82"/>
      <c r="CP39" s="82"/>
      <c r="CQ39" s="82"/>
      <c r="CR39" s="82"/>
      <c r="CS39" s="82"/>
      <c r="CT39" s="82"/>
      <c r="CU39" s="82"/>
      <c r="CV39" s="82"/>
      <c r="CW39" s="82"/>
      <c r="CX39" s="82"/>
      <c r="CY39" s="82"/>
      <c r="CZ39" s="82"/>
      <c r="DA39" s="82"/>
      <c r="DB39" s="82"/>
      <c r="DC39" s="82"/>
      <c r="DD39" s="82"/>
      <c r="DE39" s="82"/>
      <c r="DF39" s="82"/>
      <c r="DG39" s="82"/>
      <c r="DH39" s="82"/>
      <c r="DI39" s="82"/>
      <c r="DJ39" s="82"/>
      <c r="DK39" s="82"/>
      <c r="DL39" s="82"/>
      <c r="DM39" s="82"/>
      <c r="DN39" s="82"/>
      <c r="DO39" s="82"/>
      <c r="DP39" s="82"/>
      <c r="DQ39" s="82"/>
      <c r="DR39" s="82"/>
      <c r="DS39" s="82"/>
      <c r="DT39" s="82"/>
      <c r="DU39" s="82"/>
      <c r="DV39" s="82"/>
      <c r="DW39" s="82"/>
      <c r="DX39" s="82"/>
      <c r="DY39" s="82"/>
      <c r="DZ39" s="82"/>
    </row>
    <row r="40" spans="1:130" ht="19.899999999999999" customHeight="1">
      <c r="B40" s="8" t="s">
        <v>608</v>
      </c>
      <c r="C40" s="74"/>
      <c r="D40" s="74"/>
      <c r="E40" s="74"/>
      <c r="F40" s="525">
        <f>F39-E39</f>
        <v>640.35139808247186</v>
      </c>
      <c r="G40" s="525">
        <f t="shared" ref="G40:J40" si="26">G39-F39</f>
        <v>721.43724653172558</v>
      </c>
      <c r="H40" s="525">
        <f t="shared" si="26"/>
        <v>570.29670721068032</v>
      </c>
      <c r="I40" s="525">
        <f t="shared" si="26"/>
        <v>317.04581503131885</v>
      </c>
      <c r="J40" s="525">
        <f t="shared" si="26"/>
        <v>121.14597200904427</v>
      </c>
      <c r="L40" s="278"/>
      <c r="M40" s="82"/>
      <c r="N40" s="82"/>
      <c r="O40" s="82"/>
      <c r="P40" s="82"/>
      <c r="Q40" s="82"/>
      <c r="R40" s="82"/>
      <c r="S40" s="82"/>
      <c r="T40" s="83"/>
      <c r="U40" s="83"/>
      <c r="V40" s="83"/>
      <c r="W40" s="83"/>
      <c r="X40" s="83"/>
      <c r="Y40" s="82"/>
      <c r="Z40" s="82"/>
      <c r="AA40" s="82"/>
      <c r="AB40" s="82"/>
      <c r="AC40" s="82"/>
      <c r="AD40" s="82"/>
      <c r="AE40" s="82"/>
      <c r="AF40" s="82"/>
      <c r="AG40" s="82"/>
      <c r="AH40" s="82"/>
      <c r="AI40" s="82"/>
      <c r="AJ40" s="82"/>
      <c r="AK40" s="82"/>
      <c r="AL40" s="82"/>
      <c r="AM40" s="82"/>
      <c r="AN40" s="82"/>
      <c r="AO40" s="82"/>
      <c r="AP40" s="82"/>
      <c r="AQ40" s="82"/>
      <c r="AR40" s="82"/>
      <c r="AS40" s="82"/>
      <c r="AT40" s="82"/>
      <c r="AU40" s="82"/>
      <c r="AV40" s="82"/>
      <c r="AW40" s="82"/>
      <c r="AX40" s="82"/>
      <c r="AY40" s="82"/>
      <c r="AZ40" s="82"/>
      <c r="BA40" s="82"/>
      <c r="BB40" s="82"/>
      <c r="BC40" s="82"/>
      <c r="BD40" s="82"/>
      <c r="BE40" s="82"/>
      <c r="BF40" s="82"/>
      <c r="BG40" s="82"/>
      <c r="BH40" s="82"/>
      <c r="BI40" s="82"/>
      <c r="BJ40" s="82"/>
      <c r="BK40" s="82"/>
      <c r="BL40" s="82"/>
      <c r="BM40" s="82"/>
      <c r="BN40" s="82"/>
      <c r="BO40" s="82"/>
      <c r="BP40" s="82"/>
      <c r="BQ40" s="82"/>
      <c r="BR40" s="82"/>
      <c r="BS40" s="82"/>
      <c r="BT40" s="82"/>
      <c r="BU40" s="82"/>
      <c r="BV40" s="82"/>
      <c r="BW40" s="82"/>
      <c r="BX40" s="82"/>
      <c r="BY40" s="82"/>
      <c r="BZ40" s="82"/>
      <c r="CA40" s="82"/>
      <c r="CB40" s="82"/>
      <c r="CC40" s="82"/>
      <c r="CD40" s="82"/>
      <c r="CE40" s="82"/>
      <c r="CF40" s="82"/>
      <c r="CG40" s="82"/>
      <c r="CH40" s="82"/>
      <c r="CI40" s="82"/>
      <c r="CJ40" s="82"/>
      <c r="CK40" s="82"/>
      <c r="CL40" s="82"/>
      <c r="CM40" s="82"/>
      <c r="CN40" s="82"/>
      <c r="CO40" s="82"/>
      <c r="CP40" s="82"/>
      <c r="CQ40" s="82"/>
      <c r="CR40" s="82"/>
      <c r="CS40" s="82"/>
      <c r="CT40" s="82"/>
      <c r="CU40" s="82"/>
      <c r="CV40" s="82"/>
      <c r="CW40" s="82"/>
      <c r="CX40" s="82"/>
      <c r="CY40" s="82"/>
      <c r="CZ40" s="82"/>
      <c r="DA40" s="82"/>
      <c r="DB40" s="82"/>
      <c r="DC40" s="82"/>
      <c r="DD40" s="82"/>
      <c r="DE40" s="82"/>
      <c r="DF40" s="82"/>
      <c r="DG40" s="82"/>
      <c r="DH40" s="82"/>
      <c r="DI40" s="82"/>
      <c r="DJ40" s="82"/>
      <c r="DK40" s="82"/>
      <c r="DL40" s="82"/>
      <c r="DM40" s="82"/>
      <c r="DN40" s="82"/>
      <c r="DO40" s="82"/>
      <c r="DP40" s="82"/>
      <c r="DQ40" s="82"/>
      <c r="DR40" s="82"/>
      <c r="DS40" s="82"/>
      <c r="DT40" s="82"/>
      <c r="DU40" s="82"/>
      <c r="DV40" s="82"/>
      <c r="DW40" s="82"/>
      <c r="DX40" s="82"/>
      <c r="DY40" s="82"/>
      <c r="DZ40" s="82"/>
    </row>
    <row r="41" spans="1:130" s="14" customFormat="1" ht="18" customHeight="1">
      <c r="A41" s="262"/>
      <c r="B41" s="21" t="s">
        <v>609</v>
      </c>
      <c r="C41" s="49">
        <f>'3收入'!C5</f>
        <v>5647.5608560000001</v>
      </c>
      <c r="D41" s="49">
        <f>'3收入'!D5</f>
        <v>7304.7745279999999</v>
      </c>
      <c r="E41" s="49">
        <f>'3收入'!E5</f>
        <v>9615.5763319999987</v>
      </c>
      <c r="F41" s="49">
        <f>'3收入'!F5</f>
        <v>11935.47732058755</v>
      </c>
      <c r="G41" s="49">
        <f>'3收入'!G5</f>
        <v>14141.383768720463</v>
      </c>
      <c r="H41" s="49">
        <f>'3收入'!H5</f>
        <v>15896.179912814478</v>
      </c>
      <c r="I41" s="49">
        <f>'3收入'!I5</f>
        <v>16863.122702610581</v>
      </c>
      <c r="J41" s="49">
        <f>'3收入'!J5</f>
        <v>17224.451164859773</v>
      </c>
      <c r="L41" s="83"/>
      <c r="M41" s="83"/>
      <c r="N41" s="83"/>
      <c r="O41" s="83"/>
      <c r="P41" s="83"/>
      <c r="Q41" s="83"/>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83"/>
      <c r="AU41" s="83"/>
      <c r="AV41" s="83"/>
      <c r="AW41" s="83"/>
      <c r="AX41" s="83"/>
      <c r="AY41" s="83"/>
      <c r="AZ41" s="83"/>
      <c r="BA41" s="83"/>
      <c r="BB41" s="83"/>
      <c r="BC41" s="83"/>
      <c r="BD41" s="83"/>
      <c r="BE41" s="83"/>
      <c r="BF41" s="83"/>
      <c r="BG41" s="83"/>
      <c r="BH41" s="83"/>
      <c r="BI41" s="83"/>
      <c r="BJ41" s="83"/>
      <c r="BK41" s="83"/>
      <c r="BL41" s="83"/>
      <c r="BM41" s="83"/>
      <c r="BN41" s="83"/>
      <c r="BO41" s="83"/>
      <c r="BP41" s="83"/>
      <c r="BQ41" s="83"/>
      <c r="BR41" s="83"/>
      <c r="BS41" s="83"/>
      <c r="BT41" s="83"/>
      <c r="BU41" s="83"/>
      <c r="BV41" s="83"/>
      <c r="BW41" s="83"/>
      <c r="BX41" s="83"/>
      <c r="BY41" s="83"/>
      <c r="BZ41" s="83"/>
      <c r="CA41" s="83"/>
      <c r="CB41" s="83"/>
      <c r="CC41" s="83"/>
      <c r="CD41" s="83"/>
      <c r="CE41" s="83"/>
      <c r="CF41" s="83"/>
      <c r="CG41" s="83"/>
      <c r="CH41" s="83"/>
      <c r="CI41" s="83"/>
      <c r="CJ41" s="83"/>
      <c r="CK41" s="83"/>
      <c r="CL41" s="83"/>
      <c r="CM41" s="83"/>
      <c r="CN41" s="83"/>
      <c r="CO41" s="83"/>
      <c r="CP41" s="83"/>
      <c r="CQ41" s="83"/>
      <c r="CR41" s="83"/>
      <c r="CS41" s="83"/>
      <c r="CT41" s="83"/>
      <c r="CU41" s="83"/>
      <c r="CV41" s="83"/>
      <c r="CW41" s="83"/>
      <c r="CX41" s="83"/>
      <c r="CY41" s="83"/>
      <c r="CZ41" s="83"/>
      <c r="DA41" s="83"/>
      <c r="DB41" s="83"/>
      <c r="DC41" s="83"/>
      <c r="DD41" s="83"/>
      <c r="DE41" s="83"/>
      <c r="DF41" s="83"/>
      <c r="DG41" s="83"/>
      <c r="DH41" s="83"/>
      <c r="DI41" s="83"/>
      <c r="DJ41" s="83"/>
      <c r="DK41" s="83"/>
      <c r="DL41" s="83"/>
      <c r="DM41" s="83"/>
      <c r="DN41" s="83"/>
      <c r="DO41" s="83"/>
      <c r="DP41" s="83"/>
      <c r="DQ41" s="83"/>
      <c r="DR41" s="83"/>
      <c r="DS41" s="83"/>
      <c r="DT41" s="83"/>
      <c r="DU41" s="83"/>
      <c r="DV41" s="83"/>
      <c r="DW41" s="83"/>
      <c r="DX41" s="83"/>
      <c r="DY41" s="83"/>
      <c r="DZ41" s="83"/>
    </row>
    <row r="42" spans="1:130" s="14" customFormat="1" ht="18" customHeight="1">
      <c r="B42" s="21" t="s">
        <v>610</v>
      </c>
      <c r="C42" s="49">
        <f>'4成本'!C5</f>
        <v>3450.9961680000001</v>
      </c>
      <c r="D42" s="49">
        <f>'4成本'!D5</f>
        <v>4625.6862350000001</v>
      </c>
      <c r="E42" s="49">
        <f>'4成本'!E5</f>
        <v>5762.985987</v>
      </c>
      <c r="F42" s="49">
        <f>'4成本'!F5</f>
        <v>7161.2863923525301</v>
      </c>
      <c r="G42" s="49">
        <f>'4成本'!G5</f>
        <v>8484.8302612322768</v>
      </c>
      <c r="H42" s="49">
        <f>'4成本'!H5</f>
        <v>9537.7079476886865</v>
      </c>
      <c r="I42" s="49">
        <f>'4成本'!I5</f>
        <v>10117.873621566348</v>
      </c>
      <c r="J42" s="49">
        <f>'4成本'!J5</f>
        <v>10334.670698915863</v>
      </c>
    </row>
    <row r="43" spans="1:130" s="14" customFormat="1" ht="18" customHeight="1">
      <c r="A43" s="262"/>
      <c r="B43" s="632" t="s">
        <v>832</v>
      </c>
      <c r="C43" s="634">
        <f>C39/C41</f>
        <v>0.22167426375084356</v>
      </c>
      <c r="D43" s="634">
        <f>D39/D41</f>
        <v>0.11370782156081269</v>
      </c>
      <c r="E43" s="634">
        <f>E39/E41</f>
        <v>0.29295732985607587</v>
      </c>
      <c r="F43" s="633">
        <f t="shared" ref="F43:J43" si="27">F39/F41</f>
        <v>0.28966625066338597</v>
      </c>
      <c r="G43" s="633">
        <f t="shared" si="27"/>
        <v>0.29549740536051494</v>
      </c>
      <c r="H43" s="633">
        <f t="shared" si="27"/>
        <v>0.29875347065281438</v>
      </c>
      <c r="I43" s="633">
        <f t="shared" si="27"/>
        <v>0.30042387898428297</v>
      </c>
      <c r="J43" s="633">
        <f t="shared" si="27"/>
        <v>0.30115506476617948</v>
      </c>
      <c r="L43" s="83"/>
      <c r="M43" s="83"/>
      <c r="N43" s="83"/>
      <c r="O43" s="83"/>
      <c r="P43" s="83"/>
      <c r="Q43" s="83"/>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83"/>
      <c r="AU43" s="83"/>
      <c r="AV43" s="83"/>
      <c r="AW43" s="83"/>
      <c r="AX43" s="83"/>
      <c r="AY43" s="83"/>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c r="CY43" s="83"/>
      <c r="CZ43" s="83"/>
      <c r="DA43" s="83"/>
      <c r="DB43" s="83"/>
      <c r="DC43" s="83"/>
      <c r="DD43" s="83"/>
      <c r="DE43" s="83"/>
      <c r="DF43" s="83"/>
      <c r="DG43" s="83"/>
      <c r="DH43" s="83"/>
      <c r="DI43" s="83"/>
      <c r="DJ43" s="83"/>
      <c r="DK43" s="83"/>
      <c r="DL43" s="83"/>
      <c r="DM43" s="83"/>
      <c r="DN43" s="83"/>
      <c r="DO43" s="83"/>
      <c r="DP43" s="83"/>
      <c r="DQ43" s="83"/>
      <c r="DR43" s="83"/>
      <c r="DS43" s="83"/>
      <c r="DT43" s="83"/>
      <c r="DU43" s="83"/>
      <c r="DV43" s="83"/>
      <c r="DW43" s="83"/>
      <c r="DX43" s="83"/>
      <c r="DY43" s="83"/>
      <c r="DZ43" s="83"/>
    </row>
    <row r="44" spans="1:130" s="14" customFormat="1" ht="18" customHeight="1">
      <c r="D44" s="160" t="s">
        <v>848</v>
      </c>
    </row>
    <row r="45" spans="1:130" s="14" customFormat="1" ht="18" customHeight="1"/>
    <row r="46" spans="1:130" s="14" customFormat="1" ht="18" customHeight="1"/>
    <row r="47" spans="1:130" s="14" customFormat="1" ht="18" customHeight="1"/>
    <row r="48" spans="1:130" s="14" customFormat="1" ht="18" customHeight="1"/>
    <row r="49" s="14" customFormat="1" ht="18" customHeight="1"/>
    <row r="50" s="14" customFormat="1" ht="18" customHeight="1"/>
    <row r="51" s="14" customFormat="1" ht="18" customHeight="1"/>
    <row r="52" s="14" customFormat="1" ht="18" customHeight="1"/>
    <row r="53" s="14" customFormat="1" ht="18" customHeight="1"/>
    <row r="54" s="14" customFormat="1" ht="18" customHeight="1"/>
    <row r="55" s="14" customFormat="1" ht="18" customHeight="1"/>
    <row r="56" s="14" customFormat="1" ht="18" customHeight="1"/>
    <row r="57" s="14" customFormat="1" ht="18" customHeight="1"/>
    <row r="58" s="14" customFormat="1" ht="18" customHeight="1"/>
    <row r="59" s="14" customFormat="1" ht="18" customHeight="1"/>
    <row r="60" s="14" customFormat="1" ht="18" customHeight="1"/>
    <row r="61" s="14" customFormat="1" ht="18" customHeight="1"/>
    <row r="62" s="14" customFormat="1" ht="18" customHeight="1"/>
    <row r="63" s="14" customFormat="1" ht="18" customHeight="1"/>
    <row r="64" s="14" customFormat="1" ht="18" customHeight="1"/>
    <row r="65" s="14" customFormat="1" ht="18" customHeight="1"/>
    <row r="66" s="14" customFormat="1" ht="18" customHeight="1"/>
    <row r="67" s="14" customFormat="1" ht="18" customHeight="1"/>
    <row r="68" s="14" customFormat="1" ht="18" customHeight="1"/>
    <row r="69" s="14" customFormat="1" ht="18" customHeight="1"/>
    <row r="70" s="14" customFormat="1" ht="18" customHeight="1"/>
    <row r="71" s="14" customFormat="1" ht="18" customHeight="1"/>
    <row r="72" s="14" customFormat="1" ht="18" customHeight="1"/>
    <row r="73" s="14" customFormat="1" ht="18" customHeight="1"/>
    <row r="74" s="14" customFormat="1" ht="18" customHeight="1"/>
    <row r="75" s="14" customFormat="1" ht="18" customHeight="1"/>
    <row r="76" s="14" customFormat="1" ht="18" customHeight="1"/>
    <row r="77" s="14" customFormat="1" ht="18" customHeight="1"/>
    <row r="78" s="14" customFormat="1" ht="18" customHeight="1"/>
    <row r="79" s="14" customFormat="1" ht="18" customHeight="1"/>
    <row r="80" s="14" customFormat="1" ht="18" customHeight="1"/>
    <row r="81" s="14" customFormat="1" ht="18" customHeight="1"/>
    <row r="82" s="14" customFormat="1" ht="18" customHeight="1"/>
    <row r="83" s="14" customFormat="1" ht="18" customHeight="1"/>
    <row r="84" s="14" customFormat="1" ht="18" customHeight="1"/>
    <row r="85" s="14" customFormat="1" ht="18" customHeight="1"/>
    <row r="86" s="14" customFormat="1" ht="18" customHeight="1"/>
    <row r="87" s="14" customFormat="1" ht="18" customHeight="1"/>
    <row r="88" s="14" customFormat="1" ht="18" customHeight="1"/>
    <row r="89" s="14" customFormat="1" ht="18" customHeight="1"/>
    <row r="90" s="14" customFormat="1" ht="18" customHeight="1"/>
    <row r="91" s="14" customFormat="1" ht="18" customHeight="1"/>
    <row r="92" s="14" customFormat="1" ht="18" customHeight="1"/>
    <row r="93" s="14" customFormat="1" ht="18" customHeight="1"/>
    <row r="94" s="14" customFormat="1" ht="18" customHeight="1"/>
    <row r="95" s="14" customFormat="1" ht="18" customHeight="1"/>
    <row r="96" s="14" customFormat="1" ht="18" customHeight="1"/>
    <row r="97" s="14" customFormat="1" ht="18" customHeight="1"/>
    <row r="98" s="14" customFormat="1" ht="18" customHeight="1"/>
    <row r="99" s="14" customFormat="1" ht="18" customHeight="1"/>
    <row r="100" s="14" customFormat="1" ht="18" customHeight="1"/>
    <row r="101" s="14" customFormat="1" ht="18" customHeight="1"/>
    <row r="102" s="14" customFormat="1" ht="18" customHeight="1"/>
    <row r="103" s="14" customFormat="1" ht="18" customHeight="1"/>
    <row r="104" s="14" customFormat="1" ht="18" customHeight="1"/>
    <row r="105" s="14" customFormat="1" ht="18" customHeight="1"/>
    <row r="106" s="14" customFormat="1" ht="18" customHeight="1"/>
    <row r="107" s="14" customFormat="1" ht="18" customHeight="1"/>
    <row r="108" s="14" customFormat="1" ht="18" customHeight="1"/>
    <row r="109" s="14" customFormat="1" ht="18" customHeight="1"/>
    <row r="110" s="14" customFormat="1" ht="18" customHeight="1"/>
    <row r="111" s="14" customFormat="1" ht="18" customHeight="1"/>
    <row r="112" s="14" customFormat="1" ht="18" customHeight="1"/>
    <row r="113" s="14" customFormat="1" ht="18" customHeight="1"/>
    <row r="114" s="14" customFormat="1" ht="18" customHeight="1"/>
    <row r="115" s="14" customFormat="1" ht="18" customHeight="1"/>
    <row r="116" s="14" customFormat="1" ht="18" customHeight="1"/>
    <row r="117" s="14" customFormat="1" ht="18" customHeight="1"/>
    <row r="118" s="14" customFormat="1" ht="18" customHeight="1"/>
    <row r="119" s="14" customFormat="1" ht="18" customHeight="1"/>
    <row r="120" s="14" customFormat="1" ht="18" customHeight="1"/>
    <row r="121" s="14" customFormat="1" ht="18" customHeight="1"/>
    <row r="122" s="14" customFormat="1" ht="18" customHeight="1"/>
    <row r="123" s="14" customFormat="1" ht="18" customHeight="1"/>
    <row r="124" s="14" customFormat="1" ht="18" customHeight="1"/>
    <row r="125" s="14" customFormat="1" ht="18" customHeight="1"/>
  </sheetData>
  <sheetProtection formatCells="0" formatColumns="0" formatRows="0" insertColumns="0" insertRows="0" deleteColumns="0" deleteRows="0"/>
  <mergeCells count="1">
    <mergeCell ref="B1:J1"/>
  </mergeCells>
  <phoneticPr fontId="6" type="noConversion"/>
  <pageMargins left="0.75" right="0.75" top="1" bottom="1" header="0.5" footer="0.5"/>
  <headerFooter alignWithMargins="0"/>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L27"/>
  <sheetViews>
    <sheetView topLeftCell="A10" zoomScaleNormal="100" workbookViewId="0">
      <selection activeCell="F23" sqref="F23"/>
    </sheetView>
  </sheetViews>
  <sheetFormatPr defaultColWidth="9" defaultRowHeight="20.149999999999999" customHeight="1"/>
  <cols>
    <col min="1" max="1" width="3.25" style="490" customWidth="1"/>
    <col min="2" max="2" width="20.08203125" style="490" customWidth="1"/>
    <col min="3" max="3" width="9" style="490"/>
    <col min="4" max="4" width="13.08203125" style="490" customWidth="1"/>
    <col min="5" max="16384" width="9" style="490"/>
  </cols>
  <sheetData>
    <row r="1" spans="1:12" s="4" customFormat="1" ht="31.5" customHeight="1">
      <c r="B1" s="765" t="s">
        <v>584</v>
      </c>
      <c r="C1" s="765"/>
      <c r="D1" s="765"/>
      <c r="E1" s="765"/>
      <c r="F1" s="765"/>
      <c r="G1" s="765"/>
      <c r="H1" s="765"/>
      <c r="I1" s="765"/>
      <c r="J1" s="765"/>
    </row>
    <row r="2" spans="1:12" s="4" customFormat="1" ht="18" customHeight="1">
      <c r="B2" s="265" t="str">
        <f>'1报表'!B11</f>
        <v>评估基准日：2017/12/31</v>
      </c>
      <c r="E2" s="81"/>
      <c r="F2" s="81"/>
      <c r="G2" s="81"/>
    </row>
    <row r="3" spans="1:12" s="14" customFormat="1" ht="18" customHeight="1">
      <c r="B3" s="265" t="str">
        <f>'1报表'!B12</f>
        <v>被评估单位：JSBD公司</v>
      </c>
      <c r="J3" s="19" t="s">
        <v>585</v>
      </c>
    </row>
    <row r="4" spans="1:12" s="14" customFormat="1" ht="17.25" customHeight="1">
      <c r="B4" s="211" t="s">
        <v>652</v>
      </c>
      <c r="C4" s="491" t="s">
        <v>586</v>
      </c>
      <c r="D4" s="491" t="s">
        <v>587</v>
      </c>
      <c r="E4" s="69" t="str">
        <f>'3收入'!E4</f>
        <v>2017年</v>
      </c>
      <c r="F4" s="27" t="str">
        <f>'3收入'!F4</f>
        <v>2018年</v>
      </c>
      <c r="G4" s="27" t="str">
        <f>'3收入'!G4</f>
        <v>2019年</v>
      </c>
      <c r="H4" s="27" t="str">
        <f>'3收入'!H4</f>
        <v>2020年</v>
      </c>
      <c r="I4" s="27" t="str">
        <f>'3收入'!I4</f>
        <v>2021年</v>
      </c>
      <c r="J4" s="27" t="str">
        <f>'3收入'!J4</f>
        <v>2022年</v>
      </c>
    </row>
    <row r="5" spans="1:12" s="14" customFormat="1" ht="18" customHeight="1">
      <c r="A5" s="138"/>
      <c r="B5" s="431" t="s">
        <v>588</v>
      </c>
      <c r="C5" s="351">
        <v>5.4100000000000002E-2</v>
      </c>
      <c r="D5" s="492"/>
      <c r="E5" s="523">
        <v>1000</v>
      </c>
      <c r="F5" s="93">
        <v>1000</v>
      </c>
      <c r="G5" s="93">
        <v>1000</v>
      </c>
      <c r="H5" s="93">
        <v>1000</v>
      </c>
      <c r="I5" s="93">
        <v>1000</v>
      </c>
      <c r="J5" s="93">
        <v>1000</v>
      </c>
    </row>
    <row r="6" spans="1:12" s="14" customFormat="1" ht="18" customHeight="1">
      <c r="A6" s="138"/>
      <c r="B6" s="431" t="s">
        <v>589</v>
      </c>
      <c r="C6" s="351"/>
      <c r="D6" s="430"/>
      <c r="E6" s="523"/>
      <c r="F6" s="93"/>
      <c r="G6" s="93"/>
      <c r="H6" s="93"/>
      <c r="I6" s="93"/>
      <c r="J6" s="93"/>
    </row>
    <row r="7" spans="1:12" s="14" customFormat="1" ht="18" customHeight="1">
      <c r="A7" s="138"/>
      <c r="B7" s="431" t="s">
        <v>590</v>
      </c>
      <c r="C7" s="351"/>
      <c r="D7" s="430"/>
      <c r="E7" s="523"/>
      <c r="F7" s="93"/>
      <c r="G7" s="93"/>
      <c r="H7" s="93"/>
      <c r="I7" s="93"/>
      <c r="J7" s="93"/>
    </row>
    <row r="8" spans="1:12" s="14" customFormat="1" ht="18" customHeight="1">
      <c r="A8" s="138"/>
      <c r="B8" s="701" t="s">
        <v>789</v>
      </c>
      <c r="C8" s="702">
        <v>5.4100000000000002E-2</v>
      </c>
      <c r="D8" s="703"/>
      <c r="E8" s="704"/>
      <c r="F8" s="705">
        <v>315.69212601003892</v>
      </c>
      <c r="G8" s="705">
        <v>0</v>
      </c>
      <c r="H8" s="705">
        <v>0</v>
      </c>
      <c r="I8" s="705">
        <v>0</v>
      </c>
      <c r="J8" s="705">
        <v>0</v>
      </c>
      <c r="K8" s="708" t="s">
        <v>906</v>
      </c>
      <c r="L8" s="226"/>
    </row>
    <row r="9" spans="1:12" s="14" customFormat="1" ht="18" customHeight="1">
      <c r="A9" s="138"/>
      <c r="B9" s="431" t="s">
        <v>39</v>
      </c>
      <c r="C9" s="351"/>
      <c r="D9" s="430"/>
      <c r="E9" s="523"/>
      <c r="F9" s="93"/>
      <c r="G9" s="93"/>
      <c r="H9" s="93"/>
      <c r="I9" s="93"/>
      <c r="J9" s="93"/>
    </row>
    <row r="10" spans="1:12" s="14" customFormat="1" ht="18" customHeight="1">
      <c r="A10" s="138"/>
      <c r="B10" s="433" t="s">
        <v>591</v>
      </c>
      <c r="C10" s="493"/>
      <c r="D10" s="493"/>
      <c r="E10" s="429">
        <f>SUM(E5:E9)</f>
        <v>1000</v>
      </c>
      <c r="F10" s="429">
        <f t="shared" ref="F10:I10" si="0">SUM(F5:F9)</f>
        <v>1315.6921260100389</v>
      </c>
      <c r="G10" s="429">
        <f t="shared" si="0"/>
        <v>1000</v>
      </c>
      <c r="H10" s="429">
        <f t="shared" si="0"/>
        <v>1000</v>
      </c>
      <c r="I10" s="429">
        <f t="shared" si="0"/>
        <v>1000</v>
      </c>
      <c r="J10" s="429">
        <f>SUM(J5:J9)</f>
        <v>1000</v>
      </c>
    </row>
    <row r="11" spans="1:12" s="14" customFormat="1" ht="24" customHeight="1">
      <c r="B11" s="494" t="s">
        <v>592</v>
      </c>
    </row>
    <row r="12" spans="1:12" s="14" customFormat="1" ht="18" customHeight="1">
      <c r="A12" s="138"/>
      <c r="B12" s="431" t="s">
        <v>593</v>
      </c>
      <c r="C12" s="69" t="str">
        <f>'3收入'!C4</f>
        <v>2015年</v>
      </c>
      <c r="D12" s="69" t="str">
        <f>'3收入'!D4</f>
        <v>2016年</v>
      </c>
      <c r="E12" s="69" t="str">
        <f>'3收入'!E4</f>
        <v>2017年</v>
      </c>
      <c r="F12" s="27" t="str">
        <f>'3收入'!F4</f>
        <v>2018年</v>
      </c>
      <c r="G12" s="27" t="str">
        <f>'3收入'!G4</f>
        <v>2019年</v>
      </c>
      <c r="H12" s="27" t="str">
        <f>'3收入'!H4</f>
        <v>2020年</v>
      </c>
      <c r="I12" s="27" t="str">
        <f>'3收入'!I4</f>
        <v>2021年</v>
      </c>
      <c r="J12" s="27">
        <f>'3收入'!K4</f>
        <v>0</v>
      </c>
    </row>
    <row r="13" spans="1:12" s="14" customFormat="1" ht="18" customHeight="1">
      <c r="A13" s="138"/>
      <c r="B13" s="431" t="s">
        <v>594</v>
      </c>
      <c r="C13" s="74"/>
      <c r="D13" s="74"/>
      <c r="E13" s="74"/>
      <c r="F13" s="397">
        <f>$C5*E5</f>
        <v>54.1</v>
      </c>
      <c r="G13" s="397">
        <f t="shared" ref="G13:I13" si="1">$C5*F5</f>
        <v>54.1</v>
      </c>
      <c r="H13" s="397">
        <f t="shared" si="1"/>
        <v>54.1</v>
      </c>
      <c r="I13" s="397">
        <f t="shared" si="1"/>
        <v>54.1</v>
      </c>
      <c r="J13" s="397">
        <f>$C5*I5</f>
        <v>54.1</v>
      </c>
      <c r="K13" s="21" t="s">
        <v>663</v>
      </c>
    </row>
    <row r="14" spans="1:12" s="14" customFormat="1" ht="18" customHeight="1">
      <c r="A14" s="138"/>
      <c r="B14" s="431" t="s">
        <v>34</v>
      </c>
      <c r="C14" s="74"/>
      <c r="D14" s="74"/>
      <c r="E14" s="74"/>
      <c r="F14" s="397">
        <f t="shared" ref="F14:J14" si="2">$C6*E6</f>
        <v>0</v>
      </c>
      <c r="G14" s="397">
        <f t="shared" si="2"/>
        <v>0</v>
      </c>
      <c r="H14" s="397">
        <f t="shared" si="2"/>
        <v>0</v>
      </c>
      <c r="I14" s="397">
        <f t="shared" si="2"/>
        <v>0</v>
      </c>
      <c r="J14" s="397">
        <f t="shared" si="2"/>
        <v>0</v>
      </c>
    </row>
    <row r="15" spans="1:12" s="14" customFormat="1" ht="18" customHeight="1">
      <c r="A15" s="138"/>
      <c r="B15" s="431" t="s">
        <v>595</v>
      </c>
      <c r="C15" s="74"/>
      <c r="D15" s="74"/>
      <c r="E15" s="74"/>
      <c r="F15" s="397">
        <f>$C7*E7</f>
        <v>0</v>
      </c>
      <c r="G15" s="397">
        <f t="shared" ref="G15:J15" si="3">$C7*F7</f>
        <v>0</v>
      </c>
      <c r="H15" s="397">
        <f t="shared" si="3"/>
        <v>0</v>
      </c>
      <c r="I15" s="397">
        <f t="shared" si="3"/>
        <v>0</v>
      </c>
      <c r="J15" s="397">
        <f t="shared" si="3"/>
        <v>0</v>
      </c>
    </row>
    <row r="16" spans="1:12" s="14" customFormat="1" ht="18" customHeight="1">
      <c r="A16" s="138"/>
      <c r="B16" s="701" t="s">
        <v>789</v>
      </c>
      <c r="C16" s="706"/>
      <c r="D16" s="706"/>
      <c r="E16" s="706"/>
      <c r="F16" s="707">
        <f>$C8*E8</f>
        <v>0</v>
      </c>
      <c r="G16" s="397">
        <f t="shared" ref="G16:I16" si="4">$C8*F8</f>
        <v>17.078944017143105</v>
      </c>
      <c r="H16" s="397">
        <f t="shared" si="4"/>
        <v>0</v>
      </c>
      <c r="I16" s="707">
        <f t="shared" si="4"/>
        <v>0</v>
      </c>
      <c r="J16" s="707">
        <f>$C8*I8</f>
        <v>0</v>
      </c>
    </row>
    <row r="17" spans="1:11" s="14" customFormat="1" ht="18" customHeight="1">
      <c r="A17" s="138"/>
      <c r="B17" s="431" t="s">
        <v>39</v>
      </c>
      <c r="C17" s="74"/>
      <c r="D17" s="74"/>
      <c r="E17" s="74"/>
      <c r="F17" s="397">
        <f t="shared" ref="F17:J17" si="5">$C9*E9</f>
        <v>0</v>
      </c>
      <c r="G17" s="397">
        <f t="shared" si="5"/>
        <v>0</v>
      </c>
      <c r="H17" s="397">
        <f t="shared" si="5"/>
        <v>0</v>
      </c>
      <c r="I17" s="397">
        <f t="shared" si="5"/>
        <v>0</v>
      </c>
      <c r="J17" s="397">
        <f t="shared" si="5"/>
        <v>0</v>
      </c>
    </row>
    <row r="18" spans="1:11" s="14" customFormat="1" ht="18" customHeight="1">
      <c r="A18" s="138"/>
      <c r="B18" s="433" t="s">
        <v>596</v>
      </c>
      <c r="C18" s="429">
        <f>'1报表'!C104</f>
        <v>144.025723</v>
      </c>
      <c r="D18" s="429">
        <f>'1报表'!D104</f>
        <v>132.215711</v>
      </c>
      <c r="E18" s="429">
        <f>'1报表'!E104</f>
        <v>92.333056999999997</v>
      </c>
      <c r="F18" s="429">
        <f t="shared" ref="F18:I18" si="6">SUM(F13:F17)</f>
        <v>54.1</v>
      </c>
      <c r="G18" s="429">
        <f t="shared" si="6"/>
        <v>71.17894401714311</v>
      </c>
      <c r="H18" s="429">
        <f t="shared" si="6"/>
        <v>54.1</v>
      </c>
      <c r="I18" s="429">
        <f t="shared" si="6"/>
        <v>54.1</v>
      </c>
      <c r="J18" s="429">
        <f>SUM(J13:J17)</f>
        <v>54.1</v>
      </c>
    </row>
    <row r="19" spans="1:11" s="14" customFormat="1" ht="18" customHeight="1">
      <c r="A19" s="138"/>
      <c r="B19" s="431" t="s">
        <v>597</v>
      </c>
      <c r="C19" s="397">
        <f>'1报表'!C105</f>
        <v>1.4128499999999999</v>
      </c>
      <c r="D19" s="397">
        <f>'1报表'!D105</f>
        <v>1.0284310000000001</v>
      </c>
      <c r="E19" s="397">
        <f>'1报表'!E105</f>
        <v>1.2079260000000001</v>
      </c>
      <c r="F19" s="74"/>
      <c r="G19" s="74"/>
      <c r="H19" s="74"/>
      <c r="I19" s="74"/>
      <c r="J19" s="74"/>
    </row>
    <row r="20" spans="1:11" s="14" customFormat="1" ht="18" customHeight="1">
      <c r="A20" s="138"/>
      <c r="B20" s="431" t="s">
        <v>598</v>
      </c>
      <c r="C20" s="85">
        <f>C21-C18+C19</f>
        <v>-11.157779999999994</v>
      </c>
      <c r="D20" s="85">
        <f t="shared" ref="D20:E20" si="7">D21-D18+D19</f>
        <v>-19.370293000000014</v>
      </c>
      <c r="E20" s="85">
        <f t="shared" si="7"/>
        <v>8.923127000000008</v>
      </c>
      <c r="F20" s="240">
        <v>9</v>
      </c>
      <c r="G20" s="240">
        <v>9</v>
      </c>
      <c r="H20" s="240">
        <v>9</v>
      </c>
      <c r="I20" s="240">
        <v>9</v>
      </c>
      <c r="J20" s="240">
        <v>9</v>
      </c>
      <c r="K20" s="21" t="s">
        <v>599</v>
      </c>
    </row>
    <row r="21" spans="1:11" s="14" customFormat="1" ht="18" customHeight="1">
      <c r="A21" s="138"/>
      <c r="B21" s="433" t="s">
        <v>600</v>
      </c>
      <c r="C21" s="493">
        <f>'1报表'!C103</f>
        <v>131.45509300000001</v>
      </c>
      <c r="D21" s="493">
        <f>'1报表'!D103</f>
        <v>111.81698699999998</v>
      </c>
      <c r="E21" s="493">
        <f>'1报表'!E103</f>
        <v>100.048258</v>
      </c>
      <c r="F21" s="493">
        <f>SUM(F18:F20)</f>
        <v>63.1</v>
      </c>
      <c r="G21" s="493">
        <f t="shared" ref="G21:I21" si="8">SUM(G18:G20)</f>
        <v>80.17894401714311</v>
      </c>
      <c r="H21" s="493">
        <f t="shared" si="8"/>
        <v>63.1</v>
      </c>
      <c r="I21" s="493">
        <f t="shared" si="8"/>
        <v>63.1</v>
      </c>
      <c r="J21" s="493">
        <f>SUM(J18:J20)</f>
        <v>63.1</v>
      </c>
    </row>
    <row r="22" spans="1:11" s="14" customFormat="1" ht="18" customHeight="1"/>
    <row r="23" spans="1:11" s="712" customFormat="1" ht="20.149999999999999" customHeight="1">
      <c r="B23" s="715" t="s">
        <v>971</v>
      </c>
      <c r="C23" s="713"/>
      <c r="D23" s="718" t="s">
        <v>912</v>
      </c>
      <c r="E23" s="713"/>
      <c r="F23" s="714">
        <f>预测财报!F83</f>
        <v>0</v>
      </c>
      <c r="G23" s="714">
        <f>预测财报!G83</f>
        <v>0</v>
      </c>
      <c r="H23" s="714">
        <f>预测财报!H83</f>
        <v>0</v>
      </c>
      <c r="I23" s="714">
        <f>预测财报!I83</f>
        <v>0</v>
      </c>
      <c r="J23" s="714">
        <f>预测财报!J83</f>
        <v>0</v>
      </c>
      <c r="K23" s="160" t="s">
        <v>972</v>
      </c>
    </row>
    <row r="24" spans="1:11" s="14" customFormat="1" ht="18" customHeight="1">
      <c r="B24" s="160" t="s">
        <v>905</v>
      </c>
      <c r="F24" s="14">
        <f>F8-F23</f>
        <v>315.69212601003892</v>
      </c>
      <c r="G24" s="14">
        <f t="shared" ref="G24:J24" si="9">G8-G23</f>
        <v>0</v>
      </c>
      <c r="H24" s="14">
        <f t="shared" si="9"/>
        <v>0</v>
      </c>
      <c r="I24" s="14">
        <f t="shared" si="9"/>
        <v>0</v>
      </c>
      <c r="J24" s="14">
        <f t="shared" si="9"/>
        <v>0</v>
      </c>
      <c r="K24" s="160" t="s">
        <v>911</v>
      </c>
    </row>
    <row r="27" spans="1:11" ht="20.149999999999999" customHeight="1">
      <c r="B27" s="227" t="s">
        <v>904</v>
      </c>
    </row>
  </sheetData>
  <mergeCells count="1">
    <mergeCell ref="B1:J1"/>
  </mergeCells>
  <phoneticPr fontId="6"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Y119"/>
  <sheetViews>
    <sheetView topLeftCell="A16" zoomScaleNormal="100" workbookViewId="0">
      <selection activeCell="E36" sqref="E36"/>
    </sheetView>
  </sheetViews>
  <sheetFormatPr defaultColWidth="9" defaultRowHeight="18" customHeight="1"/>
  <cols>
    <col min="1" max="1" width="2.33203125" style="246" customWidth="1"/>
    <col min="2" max="2" width="25.83203125" style="247" customWidth="1"/>
    <col min="3" max="4" width="9" style="247" customWidth="1"/>
    <col min="5" max="5" width="10.25" style="247" customWidth="1"/>
    <col min="6" max="6" width="9.75" style="247" bestFit="1" customWidth="1"/>
    <col min="7" max="7" width="9.25" style="247" bestFit="1" customWidth="1"/>
    <col min="8" max="8" width="9.58203125" style="247" bestFit="1" customWidth="1"/>
    <col min="9" max="10" width="9.25" style="247" customWidth="1"/>
    <col min="11" max="11" width="9" style="247" customWidth="1"/>
    <col min="12" max="12" width="13.08203125" style="49" customWidth="1"/>
    <col min="13" max="13" width="13" style="49" customWidth="1"/>
    <col min="14" max="14" width="9" style="49"/>
    <col min="15" max="15" width="10.58203125" style="49" customWidth="1"/>
    <col min="16" max="25" width="9" style="49"/>
    <col min="26" max="26" width="10.75" style="247" customWidth="1"/>
    <col min="27" max="16384" width="9" style="247"/>
  </cols>
  <sheetData>
    <row r="1" spans="1:25" s="213" customFormat="1" ht="29.25" customHeight="1">
      <c r="A1" s="84"/>
      <c r="B1" s="765" t="s">
        <v>664</v>
      </c>
      <c r="C1" s="765"/>
      <c r="D1" s="765"/>
      <c r="E1" s="765"/>
      <c r="F1" s="765"/>
      <c r="G1" s="765"/>
      <c r="H1" s="765"/>
      <c r="I1" s="765"/>
      <c r="J1" s="765"/>
      <c r="K1" s="765"/>
      <c r="L1" s="436"/>
      <c r="M1" s="436"/>
      <c r="N1" s="436"/>
      <c r="O1" s="140"/>
      <c r="P1" s="140"/>
      <c r="Q1" s="140"/>
      <c r="R1" s="140"/>
      <c r="S1" s="140"/>
      <c r="T1" s="140"/>
      <c r="U1" s="140"/>
      <c r="V1" s="140"/>
      <c r="W1" s="140"/>
      <c r="X1" s="140"/>
      <c r="Y1" s="140"/>
    </row>
    <row r="2" spans="1:25" s="213" customFormat="1" ht="18" customHeight="1">
      <c r="A2" s="248"/>
      <c r="B2" s="265" t="str">
        <f>'1报表'!B11</f>
        <v>评估基准日：2017/12/31</v>
      </c>
      <c r="D2" s="245"/>
      <c r="F2" s="435"/>
      <c r="L2" s="140"/>
      <c r="M2" s="140"/>
      <c r="N2" s="140"/>
      <c r="O2" s="140"/>
      <c r="P2" s="140"/>
      <c r="Q2" s="140"/>
      <c r="R2" s="140"/>
      <c r="S2" s="140"/>
      <c r="T2" s="140"/>
      <c r="U2" s="140"/>
      <c r="V2" s="140"/>
      <c r="W2" s="140"/>
      <c r="X2" s="140"/>
      <c r="Y2" s="140"/>
    </row>
    <row r="3" spans="1:25" ht="18" customHeight="1">
      <c r="A3" s="44"/>
      <c r="B3" s="141" t="str">
        <f>'1报表'!B12</f>
        <v>被评估单位：JSBD公司</v>
      </c>
      <c r="C3" s="444"/>
      <c r="D3" s="444"/>
      <c r="E3" s="444"/>
      <c r="F3" s="513"/>
      <c r="G3" s="514"/>
      <c r="H3" s="444"/>
      <c r="I3" s="444"/>
      <c r="J3" s="515" t="s">
        <v>52</v>
      </c>
    </row>
    <row r="4" spans="1:25" ht="21" customHeight="1">
      <c r="A4" s="142"/>
      <c r="B4" s="516" t="s">
        <v>450</v>
      </c>
      <c r="C4" s="517" t="str">
        <f>'3收入'!C4</f>
        <v>2015年</v>
      </c>
      <c r="D4" s="517" t="str">
        <f>'3收入'!D4</f>
        <v>2016年</v>
      </c>
      <c r="E4" s="517" t="str">
        <f>'3收入'!E4</f>
        <v>2017年</v>
      </c>
      <c r="F4" s="518" t="str">
        <f>'3收入'!F4</f>
        <v>2018年</v>
      </c>
      <c r="G4" s="518" t="str">
        <f>'3收入'!G4</f>
        <v>2019年</v>
      </c>
      <c r="H4" s="518" t="str">
        <f>'3收入'!H4</f>
        <v>2020年</v>
      </c>
      <c r="I4" s="518" t="str">
        <f>'3收入'!I4</f>
        <v>2021年</v>
      </c>
      <c r="J4" s="518" t="str">
        <f>'3收入'!J4</f>
        <v>2022年</v>
      </c>
    </row>
    <row r="5" spans="1:25" ht="18" customHeight="1">
      <c r="A5" s="92"/>
      <c r="B5" s="433" t="s">
        <v>400</v>
      </c>
      <c r="C5" s="46">
        <f>'3收入'!C5</f>
        <v>5647.5608560000001</v>
      </c>
      <c r="D5" s="46">
        <f>'3收入'!D5</f>
        <v>7304.7745279999999</v>
      </c>
      <c r="E5" s="46">
        <f>'3收入'!E5</f>
        <v>9615.5763319999987</v>
      </c>
      <c r="F5" s="46">
        <f>'3收入'!F5</f>
        <v>11935.47732058755</v>
      </c>
      <c r="G5" s="46">
        <f>'3收入'!G5</f>
        <v>14141.383768720463</v>
      </c>
      <c r="H5" s="46">
        <f>'3收入'!H5</f>
        <v>15896.179912814478</v>
      </c>
      <c r="I5" s="46">
        <f>'3收入'!I5</f>
        <v>16863.122702610581</v>
      </c>
      <c r="J5" s="46">
        <f>'3收入'!J5</f>
        <v>17224.451164859773</v>
      </c>
      <c r="X5" s="14"/>
    </row>
    <row r="6" spans="1:25" ht="18" customHeight="1">
      <c r="A6" s="92"/>
      <c r="B6" s="431" t="s">
        <v>97</v>
      </c>
      <c r="C6" s="46">
        <f>'4成本'!C5</f>
        <v>3450.9961680000001</v>
      </c>
      <c r="D6" s="46">
        <f>'4成本'!D5</f>
        <v>4625.6862350000001</v>
      </c>
      <c r="E6" s="46">
        <f>'4成本'!E5</f>
        <v>5762.985987</v>
      </c>
      <c r="F6" s="46">
        <f>'4成本'!F5</f>
        <v>7161.2863923525301</v>
      </c>
      <c r="G6" s="46">
        <f>'4成本'!G5</f>
        <v>8484.8302612322768</v>
      </c>
      <c r="H6" s="46">
        <f>'4成本'!H5</f>
        <v>9537.7079476886865</v>
      </c>
      <c r="I6" s="46">
        <f>'4成本'!I5</f>
        <v>10117.873621566348</v>
      </c>
      <c r="J6" s="46">
        <f>'4成本'!J5</f>
        <v>10334.670698915863</v>
      </c>
      <c r="X6" s="14"/>
    </row>
    <row r="7" spans="1:25" ht="18" customHeight="1">
      <c r="A7" s="92"/>
      <c r="B7" s="432" t="s">
        <v>175</v>
      </c>
      <c r="C7" s="46">
        <f>'5税金'!C5</f>
        <v>53.873420999999993</v>
      </c>
      <c r="D7" s="46">
        <f>'5税金'!D5</f>
        <v>81.41623100000001</v>
      </c>
      <c r="E7" s="46">
        <f>'5税金'!E5</f>
        <v>113.39455900000002</v>
      </c>
      <c r="F7" s="46">
        <f>'5税金'!F5</f>
        <v>107.26835541722282</v>
      </c>
      <c r="G7" s="46">
        <f>'5税金'!G5</f>
        <v>127.21454394475082</v>
      </c>
      <c r="H7" s="46">
        <f>'5税金'!H5</f>
        <v>142.79594350458177</v>
      </c>
      <c r="I7" s="46">
        <f>'5税金'!I5</f>
        <v>152.48180914883849</v>
      </c>
      <c r="J7" s="46">
        <f>'5税金'!J5</f>
        <v>155.38376810740826</v>
      </c>
      <c r="X7" s="14"/>
    </row>
    <row r="8" spans="1:25" ht="18" customHeight="1">
      <c r="A8" s="92"/>
      <c r="B8" s="432" t="s">
        <v>348</v>
      </c>
      <c r="C8" s="46">
        <f>'6销管'!C5</f>
        <v>481.45909900000004</v>
      </c>
      <c r="D8" s="46">
        <f>'6销管'!D5</f>
        <v>588.55086500000004</v>
      </c>
      <c r="E8" s="46">
        <f>'6销管'!E5</f>
        <v>750.19684400000006</v>
      </c>
      <c r="F8" s="46">
        <f>'6销管'!F5</f>
        <v>950.06399471876898</v>
      </c>
      <c r="G8" s="46">
        <f>'6销管'!G5</f>
        <v>1125.6541479901491</v>
      </c>
      <c r="H8" s="46">
        <f>'6销管'!H5</f>
        <v>1265.3359210600324</v>
      </c>
      <c r="I8" s="46">
        <f>'6销管'!I5</f>
        <v>1342.3045671278023</v>
      </c>
      <c r="J8" s="46">
        <f>'6销管'!J5</f>
        <v>1371.0663127228379</v>
      </c>
      <c r="X8" s="14"/>
    </row>
    <row r="9" spans="1:25" ht="18" customHeight="1">
      <c r="A9" s="92"/>
      <c r="B9" s="432" t="s">
        <v>203</v>
      </c>
      <c r="C9" s="46">
        <f>'6销管'!C6</f>
        <v>694.30697500000019</v>
      </c>
      <c r="D9" s="46">
        <f>'6销管'!D6</f>
        <v>710.43653900000004</v>
      </c>
      <c r="E9" s="46">
        <f>'6销管'!E6</f>
        <v>1052.4467249999998</v>
      </c>
      <c r="F9" s="46">
        <f>'6销管'!F6</f>
        <v>1140.1680865915284</v>
      </c>
      <c r="G9" s="46">
        <f>'6销管'!G6</f>
        <v>1284.8846646328643</v>
      </c>
      <c r="H9" s="46">
        <f>'6销管'!H6</f>
        <v>1341.4960891320359</v>
      </c>
      <c r="I9" s="46">
        <f>'6销管'!I6</f>
        <v>1376.4757945411359</v>
      </c>
      <c r="J9" s="46">
        <f>'6销管'!J6</f>
        <v>1432.4397334915836</v>
      </c>
      <c r="X9" s="14"/>
    </row>
    <row r="10" spans="1:25" ht="18" customHeight="1">
      <c r="A10" s="92"/>
      <c r="B10" s="432" t="s">
        <v>532</v>
      </c>
      <c r="C10" s="46">
        <f>'6销管'!C7</f>
        <v>384.83577599999995</v>
      </c>
      <c r="D10" s="46">
        <f>'6销管'!D7</f>
        <v>369.90656899999999</v>
      </c>
      <c r="E10" s="46">
        <f>'6销管'!E7</f>
        <v>435.36899800000003</v>
      </c>
      <c r="F10" s="46">
        <f>'6销管'!F7</f>
        <v>596.77386602937747</v>
      </c>
      <c r="G10" s="46">
        <f>'6销管'!G7</f>
        <v>707.06918843602318</v>
      </c>
      <c r="H10" s="46">
        <f>'6销管'!H7</f>
        <v>794.80899564072388</v>
      </c>
      <c r="I10" s="46">
        <f>'6销管'!I7</f>
        <v>843.15613513052904</v>
      </c>
      <c r="J10" s="46">
        <f>'6销管'!J7</f>
        <v>861.22255824298873</v>
      </c>
      <c r="X10" s="14"/>
    </row>
    <row r="11" spans="1:25" ht="18" customHeight="1">
      <c r="A11" s="92"/>
      <c r="B11" s="432" t="s">
        <v>613</v>
      </c>
      <c r="C11" s="46">
        <f>'11财务费用'!C21</f>
        <v>131.45509300000001</v>
      </c>
      <c r="D11" s="46">
        <f>'11财务费用'!D21</f>
        <v>111.81698699999998</v>
      </c>
      <c r="E11" s="46">
        <f>'11财务费用'!E21</f>
        <v>100.048258</v>
      </c>
      <c r="F11" s="46">
        <f>'11财务费用'!F21</f>
        <v>63.1</v>
      </c>
      <c r="G11" s="46">
        <f>'11财务费用'!G21</f>
        <v>80.17894401714311</v>
      </c>
      <c r="H11" s="46">
        <f>'11财务费用'!H21</f>
        <v>63.1</v>
      </c>
      <c r="I11" s="46">
        <f>'11财务费用'!I21</f>
        <v>63.1</v>
      </c>
      <c r="J11" s="46">
        <f>'11财务费用'!J21</f>
        <v>63.1</v>
      </c>
      <c r="L11" s="249"/>
      <c r="M11" s="249"/>
      <c r="X11" s="14"/>
    </row>
    <row r="12" spans="1:25" ht="18" customHeight="1">
      <c r="A12" s="92"/>
      <c r="B12" s="519" t="s">
        <v>182</v>
      </c>
      <c r="C12" s="10">
        <f>C5-SUM(C6:C11)</f>
        <v>450.63432400000056</v>
      </c>
      <c r="D12" s="10">
        <f t="shared" ref="D12:J12" si="0">D5-SUM(D6:D11)</f>
        <v>816.9611019999993</v>
      </c>
      <c r="E12" s="10">
        <f t="shared" si="0"/>
        <v>1401.1349609999979</v>
      </c>
      <c r="F12" s="10">
        <f t="shared" si="0"/>
        <v>1916.8166254781227</v>
      </c>
      <c r="G12" s="10">
        <f t="shared" si="0"/>
        <v>2331.552018467255</v>
      </c>
      <c r="H12" s="10">
        <f t="shared" si="0"/>
        <v>2750.9350157884182</v>
      </c>
      <c r="I12" s="10">
        <f t="shared" si="0"/>
        <v>2967.730775095928</v>
      </c>
      <c r="J12" s="10">
        <f t="shared" si="0"/>
        <v>3006.5680933790918</v>
      </c>
      <c r="L12" s="60"/>
    </row>
    <row r="13" spans="1:25" ht="18" customHeight="1">
      <c r="A13" s="92"/>
      <c r="B13" s="520" t="s">
        <v>185</v>
      </c>
      <c r="C13" s="10">
        <f t="shared" ref="C13:J13" si="1">C12</f>
        <v>450.63432400000056</v>
      </c>
      <c r="D13" s="10">
        <f t="shared" si="1"/>
        <v>816.9611019999993</v>
      </c>
      <c r="E13" s="10">
        <f t="shared" si="1"/>
        <v>1401.1349609999979</v>
      </c>
      <c r="F13" s="10">
        <f t="shared" si="1"/>
        <v>1916.8166254781227</v>
      </c>
      <c r="G13" s="10">
        <f t="shared" si="1"/>
        <v>2331.552018467255</v>
      </c>
      <c r="H13" s="10">
        <f t="shared" si="1"/>
        <v>2750.9350157884182</v>
      </c>
      <c r="I13" s="10">
        <f t="shared" si="1"/>
        <v>2967.730775095928</v>
      </c>
      <c r="J13" s="10">
        <f t="shared" si="1"/>
        <v>3006.5680933790918</v>
      </c>
      <c r="L13" s="60"/>
    </row>
    <row r="14" spans="1:25" ht="18" customHeight="1">
      <c r="A14" s="719"/>
      <c r="B14" s="720" t="s">
        <v>913</v>
      </c>
      <c r="C14" s="74"/>
      <c r="D14" s="74"/>
      <c r="E14" s="74"/>
      <c r="F14" s="521"/>
      <c r="G14" s="521"/>
      <c r="H14" s="521"/>
      <c r="I14" s="521"/>
      <c r="J14" s="521"/>
      <c r="L14" s="60"/>
    </row>
    <row r="15" spans="1:25" ht="18" customHeight="1">
      <c r="A15" s="143"/>
      <c r="B15" s="720" t="s">
        <v>914</v>
      </c>
      <c r="C15" s="74"/>
      <c r="D15" s="74"/>
      <c r="E15" s="74"/>
      <c r="F15" s="521">
        <f>'6销管'!F7*0.75</f>
        <v>447.58039952203308</v>
      </c>
      <c r="G15" s="521">
        <f>'6销管'!G7*0.75</f>
        <v>530.30189132701742</v>
      </c>
      <c r="H15" s="521">
        <f>'6销管'!H7*0.5</f>
        <v>397.40449782036194</v>
      </c>
      <c r="I15" s="521">
        <f>'6销管'!I7*0.5</f>
        <v>421.57806756526452</v>
      </c>
      <c r="J15" s="521">
        <f>'6销管'!J7*0.5</f>
        <v>430.61127912149436</v>
      </c>
      <c r="L15" s="60"/>
    </row>
    <row r="16" spans="1:25" s="49" customFormat="1" ht="18" customHeight="1">
      <c r="A16" s="48"/>
      <c r="B16" s="581" t="s">
        <v>915</v>
      </c>
      <c r="C16" s="74"/>
      <c r="D16" s="74"/>
      <c r="E16" s="74"/>
      <c r="F16" s="521"/>
      <c r="G16" s="521"/>
      <c r="H16" s="521"/>
      <c r="I16" s="521"/>
      <c r="J16" s="521"/>
      <c r="K16" s="247"/>
    </row>
    <row r="17" spans="1:25" s="49" customFormat="1" ht="18" customHeight="1">
      <c r="A17" s="48"/>
      <c r="B17" s="581" t="s">
        <v>916</v>
      </c>
      <c r="C17" s="74"/>
      <c r="D17" s="74"/>
      <c r="E17" s="74"/>
      <c r="F17" s="521"/>
      <c r="G17" s="521"/>
      <c r="H17" s="521"/>
      <c r="I17" s="521"/>
      <c r="J17" s="521"/>
      <c r="K17" s="247"/>
    </row>
    <row r="18" spans="1:25" ht="18" customHeight="1">
      <c r="A18" s="143"/>
      <c r="B18" s="721" t="s">
        <v>917</v>
      </c>
      <c r="C18" s="74"/>
      <c r="D18" s="74"/>
      <c r="E18" s="74"/>
      <c r="F18" s="10">
        <f>F13-F14-F15-F16+F17</f>
        <v>1469.2362259560896</v>
      </c>
      <c r="G18" s="10">
        <f t="shared" ref="G18:J18" si="2">G13-G14-G15-G16+G17</f>
        <v>1801.2501271402375</v>
      </c>
      <c r="H18" s="10">
        <f t="shared" si="2"/>
        <v>2353.5305179680563</v>
      </c>
      <c r="I18" s="10">
        <f t="shared" si="2"/>
        <v>2546.1527075306635</v>
      </c>
      <c r="J18" s="10">
        <f t="shared" si="2"/>
        <v>2575.9568142575972</v>
      </c>
      <c r="K18" s="722"/>
      <c r="L18" s="247"/>
      <c r="M18" s="247"/>
      <c r="N18" s="247"/>
      <c r="O18" s="247"/>
      <c r="P18" s="247"/>
      <c r="Q18" s="247"/>
      <c r="R18" s="247"/>
      <c r="S18" s="247"/>
      <c r="T18" s="247"/>
      <c r="U18" s="247"/>
      <c r="V18" s="16"/>
      <c r="W18" s="16"/>
      <c r="Y18" s="247"/>
    </row>
    <row r="19" spans="1:25" ht="18" customHeight="1">
      <c r="A19" s="143"/>
      <c r="B19" s="723" t="s">
        <v>755</v>
      </c>
      <c r="C19" s="74"/>
      <c r="D19" s="74"/>
      <c r="E19" s="74"/>
      <c r="F19" s="522">
        <v>0.25</v>
      </c>
      <c r="G19" s="522">
        <v>0.15</v>
      </c>
      <c r="H19" s="522">
        <v>0.15</v>
      </c>
      <c r="I19" s="522">
        <v>0.15</v>
      </c>
      <c r="J19" s="522">
        <v>0.25</v>
      </c>
      <c r="K19" s="249"/>
      <c r="L19" s="218"/>
      <c r="Y19" s="247"/>
    </row>
    <row r="20" spans="1:25" ht="18" customHeight="1">
      <c r="A20" s="92"/>
      <c r="B20" s="232" t="s">
        <v>706</v>
      </c>
      <c r="C20" s="74"/>
      <c r="D20" s="74"/>
      <c r="E20" s="74"/>
      <c r="F20" s="3">
        <f>IF(F18&lt;0,0,F18*F19)</f>
        <v>367.3090564890224</v>
      </c>
      <c r="G20" s="3">
        <f t="shared" ref="G20:J20" si="3">IF(G18&lt;0,0,G18*G19)</f>
        <v>270.18751907103564</v>
      </c>
      <c r="H20" s="3">
        <f t="shared" si="3"/>
        <v>353.02957769520845</v>
      </c>
      <c r="I20" s="3">
        <f t="shared" si="3"/>
        <v>381.92290612959954</v>
      </c>
      <c r="J20" s="3">
        <f t="shared" si="3"/>
        <v>643.9892035643993</v>
      </c>
      <c r="L20" s="60"/>
      <c r="M20" s="218"/>
    </row>
    <row r="21" spans="1:25" ht="18" customHeight="1">
      <c r="A21" s="92"/>
      <c r="B21" s="286" t="s">
        <v>402</v>
      </c>
      <c r="C21" s="74"/>
      <c r="D21" s="74"/>
      <c r="E21" s="74"/>
      <c r="F21" s="10">
        <f>F13-F20</f>
        <v>1549.5075689891003</v>
      </c>
      <c r="G21" s="10">
        <f t="shared" ref="G21:J21" si="4">G13-G20</f>
        <v>2061.3644993962193</v>
      </c>
      <c r="H21" s="10">
        <f t="shared" si="4"/>
        <v>2397.9054380932098</v>
      </c>
      <c r="I21" s="10">
        <f t="shared" si="4"/>
        <v>2585.8078689663284</v>
      </c>
      <c r="J21" s="10">
        <f t="shared" si="4"/>
        <v>2362.5788898146925</v>
      </c>
      <c r="M21" s="218"/>
    </row>
    <row r="22" spans="1:25" ht="18" customHeight="1">
      <c r="A22" s="92"/>
      <c r="B22" s="281" t="s">
        <v>98</v>
      </c>
      <c r="C22" s="74"/>
      <c r="D22" s="74"/>
      <c r="E22" s="74"/>
      <c r="F22" s="523"/>
      <c r="G22" s="523"/>
      <c r="H22" s="523"/>
      <c r="I22" s="523"/>
      <c r="J22" s="523"/>
      <c r="M22" s="218"/>
    </row>
    <row r="23" spans="1:25" s="213" customFormat="1" ht="18" customHeight="1">
      <c r="A23" s="150"/>
      <c r="B23" s="519" t="s">
        <v>349</v>
      </c>
      <c r="C23" s="74"/>
      <c r="D23" s="74"/>
      <c r="E23" s="74"/>
      <c r="F23" s="524">
        <f>F21-F22</f>
        <v>1549.5075689891003</v>
      </c>
      <c r="G23" s="524">
        <f t="shared" ref="G23:J23" si="5">G21-G22</f>
        <v>2061.3644993962193</v>
      </c>
      <c r="H23" s="524">
        <f t="shared" si="5"/>
        <v>2397.9054380932098</v>
      </c>
      <c r="I23" s="524">
        <f t="shared" si="5"/>
        <v>2585.8078689663284</v>
      </c>
      <c r="J23" s="524">
        <f t="shared" si="5"/>
        <v>2362.5788898146925</v>
      </c>
      <c r="K23" s="247"/>
      <c r="L23" s="83"/>
      <c r="M23" s="140"/>
      <c r="N23" s="140"/>
      <c r="O23" s="140"/>
      <c r="P23" s="140"/>
      <c r="Q23" s="140"/>
      <c r="R23" s="140"/>
      <c r="S23" s="140"/>
      <c r="T23" s="140"/>
      <c r="U23" s="140"/>
      <c r="V23" s="140"/>
      <c r="W23" s="140"/>
      <c r="X23" s="140"/>
      <c r="Y23" s="140"/>
    </row>
    <row r="24" spans="1:25" ht="18" customHeight="1">
      <c r="A24" s="92"/>
      <c r="B24" s="425"/>
      <c r="C24" s="47"/>
      <c r="D24" s="47"/>
      <c r="E24" s="47"/>
      <c r="F24" s="47"/>
      <c r="G24" s="47"/>
      <c r="H24" s="47"/>
      <c r="I24" s="47"/>
      <c r="J24" s="47"/>
      <c r="L24" s="47"/>
    </row>
    <row r="25" spans="1:25" ht="18" customHeight="1">
      <c r="A25" s="92"/>
      <c r="B25" s="425"/>
      <c r="C25" s="47"/>
      <c r="D25" s="47"/>
      <c r="E25" s="47"/>
      <c r="F25" s="47"/>
      <c r="G25" s="47"/>
      <c r="H25" s="47"/>
      <c r="I25" s="47"/>
      <c r="J25" s="47"/>
      <c r="L25" s="47"/>
    </row>
    <row r="26" spans="1:25" s="49" customFormat="1" ht="18" customHeight="1">
      <c r="A26" s="48"/>
      <c r="B26" s="252" t="s">
        <v>918</v>
      </c>
      <c r="K26" s="47"/>
    </row>
    <row r="27" spans="1:25" s="49" customFormat="1" ht="18" customHeight="1">
      <c r="A27" s="48"/>
      <c r="B27" s="520" t="s">
        <v>919</v>
      </c>
      <c r="C27" s="3">
        <f>C13</f>
        <v>450.63432400000056</v>
      </c>
      <c r="D27" s="3">
        <f t="shared" ref="D27:E27" si="6">D13</f>
        <v>816.9611019999993</v>
      </c>
      <c r="E27" s="3">
        <f t="shared" si="6"/>
        <v>1401.1349609999979</v>
      </c>
      <c r="K27" s="47"/>
    </row>
    <row r="28" spans="1:25" s="49" customFormat="1" ht="18" customHeight="1">
      <c r="A28" s="48"/>
      <c r="B28" s="720" t="s">
        <v>913</v>
      </c>
      <c r="C28" s="521"/>
      <c r="D28" s="521"/>
      <c r="E28" s="521"/>
      <c r="K28" s="47"/>
    </row>
    <row r="29" spans="1:25" s="49" customFormat="1" ht="18" customHeight="1">
      <c r="A29" s="48"/>
      <c r="B29" s="720" t="s">
        <v>914</v>
      </c>
      <c r="C29" s="521">
        <f>'6销管'!C7*0.75</f>
        <v>288.62683199999998</v>
      </c>
      <c r="D29" s="521">
        <f>'6销管'!D7*0.75</f>
        <v>277.42992674999999</v>
      </c>
      <c r="E29" s="521">
        <f>'6销管'!E7*0.75</f>
        <v>326.52674850000005</v>
      </c>
      <c r="K29" s="47"/>
    </row>
    <row r="30" spans="1:25" s="49" customFormat="1" ht="18" customHeight="1">
      <c r="A30" s="48"/>
      <c r="B30" s="581" t="s">
        <v>920</v>
      </c>
      <c r="C30" s="521"/>
      <c r="D30" s="521"/>
      <c r="E30" s="521"/>
      <c r="K30" s="47"/>
    </row>
    <row r="31" spans="1:25" s="49" customFormat="1" ht="18" customHeight="1">
      <c r="A31" s="48"/>
      <c r="B31" s="581" t="s">
        <v>921</v>
      </c>
      <c r="C31" s="521"/>
      <c r="D31" s="521"/>
      <c r="E31" s="521"/>
      <c r="K31" s="47"/>
    </row>
    <row r="32" spans="1:25" s="49" customFormat="1" ht="18" customHeight="1">
      <c r="A32" s="48"/>
      <c r="B32" s="721" t="s">
        <v>917</v>
      </c>
      <c r="C32" s="10">
        <f>C27-C28-C29-C30+C31</f>
        <v>162.00749200000058</v>
      </c>
      <c r="D32" s="10">
        <f t="shared" ref="D32:E32" si="7">D27-D28-D29-D30+D31</f>
        <v>539.53117524999925</v>
      </c>
      <c r="E32" s="10">
        <f t="shared" si="7"/>
        <v>1074.608212499998</v>
      </c>
      <c r="K32" s="47"/>
    </row>
    <row r="33" spans="1:11" s="49" customFormat="1" ht="18" customHeight="1">
      <c r="A33" s="48"/>
      <c r="B33" s="723" t="s">
        <v>755</v>
      </c>
      <c r="C33" s="522">
        <v>0.15</v>
      </c>
      <c r="D33" s="522">
        <v>0.15</v>
      </c>
      <c r="E33" s="522">
        <v>0.15</v>
      </c>
      <c r="K33" s="47"/>
    </row>
    <row r="34" spans="1:11" s="49" customFormat="1" ht="18" customHeight="1">
      <c r="A34" s="48"/>
      <c r="B34" s="232" t="s">
        <v>922</v>
      </c>
      <c r="C34" s="3">
        <f>IF(C32&lt;0,0,C32*C33)</f>
        <v>24.301123800000088</v>
      </c>
      <c r="D34" s="3">
        <f t="shared" ref="D34:E34" si="8">IF(D32&lt;0,0,D32*D33)</f>
        <v>80.929676287499888</v>
      </c>
      <c r="E34" s="3">
        <f t="shared" si="8"/>
        <v>161.19123187499969</v>
      </c>
      <c r="K34" s="47"/>
    </row>
    <row r="35" spans="1:11" s="49" customFormat="1" ht="18" customHeight="1">
      <c r="A35" s="48"/>
      <c r="K35" s="247"/>
    </row>
    <row r="36" spans="1:11" s="49" customFormat="1" ht="18" customHeight="1">
      <c r="A36" s="48"/>
      <c r="K36" s="247"/>
    </row>
    <row r="37" spans="1:11" s="49" customFormat="1" ht="18" customHeight="1">
      <c r="A37" s="48"/>
      <c r="K37" s="247"/>
    </row>
    <row r="38" spans="1:11" s="49" customFormat="1" ht="18" customHeight="1">
      <c r="A38" s="48"/>
      <c r="K38" s="247"/>
    </row>
    <row r="39" spans="1:11" s="49" customFormat="1" ht="18" customHeight="1">
      <c r="A39" s="48"/>
      <c r="K39" s="247"/>
    </row>
    <row r="40" spans="1:11" s="49" customFormat="1" ht="18" customHeight="1">
      <c r="A40" s="48"/>
      <c r="K40" s="247"/>
    </row>
    <row r="41" spans="1:11" s="49" customFormat="1" ht="18" customHeight="1">
      <c r="A41" s="48"/>
      <c r="K41" s="247"/>
    </row>
    <row r="42" spans="1:11" s="49" customFormat="1" ht="18" customHeight="1">
      <c r="A42" s="48"/>
      <c r="K42" s="247"/>
    </row>
    <row r="43" spans="1:11" s="49" customFormat="1" ht="18" customHeight="1">
      <c r="A43" s="48"/>
      <c r="K43" s="247"/>
    </row>
    <row r="44" spans="1:11" s="49" customFormat="1" ht="18" customHeight="1">
      <c r="A44" s="48"/>
      <c r="K44" s="247"/>
    </row>
    <row r="45" spans="1:11" s="49" customFormat="1" ht="18" customHeight="1">
      <c r="A45" s="48"/>
      <c r="K45" s="247"/>
    </row>
    <row r="46" spans="1:11" s="49" customFormat="1" ht="18" customHeight="1">
      <c r="A46" s="48"/>
      <c r="K46" s="247"/>
    </row>
    <row r="47" spans="1:11" s="49" customFormat="1" ht="18" customHeight="1">
      <c r="A47" s="48"/>
      <c r="K47" s="247"/>
    </row>
    <row r="48" spans="1:11" s="49" customFormat="1" ht="18" customHeight="1">
      <c r="A48" s="48"/>
      <c r="K48" s="247"/>
    </row>
    <row r="49" spans="1:11" s="49" customFormat="1" ht="18" customHeight="1">
      <c r="A49" s="48"/>
      <c r="K49" s="247"/>
    </row>
    <row r="50" spans="1:11" s="49" customFormat="1" ht="18" customHeight="1">
      <c r="A50" s="48"/>
      <c r="K50" s="247"/>
    </row>
    <row r="51" spans="1:11" s="49" customFormat="1" ht="18" customHeight="1">
      <c r="A51" s="48"/>
      <c r="K51" s="247"/>
    </row>
    <row r="52" spans="1:11" s="49" customFormat="1" ht="18" customHeight="1">
      <c r="A52" s="48"/>
      <c r="K52" s="247"/>
    </row>
    <row r="53" spans="1:11" s="49" customFormat="1" ht="18" customHeight="1">
      <c r="A53" s="48"/>
      <c r="K53" s="247"/>
    </row>
    <row r="54" spans="1:11" s="49" customFormat="1" ht="18" customHeight="1">
      <c r="A54" s="48"/>
      <c r="K54" s="247"/>
    </row>
    <row r="55" spans="1:11" s="49" customFormat="1" ht="18" customHeight="1">
      <c r="A55" s="48"/>
      <c r="K55" s="247"/>
    </row>
    <row r="56" spans="1:11" s="49" customFormat="1" ht="18" customHeight="1">
      <c r="A56" s="48"/>
      <c r="K56" s="247"/>
    </row>
    <row r="57" spans="1:11" s="49" customFormat="1" ht="18" customHeight="1">
      <c r="A57" s="48"/>
      <c r="K57" s="247"/>
    </row>
    <row r="58" spans="1:11" s="49" customFormat="1" ht="18" customHeight="1">
      <c r="A58" s="48"/>
      <c r="K58" s="247"/>
    </row>
    <row r="59" spans="1:11" s="49" customFormat="1" ht="18" customHeight="1">
      <c r="A59" s="48"/>
      <c r="K59" s="247"/>
    </row>
    <row r="60" spans="1:11" s="49" customFormat="1" ht="18" customHeight="1">
      <c r="A60" s="48"/>
      <c r="K60" s="247"/>
    </row>
    <row r="61" spans="1:11" s="49" customFormat="1" ht="18" customHeight="1">
      <c r="A61" s="48"/>
      <c r="K61" s="247"/>
    </row>
    <row r="62" spans="1:11" s="49" customFormat="1" ht="18" customHeight="1">
      <c r="A62" s="48"/>
      <c r="K62" s="247"/>
    </row>
    <row r="63" spans="1:11" s="49" customFormat="1" ht="18" customHeight="1">
      <c r="A63" s="48"/>
      <c r="K63" s="247"/>
    </row>
    <row r="64" spans="1:11" s="49" customFormat="1" ht="18" customHeight="1">
      <c r="A64" s="48"/>
      <c r="K64" s="247"/>
    </row>
    <row r="65" spans="1:11" s="49" customFormat="1" ht="18" customHeight="1">
      <c r="A65" s="48"/>
      <c r="K65" s="247"/>
    </row>
    <row r="66" spans="1:11" s="49" customFormat="1" ht="18" customHeight="1">
      <c r="A66" s="48"/>
      <c r="K66" s="247"/>
    </row>
    <row r="67" spans="1:11" s="49" customFormat="1" ht="18" customHeight="1">
      <c r="A67" s="48"/>
      <c r="K67" s="247"/>
    </row>
    <row r="68" spans="1:11" s="49" customFormat="1" ht="18" customHeight="1">
      <c r="A68" s="48"/>
    </row>
    <row r="69" spans="1:11" s="49" customFormat="1" ht="18" customHeight="1">
      <c r="A69" s="48"/>
    </row>
    <row r="70" spans="1:11" s="49" customFormat="1" ht="18" customHeight="1">
      <c r="A70" s="48"/>
    </row>
    <row r="71" spans="1:11" s="49" customFormat="1" ht="18" customHeight="1">
      <c r="A71" s="48"/>
    </row>
    <row r="72" spans="1:11" s="49" customFormat="1" ht="18" customHeight="1">
      <c r="A72" s="48"/>
    </row>
    <row r="73" spans="1:11" s="49" customFormat="1" ht="18" customHeight="1">
      <c r="A73" s="48"/>
    </row>
    <row r="74" spans="1:11" s="49" customFormat="1" ht="18" customHeight="1">
      <c r="A74" s="48"/>
    </row>
    <row r="75" spans="1:11" s="49" customFormat="1" ht="18" customHeight="1">
      <c r="A75" s="48"/>
    </row>
    <row r="76" spans="1:11" s="49" customFormat="1" ht="18" customHeight="1">
      <c r="A76" s="48"/>
    </row>
    <row r="77" spans="1:11" s="49" customFormat="1" ht="18" customHeight="1">
      <c r="A77" s="48"/>
    </row>
    <row r="78" spans="1:11" s="49" customFormat="1" ht="18" customHeight="1">
      <c r="A78" s="48"/>
    </row>
    <row r="79" spans="1:11" s="49" customFormat="1" ht="18" customHeight="1">
      <c r="A79" s="48"/>
    </row>
    <row r="80" spans="1:11" s="49" customFormat="1" ht="18" customHeight="1">
      <c r="A80" s="48"/>
    </row>
    <row r="81" spans="1:1" s="49" customFormat="1" ht="18" customHeight="1">
      <c r="A81" s="48"/>
    </row>
    <row r="82" spans="1:1" s="49" customFormat="1" ht="18" customHeight="1">
      <c r="A82" s="48"/>
    </row>
    <row r="83" spans="1:1" s="49" customFormat="1" ht="18" customHeight="1">
      <c r="A83" s="48"/>
    </row>
    <row r="84" spans="1:1" s="49" customFormat="1" ht="18" customHeight="1">
      <c r="A84" s="48"/>
    </row>
    <row r="85" spans="1:1" s="49" customFormat="1" ht="18" customHeight="1">
      <c r="A85" s="48"/>
    </row>
    <row r="86" spans="1:1" s="49" customFormat="1" ht="18" customHeight="1">
      <c r="A86" s="48"/>
    </row>
    <row r="87" spans="1:1" s="49" customFormat="1" ht="18" customHeight="1">
      <c r="A87" s="48"/>
    </row>
    <row r="88" spans="1:1" s="49" customFormat="1" ht="18" customHeight="1">
      <c r="A88" s="48"/>
    </row>
    <row r="89" spans="1:1" s="49" customFormat="1" ht="18" customHeight="1">
      <c r="A89" s="48"/>
    </row>
    <row r="90" spans="1:1" s="49" customFormat="1" ht="18" customHeight="1">
      <c r="A90" s="48"/>
    </row>
    <row r="91" spans="1:1" s="49" customFormat="1" ht="18" customHeight="1">
      <c r="A91" s="48"/>
    </row>
    <row r="92" spans="1:1" s="49" customFormat="1" ht="18" customHeight="1">
      <c r="A92" s="48"/>
    </row>
    <row r="93" spans="1:1" s="49" customFormat="1" ht="18" customHeight="1">
      <c r="A93" s="48"/>
    </row>
    <row r="94" spans="1:1" s="49" customFormat="1" ht="18" customHeight="1">
      <c r="A94" s="48"/>
    </row>
    <row r="95" spans="1:1" s="49" customFormat="1" ht="18" customHeight="1">
      <c r="A95" s="48"/>
    </row>
    <row r="96" spans="1:1" s="49" customFormat="1" ht="18" customHeight="1">
      <c r="A96" s="48"/>
    </row>
    <row r="97" spans="1:1" s="49" customFormat="1" ht="18" customHeight="1">
      <c r="A97" s="48"/>
    </row>
    <row r="98" spans="1:1" s="49" customFormat="1" ht="18" customHeight="1">
      <c r="A98" s="48"/>
    </row>
    <row r="99" spans="1:1" s="49" customFormat="1" ht="18" customHeight="1">
      <c r="A99" s="48"/>
    </row>
    <row r="100" spans="1:1" s="49" customFormat="1" ht="18" customHeight="1">
      <c r="A100" s="48"/>
    </row>
    <row r="101" spans="1:1" s="49" customFormat="1" ht="18" customHeight="1">
      <c r="A101" s="48"/>
    </row>
    <row r="102" spans="1:1" s="49" customFormat="1" ht="18" customHeight="1">
      <c r="A102" s="48"/>
    </row>
    <row r="103" spans="1:1" s="49" customFormat="1" ht="18" customHeight="1">
      <c r="A103" s="48"/>
    </row>
    <row r="104" spans="1:1" s="49" customFormat="1" ht="18" customHeight="1">
      <c r="A104" s="48"/>
    </row>
    <row r="105" spans="1:1" s="49" customFormat="1" ht="18" customHeight="1">
      <c r="A105" s="48"/>
    </row>
    <row r="106" spans="1:1" s="49" customFormat="1" ht="18" customHeight="1">
      <c r="A106" s="48"/>
    </row>
    <row r="107" spans="1:1" s="49" customFormat="1" ht="18" customHeight="1">
      <c r="A107" s="48"/>
    </row>
    <row r="108" spans="1:1" s="49" customFormat="1" ht="18" customHeight="1">
      <c r="A108" s="48"/>
    </row>
    <row r="109" spans="1:1" s="49" customFormat="1" ht="18" customHeight="1">
      <c r="A109" s="48"/>
    </row>
    <row r="110" spans="1:1" s="49" customFormat="1" ht="18" customHeight="1">
      <c r="A110" s="48"/>
    </row>
    <row r="111" spans="1:1" s="49" customFormat="1" ht="18" customHeight="1">
      <c r="A111" s="48"/>
    </row>
    <row r="112" spans="1:1" s="49" customFormat="1" ht="18" customHeight="1">
      <c r="A112" s="48"/>
    </row>
    <row r="113" spans="1:1" s="49" customFormat="1" ht="18" customHeight="1">
      <c r="A113" s="48"/>
    </row>
    <row r="114" spans="1:1" s="49" customFormat="1" ht="18" customHeight="1">
      <c r="A114" s="48"/>
    </row>
    <row r="115" spans="1:1" s="49" customFormat="1" ht="18" customHeight="1">
      <c r="A115" s="48"/>
    </row>
    <row r="116" spans="1:1" s="49" customFormat="1" ht="18" customHeight="1">
      <c r="A116" s="48"/>
    </row>
    <row r="117" spans="1:1" s="49" customFormat="1" ht="18" customHeight="1">
      <c r="A117" s="48"/>
    </row>
    <row r="118" spans="1:1" s="49" customFormat="1" ht="18" customHeight="1">
      <c r="A118" s="48"/>
    </row>
    <row r="119" spans="1:1" s="49" customFormat="1" ht="18" customHeight="1">
      <c r="A119" s="48"/>
    </row>
  </sheetData>
  <mergeCells count="1">
    <mergeCell ref="B1:K1"/>
  </mergeCells>
  <phoneticPr fontId="6" type="noConversion"/>
  <pageMargins left="0.75" right="0.75" top="1" bottom="1" header="0.5" footer="0.5"/>
  <pageSetup paperSize="9" orientation="landscape" r:id="rId1"/>
  <headerFooter alignWithMargins="0"/>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tabColor rgb="FF00B050"/>
  </sheetPr>
  <dimension ref="A1:R1350"/>
  <sheetViews>
    <sheetView topLeftCell="A58" zoomScaleNormal="100" workbookViewId="0">
      <selection activeCell="J65" sqref="J65"/>
    </sheetView>
  </sheetViews>
  <sheetFormatPr defaultColWidth="9" defaultRowHeight="18" customHeight="1" outlineLevelCol="1"/>
  <cols>
    <col min="1" max="1" width="3.08203125" style="138" customWidth="1"/>
    <col min="2" max="2" width="23.75" style="14" customWidth="1"/>
    <col min="3" max="3" width="1.83203125" style="14" hidden="1" customWidth="1" outlineLevel="1"/>
    <col min="4" max="4" width="2.75" style="14" hidden="1" customWidth="1" outlineLevel="1"/>
    <col min="5" max="5" width="2.33203125" style="14" hidden="1" customWidth="1" outlineLevel="1"/>
    <col min="6" max="6" width="9" style="14" customWidth="1" collapsed="1"/>
    <col min="7" max="11" width="9" style="14"/>
    <col min="12" max="12" width="11" style="14" customWidth="1"/>
    <col min="13" max="13" width="8.83203125" style="273" customWidth="1"/>
    <col min="14" max="16384" width="9" style="14"/>
  </cols>
  <sheetData>
    <row r="1" spans="1:13" s="4" customFormat="1" ht="30" customHeight="1">
      <c r="A1" s="241"/>
      <c r="B1" s="758" t="s">
        <v>448</v>
      </c>
      <c r="C1" s="766"/>
      <c r="D1" s="766"/>
      <c r="E1" s="766"/>
      <c r="F1" s="766"/>
      <c r="G1" s="766"/>
      <c r="H1" s="766"/>
      <c r="I1" s="766"/>
      <c r="J1" s="766"/>
      <c r="K1" s="766"/>
      <c r="L1" s="766"/>
      <c r="M1" s="14"/>
    </row>
    <row r="2" spans="1:13" s="4" customFormat="1" ht="18" customHeight="1">
      <c r="A2" s="241"/>
      <c r="B2" s="265" t="str">
        <f>'1报表'!B11</f>
        <v>评估基准日：2017/12/31</v>
      </c>
      <c r="C2" s="372"/>
      <c r="D2" s="372"/>
      <c r="E2" s="14"/>
      <c r="G2" s="188"/>
      <c r="H2" s="389"/>
      <c r="I2" s="188"/>
      <c r="J2" s="188"/>
      <c r="K2" s="188"/>
      <c r="L2" s="14"/>
    </row>
    <row r="3" spans="1:13" s="4" customFormat="1" ht="18" customHeight="1">
      <c r="A3" s="241"/>
      <c r="B3" s="265" t="str">
        <f>'1报表'!B12</f>
        <v>被评估单位：JSBD公司</v>
      </c>
      <c r="K3" s="19" t="s">
        <v>52</v>
      </c>
    </row>
    <row r="4" spans="1:13" ht="18" customHeight="1">
      <c r="A4" s="241"/>
      <c r="B4" s="137" t="s">
        <v>205</v>
      </c>
      <c r="C4" s="56"/>
      <c r="D4" s="56"/>
      <c r="E4" s="56"/>
      <c r="F4" s="30" t="str">
        <f>'3收入'!F4</f>
        <v>2018年</v>
      </c>
      <c r="G4" s="30" t="str">
        <f>'3收入'!G4</f>
        <v>2019年</v>
      </c>
      <c r="H4" s="30" t="str">
        <f>'3收入'!H4</f>
        <v>2020年</v>
      </c>
      <c r="I4" s="30" t="str">
        <f>'3收入'!I4</f>
        <v>2021年</v>
      </c>
      <c r="J4" s="30" t="str">
        <f>'3收入'!J4</f>
        <v>2022年</v>
      </c>
      <c r="K4" s="211" t="s">
        <v>399</v>
      </c>
      <c r="M4" s="14"/>
    </row>
    <row r="5" spans="1:13" ht="18" customHeight="1">
      <c r="A5" s="241"/>
      <c r="B5" s="642" t="s">
        <v>853</v>
      </c>
      <c r="C5" s="56"/>
      <c r="D5" s="56"/>
      <c r="E5" s="56"/>
      <c r="F5" s="10">
        <f>'12收益表'!F5</f>
        <v>11935.47732058755</v>
      </c>
      <c r="G5" s="10">
        <f>'12收益表'!G5</f>
        <v>14141.383768720463</v>
      </c>
      <c r="H5" s="10">
        <f>'12收益表'!H5</f>
        <v>15896.179912814478</v>
      </c>
      <c r="I5" s="10">
        <f>'12收益表'!I5</f>
        <v>16863.122702610581</v>
      </c>
      <c r="J5" s="10">
        <f>'12收益表'!J5</f>
        <v>17224.451164859773</v>
      </c>
      <c r="K5" s="10">
        <f t="shared" ref="K5:K10" si="0">J5</f>
        <v>17224.451164859773</v>
      </c>
      <c r="M5" s="14"/>
    </row>
    <row r="6" spans="1:13" ht="18" customHeight="1">
      <c r="A6" s="241"/>
      <c r="B6" s="643" t="s">
        <v>864</v>
      </c>
      <c r="C6" s="56"/>
      <c r="D6" s="56"/>
      <c r="E6" s="56"/>
      <c r="F6" s="3">
        <f>'12收益表'!F6</f>
        <v>7161.2863923525301</v>
      </c>
      <c r="G6" s="3">
        <f>'12收益表'!G6</f>
        <v>8484.8302612322768</v>
      </c>
      <c r="H6" s="3">
        <f>'12收益表'!H6</f>
        <v>9537.7079476886865</v>
      </c>
      <c r="I6" s="3">
        <f>'12收益表'!I6</f>
        <v>10117.873621566348</v>
      </c>
      <c r="J6" s="3">
        <f>'12收益表'!J6</f>
        <v>10334.670698915863</v>
      </c>
      <c r="K6" s="3">
        <f t="shared" si="0"/>
        <v>10334.670698915863</v>
      </c>
      <c r="M6" s="14"/>
    </row>
    <row r="7" spans="1:13" ht="18" customHeight="1">
      <c r="A7" s="241"/>
      <c r="B7" s="643" t="s">
        <v>866</v>
      </c>
      <c r="C7" s="56"/>
      <c r="D7" s="56"/>
      <c r="E7" s="56"/>
      <c r="F7" s="3">
        <f>'12收益表'!F7</f>
        <v>107.26835541722282</v>
      </c>
      <c r="G7" s="3">
        <f>'12收益表'!G7</f>
        <v>127.21454394475082</v>
      </c>
      <c r="H7" s="3">
        <f>'12收益表'!H7</f>
        <v>142.79594350458177</v>
      </c>
      <c r="I7" s="3">
        <f>'12收益表'!I7</f>
        <v>152.48180914883849</v>
      </c>
      <c r="J7" s="3">
        <f>'12收益表'!J7</f>
        <v>155.38376810740826</v>
      </c>
      <c r="K7" s="3">
        <f t="shared" si="0"/>
        <v>155.38376810740826</v>
      </c>
      <c r="M7" s="14"/>
    </row>
    <row r="8" spans="1:13" ht="18" customHeight="1">
      <c r="A8" s="241"/>
      <c r="B8" s="643" t="s">
        <v>854</v>
      </c>
      <c r="C8" s="56"/>
      <c r="D8" s="56"/>
      <c r="E8" s="56"/>
      <c r="F8" s="3">
        <f>'12收益表'!F8</f>
        <v>950.06399471876898</v>
      </c>
      <c r="G8" s="3">
        <f>'12收益表'!G8</f>
        <v>1125.6541479901491</v>
      </c>
      <c r="H8" s="3">
        <f>'12收益表'!H8</f>
        <v>1265.3359210600324</v>
      </c>
      <c r="I8" s="3">
        <f>'12收益表'!I8</f>
        <v>1342.3045671278023</v>
      </c>
      <c r="J8" s="3">
        <f>'12收益表'!J8</f>
        <v>1371.0663127228379</v>
      </c>
      <c r="K8" s="3">
        <f t="shared" si="0"/>
        <v>1371.0663127228379</v>
      </c>
      <c r="M8" s="14"/>
    </row>
    <row r="9" spans="1:13" ht="18" customHeight="1">
      <c r="A9" s="241"/>
      <c r="B9" s="643" t="s">
        <v>855</v>
      </c>
      <c r="C9" s="56"/>
      <c r="D9" s="56"/>
      <c r="E9" s="56"/>
      <c r="F9" s="3">
        <f>'12收益表'!F9</f>
        <v>1140.1680865915284</v>
      </c>
      <c r="G9" s="3">
        <f>'12收益表'!G9</f>
        <v>1284.8846646328643</v>
      </c>
      <c r="H9" s="3">
        <f>'12收益表'!H9</f>
        <v>1341.4960891320359</v>
      </c>
      <c r="I9" s="3">
        <f>'12收益表'!I9</f>
        <v>1376.4757945411359</v>
      </c>
      <c r="J9" s="3">
        <f>'12收益表'!J9</f>
        <v>1432.4397334915836</v>
      </c>
      <c r="K9" s="3">
        <f t="shared" si="0"/>
        <v>1432.4397334915836</v>
      </c>
      <c r="M9" s="14"/>
    </row>
    <row r="10" spans="1:13" ht="18" customHeight="1">
      <c r="A10" s="241"/>
      <c r="B10" s="643" t="s">
        <v>867</v>
      </c>
      <c r="C10" s="56"/>
      <c r="D10" s="56"/>
      <c r="E10" s="56"/>
      <c r="F10" s="3">
        <f>'12收益表'!F10</f>
        <v>596.77386602937747</v>
      </c>
      <c r="G10" s="3">
        <f>'12收益表'!G10</f>
        <v>707.06918843602318</v>
      </c>
      <c r="H10" s="3">
        <f>'12收益表'!H10</f>
        <v>794.80899564072388</v>
      </c>
      <c r="I10" s="3">
        <f>'12收益表'!I10</f>
        <v>843.15613513052904</v>
      </c>
      <c r="J10" s="3">
        <f>'12收益表'!J10</f>
        <v>861.22255824298873</v>
      </c>
      <c r="K10" s="3">
        <f t="shared" si="0"/>
        <v>861.22255824298873</v>
      </c>
      <c r="M10" s="14"/>
    </row>
    <row r="11" spans="1:13" ht="18" customHeight="1">
      <c r="A11" s="241"/>
      <c r="B11" s="643" t="s">
        <v>856</v>
      </c>
      <c r="C11" s="56"/>
      <c r="D11" s="56"/>
      <c r="E11" s="56"/>
      <c r="F11" s="3">
        <f>'12收益表'!F11</f>
        <v>63.1</v>
      </c>
      <c r="G11" s="3">
        <f>'12收益表'!G11</f>
        <v>80.17894401714311</v>
      </c>
      <c r="H11" s="3">
        <f>'12收益表'!H11</f>
        <v>63.1</v>
      </c>
      <c r="I11" s="3">
        <f>'12收益表'!I11</f>
        <v>63.1</v>
      </c>
      <c r="J11" s="3">
        <f>'12收益表'!J11</f>
        <v>63.1</v>
      </c>
      <c r="K11" s="481">
        <f>IF('11财务费用'!J10,SUMPRODUCT('11财务费用'!C5:C9,'11财务费用'!J5:J9)+'11财务费用'!J20,0)</f>
        <v>63.1</v>
      </c>
      <c r="M11" s="14"/>
    </row>
    <row r="12" spans="1:13" ht="18" customHeight="1">
      <c r="A12" s="241"/>
      <c r="B12" s="642" t="s">
        <v>857</v>
      </c>
      <c r="C12" s="56"/>
      <c r="D12" s="56"/>
      <c r="E12" s="56"/>
      <c r="F12" s="10">
        <f>F5-SUM(F6:F11)</f>
        <v>1916.8166254781227</v>
      </c>
      <c r="G12" s="10">
        <f>G5-SUM(G6:G11)</f>
        <v>2331.552018467255</v>
      </c>
      <c r="H12" s="10">
        <f t="shared" ref="H12:J12" si="1">H5-SUM(H6:H11)</f>
        <v>2750.9350157884182</v>
      </c>
      <c r="I12" s="10">
        <f t="shared" si="1"/>
        <v>2967.730775095928</v>
      </c>
      <c r="J12" s="10">
        <f t="shared" si="1"/>
        <v>3006.5680933790918</v>
      </c>
      <c r="K12" s="10">
        <f>K5-SUM(K6:K11)</f>
        <v>3006.5680933790918</v>
      </c>
      <c r="M12" s="14"/>
    </row>
    <row r="13" spans="1:13" ht="18" customHeight="1">
      <c r="A13" s="241"/>
      <c r="B13" s="642" t="s">
        <v>858</v>
      </c>
      <c r="C13" s="56"/>
      <c r="D13" s="56"/>
      <c r="E13" s="56"/>
      <c r="F13" s="10">
        <f>F12</f>
        <v>1916.8166254781227</v>
      </c>
      <c r="G13" s="10">
        <f t="shared" ref="G13:J13" si="2">G12</f>
        <v>2331.552018467255</v>
      </c>
      <c r="H13" s="10">
        <f t="shared" si="2"/>
        <v>2750.9350157884182</v>
      </c>
      <c r="I13" s="10">
        <f t="shared" si="2"/>
        <v>2967.730775095928</v>
      </c>
      <c r="J13" s="10">
        <f t="shared" si="2"/>
        <v>3006.5680933790918</v>
      </c>
      <c r="K13" s="10">
        <f>K12</f>
        <v>3006.5680933790918</v>
      </c>
      <c r="M13" s="14"/>
    </row>
    <row r="14" spans="1:13" ht="18" customHeight="1">
      <c r="A14" s="241"/>
      <c r="B14" s="643" t="s">
        <v>865</v>
      </c>
      <c r="C14" s="56"/>
      <c r="D14" s="56"/>
      <c r="E14" s="56"/>
      <c r="F14" s="3">
        <f>'12收益表'!F20</f>
        <v>367.3090564890224</v>
      </c>
      <c r="G14" s="3">
        <f>'12收益表'!G20</f>
        <v>270.18751907103564</v>
      </c>
      <c r="H14" s="3">
        <f>'12收益表'!H20</f>
        <v>353.02957769520845</v>
      </c>
      <c r="I14" s="3">
        <f>'12收益表'!I20</f>
        <v>381.92290612959954</v>
      </c>
      <c r="J14" s="3">
        <f>'12收益表'!J20</f>
        <v>643.9892035643993</v>
      </c>
      <c r="K14" s="481">
        <f>K13*K32</f>
        <v>751.64202334477295</v>
      </c>
      <c r="L14" s="21" t="s">
        <v>688</v>
      </c>
      <c r="M14" s="14"/>
    </row>
    <row r="15" spans="1:13" ht="18" customHeight="1">
      <c r="A15" s="241"/>
      <c r="B15" s="642" t="s">
        <v>868</v>
      </c>
      <c r="C15" s="56"/>
      <c r="D15" s="56"/>
      <c r="E15" s="56"/>
      <c r="F15" s="10">
        <f>F13-F14</f>
        <v>1549.5075689891003</v>
      </c>
      <c r="G15" s="10">
        <f t="shared" ref="G15:K15" si="3">G13-G14</f>
        <v>2061.3644993962193</v>
      </c>
      <c r="H15" s="10">
        <f t="shared" si="3"/>
        <v>2397.9054380932098</v>
      </c>
      <c r="I15" s="10">
        <f t="shared" si="3"/>
        <v>2585.8078689663284</v>
      </c>
      <c r="J15" s="10">
        <f t="shared" si="3"/>
        <v>2362.5788898146925</v>
      </c>
      <c r="K15" s="10">
        <f t="shared" si="3"/>
        <v>2254.9260700343189</v>
      </c>
      <c r="M15" s="14"/>
    </row>
    <row r="16" spans="1:13" ht="18" customHeight="1">
      <c r="A16" s="241"/>
      <c r="B16" s="643" t="s">
        <v>859</v>
      </c>
      <c r="C16" s="56"/>
      <c r="D16" s="56"/>
      <c r="E16" s="56"/>
      <c r="F16" s="3">
        <f>(1-F32)*'11财务费用'!F18</f>
        <v>40.575000000000003</v>
      </c>
      <c r="G16" s="3">
        <f>(1-G32)*'11财务费用'!G18</f>
        <v>60.502102414571638</v>
      </c>
      <c r="H16" s="3">
        <f>(1-H32)*'11财务费用'!H18</f>
        <v>45.984999999999999</v>
      </c>
      <c r="I16" s="3">
        <f>(1-I32)*'11财务费用'!I18</f>
        <v>45.984999999999999</v>
      </c>
      <c r="J16" s="3">
        <f>(1-J32)*'11财务费用'!J18</f>
        <v>40.575000000000003</v>
      </c>
      <c r="K16" s="481">
        <f>(1-K32)*SUMPRODUCT('11财务费用'!C5:C9,'11财务费用'!J5:J9)</f>
        <v>40.575000000000003</v>
      </c>
      <c r="M16" s="14"/>
    </row>
    <row r="17" spans="1:13" ht="18" customHeight="1">
      <c r="A17" s="241"/>
      <c r="B17" s="643" t="s">
        <v>860</v>
      </c>
      <c r="C17" s="56"/>
      <c r="D17" s="56"/>
      <c r="E17" s="56"/>
      <c r="F17" s="3">
        <f>'7折旧'!F9+'8摊销'!F7</f>
        <v>684.07805133333318</v>
      </c>
      <c r="G17" s="3">
        <f>'7折旧'!G9+'8摊销'!G7</f>
        <v>722.17805133333309</v>
      </c>
      <c r="H17" s="3">
        <f>'7折旧'!H9+'8摊销'!H7</f>
        <v>391.28937179083346</v>
      </c>
      <c r="I17" s="3">
        <f>'7折旧'!I9+'8摊销'!I7</f>
        <v>204.9376731525</v>
      </c>
      <c r="J17" s="3">
        <f>'7折旧'!J9+'8摊销'!J7</f>
        <v>235.9376731525</v>
      </c>
      <c r="K17" s="3">
        <f>J17</f>
        <v>235.9376731525</v>
      </c>
      <c r="L17" s="148"/>
      <c r="M17" s="14"/>
    </row>
    <row r="18" spans="1:13" ht="18" customHeight="1">
      <c r="A18" s="241"/>
      <c r="B18" s="644" t="s">
        <v>869</v>
      </c>
      <c r="C18" s="55"/>
      <c r="D18" s="56"/>
      <c r="E18" s="56"/>
      <c r="F18" s="3">
        <f>'7折旧'!F10+'8摊销'!F10</f>
        <v>232</v>
      </c>
      <c r="G18" s="3">
        <f>'7折旧'!G10+'8摊销'!G10</f>
        <v>50</v>
      </c>
      <c r="H18" s="3">
        <f>'7折旧'!H10+'8摊销'!H10</f>
        <v>110</v>
      </c>
      <c r="I18" s="3">
        <f>'7折旧'!I10+'8摊销'!I10</f>
        <v>110</v>
      </c>
      <c r="J18" s="3">
        <f>'7折旧'!J10+'8摊销'!J10</f>
        <v>110</v>
      </c>
      <c r="K18" s="481">
        <f>K17</f>
        <v>235.9376731525</v>
      </c>
      <c r="L18" s="147"/>
      <c r="M18" s="14"/>
    </row>
    <row r="19" spans="1:13" ht="18" customHeight="1">
      <c r="A19" s="241"/>
      <c r="B19" s="643" t="s">
        <v>870</v>
      </c>
      <c r="C19" s="56"/>
      <c r="D19" s="56"/>
      <c r="E19" s="56"/>
      <c r="F19" s="3">
        <f>'10营运'!F40</f>
        <v>640.35139808247186</v>
      </c>
      <c r="G19" s="3">
        <f>'10营运'!G40</f>
        <v>721.43724653172558</v>
      </c>
      <c r="H19" s="3">
        <f>'10营运'!H40</f>
        <v>570.29670721068032</v>
      </c>
      <c r="I19" s="3">
        <f>'10营运'!I40</f>
        <v>317.04581503131885</v>
      </c>
      <c r="J19" s="3">
        <f>'10营运'!J40</f>
        <v>121.14597200904427</v>
      </c>
      <c r="K19" s="481">
        <v>0</v>
      </c>
      <c r="L19" s="148"/>
      <c r="M19" s="14"/>
    </row>
    <row r="20" spans="1:13" ht="18" customHeight="1">
      <c r="A20" s="241"/>
      <c r="B20" s="642" t="s">
        <v>871</v>
      </c>
      <c r="C20" s="56"/>
      <c r="D20" s="56"/>
      <c r="E20" s="56"/>
      <c r="F20" s="10">
        <f>F15+F16+F17-F18-F19</f>
        <v>1401.8092222399619</v>
      </c>
      <c r="G20" s="10">
        <f t="shared" ref="G20:J20" si="4">G15+G16+G17-G18-G19</f>
        <v>2072.6074066123983</v>
      </c>
      <c r="H20" s="10">
        <f t="shared" si="4"/>
        <v>2154.8831026733633</v>
      </c>
      <c r="I20" s="10">
        <f t="shared" si="4"/>
        <v>2409.6847270875096</v>
      </c>
      <c r="J20" s="10">
        <f t="shared" si="4"/>
        <v>2407.9455909581479</v>
      </c>
      <c r="K20" s="10">
        <f>K15+K16+K17-K18-K19</f>
        <v>2295.5010700343187</v>
      </c>
      <c r="M20" s="14"/>
    </row>
    <row r="21" spans="1:13" ht="18" customHeight="1">
      <c r="A21" s="241"/>
      <c r="B21" s="643" t="s">
        <v>863</v>
      </c>
      <c r="C21" s="56"/>
      <c r="D21" s="268"/>
      <c r="E21" s="99"/>
      <c r="F21" s="93">
        <v>1</v>
      </c>
      <c r="G21" s="93">
        <f>1+F21</f>
        <v>2</v>
      </c>
      <c r="H21" s="93">
        <f>1+G21</f>
        <v>3</v>
      </c>
      <c r="I21" s="93">
        <f t="shared" ref="I21:J21" si="5">1+H21</f>
        <v>4</v>
      </c>
      <c r="J21" s="93">
        <f t="shared" si="5"/>
        <v>5</v>
      </c>
      <c r="K21" s="74"/>
      <c r="M21" s="14"/>
    </row>
    <row r="22" spans="1:13" ht="18" customHeight="1">
      <c r="A22" s="241"/>
      <c r="B22" s="644" t="s">
        <v>861</v>
      </c>
      <c r="C22" s="55"/>
      <c r="D22" s="268"/>
      <c r="E22" s="97"/>
      <c r="F22" s="78">
        <f>F48</f>
        <v>0.13314790135579552</v>
      </c>
      <c r="G22" s="78">
        <f>F22</f>
        <v>0.13314790135579552</v>
      </c>
      <c r="H22" s="78">
        <f t="shared" ref="H22:J22" si="6">G22</f>
        <v>0.13314790135579552</v>
      </c>
      <c r="I22" s="78">
        <f t="shared" si="6"/>
        <v>0.13314790135579552</v>
      </c>
      <c r="J22" s="78">
        <f t="shared" si="6"/>
        <v>0.13314790135579552</v>
      </c>
      <c r="K22" s="78">
        <f>J22</f>
        <v>0.13314790135579552</v>
      </c>
      <c r="M22" s="14"/>
    </row>
    <row r="23" spans="1:13" ht="18" customHeight="1">
      <c r="A23" s="241"/>
      <c r="B23" s="53" t="s">
        <v>877</v>
      </c>
      <c r="C23" s="56"/>
      <c r="D23" s="268"/>
      <c r="E23" s="98"/>
      <c r="F23" s="18">
        <f>1/(1+F22)</f>
        <v>0.88249733225778748</v>
      </c>
      <c r="G23" s="18">
        <f>F23/(1+G22)</f>
        <v>0.77880154144211178</v>
      </c>
      <c r="H23" s="18">
        <f>G23/(1+H22)</f>
        <v>0.6872902826809163</v>
      </c>
      <c r="I23" s="18">
        <f>H23/(1+I22)</f>
        <v>0.60653184095260926</v>
      </c>
      <c r="J23" s="18">
        <f t="shared" ref="J23" si="7">I23/(1+J22)</f>
        <v>0.53526273157008231</v>
      </c>
      <c r="K23" s="18">
        <f>J23/K22</f>
        <v>4.020061346215007</v>
      </c>
      <c r="M23" s="14"/>
    </row>
    <row r="24" spans="1:13" ht="18" customHeight="1">
      <c r="A24" s="241"/>
      <c r="B24" s="642" t="s">
        <v>873</v>
      </c>
      <c r="C24" s="56"/>
      <c r="D24" s="387"/>
      <c r="E24" s="64"/>
      <c r="F24" s="10">
        <f>F20*F23</f>
        <v>1237.0928989611302</v>
      </c>
      <c r="G24" s="10">
        <f t="shared" ref="G24:J24" si="8">G20*G23</f>
        <v>1614.1498430740735</v>
      </c>
      <c r="H24" s="10">
        <f t="shared" si="8"/>
        <v>1481.0302167807058</v>
      </c>
      <c r="I24" s="10">
        <f t="shared" si="8"/>
        <v>1461.5505136357731</v>
      </c>
      <c r="J24" s="10">
        <f t="shared" si="8"/>
        <v>1288.8835344883944</v>
      </c>
      <c r="K24" s="10">
        <f>K20*K23</f>
        <v>9228.0551218401524</v>
      </c>
      <c r="M24" s="14"/>
    </row>
    <row r="25" spans="1:13" ht="18" customHeight="1">
      <c r="A25" s="241"/>
      <c r="B25" s="53" t="s">
        <v>876</v>
      </c>
      <c r="C25" s="645"/>
      <c r="D25" s="268"/>
      <c r="E25" s="99"/>
      <c r="F25" s="78">
        <f>F48</f>
        <v>0.13314790135579552</v>
      </c>
      <c r="G25" s="694">
        <f>I48</f>
        <v>0.13385421140692788</v>
      </c>
      <c r="H25" s="694">
        <f>I48</f>
        <v>0.13385421140692788</v>
      </c>
      <c r="I25" s="694">
        <f>I48</f>
        <v>0.13385421140692788</v>
      </c>
      <c r="J25" s="695">
        <f>L48</f>
        <v>0.13314910457290949</v>
      </c>
      <c r="K25" s="695">
        <f>L48</f>
        <v>0.13314910457290949</v>
      </c>
      <c r="L25" s="212" t="s">
        <v>900</v>
      </c>
      <c r="M25" s="14"/>
    </row>
    <row r="26" spans="1:13" ht="18" customHeight="1">
      <c r="A26" s="241"/>
      <c r="B26" s="53" t="s">
        <v>878</v>
      </c>
      <c r="C26" s="56"/>
      <c r="D26" s="387"/>
      <c r="E26" s="64"/>
      <c r="F26" s="18">
        <f>1/(1+F25)</f>
        <v>0.88249733225778748</v>
      </c>
      <c r="G26" s="18">
        <f>F26/(1+G25)</f>
        <v>0.77831640380181899</v>
      </c>
      <c r="H26" s="18">
        <f>G26/(1+H25)</f>
        <v>0.68643428403026829</v>
      </c>
      <c r="I26" s="18">
        <f>H26/(1+I25)</f>
        <v>0.60539906905537311</v>
      </c>
      <c r="J26" s="18">
        <f t="shared" ref="J26" si="9">I26/(1+J25)</f>
        <v>0.53426249609362009</v>
      </c>
      <c r="K26" s="18">
        <f>J26/K25</f>
        <v>4.0125128727476334</v>
      </c>
      <c r="M26" s="14"/>
    </row>
    <row r="27" spans="1:13" ht="18" customHeight="1">
      <c r="A27" s="241"/>
      <c r="B27" s="643" t="s">
        <v>879</v>
      </c>
      <c r="C27" s="56"/>
      <c r="D27" s="387"/>
      <c r="E27" s="64"/>
      <c r="F27" s="10">
        <f>F20*F26</f>
        <v>1237.0928989611302</v>
      </c>
      <c r="G27" s="10">
        <f t="shared" ref="G27:K27" si="10">G20*G26</f>
        <v>1613.1443432075762</v>
      </c>
      <c r="H27" s="10">
        <f t="shared" si="10"/>
        <v>1479.1856397525132</v>
      </c>
      <c r="I27" s="10">
        <f t="shared" si="10"/>
        <v>1458.8208904957291</v>
      </c>
      <c r="J27" s="10">
        <f t="shared" si="10"/>
        <v>1286.4750218829272</v>
      </c>
      <c r="K27" s="10">
        <f t="shared" si="10"/>
        <v>9210.7275929186708</v>
      </c>
      <c r="M27" s="14"/>
    </row>
    <row r="28" spans="1:13" ht="18" customHeight="1">
      <c r="A28" s="241"/>
      <c r="B28" s="642" t="s">
        <v>872</v>
      </c>
      <c r="C28" s="56"/>
      <c r="D28" s="268"/>
      <c r="E28" s="64"/>
      <c r="F28" s="10">
        <f>SUM(F27:K27)</f>
        <v>16285.446387218546</v>
      </c>
      <c r="L28" s="26"/>
      <c r="M28" s="269"/>
    </row>
    <row r="29" spans="1:13" ht="18" customHeight="1">
      <c r="A29" s="241"/>
      <c r="B29" s="642" t="s">
        <v>862</v>
      </c>
      <c r="C29" s="56"/>
      <c r="D29" s="268"/>
      <c r="E29" s="64"/>
      <c r="F29" s="10">
        <f>F28*J29</f>
        <v>16285.446387218546</v>
      </c>
      <c r="H29" s="386" t="s">
        <v>849</v>
      </c>
      <c r="J29" s="72">
        <f>IF(K29="年末",1,(1+F25)^0.5)</f>
        <v>1</v>
      </c>
      <c r="K29" s="91" t="s">
        <v>397</v>
      </c>
      <c r="L29" s="270" t="s">
        <v>786</v>
      </c>
      <c r="M29" s="160" t="s">
        <v>899</v>
      </c>
    </row>
    <row r="30" spans="1:13" ht="18" customHeight="1">
      <c r="A30" s="241"/>
      <c r="C30" s="26"/>
      <c r="H30" s="16"/>
      <c r="I30" s="16"/>
      <c r="J30" s="16"/>
      <c r="L30" s="26"/>
      <c r="M30" s="14"/>
    </row>
    <row r="31" spans="1:13" ht="18" customHeight="1">
      <c r="A31" s="241"/>
      <c r="B31" s="137" t="s">
        <v>199</v>
      </c>
      <c r="C31" s="56"/>
      <c r="D31" s="56"/>
      <c r="E31" s="102"/>
      <c r="F31" s="30" t="str">
        <f t="shared" ref="F31:J31" si="11">F4</f>
        <v>2018年</v>
      </c>
      <c r="G31" s="102" t="str">
        <f t="shared" si="11"/>
        <v>2019年</v>
      </c>
      <c r="H31" s="102" t="str">
        <f t="shared" si="11"/>
        <v>2020年</v>
      </c>
      <c r="I31" s="102" t="str">
        <f t="shared" si="11"/>
        <v>2021年</v>
      </c>
      <c r="J31" s="102" t="str">
        <f t="shared" si="11"/>
        <v>2022年</v>
      </c>
      <c r="K31" s="102" t="str">
        <f>K4</f>
        <v>永续期</v>
      </c>
      <c r="M31" s="14"/>
    </row>
    <row r="32" spans="1:13" ht="18" customHeight="1" thickBot="1">
      <c r="A32" s="241"/>
      <c r="B32" s="71" t="s">
        <v>851</v>
      </c>
      <c r="C32" s="56"/>
      <c r="D32" s="56"/>
      <c r="E32" s="553"/>
      <c r="F32" s="13">
        <f>'12收益表'!F19</f>
        <v>0.25</v>
      </c>
      <c r="G32" s="528">
        <f>'12收益表'!G19</f>
        <v>0.15</v>
      </c>
      <c r="H32" s="528">
        <f>'12收益表'!H19</f>
        <v>0.15</v>
      </c>
      <c r="I32" s="528">
        <f>'12收益表'!I19</f>
        <v>0.15</v>
      </c>
      <c r="J32" s="528">
        <f>'12收益表'!J19</f>
        <v>0.25</v>
      </c>
      <c r="K32" s="13">
        <f>J32</f>
        <v>0.25</v>
      </c>
      <c r="M32" s="14"/>
    </row>
    <row r="33" spans="1:18" ht="18" customHeight="1">
      <c r="A33" s="241"/>
      <c r="B33" s="635" t="s">
        <v>874</v>
      </c>
      <c r="C33" s="650"/>
      <c r="D33" s="651"/>
      <c r="E33" s="652"/>
      <c r="F33" s="557"/>
      <c r="G33" s="636"/>
      <c r="H33" s="637"/>
      <c r="I33" s="635" t="s">
        <v>875</v>
      </c>
      <c r="J33" s="636"/>
      <c r="K33" s="637"/>
      <c r="L33" s="635" t="s">
        <v>881</v>
      </c>
      <c r="M33" s="636"/>
      <c r="N33" s="637"/>
      <c r="O33" s="638"/>
      <c r="P33" s="638"/>
      <c r="Q33" s="638"/>
      <c r="R33" s="638"/>
    </row>
    <row r="34" spans="1:18" ht="18" customHeight="1">
      <c r="A34" s="241"/>
      <c r="B34" s="659" t="s">
        <v>892</v>
      </c>
      <c r="C34" s="660"/>
      <c r="D34" s="661"/>
      <c r="E34" s="662"/>
      <c r="F34" s="696">
        <f>'11财务费用'!E10</f>
        <v>1000</v>
      </c>
      <c r="G34" s="663"/>
      <c r="H34" s="664"/>
      <c r="I34" s="665"/>
      <c r="J34" s="663"/>
      <c r="K34" s="664"/>
      <c r="L34" s="666"/>
      <c r="M34" s="16"/>
      <c r="N34" s="560"/>
      <c r="O34" s="16"/>
      <c r="P34" s="16"/>
      <c r="Q34" s="16"/>
      <c r="R34" s="16"/>
    </row>
    <row r="35" spans="1:18" ht="18" customHeight="1">
      <c r="A35" s="241"/>
      <c r="B35" s="667" t="s">
        <v>883</v>
      </c>
      <c r="C35" s="660"/>
      <c r="D35" s="661"/>
      <c r="E35" s="662"/>
      <c r="F35" s="649">
        <f>F32</f>
        <v>0.25</v>
      </c>
      <c r="G35" s="16"/>
      <c r="H35" s="664"/>
      <c r="I35" s="655">
        <f>G32</f>
        <v>0.15</v>
      </c>
      <c r="J35" s="663"/>
      <c r="K35" s="664"/>
      <c r="L35" s="655">
        <f>J32</f>
        <v>0.25</v>
      </c>
      <c r="M35" s="663"/>
      <c r="N35" s="664"/>
      <c r="O35" s="16"/>
      <c r="P35" s="638"/>
      <c r="Q35" s="638"/>
      <c r="R35" s="638"/>
    </row>
    <row r="36" spans="1:18" ht="18" customHeight="1">
      <c r="A36" s="241"/>
      <c r="B36" s="667" t="s">
        <v>885</v>
      </c>
      <c r="C36" s="660"/>
      <c r="D36" s="661"/>
      <c r="E36" s="662"/>
      <c r="F36" s="647">
        <v>4.5499999999999999E-2</v>
      </c>
      <c r="G36" s="663"/>
      <c r="H36" s="664"/>
      <c r="I36" s="656">
        <f>F36</f>
        <v>4.5499999999999999E-2</v>
      </c>
      <c r="J36" s="668"/>
      <c r="K36" s="669"/>
      <c r="L36" s="656">
        <f>I36</f>
        <v>4.5499999999999999E-2</v>
      </c>
      <c r="M36" s="663"/>
      <c r="N36" s="664"/>
      <c r="O36" s="16"/>
      <c r="P36" s="638"/>
      <c r="Q36" s="638"/>
      <c r="R36" s="638"/>
    </row>
    <row r="37" spans="1:18" ht="18" customHeight="1">
      <c r="A37" s="241"/>
      <c r="B37" s="653" t="s">
        <v>852</v>
      </c>
      <c r="C37" s="660"/>
      <c r="D37" s="661"/>
      <c r="E37" s="662"/>
      <c r="F37" s="647">
        <v>6.5600000000000006E-2</v>
      </c>
      <c r="G37" s="663"/>
      <c r="H37" s="664"/>
      <c r="I37" s="656">
        <f>F37</f>
        <v>6.5600000000000006E-2</v>
      </c>
      <c r="J37" s="668"/>
      <c r="K37" s="669"/>
      <c r="L37" s="656">
        <f>I37</f>
        <v>6.5600000000000006E-2</v>
      </c>
      <c r="M37" s="663"/>
      <c r="N37" s="664"/>
      <c r="O37" s="16"/>
      <c r="P37" s="638"/>
      <c r="Q37" s="638"/>
      <c r="R37" s="638"/>
    </row>
    <row r="38" spans="1:18" ht="18" customHeight="1">
      <c r="A38" s="241"/>
      <c r="B38" s="667" t="s">
        <v>886</v>
      </c>
      <c r="C38" s="660"/>
      <c r="D38" s="661"/>
      <c r="E38" s="662"/>
      <c r="F38" s="647">
        <v>0.03</v>
      </c>
      <c r="G38" s="16"/>
      <c r="H38" s="664"/>
      <c r="I38" s="656">
        <f>F38</f>
        <v>0.03</v>
      </c>
      <c r="J38" s="668"/>
      <c r="K38" s="669"/>
      <c r="L38" s="656">
        <f>I38</f>
        <v>0.03</v>
      </c>
      <c r="M38" s="663"/>
      <c r="N38" s="664"/>
      <c r="O38" s="16"/>
      <c r="P38" s="638"/>
      <c r="Q38" s="638"/>
      <c r="R38" s="638"/>
    </row>
    <row r="39" spans="1:18" ht="18" customHeight="1">
      <c r="A39" s="241"/>
      <c r="B39" s="653" t="s">
        <v>139</v>
      </c>
      <c r="C39" s="660"/>
      <c r="D39" s="661"/>
      <c r="E39" s="662"/>
      <c r="F39" s="646">
        <v>0.92569999999999997</v>
      </c>
      <c r="G39" s="16"/>
      <c r="H39" s="664"/>
      <c r="I39" s="657">
        <f>F39</f>
        <v>0.92569999999999997</v>
      </c>
      <c r="J39" s="668"/>
      <c r="K39" s="669"/>
      <c r="L39" s="657">
        <f>I39</f>
        <v>0.92569999999999997</v>
      </c>
      <c r="M39" s="663"/>
      <c r="N39" s="664"/>
      <c r="O39" s="16"/>
      <c r="P39" s="638"/>
      <c r="Q39" s="638"/>
      <c r="R39" s="638"/>
    </row>
    <row r="40" spans="1:18" ht="18" customHeight="1">
      <c r="A40" s="241"/>
      <c r="B40" s="670" t="s">
        <v>884</v>
      </c>
      <c r="C40" s="660"/>
      <c r="D40" s="661"/>
      <c r="E40" s="662"/>
      <c r="F40" s="647">
        <v>5.4100000000000002E-2</v>
      </c>
      <c r="G40" s="16"/>
      <c r="H40" s="664"/>
      <c r="I40" s="658">
        <f>F40</f>
        <v>5.4100000000000002E-2</v>
      </c>
      <c r="J40" s="668"/>
      <c r="K40" s="669"/>
      <c r="L40" s="658">
        <f>I40</f>
        <v>5.4100000000000002E-2</v>
      </c>
      <c r="M40" s="663"/>
      <c r="N40" s="664"/>
      <c r="O40" s="638"/>
      <c r="P40" s="16"/>
      <c r="Q40" s="638"/>
      <c r="R40" s="638"/>
    </row>
    <row r="41" spans="1:18" ht="18" customHeight="1">
      <c r="A41" s="241"/>
      <c r="B41" s="667" t="s">
        <v>882</v>
      </c>
      <c r="C41" s="660"/>
      <c r="D41" s="661"/>
      <c r="E41" s="662"/>
      <c r="F41" s="671">
        <f>F39*(1+(1-F35)*F44)</f>
        <v>0.9711403850901601</v>
      </c>
      <c r="G41" s="16"/>
      <c r="H41" s="664"/>
      <c r="I41" s="672">
        <f>I39*(1+(1-I35)*I44)</f>
        <v>0.97717737538668314</v>
      </c>
      <c r="J41" s="673"/>
      <c r="K41" s="669"/>
      <c r="L41" s="672">
        <f>L39*(1+(1-L35)*L44)</f>
        <v>0.97112146005170008</v>
      </c>
      <c r="M41" s="674"/>
      <c r="N41" s="664"/>
      <c r="O41" s="16"/>
      <c r="P41" s="638"/>
      <c r="Q41" s="638"/>
      <c r="R41" s="638"/>
    </row>
    <row r="42" spans="1:18" ht="18" customHeight="1">
      <c r="A42" s="241"/>
      <c r="B42" s="654" t="s">
        <v>880</v>
      </c>
      <c r="C42" s="660"/>
      <c r="D42" s="661"/>
      <c r="E42" s="662"/>
      <c r="F42" s="675">
        <f>F36+F41*F37+F38</f>
        <v>0.1392068092619145</v>
      </c>
      <c r="G42" s="668"/>
      <c r="H42" s="669"/>
      <c r="I42" s="676">
        <f>I36+I41*I37+I38</f>
        <v>0.13960283582536642</v>
      </c>
      <c r="J42" s="668"/>
      <c r="K42" s="669"/>
      <c r="L42" s="676">
        <f>L36+L41*L37+L38</f>
        <v>0.13920556777939153</v>
      </c>
      <c r="M42" s="668"/>
      <c r="N42" s="669"/>
      <c r="O42" s="648"/>
      <c r="P42" s="180"/>
      <c r="Q42" s="639"/>
      <c r="R42" s="638"/>
    </row>
    <row r="43" spans="1:18" ht="18" customHeight="1">
      <c r="A43" s="241"/>
      <c r="B43" s="677"/>
      <c r="C43" s="660"/>
      <c r="D43" s="661"/>
      <c r="E43" s="662"/>
      <c r="F43" s="668"/>
      <c r="G43" s="678"/>
      <c r="H43" s="669"/>
      <c r="I43" s="666"/>
      <c r="J43" s="678"/>
      <c r="K43" s="669"/>
      <c r="L43" s="666"/>
      <c r="M43" s="678"/>
      <c r="N43" s="669"/>
      <c r="O43" s="640"/>
      <c r="P43" s="641"/>
      <c r="Q43" s="639"/>
      <c r="R43" s="639"/>
    </row>
    <row r="44" spans="1:18" ht="18" customHeight="1">
      <c r="A44" s="241"/>
      <c r="B44" s="659" t="s">
        <v>850</v>
      </c>
      <c r="C44" s="660"/>
      <c r="D44" s="661"/>
      <c r="E44" s="662"/>
      <c r="F44" s="679">
        <v>6.5450124360174444E-2</v>
      </c>
      <c r="G44" s="709">
        <f>F34/(SUM(F27:K27)-F34)</f>
        <v>6.5421707333073675E-2</v>
      </c>
      <c r="H44" s="680">
        <f>F44-G44</f>
        <v>2.8417027100768877E-5</v>
      </c>
      <c r="I44" s="681">
        <v>6.5422510642735424E-2</v>
      </c>
      <c r="J44" s="709">
        <f>F34/(SUM(F27:K27)-F34)</f>
        <v>6.5421707333073675E-2</v>
      </c>
      <c r="K44" s="680">
        <f>I44-J44</f>
        <v>8.0330966174824159E-7</v>
      </c>
      <c r="L44" s="681">
        <v>6.5422865653667645E-2</v>
      </c>
      <c r="M44" s="709">
        <f>F34/(SUM(F27:K27)-F34)</f>
        <v>6.5421707333073675E-2</v>
      </c>
      <c r="N44" s="680">
        <f>L44-M44</f>
        <v>1.1583205939691421E-6</v>
      </c>
      <c r="O44" s="640"/>
      <c r="P44" s="16"/>
      <c r="Q44" s="16"/>
      <c r="R44" s="16"/>
    </row>
    <row r="45" spans="1:18" ht="18" customHeight="1">
      <c r="A45" s="241"/>
      <c r="B45" s="659" t="s">
        <v>890</v>
      </c>
      <c r="C45" s="660"/>
      <c r="D45" s="661"/>
      <c r="E45" s="662"/>
      <c r="F45" s="671">
        <f>G45</f>
        <v>0.93857044749093388</v>
      </c>
      <c r="G45" s="671">
        <f>1/(F44+1)</f>
        <v>0.93857044749093388</v>
      </c>
      <c r="H45" s="680">
        <f>F45-G45</f>
        <v>0</v>
      </c>
      <c r="I45" s="672">
        <f>J45</f>
        <v>0.93859477344507369</v>
      </c>
      <c r="J45" s="671">
        <f>1/(I44+1)</f>
        <v>0.93859477344507369</v>
      </c>
      <c r="K45" s="680">
        <f>I45-J45</f>
        <v>0</v>
      </c>
      <c r="L45" s="672">
        <f>M45</f>
        <v>0.93859446069469432</v>
      </c>
      <c r="M45" s="671">
        <f>1/(L44+1)</f>
        <v>0.93859446069469432</v>
      </c>
      <c r="N45" s="680">
        <f>L45-M45</f>
        <v>0</v>
      </c>
      <c r="O45" s="640"/>
      <c r="P45" s="16"/>
      <c r="Q45" s="16"/>
      <c r="R45" s="16"/>
    </row>
    <row r="46" spans="1:18" ht="18" customHeight="1">
      <c r="A46" s="241"/>
      <c r="B46" s="659" t="s">
        <v>891</v>
      </c>
      <c r="C46" s="660"/>
      <c r="D46" s="661"/>
      <c r="E46" s="662"/>
      <c r="F46" s="671">
        <f>G46</f>
        <v>6.1429552509066121E-2</v>
      </c>
      <c r="G46" s="671">
        <f>1-F45</f>
        <v>6.1429552509066121E-2</v>
      </c>
      <c r="H46" s="680">
        <f>F46-G46</f>
        <v>0</v>
      </c>
      <c r="I46" s="672">
        <f>J46</f>
        <v>6.1405226554926307E-2</v>
      </c>
      <c r="J46" s="671">
        <f>1-I45</f>
        <v>6.1405226554926307E-2</v>
      </c>
      <c r="K46" s="680">
        <f>I46-J46</f>
        <v>0</v>
      </c>
      <c r="L46" s="672">
        <f>M46</f>
        <v>6.1405539305305679E-2</v>
      </c>
      <c r="M46" s="671">
        <f>1-L45</f>
        <v>6.1405539305305679E-2</v>
      </c>
      <c r="N46" s="680">
        <f>L46-M46</f>
        <v>0</v>
      </c>
      <c r="O46" s="640"/>
      <c r="P46" s="16"/>
      <c r="Q46" s="16"/>
      <c r="R46" s="16"/>
    </row>
    <row r="47" spans="1:18" ht="18" customHeight="1">
      <c r="A47" s="241"/>
      <c r="B47" s="677"/>
      <c r="C47" s="660"/>
      <c r="D47" s="661"/>
      <c r="E47" s="662"/>
      <c r="F47" s="663"/>
      <c r="G47" s="663"/>
      <c r="H47" s="664"/>
      <c r="I47" s="665"/>
      <c r="J47" s="663"/>
      <c r="K47" s="664"/>
      <c r="L47" s="666"/>
      <c r="M47" s="663"/>
      <c r="N47" s="664"/>
      <c r="O47" s="640"/>
      <c r="P47" s="16"/>
      <c r="Q47" s="16"/>
      <c r="R47" s="16"/>
    </row>
    <row r="48" spans="1:18" ht="18" customHeight="1" thickBot="1">
      <c r="A48" s="241"/>
      <c r="B48" s="682" t="s">
        <v>887</v>
      </c>
      <c r="C48" s="683"/>
      <c r="D48" s="684"/>
      <c r="E48" s="685"/>
      <c r="F48" s="686">
        <f>F42*F45+(1-F35)*F40*F46</f>
        <v>0.13314790135579552</v>
      </c>
      <c r="G48" s="687"/>
      <c r="H48" s="688"/>
      <c r="I48" s="689">
        <f>I42*I45+(1-I35)*I40*I46</f>
        <v>0.13385421140692788</v>
      </c>
      <c r="J48" s="687"/>
      <c r="K48" s="688"/>
      <c r="L48" s="689">
        <f>L42*L45+(1-L35)*L40*L46</f>
        <v>0.13314910457290949</v>
      </c>
      <c r="M48" s="690"/>
      <c r="N48" s="691"/>
      <c r="O48" s="639"/>
      <c r="P48" s="648"/>
      <c r="Q48" s="16"/>
      <c r="R48" s="638"/>
    </row>
    <row r="49" spans="1:13" ht="18" customHeight="1">
      <c r="A49" s="241"/>
      <c r="B49" s="607"/>
      <c r="C49"/>
      <c r="D49" s="608"/>
      <c r="E49" s="609"/>
      <c r="G49" s="72"/>
      <c r="H49" s="271"/>
      <c r="J49" s="638"/>
      <c r="K49" s="638"/>
      <c r="L49" s="26"/>
      <c r="M49" s="14"/>
    </row>
    <row r="50" spans="1:13" ht="18" customHeight="1">
      <c r="A50" s="241"/>
      <c r="F50" s="22"/>
      <c r="G50" s="22"/>
      <c r="H50" s="22"/>
      <c r="I50" s="22"/>
      <c r="J50" s="22"/>
      <c r="K50" s="22"/>
      <c r="L50" s="22"/>
      <c r="M50" s="14"/>
    </row>
    <row r="51" spans="1:13" ht="18" customHeight="1">
      <c r="A51" s="241"/>
      <c r="B51" s="39" t="s">
        <v>207</v>
      </c>
      <c r="I51" s="21"/>
      <c r="M51" s="14"/>
    </row>
    <row r="52" spans="1:13" ht="18" customHeight="1">
      <c r="A52" s="241"/>
      <c r="B52" s="153" t="s">
        <v>206</v>
      </c>
      <c r="C52" s="56"/>
      <c r="D52" s="56"/>
      <c r="E52" s="56"/>
      <c r="F52" s="154" t="s">
        <v>73</v>
      </c>
      <c r="G52" s="154" t="s">
        <v>74</v>
      </c>
      <c r="I52" s="21"/>
      <c r="M52" s="14"/>
    </row>
    <row r="53" spans="1:13" ht="18" customHeight="1">
      <c r="A53" s="241"/>
      <c r="B53" s="66" t="s">
        <v>403</v>
      </c>
      <c r="C53" s="56"/>
      <c r="D53" s="56"/>
      <c r="E53" s="56"/>
      <c r="F53" s="3">
        <f>F29</f>
        <v>16285.446387218546</v>
      </c>
      <c r="G53" s="3"/>
      <c r="I53" s="21"/>
      <c r="M53" s="14"/>
    </row>
    <row r="54" spans="1:13" ht="18" customHeight="1">
      <c r="A54" s="241"/>
      <c r="B54" s="66" t="s">
        <v>118</v>
      </c>
      <c r="C54" s="56"/>
      <c r="D54" s="56"/>
      <c r="E54" s="56"/>
      <c r="F54" s="101">
        <f>'2报表调整'!F80</f>
        <v>37.45312775000005</v>
      </c>
      <c r="G54" s="3"/>
      <c r="H54" s="21"/>
      <c r="I54" s="21"/>
      <c r="M54" s="14"/>
    </row>
    <row r="55" spans="1:13" ht="18" customHeight="1">
      <c r="A55" s="241"/>
      <c r="B55" s="66" t="s">
        <v>119</v>
      </c>
      <c r="C55" s="56"/>
      <c r="D55" s="56"/>
      <c r="E55" s="56"/>
      <c r="F55" s="85">
        <f>'2报表调整'!N43</f>
        <v>83.680217999999996</v>
      </c>
      <c r="G55" s="3"/>
      <c r="M55" s="14"/>
    </row>
    <row r="56" spans="1:13" ht="18" customHeight="1">
      <c r="A56" s="241"/>
      <c r="B56" s="66" t="s">
        <v>120</v>
      </c>
      <c r="C56" s="56"/>
      <c r="D56" s="56"/>
      <c r="E56" s="56"/>
      <c r="F56" s="85">
        <f>'2报表调整'!N70</f>
        <v>1415.2446359999999</v>
      </c>
      <c r="G56" s="3"/>
      <c r="M56" s="14"/>
    </row>
    <row r="57" spans="1:13" ht="18" customHeight="1">
      <c r="A57" s="241"/>
      <c r="B57" s="67" t="s">
        <v>121</v>
      </c>
      <c r="C57" s="56"/>
      <c r="D57" s="56"/>
      <c r="E57" s="56"/>
      <c r="F57" s="10">
        <f>F53+F54+F55-F56</f>
        <v>14991.335096968549</v>
      </c>
      <c r="G57" s="3"/>
      <c r="M57" s="14"/>
    </row>
    <row r="58" spans="1:13" ht="18" customHeight="1">
      <c r="A58" s="241"/>
      <c r="B58" s="66" t="s">
        <v>122</v>
      </c>
      <c r="C58" s="56"/>
      <c r="D58" s="56"/>
      <c r="E58" s="56"/>
      <c r="F58" s="85">
        <f>'11财务费用'!E10</f>
        <v>1000</v>
      </c>
      <c r="G58" s="3"/>
      <c r="M58" s="14"/>
    </row>
    <row r="59" spans="1:13" ht="18" customHeight="1">
      <c r="A59" s="241"/>
      <c r="B59" s="66" t="s">
        <v>123</v>
      </c>
      <c r="C59" s="56"/>
      <c r="D59" s="56"/>
      <c r="E59" s="56"/>
      <c r="F59" s="3"/>
      <c r="G59" s="3"/>
      <c r="M59" s="14"/>
    </row>
    <row r="60" spans="1:13" ht="18" customHeight="1">
      <c r="A60" s="241"/>
      <c r="B60" s="66" t="s">
        <v>124</v>
      </c>
      <c r="C60" s="56"/>
      <c r="D60" s="56"/>
      <c r="E60" s="56"/>
      <c r="F60" s="3"/>
      <c r="G60" s="3"/>
      <c r="M60" s="14"/>
    </row>
    <row r="61" spans="1:13" ht="18" customHeight="1">
      <c r="A61" s="241"/>
      <c r="B61" s="66" t="s">
        <v>125</v>
      </c>
      <c r="C61" s="56"/>
      <c r="D61" s="56"/>
      <c r="E61" s="56"/>
      <c r="F61" s="3"/>
      <c r="G61" s="3"/>
      <c r="M61" s="14"/>
    </row>
    <row r="62" spans="1:13" ht="18" customHeight="1">
      <c r="A62" s="241"/>
      <c r="B62" s="66" t="s">
        <v>126</v>
      </c>
      <c r="C62" s="56"/>
      <c r="D62" s="56"/>
      <c r="E62" s="56"/>
      <c r="F62" s="3">
        <f>F57-SUM(F58:F61)</f>
        <v>13991.335096968549</v>
      </c>
      <c r="G62" s="3"/>
      <c r="M62" s="14"/>
    </row>
    <row r="63" spans="1:13" ht="18" customHeight="1">
      <c r="A63" s="241"/>
      <c r="B63" s="67" t="s">
        <v>127</v>
      </c>
      <c r="C63" s="56"/>
      <c r="D63" s="56"/>
      <c r="E63" s="56"/>
      <c r="F63" s="10">
        <f>ROUND(F62,-1)</f>
        <v>13990</v>
      </c>
      <c r="G63" s="3"/>
      <c r="M63" s="14"/>
    </row>
    <row r="64" spans="1:13" ht="18" customHeight="1">
      <c r="A64" s="241"/>
      <c r="B64" s="66" t="s">
        <v>128</v>
      </c>
      <c r="C64" s="56"/>
      <c r="D64" s="56"/>
      <c r="E64" s="56"/>
      <c r="F64" s="3"/>
      <c r="G64" s="8" t="s">
        <v>75</v>
      </c>
      <c r="M64" s="14"/>
    </row>
    <row r="65" spans="1:13" ht="18" customHeight="1">
      <c r="A65" s="241"/>
      <c r="B65" s="66" t="s">
        <v>129</v>
      </c>
      <c r="C65" s="56"/>
      <c r="D65" s="56"/>
      <c r="E65" s="56"/>
      <c r="F65" s="3"/>
      <c r="G65" s="8" t="s">
        <v>75</v>
      </c>
      <c r="M65" s="14"/>
    </row>
    <row r="66" spans="1:13" ht="18" customHeight="1">
      <c r="A66" s="241"/>
      <c r="B66" s="66" t="s">
        <v>130</v>
      </c>
      <c r="C66" s="56"/>
      <c r="D66" s="56"/>
      <c r="E66" s="56"/>
      <c r="F66" s="272"/>
      <c r="G66" s="3"/>
      <c r="M66" s="14"/>
    </row>
    <row r="67" spans="1:13" ht="18" customHeight="1">
      <c r="A67" s="241"/>
      <c r="B67" s="66" t="s">
        <v>131</v>
      </c>
      <c r="C67" s="56"/>
      <c r="D67" s="56"/>
      <c r="E67" s="56"/>
      <c r="F67" s="3">
        <f>F63*F66</f>
        <v>0</v>
      </c>
      <c r="G67" s="3"/>
      <c r="M67" s="14"/>
    </row>
    <row r="68" spans="1:13" ht="18" customHeight="1">
      <c r="A68" s="241"/>
      <c r="M68" s="14"/>
    </row>
    <row r="69" spans="1:13" ht="18" customHeight="1">
      <c r="A69" s="241"/>
      <c r="M69" s="14"/>
    </row>
    <row r="70" spans="1:13" ht="18" customHeight="1">
      <c r="A70" s="241"/>
      <c r="M70" s="14"/>
    </row>
    <row r="71" spans="1:13" ht="18" customHeight="1">
      <c r="A71" s="241"/>
      <c r="M71" s="14"/>
    </row>
    <row r="72" spans="1:13" ht="18" customHeight="1">
      <c r="A72" s="241"/>
      <c r="M72" s="14"/>
    </row>
    <row r="73" spans="1:13" ht="18" customHeight="1">
      <c r="A73" s="241"/>
      <c r="M73" s="14"/>
    </row>
    <row r="74" spans="1:13" ht="18" customHeight="1">
      <c r="A74" s="241"/>
      <c r="M74" s="14"/>
    </row>
    <row r="82" spans="13:13" ht="18" customHeight="1">
      <c r="M82" s="14"/>
    </row>
    <row r="83" spans="13:13" ht="18" customHeight="1">
      <c r="M83" s="14"/>
    </row>
    <row r="84" spans="13:13" ht="18" customHeight="1">
      <c r="M84" s="14"/>
    </row>
    <row r="85" spans="13:13" ht="18" customHeight="1">
      <c r="M85" s="14"/>
    </row>
    <row r="86" spans="13:13" ht="18" customHeight="1">
      <c r="M86" s="14"/>
    </row>
    <row r="87" spans="13:13" ht="18" customHeight="1">
      <c r="M87" s="14"/>
    </row>
    <row r="88" spans="13:13" ht="18" customHeight="1">
      <c r="M88" s="14"/>
    </row>
    <row r="89" spans="13:13" ht="18" customHeight="1">
      <c r="M89" s="14"/>
    </row>
    <row r="90" spans="13:13" ht="18" customHeight="1">
      <c r="M90" s="14"/>
    </row>
    <row r="91" spans="13:13" ht="18" customHeight="1">
      <c r="M91" s="14"/>
    </row>
    <row r="92" spans="13:13" ht="18" customHeight="1">
      <c r="M92" s="14"/>
    </row>
    <row r="93" spans="13:13" ht="18" customHeight="1">
      <c r="M93" s="14"/>
    </row>
    <row r="94" spans="13:13" ht="18" customHeight="1">
      <c r="M94" s="14"/>
    </row>
    <row r="95" spans="13:13" ht="18" customHeight="1">
      <c r="M95" s="14"/>
    </row>
    <row r="96" spans="13:13" ht="18" customHeight="1">
      <c r="M96" s="14"/>
    </row>
    <row r="97" spans="13:13" ht="18" customHeight="1">
      <c r="M97" s="14"/>
    </row>
    <row r="98" spans="13:13" ht="18" customHeight="1">
      <c r="M98" s="14"/>
    </row>
    <row r="99" spans="13:13" ht="18" customHeight="1">
      <c r="M99" s="14"/>
    </row>
    <row r="100" spans="13:13" ht="18" customHeight="1">
      <c r="M100" s="14"/>
    </row>
    <row r="101" spans="13:13" ht="18" customHeight="1">
      <c r="M101" s="14"/>
    </row>
    <row r="102" spans="13:13" ht="18" customHeight="1">
      <c r="M102" s="14"/>
    </row>
    <row r="103" spans="13:13" ht="18" customHeight="1">
      <c r="M103" s="14"/>
    </row>
    <row r="104" spans="13:13" ht="18" customHeight="1">
      <c r="M104" s="14"/>
    </row>
    <row r="105" spans="13:13" ht="18" customHeight="1">
      <c r="M105" s="14"/>
    </row>
    <row r="106" spans="13:13" ht="18" customHeight="1">
      <c r="M106" s="14"/>
    </row>
    <row r="107" spans="13:13" ht="18" customHeight="1">
      <c r="M107" s="14"/>
    </row>
    <row r="108" spans="13:13" ht="18" customHeight="1">
      <c r="M108" s="14"/>
    </row>
    <row r="109" spans="13:13" ht="18" customHeight="1">
      <c r="M109" s="14"/>
    </row>
    <row r="110" spans="13:13" ht="18" customHeight="1">
      <c r="M110" s="14"/>
    </row>
    <row r="111" spans="13:13" ht="18" customHeight="1">
      <c r="M111" s="14"/>
    </row>
    <row r="112" spans="13:13" ht="18" customHeight="1">
      <c r="M112" s="14"/>
    </row>
    <row r="113" spans="13:13" ht="18" customHeight="1">
      <c r="M113" s="14"/>
    </row>
    <row r="114" spans="13:13" ht="18" customHeight="1">
      <c r="M114" s="14"/>
    </row>
    <row r="115" spans="13:13" ht="18" customHeight="1">
      <c r="M115" s="14"/>
    </row>
    <row r="116" spans="13:13" ht="18" customHeight="1">
      <c r="M116" s="14"/>
    </row>
    <row r="117" spans="13:13" ht="18" customHeight="1">
      <c r="M117" s="14"/>
    </row>
    <row r="118" spans="13:13" ht="18" customHeight="1">
      <c r="M118" s="14"/>
    </row>
    <row r="119" spans="13:13" ht="18" customHeight="1">
      <c r="M119" s="14"/>
    </row>
    <row r="120" spans="13:13" ht="18" customHeight="1">
      <c r="M120" s="14"/>
    </row>
    <row r="121" spans="13:13" ht="18" customHeight="1">
      <c r="M121" s="14"/>
    </row>
    <row r="122" spans="13:13" ht="18" customHeight="1">
      <c r="M122" s="14"/>
    </row>
    <row r="123" spans="13:13" ht="18" customHeight="1">
      <c r="M123" s="14"/>
    </row>
    <row r="124" spans="13:13" ht="18" customHeight="1">
      <c r="M124" s="14"/>
    </row>
    <row r="125" spans="13:13" ht="18" customHeight="1">
      <c r="M125" s="14"/>
    </row>
    <row r="126" spans="13:13" ht="18" customHeight="1">
      <c r="M126" s="14"/>
    </row>
    <row r="127" spans="13:13" ht="18" customHeight="1">
      <c r="M127" s="14"/>
    </row>
    <row r="128" spans="13:13" ht="18" customHeight="1">
      <c r="M128" s="14"/>
    </row>
    <row r="129" spans="13:13" ht="18" customHeight="1">
      <c r="M129" s="14"/>
    </row>
    <row r="130" spans="13:13" ht="18" customHeight="1">
      <c r="M130" s="14"/>
    </row>
    <row r="131" spans="13:13" ht="18" customHeight="1">
      <c r="M131" s="14"/>
    </row>
    <row r="132" spans="13:13" ht="18" customHeight="1">
      <c r="M132" s="14"/>
    </row>
    <row r="133" spans="13:13" ht="18" customHeight="1">
      <c r="M133" s="14"/>
    </row>
    <row r="134" spans="13:13" ht="18" customHeight="1">
      <c r="M134" s="14"/>
    </row>
    <row r="135" spans="13:13" ht="18" customHeight="1">
      <c r="M135" s="14"/>
    </row>
    <row r="136" spans="13:13" ht="18" customHeight="1">
      <c r="M136" s="14"/>
    </row>
    <row r="137" spans="13:13" ht="18" customHeight="1">
      <c r="M137" s="14"/>
    </row>
    <row r="138" spans="13:13" ht="18" customHeight="1">
      <c r="M138" s="14"/>
    </row>
    <row r="139" spans="13:13" ht="18" customHeight="1">
      <c r="M139" s="14"/>
    </row>
    <row r="140" spans="13:13" ht="18" customHeight="1">
      <c r="M140" s="14"/>
    </row>
    <row r="141" spans="13:13" ht="18" customHeight="1">
      <c r="M141" s="14"/>
    </row>
    <row r="142" spans="13:13" ht="18" customHeight="1">
      <c r="M142" s="14"/>
    </row>
    <row r="143" spans="13:13" ht="18" customHeight="1">
      <c r="M143" s="14"/>
    </row>
    <row r="144" spans="13:13" ht="18" customHeight="1">
      <c r="M144" s="14"/>
    </row>
    <row r="145" spans="13:13" ht="18" customHeight="1">
      <c r="M145" s="14"/>
    </row>
    <row r="146" spans="13:13" ht="18" customHeight="1">
      <c r="M146" s="14"/>
    </row>
    <row r="147" spans="13:13" ht="18" customHeight="1">
      <c r="M147" s="14"/>
    </row>
    <row r="148" spans="13:13" ht="18" customHeight="1">
      <c r="M148" s="14"/>
    </row>
    <row r="149" spans="13:13" ht="18" customHeight="1">
      <c r="M149" s="14"/>
    </row>
    <row r="150" spans="13:13" ht="18" customHeight="1">
      <c r="M150" s="14"/>
    </row>
    <row r="151" spans="13:13" ht="18" customHeight="1">
      <c r="M151" s="14"/>
    </row>
    <row r="152" spans="13:13" ht="18" customHeight="1">
      <c r="M152" s="14"/>
    </row>
    <row r="153" spans="13:13" ht="18" customHeight="1">
      <c r="M153" s="14"/>
    </row>
    <row r="154" spans="13:13" ht="18" customHeight="1">
      <c r="M154" s="14"/>
    </row>
    <row r="155" spans="13:13" ht="18" customHeight="1">
      <c r="M155" s="14"/>
    </row>
    <row r="156" spans="13:13" ht="18" customHeight="1">
      <c r="M156" s="14"/>
    </row>
    <row r="157" spans="13:13" ht="18" customHeight="1">
      <c r="M157" s="14"/>
    </row>
    <row r="158" spans="13:13" ht="18" customHeight="1">
      <c r="M158" s="14"/>
    </row>
    <row r="159" spans="13:13" ht="18" customHeight="1">
      <c r="M159" s="14"/>
    </row>
    <row r="160" spans="13:13" ht="18" customHeight="1">
      <c r="M160" s="14"/>
    </row>
    <row r="161" spans="13:13" ht="18" customHeight="1">
      <c r="M161" s="14"/>
    </row>
    <row r="162" spans="13:13" ht="18" customHeight="1">
      <c r="M162" s="14"/>
    </row>
    <row r="163" spans="13:13" ht="18" customHeight="1">
      <c r="M163" s="14"/>
    </row>
    <row r="164" spans="13:13" ht="18" customHeight="1">
      <c r="M164" s="14"/>
    </row>
    <row r="165" spans="13:13" ht="18" customHeight="1">
      <c r="M165" s="14"/>
    </row>
    <row r="166" spans="13:13" ht="18" customHeight="1">
      <c r="M166" s="14"/>
    </row>
    <row r="167" spans="13:13" ht="18" customHeight="1">
      <c r="M167" s="14"/>
    </row>
    <row r="168" spans="13:13" ht="18" customHeight="1">
      <c r="M168" s="14"/>
    </row>
    <row r="169" spans="13:13" ht="18" customHeight="1">
      <c r="M169" s="14"/>
    </row>
    <row r="170" spans="13:13" ht="18" customHeight="1">
      <c r="M170" s="14"/>
    </row>
    <row r="171" spans="13:13" ht="18" customHeight="1">
      <c r="M171" s="14"/>
    </row>
    <row r="172" spans="13:13" ht="18" customHeight="1">
      <c r="M172" s="14"/>
    </row>
    <row r="173" spans="13:13" ht="18" customHeight="1">
      <c r="M173" s="14"/>
    </row>
    <row r="174" spans="13:13" ht="18" customHeight="1">
      <c r="M174" s="14"/>
    </row>
    <row r="175" spans="13:13" ht="18" customHeight="1">
      <c r="M175" s="14"/>
    </row>
    <row r="176" spans="13:13" ht="18" customHeight="1">
      <c r="M176" s="14"/>
    </row>
    <row r="177" spans="13:13" ht="18" customHeight="1">
      <c r="M177" s="14"/>
    </row>
    <row r="178" spans="13:13" ht="18" customHeight="1">
      <c r="M178" s="14"/>
    </row>
    <row r="179" spans="13:13" ht="18" customHeight="1">
      <c r="M179" s="14"/>
    </row>
    <row r="180" spans="13:13" ht="18" customHeight="1">
      <c r="M180" s="14"/>
    </row>
    <row r="181" spans="13:13" ht="18" customHeight="1">
      <c r="M181" s="14"/>
    </row>
    <row r="182" spans="13:13" ht="18" customHeight="1">
      <c r="M182" s="14"/>
    </row>
    <row r="183" spans="13:13" ht="18" customHeight="1">
      <c r="M183" s="14"/>
    </row>
    <row r="184" spans="13:13" ht="18" customHeight="1">
      <c r="M184" s="14"/>
    </row>
    <row r="185" spans="13:13" ht="18" customHeight="1">
      <c r="M185" s="14"/>
    </row>
    <row r="186" spans="13:13" ht="18" customHeight="1">
      <c r="M186" s="14"/>
    </row>
    <row r="187" spans="13:13" ht="18" customHeight="1">
      <c r="M187" s="14"/>
    </row>
    <row r="188" spans="13:13" ht="18" customHeight="1">
      <c r="M188" s="14"/>
    </row>
    <row r="189" spans="13:13" ht="18" customHeight="1">
      <c r="M189" s="14"/>
    </row>
    <row r="190" spans="13:13" ht="18" customHeight="1">
      <c r="M190" s="14"/>
    </row>
    <row r="191" spans="13:13" ht="18" customHeight="1">
      <c r="M191" s="14"/>
    </row>
    <row r="192" spans="13:13" ht="18" customHeight="1">
      <c r="M192" s="14"/>
    </row>
    <row r="193" spans="13:13" ht="18" customHeight="1">
      <c r="M193" s="14"/>
    </row>
    <row r="194" spans="13:13" ht="18" customHeight="1">
      <c r="M194" s="14"/>
    </row>
    <row r="195" spans="13:13" ht="18" customHeight="1">
      <c r="M195" s="14"/>
    </row>
    <row r="196" spans="13:13" ht="18" customHeight="1">
      <c r="M196" s="14"/>
    </row>
    <row r="197" spans="13:13" ht="18" customHeight="1">
      <c r="M197" s="14"/>
    </row>
    <row r="198" spans="13:13" ht="18" customHeight="1">
      <c r="M198" s="14"/>
    </row>
    <row r="199" spans="13:13" ht="18" customHeight="1">
      <c r="M199" s="14"/>
    </row>
    <row r="200" spans="13:13" ht="18" customHeight="1">
      <c r="M200" s="14"/>
    </row>
    <row r="201" spans="13:13" ht="18" customHeight="1">
      <c r="M201" s="14"/>
    </row>
    <row r="202" spans="13:13" ht="18" customHeight="1">
      <c r="M202" s="14"/>
    </row>
    <row r="203" spans="13:13" ht="18" customHeight="1">
      <c r="M203" s="14"/>
    </row>
    <row r="204" spans="13:13" ht="18" customHeight="1">
      <c r="M204" s="14"/>
    </row>
    <row r="205" spans="13:13" ht="18" customHeight="1">
      <c r="M205" s="14"/>
    </row>
    <row r="206" spans="13:13" ht="18" customHeight="1">
      <c r="M206" s="14"/>
    </row>
    <row r="207" spans="13:13" ht="18" customHeight="1">
      <c r="M207" s="14"/>
    </row>
    <row r="208" spans="13:13" ht="18" customHeight="1">
      <c r="M208" s="14"/>
    </row>
    <row r="209" spans="13:13" ht="18" customHeight="1">
      <c r="M209" s="14"/>
    </row>
    <row r="210" spans="13:13" ht="18" customHeight="1">
      <c r="M210" s="14"/>
    </row>
    <row r="211" spans="13:13" ht="18" customHeight="1">
      <c r="M211" s="14"/>
    </row>
    <row r="212" spans="13:13" ht="18" customHeight="1">
      <c r="M212" s="14"/>
    </row>
    <row r="213" spans="13:13" ht="18" customHeight="1">
      <c r="M213" s="14"/>
    </row>
    <row r="214" spans="13:13" ht="18" customHeight="1">
      <c r="M214" s="14"/>
    </row>
    <row r="215" spans="13:13" ht="18" customHeight="1">
      <c r="M215" s="14"/>
    </row>
    <row r="216" spans="13:13" ht="18" customHeight="1">
      <c r="M216" s="14"/>
    </row>
    <row r="217" spans="13:13" ht="18" customHeight="1">
      <c r="M217" s="14"/>
    </row>
    <row r="218" spans="13:13" ht="18" customHeight="1">
      <c r="M218" s="14"/>
    </row>
    <row r="219" spans="13:13" ht="18" customHeight="1">
      <c r="M219" s="14"/>
    </row>
    <row r="220" spans="13:13" ht="18" customHeight="1">
      <c r="M220" s="14"/>
    </row>
    <row r="221" spans="13:13" ht="18" customHeight="1">
      <c r="M221" s="14"/>
    </row>
    <row r="222" spans="13:13" ht="18" customHeight="1">
      <c r="M222" s="14"/>
    </row>
    <row r="223" spans="13:13" ht="18" customHeight="1">
      <c r="M223" s="14"/>
    </row>
    <row r="224" spans="13:13" ht="18" customHeight="1">
      <c r="M224" s="14"/>
    </row>
    <row r="225" spans="13:13" ht="18" customHeight="1">
      <c r="M225" s="14"/>
    </row>
    <row r="226" spans="13:13" ht="18" customHeight="1">
      <c r="M226" s="14"/>
    </row>
    <row r="227" spans="13:13" ht="18" customHeight="1">
      <c r="M227" s="14"/>
    </row>
    <row r="228" spans="13:13" ht="18" customHeight="1">
      <c r="M228" s="14"/>
    </row>
    <row r="229" spans="13:13" ht="18" customHeight="1">
      <c r="M229" s="14"/>
    </row>
    <row r="230" spans="13:13" ht="18" customHeight="1">
      <c r="M230" s="14"/>
    </row>
    <row r="231" spans="13:13" ht="18" customHeight="1">
      <c r="M231" s="14"/>
    </row>
    <row r="232" spans="13:13" ht="18" customHeight="1">
      <c r="M232" s="14"/>
    </row>
    <row r="233" spans="13:13" ht="18" customHeight="1">
      <c r="M233" s="14"/>
    </row>
    <row r="234" spans="13:13" ht="18" customHeight="1">
      <c r="M234" s="14"/>
    </row>
    <row r="235" spans="13:13" ht="18" customHeight="1">
      <c r="M235" s="14"/>
    </row>
    <row r="236" spans="13:13" ht="18" customHeight="1">
      <c r="M236" s="14"/>
    </row>
    <row r="237" spans="13:13" ht="18" customHeight="1">
      <c r="M237" s="14"/>
    </row>
    <row r="238" spans="13:13" ht="18" customHeight="1">
      <c r="M238" s="14"/>
    </row>
    <row r="239" spans="13:13" ht="18" customHeight="1">
      <c r="M239" s="14"/>
    </row>
    <row r="240" spans="13:13" ht="18" customHeight="1">
      <c r="M240" s="14"/>
    </row>
    <row r="241" spans="13:13" ht="18" customHeight="1">
      <c r="M241" s="14"/>
    </row>
    <row r="242" spans="13:13" ht="18" customHeight="1">
      <c r="M242" s="14"/>
    </row>
    <row r="243" spans="13:13" ht="18" customHeight="1">
      <c r="M243" s="14"/>
    </row>
    <row r="244" spans="13:13" ht="18" customHeight="1">
      <c r="M244" s="14"/>
    </row>
    <row r="245" spans="13:13" ht="18" customHeight="1">
      <c r="M245" s="14"/>
    </row>
    <row r="246" spans="13:13" ht="18" customHeight="1">
      <c r="M246" s="14"/>
    </row>
    <row r="247" spans="13:13" ht="18" customHeight="1">
      <c r="M247" s="14"/>
    </row>
    <row r="248" spans="13:13" ht="18" customHeight="1">
      <c r="M248" s="14"/>
    </row>
    <row r="249" spans="13:13" ht="18" customHeight="1">
      <c r="M249" s="14"/>
    </row>
    <row r="250" spans="13:13" ht="18" customHeight="1">
      <c r="M250" s="14"/>
    </row>
    <row r="251" spans="13:13" ht="18" customHeight="1">
      <c r="M251" s="14"/>
    </row>
    <row r="252" spans="13:13" ht="18" customHeight="1">
      <c r="M252" s="14"/>
    </row>
    <row r="253" spans="13:13" ht="18" customHeight="1">
      <c r="M253" s="14"/>
    </row>
    <row r="254" spans="13:13" ht="18" customHeight="1">
      <c r="M254" s="14"/>
    </row>
    <row r="255" spans="13:13" ht="18" customHeight="1">
      <c r="M255" s="14"/>
    </row>
    <row r="256" spans="13:13" ht="18" customHeight="1">
      <c r="M256" s="14"/>
    </row>
    <row r="257" spans="13:13" ht="18" customHeight="1">
      <c r="M257" s="14"/>
    </row>
    <row r="258" spans="13:13" ht="18" customHeight="1">
      <c r="M258" s="14"/>
    </row>
    <row r="259" spans="13:13" ht="18" customHeight="1">
      <c r="M259" s="14"/>
    </row>
    <row r="260" spans="13:13" ht="18" customHeight="1">
      <c r="M260" s="14"/>
    </row>
    <row r="261" spans="13:13" ht="18" customHeight="1">
      <c r="M261" s="14"/>
    </row>
    <row r="262" spans="13:13" ht="18" customHeight="1">
      <c r="M262" s="14"/>
    </row>
    <row r="263" spans="13:13" ht="18" customHeight="1">
      <c r="M263" s="14"/>
    </row>
    <row r="264" spans="13:13" ht="18" customHeight="1">
      <c r="M264" s="14"/>
    </row>
    <row r="265" spans="13:13" ht="18" customHeight="1">
      <c r="M265" s="14"/>
    </row>
    <row r="266" spans="13:13" ht="18" customHeight="1">
      <c r="M266" s="14"/>
    </row>
    <row r="267" spans="13:13" ht="18" customHeight="1">
      <c r="M267" s="14"/>
    </row>
    <row r="268" spans="13:13" ht="18" customHeight="1">
      <c r="M268" s="14"/>
    </row>
    <row r="269" spans="13:13" ht="18" customHeight="1">
      <c r="M269" s="14"/>
    </row>
    <row r="270" spans="13:13" ht="18" customHeight="1">
      <c r="M270" s="14"/>
    </row>
    <row r="271" spans="13:13" ht="18" customHeight="1">
      <c r="M271" s="14"/>
    </row>
    <row r="272" spans="13:13" ht="18" customHeight="1">
      <c r="M272" s="14"/>
    </row>
    <row r="273" spans="13:13" ht="18" customHeight="1">
      <c r="M273" s="14"/>
    </row>
    <row r="274" spans="13:13" ht="18" customHeight="1">
      <c r="M274" s="14"/>
    </row>
    <row r="275" spans="13:13" ht="18" customHeight="1">
      <c r="M275" s="14"/>
    </row>
    <row r="276" spans="13:13" ht="18" customHeight="1">
      <c r="M276" s="14"/>
    </row>
    <row r="277" spans="13:13" ht="18" customHeight="1">
      <c r="M277" s="14"/>
    </row>
    <row r="278" spans="13:13" ht="18" customHeight="1">
      <c r="M278" s="14"/>
    </row>
    <row r="279" spans="13:13" ht="18" customHeight="1">
      <c r="M279" s="14"/>
    </row>
    <row r="280" spans="13:13" ht="18" customHeight="1">
      <c r="M280" s="14"/>
    </row>
    <row r="281" spans="13:13" ht="18" customHeight="1">
      <c r="M281" s="14"/>
    </row>
    <row r="282" spans="13:13" ht="18" customHeight="1">
      <c r="M282" s="14"/>
    </row>
    <row r="283" spans="13:13" ht="18" customHeight="1">
      <c r="M283" s="14"/>
    </row>
    <row r="284" spans="13:13" ht="18" customHeight="1">
      <c r="M284" s="14"/>
    </row>
    <row r="285" spans="13:13" ht="18" customHeight="1">
      <c r="M285" s="14"/>
    </row>
    <row r="286" spans="13:13" ht="18" customHeight="1">
      <c r="M286" s="14"/>
    </row>
    <row r="287" spans="13:13" ht="18" customHeight="1">
      <c r="M287" s="14"/>
    </row>
    <row r="288" spans="13:13" ht="18" customHeight="1">
      <c r="M288" s="14"/>
    </row>
    <row r="289" spans="13:13" ht="18" customHeight="1">
      <c r="M289" s="14"/>
    </row>
    <row r="290" spans="13:13" ht="18" customHeight="1">
      <c r="M290" s="14"/>
    </row>
    <row r="291" spans="13:13" ht="18" customHeight="1">
      <c r="M291" s="14"/>
    </row>
    <row r="292" spans="13:13" ht="18" customHeight="1">
      <c r="M292" s="14"/>
    </row>
    <row r="293" spans="13:13" ht="18" customHeight="1">
      <c r="M293" s="14"/>
    </row>
    <row r="294" spans="13:13" ht="18" customHeight="1">
      <c r="M294" s="14"/>
    </row>
    <row r="295" spans="13:13" ht="18" customHeight="1">
      <c r="M295" s="14"/>
    </row>
    <row r="296" spans="13:13" ht="18" customHeight="1">
      <c r="M296" s="14"/>
    </row>
    <row r="297" spans="13:13" ht="18" customHeight="1">
      <c r="M297" s="14"/>
    </row>
    <row r="298" spans="13:13" ht="18" customHeight="1">
      <c r="M298" s="14"/>
    </row>
    <row r="299" spans="13:13" ht="18" customHeight="1">
      <c r="M299" s="14"/>
    </row>
    <row r="300" spans="13:13" ht="18" customHeight="1">
      <c r="M300" s="14"/>
    </row>
    <row r="301" spans="13:13" ht="18" customHeight="1">
      <c r="M301" s="14"/>
    </row>
    <row r="302" spans="13:13" ht="18" customHeight="1">
      <c r="M302" s="14"/>
    </row>
    <row r="303" spans="13:13" ht="18" customHeight="1">
      <c r="M303" s="14"/>
    </row>
    <row r="304" spans="13:13" ht="18" customHeight="1">
      <c r="M304" s="14"/>
    </row>
    <row r="305" spans="13:13" ht="18" customHeight="1">
      <c r="M305" s="14"/>
    </row>
    <row r="306" spans="13:13" ht="18" customHeight="1">
      <c r="M306" s="14"/>
    </row>
    <row r="307" spans="13:13" ht="18" customHeight="1">
      <c r="M307" s="14"/>
    </row>
    <row r="308" spans="13:13" ht="18" customHeight="1">
      <c r="M308" s="14"/>
    </row>
    <row r="309" spans="13:13" ht="18" customHeight="1">
      <c r="M309" s="14"/>
    </row>
    <row r="310" spans="13:13" ht="18" customHeight="1">
      <c r="M310" s="14"/>
    </row>
    <row r="311" spans="13:13" ht="18" customHeight="1">
      <c r="M311" s="14"/>
    </row>
    <row r="312" spans="13:13" ht="18" customHeight="1">
      <c r="M312" s="14"/>
    </row>
    <row r="313" spans="13:13" ht="18" customHeight="1">
      <c r="M313" s="14"/>
    </row>
    <row r="314" spans="13:13" ht="18" customHeight="1">
      <c r="M314" s="14"/>
    </row>
    <row r="315" spans="13:13" ht="18" customHeight="1">
      <c r="M315" s="14"/>
    </row>
    <row r="316" spans="13:13" ht="18" customHeight="1">
      <c r="M316" s="14"/>
    </row>
    <row r="317" spans="13:13" ht="18" customHeight="1">
      <c r="M317" s="14"/>
    </row>
    <row r="318" spans="13:13" ht="18" customHeight="1">
      <c r="M318" s="14"/>
    </row>
    <row r="319" spans="13:13" ht="18" customHeight="1">
      <c r="M319" s="14"/>
    </row>
    <row r="320" spans="13:13" ht="18" customHeight="1">
      <c r="M320" s="14"/>
    </row>
    <row r="321" spans="13:13" ht="18" customHeight="1">
      <c r="M321" s="14"/>
    </row>
    <row r="322" spans="13:13" ht="18" customHeight="1">
      <c r="M322" s="14"/>
    </row>
    <row r="323" spans="13:13" ht="18" customHeight="1">
      <c r="M323" s="14"/>
    </row>
    <row r="324" spans="13:13" ht="18" customHeight="1">
      <c r="M324" s="14"/>
    </row>
    <row r="325" spans="13:13" ht="18" customHeight="1">
      <c r="M325" s="14"/>
    </row>
    <row r="326" spans="13:13" ht="18" customHeight="1">
      <c r="M326" s="14"/>
    </row>
    <row r="327" spans="13:13" ht="18" customHeight="1">
      <c r="M327" s="14"/>
    </row>
    <row r="328" spans="13:13" ht="18" customHeight="1">
      <c r="M328" s="14"/>
    </row>
    <row r="329" spans="13:13" ht="18" customHeight="1">
      <c r="M329" s="14"/>
    </row>
    <row r="330" spans="13:13" ht="18" customHeight="1">
      <c r="M330" s="14"/>
    </row>
    <row r="331" spans="13:13" ht="18" customHeight="1">
      <c r="M331" s="14"/>
    </row>
    <row r="332" spans="13:13" ht="18" customHeight="1">
      <c r="M332" s="14"/>
    </row>
    <row r="333" spans="13:13" ht="18" customHeight="1">
      <c r="M333" s="14"/>
    </row>
    <row r="334" spans="13:13" ht="18" customHeight="1">
      <c r="M334" s="14"/>
    </row>
    <row r="335" spans="13:13" ht="18" customHeight="1">
      <c r="M335" s="14"/>
    </row>
    <row r="336" spans="13:13" ht="18" customHeight="1">
      <c r="M336" s="14"/>
    </row>
    <row r="337" spans="13:13" ht="18" customHeight="1">
      <c r="M337" s="14"/>
    </row>
    <row r="338" spans="13:13" ht="18" customHeight="1">
      <c r="M338" s="14"/>
    </row>
    <row r="339" spans="13:13" ht="18" customHeight="1">
      <c r="M339" s="14"/>
    </row>
    <row r="340" spans="13:13" ht="18" customHeight="1">
      <c r="M340" s="14"/>
    </row>
    <row r="341" spans="13:13" ht="18" customHeight="1">
      <c r="M341" s="14"/>
    </row>
    <row r="342" spans="13:13" ht="18" customHeight="1">
      <c r="M342" s="14"/>
    </row>
    <row r="343" spans="13:13" ht="18" customHeight="1">
      <c r="M343" s="14"/>
    </row>
    <row r="344" spans="13:13" ht="18" customHeight="1">
      <c r="M344" s="14"/>
    </row>
    <row r="345" spans="13:13" ht="18" customHeight="1">
      <c r="M345" s="14"/>
    </row>
    <row r="346" spans="13:13" ht="18" customHeight="1">
      <c r="M346" s="14"/>
    </row>
    <row r="347" spans="13:13" ht="18" customHeight="1">
      <c r="M347" s="14"/>
    </row>
    <row r="348" spans="13:13" ht="18" customHeight="1">
      <c r="M348" s="14"/>
    </row>
    <row r="349" spans="13:13" ht="18" customHeight="1">
      <c r="M349" s="14"/>
    </row>
    <row r="350" spans="13:13" ht="18" customHeight="1">
      <c r="M350" s="14"/>
    </row>
    <row r="351" spans="13:13" ht="18" customHeight="1">
      <c r="M351" s="14"/>
    </row>
    <row r="352" spans="13:13" ht="18" customHeight="1">
      <c r="M352" s="14"/>
    </row>
    <row r="353" spans="13:13" ht="18" customHeight="1">
      <c r="M353" s="14"/>
    </row>
    <row r="354" spans="13:13" ht="18" customHeight="1">
      <c r="M354" s="14"/>
    </row>
    <row r="355" spans="13:13" ht="18" customHeight="1">
      <c r="M355" s="14"/>
    </row>
    <row r="356" spans="13:13" ht="18" customHeight="1">
      <c r="M356" s="14"/>
    </row>
    <row r="357" spans="13:13" ht="18" customHeight="1">
      <c r="M357" s="14"/>
    </row>
    <row r="358" spans="13:13" ht="18" customHeight="1">
      <c r="M358" s="14"/>
    </row>
    <row r="359" spans="13:13" ht="18" customHeight="1">
      <c r="M359" s="14"/>
    </row>
    <row r="360" spans="13:13" ht="18" customHeight="1">
      <c r="M360" s="14"/>
    </row>
    <row r="361" spans="13:13" ht="18" customHeight="1">
      <c r="M361" s="14"/>
    </row>
    <row r="362" spans="13:13" ht="18" customHeight="1">
      <c r="M362" s="14"/>
    </row>
    <row r="363" spans="13:13" ht="18" customHeight="1">
      <c r="M363" s="14"/>
    </row>
    <row r="364" spans="13:13" ht="18" customHeight="1">
      <c r="M364" s="14"/>
    </row>
    <row r="365" spans="13:13" ht="18" customHeight="1">
      <c r="M365" s="14"/>
    </row>
    <row r="366" spans="13:13" ht="18" customHeight="1">
      <c r="M366" s="14"/>
    </row>
    <row r="367" spans="13:13" ht="18" customHeight="1">
      <c r="M367" s="14"/>
    </row>
    <row r="368" spans="13:13" ht="18" customHeight="1">
      <c r="M368" s="14"/>
    </row>
    <row r="369" spans="13:13" ht="18" customHeight="1">
      <c r="M369" s="14"/>
    </row>
    <row r="370" spans="13:13" ht="18" customHeight="1">
      <c r="M370" s="14"/>
    </row>
    <row r="371" spans="13:13" ht="18" customHeight="1">
      <c r="M371" s="14"/>
    </row>
    <row r="372" spans="13:13" ht="18" customHeight="1">
      <c r="M372" s="14"/>
    </row>
    <row r="373" spans="13:13" ht="18" customHeight="1">
      <c r="M373" s="14"/>
    </row>
    <row r="374" spans="13:13" ht="18" customHeight="1">
      <c r="M374" s="14"/>
    </row>
    <row r="375" spans="13:13" ht="18" customHeight="1">
      <c r="M375" s="14"/>
    </row>
    <row r="376" spans="13:13" ht="18" customHeight="1">
      <c r="M376" s="14"/>
    </row>
    <row r="377" spans="13:13" ht="18" customHeight="1">
      <c r="M377" s="14"/>
    </row>
    <row r="378" spans="13:13" ht="18" customHeight="1">
      <c r="M378" s="14"/>
    </row>
    <row r="379" spans="13:13" ht="18" customHeight="1">
      <c r="M379" s="14"/>
    </row>
    <row r="380" spans="13:13" ht="18" customHeight="1">
      <c r="M380" s="14"/>
    </row>
    <row r="381" spans="13:13" ht="18" customHeight="1">
      <c r="M381" s="14"/>
    </row>
    <row r="382" spans="13:13" ht="18" customHeight="1">
      <c r="M382" s="14"/>
    </row>
    <row r="383" spans="13:13" ht="18" customHeight="1">
      <c r="M383" s="14"/>
    </row>
    <row r="384" spans="13:13" ht="18" customHeight="1">
      <c r="M384" s="14"/>
    </row>
    <row r="385" spans="13:13" ht="18" customHeight="1">
      <c r="M385" s="14"/>
    </row>
    <row r="386" spans="13:13" ht="18" customHeight="1">
      <c r="M386" s="14"/>
    </row>
    <row r="387" spans="13:13" ht="18" customHeight="1">
      <c r="M387" s="14"/>
    </row>
    <row r="388" spans="13:13" ht="18" customHeight="1">
      <c r="M388" s="14"/>
    </row>
    <row r="389" spans="13:13" ht="18" customHeight="1">
      <c r="M389" s="14"/>
    </row>
    <row r="390" spans="13:13" ht="18" customHeight="1">
      <c r="M390" s="14"/>
    </row>
    <row r="391" spans="13:13" ht="18" customHeight="1">
      <c r="M391" s="14"/>
    </row>
    <row r="392" spans="13:13" ht="18" customHeight="1">
      <c r="M392" s="14"/>
    </row>
    <row r="393" spans="13:13" ht="18" customHeight="1">
      <c r="M393" s="14"/>
    </row>
    <row r="394" spans="13:13" ht="18" customHeight="1">
      <c r="M394" s="14"/>
    </row>
    <row r="395" spans="13:13" ht="18" customHeight="1">
      <c r="M395" s="14"/>
    </row>
    <row r="396" spans="13:13" ht="18" customHeight="1">
      <c r="M396" s="14"/>
    </row>
    <row r="397" spans="13:13" ht="18" customHeight="1">
      <c r="M397" s="14"/>
    </row>
    <row r="398" spans="13:13" ht="18" customHeight="1">
      <c r="M398" s="14"/>
    </row>
    <row r="399" spans="13:13" ht="18" customHeight="1">
      <c r="M399" s="14"/>
    </row>
    <row r="400" spans="13:13" ht="18" customHeight="1">
      <c r="M400" s="14"/>
    </row>
    <row r="401" spans="13:13" ht="18" customHeight="1">
      <c r="M401" s="14"/>
    </row>
    <row r="402" spans="13:13" ht="18" customHeight="1">
      <c r="M402" s="14"/>
    </row>
    <row r="403" spans="13:13" ht="18" customHeight="1">
      <c r="M403" s="14"/>
    </row>
    <row r="404" spans="13:13" ht="18" customHeight="1">
      <c r="M404" s="14"/>
    </row>
    <row r="405" spans="13:13" ht="18" customHeight="1">
      <c r="M405" s="14"/>
    </row>
    <row r="406" spans="13:13" ht="18" customHeight="1">
      <c r="M406" s="14"/>
    </row>
    <row r="407" spans="13:13" ht="18" customHeight="1">
      <c r="M407" s="14"/>
    </row>
    <row r="408" spans="13:13" ht="18" customHeight="1">
      <c r="M408" s="14"/>
    </row>
    <row r="409" spans="13:13" ht="18" customHeight="1">
      <c r="M409" s="14"/>
    </row>
    <row r="410" spans="13:13" ht="18" customHeight="1">
      <c r="M410" s="14"/>
    </row>
    <row r="411" spans="13:13" ht="18" customHeight="1">
      <c r="M411" s="14"/>
    </row>
    <row r="412" spans="13:13" ht="18" customHeight="1">
      <c r="M412" s="14"/>
    </row>
    <row r="413" spans="13:13" ht="18" customHeight="1">
      <c r="M413" s="14"/>
    </row>
    <row r="414" spans="13:13" ht="18" customHeight="1">
      <c r="M414" s="14"/>
    </row>
    <row r="415" spans="13:13" ht="18" customHeight="1">
      <c r="M415" s="14"/>
    </row>
    <row r="416" spans="13:13" ht="18" customHeight="1">
      <c r="M416" s="14"/>
    </row>
    <row r="417" spans="13:13" ht="18" customHeight="1">
      <c r="M417" s="14"/>
    </row>
    <row r="418" spans="13:13" ht="18" customHeight="1">
      <c r="M418" s="14"/>
    </row>
    <row r="419" spans="13:13" ht="18" customHeight="1">
      <c r="M419" s="14"/>
    </row>
    <row r="420" spans="13:13" ht="18" customHeight="1">
      <c r="M420" s="14"/>
    </row>
    <row r="421" spans="13:13" ht="18" customHeight="1">
      <c r="M421" s="14"/>
    </row>
    <row r="422" spans="13:13" ht="18" customHeight="1">
      <c r="M422" s="14"/>
    </row>
    <row r="423" spans="13:13" ht="18" customHeight="1">
      <c r="M423" s="14"/>
    </row>
    <row r="424" spans="13:13" ht="18" customHeight="1">
      <c r="M424" s="14"/>
    </row>
    <row r="425" spans="13:13" ht="18" customHeight="1">
      <c r="M425" s="14"/>
    </row>
    <row r="426" spans="13:13" ht="18" customHeight="1">
      <c r="M426" s="14"/>
    </row>
    <row r="427" spans="13:13" ht="18" customHeight="1">
      <c r="M427" s="14"/>
    </row>
    <row r="428" spans="13:13" ht="18" customHeight="1">
      <c r="M428" s="14"/>
    </row>
    <row r="429" spans="13:13" ht="18" customHeight="1">
      <c r="M429" s="14"/>
    </row>
    <row r="430" spans="13:13" ht="18" customHeight="1">
      <c r="M430" s="14"/>
    </row>
    <row r="431" spans="13:13" ht="18" customHeight="1">
      <c r="M431" s="14"/>
    </row>
    <row r="432" spans="13:13" ht="18" customHeight="1">
      <c r="M432" s="14"/>
    </row>
    <row r="433" spans="13:13" ht="18" customHeight="1">
      <c r="M433" s="14"/>
    </row>
    <row r="434" spans="13:13" ht="18" customHeight="1">
      <c r="M434" s="14"/>
    </row>
    <row r="435" spans="13:13" ht="18" customHeight="1">
      <c r="M435" s="14"/>
    </row>
    <row r="436" spans="13:13" ht="18" customHeight="1">
      <c r="M436" s="14"/>
    </row>
    <row r="437" spans="13:13" ht="18" customHeight="1">
      <c r="M437" s="14"/>
    </row>
    <row r="438" spans="13:13" ht="18" customHeight="1">
      <c r="M438" s="14"/>
    </row>
    <row r="439" spans="13:13" ht="18" customHeight="1">
      <c r="M439" s="14"/>
    </row>
    <row r="440" spans="13:13" ht="18" customHeight="1">
      <c r="M440" s="14"/>
    </row>
    <row r="441" spans="13:13" ht="18" customHeight="1">
      <c r="M441" s="14"/>
    </row>
    <row r="442" spans="13:13" ht="18" customHeight="1">
      <c r="M442" s="14"/>
    </row>
    <row r="443" spans="13:13" ht="18" customHeight="1">
      <c r="M443" s="14"/>
    </row>
    <row r="444" spans="13:13" ht="18" customHeight="1">
      <c r="M444" s="14"/>
    </row>
    <row r="445" spans="13:13" ht="18" customHeight="1">
      <c r="M445" s="14"/>
    </row>
    <row r="446" spans="13:13" ht="18" customHeight="1">
      <c r="M446" s="14"/>
    </row>
    <row r="447" spans="13:13" ht="18" customHeight="1">
      <c r="M447" s="14"/>
    </row>
    <row r="448" spans="13:13" ht="18" customHeight="1">
      <c r="M448" s="14"/>
    </row>
    <row r="449" spans="13:13" ht="18" customHeight="1">
      <c r="M449" s="14"/>
    </row>
    <row r="450" spans="13:13" ht="18" customHeight="1">
      <c r="M450" s="14"/>
    </row>
    <row r="451" spans="13:13" ht="18" customHeight="1">
      <c r="M451" s="14"/>
    </row>
    <row r="452" spans="13:13" ht="18" customHeight="1">
      <c r="M452" s="14"/>
    </row>
    <row r="453" spans="13:13" ht="18" customHeight="1">
      <c r="M453" s="14"/>
    </row>
    <row r="454" spans="13:13" ht="18" customHeight="1">
      <c r="M454" s="14"/>
    </row>
    <row r="455" spans="13:13" ht="18" customHeight="1">
      <c r="M455" s="14"/>
    </row>
    <row r="456" spans="13:13" ht="18" customHeight="1">
      <c r="M456" s="14"/>
    </row>
    <row r="457" spans="13:13" ht="18" customHeight="1">
      <c r="M457" s="14"/>
    </row>
    <row r="458" spans="13:13" ht="18" customHeight="1">
      <c r="M458" s="14"/>
    </row>
    <row r="459" spans="13:13" ht="18" customHeight="1">
      <c r="M459" s="14"/>
    </row>
    <row r="460" spans="13:13" ht="18" customHeight="1">
      <c r="M460" s="14"/>
    </row>
    <row r="461" spans="13:13" ht="18" customHeight="1">
      <c r="M461" s="14"/>
    </row>
    <row r="462" spans="13:13" ht="18" customHeight="1">
      <c r="M462" s="14"/>
    </row>
    <row r="463" spans="13:13" ht="18" customHeight="1">
      <c r="M463" s="14"/>
    </row>
    <row r="464" spans="13:13" ht="18" customHeight="1">
      <c r="M464" s="14"/>
    </row>
    <row r="465" spans="13:13" ht="18" customHeight="1">
      <c r="M465" s="14"/>
    </row>
    <row r="466" spans="13:13" ht="18" customHeight="1">
      <c r="M466" s="14"/>
    </row>
    <row r="467" spans="13:13" ht="18" customHeight="1">
      <c r="M467" s="14"/>
    </row>
    <row r="468" spans="13:13" ht="18" customHeight="1">
      <c r="M468" s="14"/>
    </row>
    <row r="469" spans="13:13" ht="18" customHeight="1">
      <c r="M469" s="14"/>
    </row>
    <row r="470" spans="13:13" ht="18" customHeight="1">
      <c r="M470" s="14"/>
    </row>
    <row r="471" spans="13:13" ht="18" customHeight="1">
      <c r="M471" s="14"/>
    </row>
    <row r="472" spans="13:13" ht="18" customHeight="1">
      <c r="M472" s="14"/>
    </row>
    <row r="473" spans="13:13" ht="18" customHeight="1">
      <c r="M473" s="14"/>
    </row>
    <row r="474" spans="13:13" ht="18" customHeight="1">
      <c r="M474" s="14"/>
    </row>
    <row r="475" spans="13:13" ht="18" customHeight="1">
      <c r="M475" s="14"/>
    </row>
    <row r="476" spans="13:13" ht="18" customHeight="1">
      <c r="M476" s="14"/>
    </row>
    <row r="477" spans="13:13" ht="18" customHeight="1">
      <c r="M477" s="14"/>
    </row>
    <row r="478" spans="13:13" ht="18" customHeight="1">
      <c r="M478" s="14"/>
    </row>
    <row r="479" spans="13:13" ht="18" customHeight="1">
      <c r="M479" s="14"/>
    </row>
    <row r="480" spans="13:13" ht="18" customHeight="1">
      <c r="M480" s="14"/>
    </row>
    <row r="481" spans="13:13" ht="18" customHeight="1">
      <c r="M481" s="14"/>
    </row>
    <row r="482" spans="13:13" ht="18" customHeight="1">
      <c r="M482" s="14"/>
    </row>
    <row r="483" spans="13:13" ht="18" customHeight="1">
      <c r="M483" s="14"/>
    </row>
    <row r="484" spans="13:13" ht="18" customHeight="1">
      <c r="M484" s="14"/>
    </row>
    <row r="485" spans="13:13" ht="18" customHeight="1">
      <c r="M485" s="14"/>
    </row>
    <row r="486" spans="13:13" ht="18" customHeight="1">
      <c r="M486" s="14"/>
    </row>
    <row r="487" spans="13:13" ht="18" customHeight="1">
      <c r="M487" s="14"/>
    </row>
    <row r="488" spans="13:13" ht="18" customHeight="1">
      <c r="M488" s="14"/>
    </row>
    <row r="489" spans="13:13" ht="18" customHeight="1">
      <c r="M489" s="14"/>
    </row>
    <row r="490" spans="13:13" ht="18" customHeight="1">
      <c r="M490" s="14"/>
    </row>
    <row r="491" spans="13:13" ht="18" customHeight="1">
      <c r="M491" s="14"/>
    </row>
    <row r="492" spans="13:13" ht="18" customHeight="1">
      <c r="M492" s="14"/>
    </row>
    <row r="493" spans="13:13" ht="18" customHeight="1">
      <c r="M493" s="14"/>
    </row>
    <row r="494" spans="13:13" ht="18" customHeight="1">
      <c r="M494" s="14"/>
    </row>
    <row r="495" spans="13:13" ht="18" customHeight="1">
      <c r="M495" s="14"/>
    </row>
    <row r="496" spans="13:13" ht="18" customHeight="1">
      <c r="M496" s="14"/>
    </row>
    <row r="497" spans="13:13" ht="18" customHeight="1">
      <c r="M497" s="14"/>
    </row>
    <row r="498" spans="13:13" ht="18" customHeight="1">
      <c r="M498" s="14"/>
    </row>
    <row r="499" spans="13:13" ht="18" customHeight="1">
      <c r="M499" s="14"/>
    </row>
    <row r="500" spans="13:13" ht="18" customHeight="1">
      <c r="M500" s="14"/>
    </row>
    <row r="501" spans="13:13" ht="18" customHeight="1">
      <c r="M501" s="14"/>
    </row>
    <row r="502" spans="13:13" ht="18" customHeight="1">
      <c r="M502" s="14"/>
    </row>
    <row r="503" spans="13:13" ht="18" customHeight="1">
      <c r="M503" s="14"/>
    </row>
    <row r="504" spans="13:13" ht="18" customHeight="1">
      <c r="M504" s="14"/>
    </row>
    <row r="505" spans="13:13" ht="18" customHeight="1">
      <c r="M505" s="14"/>
    </row>
    <row r="506" spans="13:13" ht="18" customHeight="1">
      <c r="M506" s="14"/>
    </row>
    <row r="507" spans="13:13" ht="18" customHeight="1">
      <c r="M507" s="14"/>
    </row>
    <row r="508" spans="13:13" ht="18" customHeight="1">
      <c r="M508" s="14"/>
    </row>
    <row r="509" spans="13:13" ht="18" customHeight="1">
      <c r="M509" s="14"/>
    </row>
    <row r="510" spans="13:13" ht="18" customHeight="1">
      <c r="M510" s="14"/>
    </row>
    <row r="511" spans="13:13" ht="18" customHeight="1">
      <c r="M511" s="14"/>
    </row>
    <row r="512" spans="13:13" ht="18" customHeight="1">
      <c r="M512" s="14"/>
    </row>
    <row r="513" spans="13:13" ht="18" customHeight="1">
      <c r="M513" s="14"/>
    </row>
    <row r="514" spans="13:13" ht="18" customHeight="1">
      <c r="M514" s="14"/>
    </row>
    <row r="515" spans="13:13" ht="18" customHeight="1">
      <c r="M515" s="14"/>
    </row>
    <row r="516" spans="13:13" ht="18" customHeight="1">
      <c r="M516" s="14"/>
    </row>
    <row r="517" spans="13:13" ht="18" customHeight="1">
      <c r="M517" s="14"/>
    </row>
    <row r="518" spans="13:13" ht="18" customHeight="1">
      <c r="M518" s="14"/>
    </row>
    <row r="519" spans="13:13" ht="18" customHeight="1">
      <c r="M519" s="14"/>
    </row>
    <row r="520" spans="13:13" ht="18" customHeight="1">
      <c r="M520" s="14"/>
    </row>
    <row r="521" spans="13:13" ht="18" customHeight="1">
      <c r="M521" s="14"/>
    </row>
    <row r="522" spans="13:13" ht="18" customHeight="1">
      <c r="M522" s="14"/>
    </row>
    <row r="523" spans="13:13" ht="18" customHeight="1">
      <c r="M523" s="14"/>
    </row>
    <row r="524" spans="13:13" ht="18" customHeight="1">
      <c r="M524" s="14"/>
    </row>
    <row r="525" spans="13:13" ht="18" customHeight="1">
      <c r="M525" s="14"/>
    </row>
    <row r="526" spans="13:13" ht="18" customHeight="1">
      <c r="M526" s="14"/>
    </row>
    <row r="527" spans="13:13" ht="18" customHeight="1">
      <c r="M527" s="14"/>
    </row>
    <row r="528" spans="13:13" ht="18" customHeight="1">
      <c r="M528" s="14"/>
    </row>
    <row r="529" spans="13:13" ht="18" customHeight="1">
      <c r="M529" s="14"/>
    </row>
    <row r="530" spans="13:13" ht="18" customHeight="1">
      <c r="M530" s="14"/>
    </row>
    <row r="531" spans="13:13" ht="18" customHeight="1">
      <c r="M531" s="14"/>
    </row>
    <row r="532" spans="13:13" ht="18" customHeight="1">
      <c r="M532" s="14"/>
    </row>
    <row r="533" spans="13:13" ht="18" customHeight="1">
      <c r="M533" s="14"/>
    </row>
    <row r="534" spans="13:13" ht="18" customHeight="1">
      <c r="M534" s="14"/>
    </row>
    <row r="535" spans="13:13" ht="18" customHeight="1">
      <c r="M535" s="14"/>
    </row>
    <row r="536" spans="13:13" ht="18" customHeight="1">
      <c r="M536" s="14"/>
    </row>
    <row r="537" spans="13:13" ht="18" customHeight="1">
      <c r="M537" s="14"/>
    </row>
    <row r="538" spans="13:13" ht="18" customHeight="1">
      <c r="M538" s="14"/>
    </row>
    <row r="539" spans="13:13" ht="18" customHeight="1">
      <c r="M539" s="14"/>
    </row>
    <row r="540" spans="13:13" ht="18" customHeight="1">
      <c r="M540" s="14"/>
    </row>
    <row r="541" spans="13:13" ht="18" customHeight="1">
      <c r="M541" s="14"/>
    </row>
    <row r="542" spans="13:13" ht="18" customHeight="1">
      <c r="M542" s="14"/>
    </row>
    <row r="543" spans="13:13" ht="18" customHeight="1">
      <c r="M543" s="14"/>
    </row>
    <row r="544" spans="13:13" ht="18" customHeight="1">
      <c r="M544" s="14"/>
    </row>
    <row r="545" spans="13:13" ht="18" customHeight="1">
      <c r="M545" s="14"/>
    </row>
    <row r="546" spans="13:13" ht="18" customHeight="1">
      <c r="M546" s="14"/>
    </row>
    <row r="547" spans="13:13" ht="18" customHeight="1">
      <c r="M547" s="14"/>
    </row>
    <row r="548" spans="13:13" ht="18" customHeight="1">
      <c r="M548" s="14"/>
    </row>
    <row r="549" spans="13:13" ht="18" customHeight="1">
      <c r="M549" s="14"/>
    </row>
    <row r="550" spans="13:13" ht="18" customHeight="1">
      <c r="M550" s="14"/>
    </row>
    <row r="551" spans="13:13" ht="18" customHeight="1">
      <c r="M551" s="14"/>
    </row>
    <row r="552" spans="13:13" ht="18" customHeight="1">
      <c r="M552" s="14"/>
    </row>
    <row r="553" spans="13:13" ht="18" customHeight="1">
      <c r="M553" s="14"/>
    </row>
    <row r="554" spans="13:13" ht="18" customHeight="1">
      <c r="M554" s="14"/>
    </row>
    <row r="555" spans="13:13" ht="18" customHeight="1">
      <c r="M555" s="14"/>
    </row>
    <row r="556" spans="13:13" ht="18" customHeight="1">
      <c r="M556" s="14"/>
    </row>
    <row r="557" spans="13:13" ht="18" customHeight="1">
      <c r="M557" s="14"/>
    </row>
    <row r="558" spans="13:13" ht="18" customHeight="1">
      <c r="M558" s="14"/>
    </row>
    <row r="559" spans="13:13" ht="18" customHeight="1">
      <c r="M559" s="14"/>
    </row>
    <row r="560" spans="13:13" ht="18" customHeight="1">
      <c r="M560" s="14"/>
    </row>
    <row r="561" spans="13:13" ht="18" customHeight="1">
      <c r="M561" s="14"/>
    </row>
    <row r="562" spans="13:13" ht="18" customHeight="1">
      <c r="M562" s="14"/>
    </row>
    <row r="563" spans="13:13" ht="18" customHeight="1">
      <c r="M563" s="14"/>
    </row>
    <row r="564" spans="13:13" ht="18" customHeight="1">
      <c r="M564" s="14"/>
    </row>
    <row r="565" spans="13:13" ht="18" customHeight="1">
      <c r="M565" s="14"/>
    </row>
    <row r="566" spans="13:13" ht="18" customHeight="1">
      <c r="M566" s="14"/>
    </row>
    <row r="567" spans="13:13" ht="18" customHeight="1">
      <c r="M567" s="14"/>
    </row>
    <row r="568" spans="13:13" ht="18" customHeight="1">
      <c r="M568" s="14"/>
    </row>
    <row r="569" spans="13:13" ht="18" customHeight="1">
      <c r="M569" s="14"/>
    </row>
    <row r="570" spans="13:13" ht="18" customHeight="1">
      <c r="M570" s="14"/>
    </row>
    <row r="571" spans="13:13" ht="18" customHeight="1">
      <c r="M571" s="14"/>
    </row>
    <row r="572" spans="13:13" ht="18" customHeight="1">
      <c r="M572" s="14"/>
    </row>
    <row r="573" spans="13:13" ht="18" customHeight="1">
      <c r="M573" s="14"/>
    </row>
    <row r="574" spans="13:13" ht="18" customHeight="1">
      <c r="M574" s="14"/>
    </row>
    <row r="575" spans="13:13" ht="18" customHeight="1">
      <c r="M575" s="14"/>
    </row>
    <row r="576" spans="13:13" ht="18" customHeight="1">
      <c r="M576" s="14"/>
    </row>
    <row r="577" spans="13:13" ht="18" customHeight="1">
      <c r="M577" s="14"/>
    </row>
    <row r="578" spans="13:13" ht="18" customHeight="1">
      <c r="M578" s="14"/>
    </row>
    <row r="579" spans="13:13" ht="18" customHeight="1">
      <c r="M579" s="14"/>
    </row>
    <row r="580" spans="13:13" ht="18" customHeight="1">
      <c r="M580" s="14"/>
    </row>
    <row r="581" spans="13:13" ht="18" customHeight="1">
      <c r="M581" s="14"/>
    </row>
    <row r="582" spans="13:13" ht="18" customHeight="1">
      <c r="M582" s="14"/>
    </row>
    <row r="583" spans="13:13" ht="18" customHeight="1">
      <c r="M583" s="14"/>
    </row>
    <row r="584" spans="13:13" ht="18" customHeight="1">
      <c r="M584" s="14"/>
    </row>
    <row r="585" spans="13:13" ht="18" customHeight="1">
      <c r="M585" s="14"/>
    </row>
    <row r="586" spans="13:13" ht="18" customHeight="1">
      <c r="M586" s="14"/>
    </row>
    <row r="587" spans="13:13" ht="18" customHeight="1">
      <c r="M587" s="14"/>
    </row>
    <row r="588" spans="13:13" ht="18" customHeight="1">
      <c r="M588" s="14"/>
    </row>
    <row r="589" spans="13:13" ht="18" customHeight="1">
      <c r="M589" s="14"/>
    </row>
    <row r="590" spans="13:13" ht="18" customHeight="1">
      <c r="M590" s="14"/>
    </row>
    <row r="591" spans="13:13" ht="18" customHeight="1">
      <c r="M591" s="14"/>
    </row>
    <row r="592" spans="13:13" ht="18" customHeight="1">
      <c r="M592" s="14"/>
    </row>
    <row r="593" spans="13:13" ht="18" customHeight="1">
      <c r="M593" s="14"/>
    </row>
    <row r="594" spans="13:13" ht="18" customHeight="1">
      <c r="M594" s="14"/>
    </row>
    <row r="595" spans="13:13" ht="18" customHeight="1">
      <c r="M595" s="14"/>
    </row>
    <row r="596" spans="13:13" ht="18" customHeight="1">
      <c r="M596" s="14"/>
    </row>
    <row r="597" spans="13:13" ht="18" customHeight="1">
      <c r="M597" s="14"/>
    </row>
    <row r="598" spans="13:13" ht="18" customHeight="1">
      <c r="M598" s="14"/>
    </row>
    <row r="599" spans="13:13" ht="18" customHeight="1">
      <c r="M599" s="14"/>
    </row>
    <row r="600" spans="13:13" ht="18" customHeight="1">
      <c r="M600" s="14"/>
    </row>
    <row r="601" spans="13:13" ht="18" customHeight="1">
      <c r="M601" s="14"/>
    </row>
    <row r="602" spans="13:13" ht="18" customHeight="1">
      <c r="M602" s="14"/>
    </row>
    <row r="603" spans="13:13" ht="18" customHeight="1">
      <c r="M603" s="14"/>
    </row>
    <row r="604" spans="13:13" ht="18" customHeight="1">
      <c r="M604" s="14"/>
    </row>
    <row r="605" spans="13:13" ht="18" customHeight="1">
      <c r="M605" s="14"/>
    </row>
    <row r="606" spans="13:13" ht="18" customHeight="1">
      <c r="M606" s="14"/>
    </row>
    <row r="607" spans="13:13" ht="18" customHeight="1">
      <c r="M607" s="14"/>
    </row>
    <row r="608" spans="13:13" ht="18" customHeight="1">
      <c r="M608" s="14"/>
    </row>
    <row r="609" spans="13:13" ht="18" customHeight="1">
      <c r="M609" s="14"/>
    </row>
    <row r="610" spans="13:13" ht="18" customHeight="1">
      <c r="M610" s="14"/>
    </row>
    <row r="611" spans="13:13" ht="18" customHeight="1">
      <c r="M611" s="14"/>
    </row>
    <row r="612" spans="13:13" ht="18" customHeight="1">
      <c r="M612" s="14"/>
    </row>
    <row r="613" spans="13:13" ht="18" customHeight="1">
      <c r="M613" s="14"/>
    </row>
    <row r="614" spans="13:13" ht="18" customHeight="1">
      <c r="M614" s="14"/>
    </row>
    <row r="615" spans="13:13" ht="18" customHeight="1">
      <c r="M615" s="14"/>
    </row>
    <row r="616" spans="13:13" ht="18" customHeight="1">
      <c r="M616" s="14"/>
    </row>
    <row r="617" spans="13:13" ht="18" customHeight="1">
      <c r="M617" s="14"/>
    </row>
    <row r="618" spans="13:13" ht="18" customHeight="1">
      <c r="M618" s="14"/>
    </row>
    <row r="619" spans="13:13" ht="18" customHeight="1">
      <c r="M619" s="14"/>
    </row>
    <row r="620" spans="13:13" ht="18" customHeight="1">
      <c r="M620" s="14"/>
    </row>
    <row r="621" spans="13:13" ht="18" customHeight="1">
      <c r="M621" s="14"/>
    </row>
    <row r="622" spans="13:13" ht="18" customHeight="1">
      <c r="M622" s="14"/>
    </row>
    <row r="623" spans="13:13" ht="18" customHeight="1">
      <c r="M623" s="14"/>
    </row>
    <row r="624" spans="13:13" ht="18" customHeight="1">
      <c r="M624" s="14"/>
    </row>
    <row r="625" spans="13:13" ht="18" customHeight="1">
      <c r="M625" s="14"/>
    </row>
    <row r="626" spans="13:13" ht="18" customHeight="1">
      <c r="M626" s="14"/>
    </row>
    <row r="627" spans="13:13" ht="18" customHeight="1">
      <c r="M627" s="14"/>
    </row>
    <row r="628" spans="13:13" ht="18" customHeight="1">
      <c r="M628" s="14"/>
    </row>
    <row r="629" spans="13:13" ht="18" customHeight="1">
      <c r="M629" s="14"/>
    </row>
    <row r="630" spans="13:13" ht="18" customHeight="1">
      <c r="M630" s="14"/>
    </row>
    <row r="631" spans="13:13" ht="18" customHeight="1">
      <c r="M631" s="14"/>
    </row>
    <row r="632" spans="13:13" ht="18" customHeight="1">
      <c r="M632" s="14"/>
    </row>
    <row r="633" spans="13:13" ht="18" customHeight="1">
      <c r="M633" s="14"/>
    </row>
    <row r="634" spans="13:13" ht="18" customHeight="1">
      <c r="M634" s="14"/>
    </row>
    <row r="635" spans="13:13" ht="18" customHeight="1">
      <c r="M635" s="14"/>
    </row>
    <row r="636" spans="13:13" ht="18" customHeight="1">
      <c r="M636" s="14"/>
    </row>
    <row r="637" spans="13:13" ht="18" customHeight="1">
      <c r="M637" s="14"/>
    </row>
    <row r="638" spans="13:13" ht="18" customHeight="1">
      <c r="M638" s="14"/>
    </row>
    <row r="639" spans="13:13" ht="18" customHeight="1">
      <c r="M639" s="14"/>
    </row>
    <row r="640" spans="13:13" ht="18" customHeight="1">
      <c r="M640" s="14"/>
    </row>
    <row r="641" spans="13:13" ht="18" customHeight="1">
      <c r="M641" s="14"/>
    </row>
    <row r="642" spans="13:13" ht="18" customHeight="1">
      <c r="M642" s="14"/>
    </row>
    <row r="643" spans="13:13" ht="18" customHeight="1">
      <c r="M643" s="14"/>
    </row>
    <row r="644" spans="13:13" ht="18" customHeight="1">
      <c r="M644" s="14"/>
    </row>
    <row r="645" spans="13:13" ht="18" customHeight="1">
      <c r="M645" s="14"/>
    </row>
    <row r="646" spans="13:13" ht="18" customHeight="1">
      <c r="M646" s="14"/>
    </row>
    <row r="647" spans="13:13" ht="18" customHeight="1">
      <c r="M647" s="14"/>
    </row>
    <row r="648" spans="13:13" ht="18" customHeight="1">
      <c r="M648" s="14"/>
    </row>
    <row r="649" spans="13:13" ht="18" customHeight="1">
      <c r="M649" s="14"/>
    </row>
    <row r="650" spans="13:13" ht="18" customHeight="1">
      <c r="M650" s="14"/>
    </row>
    <row r="651" spans="13:13" ht="18" customHeight="1">
      <c r="M651" s="14"/>
    </row>
    <row r="652" spans="13:13" ht="18" customHeight="1">
      <c r="M652" s="14"/>
    </row>
    <row r="653" spans="13:13" ht="18" customHeight="1">
      <c r="M653" s="14"/>
    </row>
    <row r="654" spans="13:13" ht="18" customHeight="1">
      <c r="M654" s="14"/>
    </row>
    <row r="655" spans="13:13" ht="18" customHeight="1">
      <c r="M655" s="14"/>
    </row>
    <row r="656" spans="13:13" ht="18" customHeight="1">
      <c r="M656" s="14"/>
    </row>
    <row r="657" spans="13:13" ht="18" customHeight="1">
      <c r="M657" s="14"/>
    </row>
    <row r="658" spans="13:13" ht="18" customHeight="1">
      <c r="M658" s="14"/>
    </row>
    <row r="659" spans="13:13" ht="18" customHeight="1">
      <c r="M659" s="14"/>
    </row>
    <row r="660" spans="13:13" ht="18" customHeight="1">
      <c r="M660" s="14"/>
    </row>
    <row r="661" spans="13:13" ht="18" customHeight="1">
      <c r="M661" s="14"/>
    </row>
    <row r="662" spans="13:13" ht="18" customHeight="1">
      <c r="M662" s="14"/>
    </row>
    <row r="663" spans="13:13" ht="18" customHeight="1">
      <c r="M663" s="14"/>
    </row>
    <row r="664" spans="13:13" ht="18" customHeight="1">
      <c r="M664" s="14"/>
    </row>
    <row r="665" spans="13:13" ht="18" customHeight="1">
      <c r="M665" s="14"/>
    </row>
    <row r="666" spans="13:13" ht="18" customHeight="1">
      <c r="M666" s="14"/>
    </row>
    <row r="667" spans="13:13" ht="18" customHeight="1">
      <c r="M667" s="14"/>
    </row>
    <row r="668" spans="13:13" ht="18" customHeight="1">
      <c r="M668" s="14"/>
    </row>
    <row r="669" spans="13:13" ht="18" customHeight="1">
      <c r="M669" s="14"/>
    </row>
    <row r="670" spans="13:13" ht="18" customHeight="1">
      <c r="M670" s="14"/>
    </row>
    <row r="671" spans="13:13" ht="18" customHeight="1">
      <c r="M671" s="14"/>
    </row>
    <row r="672" spans="13:13" ht="18" customHeight="1">
      <c r="M672" s="14"/>
    </row>
    <row r="673" spans="13:13" ht="18" customHeight="1">
      <c r="M673" s="14"/>
    </row>
    <row r="674" spans="13:13" ht="18" customHeight="1">
      <c r="M674" s="14"/>
    </row>
    <row r="675" spans="13:13" ht="18" customHeight="1">
      <c r="M675" s="14"/>
    </row>
    <row r="676" spans="13:13" ht="18" customHeight="1">
      <c r="M676" s="14"/>
    </row>
    <row r="677" spans="13:13" ht="18" customHeight="1">
      <c r="M677" s="14"/>
    </row>
    <row r="678" spans="13:13" ht="18" customHeight="1">
      <c r="M678" s="14"/>
    </row>
    <row r="679" spans="13:13" ht="18" customHeight="1">
      <c r="M679" s="14"/>
    </row>
    <row r="680" spans="13:13" ht="18" customHeight="1">
      <c r="M680" s="14"/>
    </row>
    <row r="681" spans="13:13" ht="18" customHeight="1">
      <c r="M681" s="14"/>
    </row>
    <row r="682" spans="13:13" ht="18" customHeight="1">
      <c r="M682" s="14"/>
    </row>
    <row r="683" spans="13:13" ht="18" customHeight="1">
      <c r="M683" s="14"/>
    </row>
    <row r="684" spans="13:13" ht="18" customHeight="1">
      <c r="M684" s="14"/>
    </row>
    <row r="685" spans="13:13" ht="18" customHeight="1">
      <c r="M685" s="14"/>
    </row>
    <row r="686" spans="13:13" ht="18" customHeight="1">
      <c r="M686" s="14"/>
    </row>
    <row r="687" spans="13:13" ht="18" customHeight="1">
      <c r="M687" s="14"/>
    </row>
    <row r="688" spans="13:13" ht="18" customHeight="1">
      <c r="M688" s="14"/>
    </row>
    <row r="689" spans="13:13" ht="18" customHeight="1">
      <c r="M689" s="14"/>
    </row>
    <row r="690" spans="13:13" ht="18" customHeight="1">
      <c r="M690" s="14"/>
    </row>
    <row r="691" spans="13:13" ht="18" customHeight="1">
      <c r="M691" s="14"/>
    </row>
    <row r="692" spans="13:13" ht="18" customHeight="1">
      <c r="M692" s="14"/>
    </row>
    <row r="693" spans="13:13" ht="18" customHeight="1">
      <c r="M693" s="14"/>
    </row>
    <row r="694" spans="13:13" ht="18" customHeight="1">
      <c r="M694" s="14"/>
    </row>
    <row r="695" spans="13:13" ht="18" customHeight="1">
      <c r="M695" s="14"/>
    </row>
    <row r="696" spans="13:13" ht="18" customHeight="1">
      <c r="M696" s="14"/>
    </row>
    <row r="697" spans="13:13" ht="18" customHeight="1">
      <c r="M697" s="14"/>
    </row>
    <row r="698" spans="13:13" ht="18" customHeight="1">
      <c r="M698" s="14"/>
    </row>
    <row r="699" spans="13:13" ht="18" customHeight="1">
      <c r="M699" s="14"/>
    </row>
    <row r="700" spans="13:13" ht="18" customHeight="1">
      <c r="M700" s="14"/>
    </row>
    <row r="701" spans="13:13" ht="18" customHeight="1">
      <c r="M701" s="14"/>
    </row>
    <row r="702" spans="13:13" ht="18" customHeight="1">
      <c r="M702" s="14"/>
    </row>
    <row r="703" spans="13:13" ht="18" customHeight="1">
      <c r="M703" s="14"/>
    </row>
    <row r="704" spans="13:13" ht="18" customHeight="1">
      <c r="M704" s="14"/>
    </row>
    <row r="705" spans="13:13" ht="18" customHeight="1">
      <c r="M705" s="14"/>
    </row>
    <row r="706" spans="13:13" ht="18" customHeight="1">
      <c r="M706" s="14"/>
    </row>
    <row r="707" spans="13:13" ht="18" customHeight="1">
      <c r="M707" s="14"/>
    </row>
    <row r="708" spans="13:13" ht="18" customHeight="1">
      <c r="M708" s="14"/>
    </row>
    <row r="709" spans="13:13" ht="18" customHeight="1">
      <c r="M709" s="14"/>
    </row>
    <row r="710" spans="13:13" ht="18" customHeight="1">
      <c r="M710" s="14"/>
    </row>
    <row r="711" spans="13:13" ht="18" customHeight="1">
      <c r="M711" s="14"/>
    </row>
    <row r="712" spans="13:13" ht="18" customHeight="1">
      <c r="M712" s="14"/>
    </row>
    <row r="713" spans="13:13" ht="18" customHeight="1">
      <c r="M713" s="14"/>
    </row>
    <row r="714" spans="13:13" ht="18" customHeight="1">
      <c r="M714" s="14"/>
    </row>
    <row r="715" spans="13:13" ht="18" customHeight="1">
      <c r="M715" s="14"/>
    </row>
    <row r="716" spans="13:13" ht="18" customHeight="1">
      <c r="M716" s="14"/>
    </row>
    <row r="717" spans="13:13" ht="18" customHeight="1">
      <c r="M717" s="14"/>
    </row>
    <row r="718" spans="13:13" ht="18" customHeight="1">
      <c r="M718" s="14"/>
    </row>
    <row r="719" spans="13:13" ht="18" customHeight="1">
      <c r="M719" s="14"/>
    </row>
    <row r="720" spans="13:13" ht="18" customHeight="1">
      <c r="M720" s="14"/>
    </row>
    <row r="721" spans="13:13" ht="18" customHeight="1">
      <c r="M721" s="14"/>
    </row>
    <row r="722" spans="13:13" ht="18" customHeight="1">
      <c r="M722" s="14"/>
    </row>
    <row r="723" spans="13:13" ht="18" customHeight="1">
      <c r="M723" s="14"/>
    </row>
    <row r="724" spans="13:13" ht="18" customHeight="1">
      <c r="M724" s="14"/>
    </row>
    <row r="725" spans="13:13" ht="18" customHeight="1">
      <c r="M725" s="14"/>
    </row>
    <row r="726" spans="13:13" ht="18" customHeight="1">
      <c r="M726" s="14"/>
    </row>
    <row r="727" spans="13:13" ht="18" customHeight="1">
      <c r="M727" s="14"/>
    </row>
    <row r="728" spans="13:13" ht="18" customHeight="1">
      <c r="M728" s="14"/>
    </row>
    <row r="729" spans="13:13" ht="18" customHeight="1">
      <c r="M729" s="14"/>
    </row>
    <row r="730" spans="13:13" ht="18" customHeight="1">
      <c r="M730" s="14"/>
    </row>
    <row r="731" spans="13:13" ht="18" customHeight="1">
      <c r="M731" s="14"/>
    </row>
    <row r="732" spans="13:13" ht="18" customHeight="1">
      <c r="M732" s="14"/>
    </row>
    <row r="733" spans="13:13" ht="18" customHeight="1">
      <c r="M733" s="14"/>
    </row>
    <row r="734" spans="13:13" ht="18" customHeight="1">
      <c r="M734" s="14"/>
    </row>
    <row r="735" spans="13:13" ht="18" customHeight="1">
      <c r="M735" s="14"/>
    </row>
    <row r="736" spans="13:13" ht="18" customHeight="1">
      <c r="M736" s="14"/>
    </row>
    <row r="737" spans="13:13" ht="18" customHeight="1">
      <c r="M737" s="14"/>
    </row>
    <row r="738" spans="13:13" ht="18" customHeight="1">
      <c r="M738" s="14"/>
    </row>
    <row r="739" spans="13:13" ht="18" customHeight="1">
      <c r="M739" s="14"/>
    </row>
    <row r="740" spans="13:13" ht="18" customHeight="1">
      <c r="M740" s="14"/>
    </row>
    <row r="741" spans="13:13" ht="18" customHeight="1">
      <c r="M741" s="14"/>
    </row>
    <row r="742" spans="13:13" ht="18" customHeight="1">
      <c r="M742" s="14"/>
    </row>
    <row r="743" spans="13:13" ht="18" customHeight="1">
      <c r="M743" s="14"/>
    </row>
    <row r="744" spans="13:13" ht="18" customHeight="1">
      <c r="M744" s="14"/>
    </row>
    <row r="745" spans="13:13" ht="18" customHeight="1">
      <c r="M745" s="14"/>
    </row>
    <row r="746" spans="13:13" ht="18" customHeight="1">
      <c r="M746" s="14"/>
    </row>
    <row r="747" spans="13:13" ht="18" customHeight="1">
      <c r="M747" s="14"/>
    </row>
    <row r="748" spans="13:13" ht="18" customHeight="1">
      <c r="M748" s="14"/>
    </row>
    <row r="749" spans="13:13" ht="18" customHeight="1">
      <c r="M749" s="14"/>
    </row>
    <row r="750" spans="13:13" ht="18" customHeight="1">
      <c r="M750" s="14"/>
    </row>
    <row r="751" spans="13:13" ht="18" customHeight="1">
      <c r="M751" s="14"/>
    </row>
    <row r="752" spans="13:13" ht="18" customHeight="1">
      <c r="M752" s="14"/>
    </row>
    <row r="753" spans="13:13" ht="18" customHeight="1">
      <c r="M753" s="14"/>
    </row>
    <row r="754" spans="13:13" ht="18" customHeight="1">
      <c r="M754" s="14"/>
    </row>
    <row r="755" spans="13:13" ht="18" customHeight="1">
      <c r="M755" s="14"/>
    </row>
    <row r="756" spans="13:13" ht="18" customHeight="1">
      <c r="M756" s="14"/>
    </row>
    <row r="757" spans="13:13" ht="18" customHeight="1">
      <c r="M757" s="14"/>
    </row>
    <row r="758" spans="13:13" ht="18" customHeight="1">
      <c r="M758" s="14"/>
    </row>
    <row r="759" spans="13:13" ht="18" customHeight="1">
      <c r="M759" s="14"/>
    </row>
    <row r="760" spans="13:13" ht="18" customHeight="1">
      <c r="M760" s="14"/>
    </row>
    <row r="761" spans="13:13" ht="18" customHeight="1">
      <c r="M761" s="14"/>
    </row>
    <row r="762" spans="13:13" ht="18" customHeight="1">
      <c r="M762" s="14"/>
    </row>
    <row r="763" spans="13:13" ht="18" customHeight="1">
      <c r="M763" s="14"/>
    </row>
    <row r="764" spans="13:13" ht="18" customHeight="1">
      <c r="M764" s="14"/>
    </row>
    <row r="765" spans="13:13" ht="18" customHeight="1">
      <c r="M765" s="14"/>
    </row>
    <row r="766" spans="13:13" ht="18" customHeight="1">
      <c r="M766" s="14"/>
    </row>
    <row r="767" spans="13:13" ht="18" customHeight="1">
      <c r="M767" s="14"/>
    </row>
    <row r="768" spans="13:13" ht="18" customHeight="1">
      <c r="M768" s="14"/>
    </row>
    <row r="769" spans="13:13" ht="18" customHeight="1">
      <c r="M769" s="14"/>
    </row>
    <row r="770" spans="13:13" ht="18" customHeight="1">
      <c r="M770" s="14"/>
    </row>
    <row r="771" spans="13:13" ht="18" customHeight="1">
      <c r="M771" s="14"/>
    </row>
    <row r="772" spans="13:13" ht="18" customHeight="1">
      <c r="M772" s="14"/>
    </row>
    <row r="773" spans="13:13" ht="18" customHeight="1">
      <c r="M773" s="14"/>
    </row>
    <row r="774" spans="13:13" ht="18" customHeight="1">
      <c r="M774" s="14"/>
    </row>
    <row r="775" spans="13:13" ht="18" customHeight="1">
      <c r="M775" s="14"/>
    </row>
    <row r="776" spans="13:13" ht="18" customHeight="1">
      <c r="M776" s="14"/>
    </row>
    <row r="777" spans="13:13" ht="18" customHeight="1">
      <c r="M777" s="14"/>
    </row>
    <row r="778" spans="13:13" ht="18" customHeight="1">
      <c r="M778" s="14"/>
    </row>
    <row r="779" spans="13:13" ht="18" customHeight="1">
      <c r="M779" s="14"/>
    </row>
    <row r="780" spans="13:13" ht="18" customHeight="1">
      <c r="M780" s="14"/>
    </row>
    <row r="781" spans="13:13" ht="18" customHeight="1">
      <c r="M781" s="14"/>
    </row>
    <row r="782" spans="13:13" ht="18" customHeight="1">
      <c r="M782" s="14"/>
    </row>
    <row r="783" spans="13:13" ht="18" customHeight="1">
      <c r="M783" s="14"/>
    </row>
    <row r="784" spans="13:13" ht="18" customHeight="1">
      <c r="M784" s="14"/>
    </row>
    <row r="785" spans="13:13" ht="18" customHeight="1">
      <c r="M785" s="14"/>
    </row>
    <row r="786" spans="13:13" ht="18" customHeight="1">
      <c r="M786" s="14"/>
    </row>
    <row r="787" spans="13:13" ht="18" customHeight="1">
      <c r="M787" s="14"/>
    </row>
    <row r="788" spans="13:13" ht="18" customHeight="1">
      <c r="M788" s="14"/>
    </row>
    <row r="789" spans="13:13" ht="18" customHeight="1">
      <c r="M789" s="14"/>
    </row>
    <row r="790" spans="13:13" ht="18" customHeight="1">
      <c r="M790" s="14"/>
    </row>
    <row r="791" spans="13:13" ht="18" customHeight="1">
      <c r="M791" s="14"/>
    </row>
    <row r="792" spans="13:13" ht="18" customHeight="1">
      <c r="M792" s="14"/>
    </row>
    <row r="793" spans="13:13" ht="18" customHeight="1">
      <c r="M793" s="14"/>
    </row>
    <row r="794" spans="13:13" ht="18" customHeight="1">
      <c r="M794" s="14"/>
    </row>
    <row r="795" spans="13:13" ht="18" customHeight="1">
      <c r="M795" s="14"/>
    </row>
    <row r="796" spans="13:13" ht="18" customHeight="1">
      <c r="M796" s="14"/>
    </row>
    <row r="797" spans="13:13" ht="18" customHeight="1">
      <c r="M797" s="14"/>
    </row>
    <row r="798" spans="13:13" ht="18" customHeight="1">
      <c r="M798" s="14"/>
    </row>
    <row r="799" spans="13:13" ht="18" customHeight="1">
      <c r="M799" s="14"/>
    </row>
    <row r="800" spans="13:13" ht="18" customHeight="1">
      <c r="M800" s="14"/>
    </row>
    <row r="801" spans="13:13" ht="18" customHeight="1">
      <c r="M801" s="14"/>
    </row>
    <row r="802" spans="13:13" ht="18" customHeight="1">
      <c r="M802" s="14"/>
    </row>
    <row r="803" spans="13:13" ht="18" customHeight="1">
      <c r="M803" s="14"/>
    </row>
    <row r="804" spans="13:13" ht="18" customHeight="1">
      <c r="M804" s="14"/>
    </row>
    <row r="805" spans="13:13" ht="18" customHeight="1">
      <c r="M805" s="14"/>
    </row>
    <row r="806" spans="13:13" ht="18" customHeight="1">
      <c r="M806" s="14"/>
    </row>
    <row r="807" spans="13:13" ht="18" customHeight="1">
      <c r="M807" s="14"/>
    </row>
    <row r="808" spans="13:13" ht="18" customHeight="1">
      <c r="M808" s="14"/>
    </row>
    <row r="809" spans="13:13" ht="18" customHeight="1">
      <c r="M809" s="14"/>
    </row>
    <row r="810" spans="13:13" ht="18" customHeight="1">
      <c r="M810" s="14"/>
    </row>
    <row r="811" spans="13:13" ht="18" customHeight="1">
      <c r="M811" s="14"/>
    </row>
    <row r="812" spans="13:13" ht="18" customHeight="1">
      <c r="M812" s="14"/>
    </row>
    <row r="813" spans="13:13" ht="18" customHeight="1">
      <c r="M813" s="14"/>
    </row>
    <row r="814" spans="13:13" ht="18" customHeight="1">
      <c r="M814" s="14"/>
    </row>
    <row r="815" spans="13:13" ht="18" customHeight="1">
      <c r="M815" s="14"/>
    </row>
    <row r="816" spans="13:13" ht="18" customHeight="1">
      <c r="M816" s="14"/>
    </row>
    <row r="817" spans="13:13" ht="18" customHeight="1">
      <c r="M817" s="14"/>
    </row>
    <row r="818" spans="13:13" ht="18" customHeight="1">
      <c r="M818" s="14"/>
    </row>
    <row r="819" spans="13:13" ht="18" customHeight="1">
      <c r="M819" s="14"/>
    </row>
    <row r="820" spans="13:13" ht="18" customHeight="1">
      <c r="M820" s="14"/>
    </row>
    <row r="821" spans="13:13" ht="18" customHeight="1">
      <c r="M821" s="14"/>
    </row>
    <row r="822" spans="13:13" ht="18" customHeight="1">
      <c r="M822" s="14"/>
    </row>
    <row r="823" spans="13:13" ht="18" customHeight="1">
      <c r="M823" s="14"/>
    </row>
    <row r="824" spans="13:13" ht="18" customHeight="1">
      <c r="M824" s="14"/>
    </row>
    <row r="825" spans="13:13" ht="18" customHeight="1">
      <c r="M825" s="14"/>
    </row>
    <row r="826" spans="13:13" ht="18" customHeight="1">
      <c r="M826" s="14"/>
    </row>
    <row r="827" spans="13:13" ht="18" customHeight="1">
      <c r="M827" s="14"/>
    </row>
    <row r="828" spans="13:13" ht="18" customHeight="1">
      <c r="M828" s="14"/>
    </row>
    <row r="829" spans="13:13" ht="18" customHeight="1">
      <c r="M829" s="14"/>
    </row>
    <row r="830" spans="13:13" ht="18" customHeight="1">
      <c r="M830" s="14"/>
    </row>
    <row r="831" spans="13:13" ht="18" customHeight="1">
      <c r="M831" s="14"/>
    </row>
    <row r="832" spans="13:13" ht="18" customHeight="1">
      <c r="M832" s="14"/>
    </row>
    <row r="833" spans="13:13" ht="18" customHeight="1">
      <c r="M833" s="14"/>
    </row>
    <row r="834" spans="13:13" ht="18" customHeight="1">
      <c r="M834" s="14"/>
    </row>
    <row r="835" spans="13:13" ht="18" customHeight="1">
      <c r="M835" s="14"/>
    </row>
    <row r="836" spans="13:13" ht="18" customHeight="1">
      <c r="M836" s="14"/>
    </row>
    <row r="837" spans="13:13" ht="18" customHeight="1">
      <c r="M837" s="14"/>
    </row>
    <row r="838" spans="13:13" ht="18" customHeight="1">
      <c r="M838" s="14"/>
    </row>
    <row r="839" spans="13:13" ht="18" customHeight="1">
      <c r="M839" s="14"/>
    </row>
    <row r="840" spans="13:13" ht="18" customHeight="1">
      <c r="M840" s="14"/>
    </row>
    <row r="841" spans="13:13" ht="18" customHeight="1">
      <c r="M841" s="14"/>
    </row>
    <row r="842" spans="13:13" ht="18" customHeight="1">
      <c r="M842" s="14"/>
    </row>
    <row r="843" spans="13:13" ht="18" customHeight="1">
      <c r="M843" s="14"/>
    </row>
    <row r="844" spans="13:13" ht="18" customHeight="1">
      <c r="M844" s="14"/>
    </row>
    <row r="845" spans="13:13" ht="18" customHeight="1">
      <c r="M845" s="14"/>
    </row>
    <row r="846" spans="13:13" ht="18" customHeight="1">
      <c r="M846" s="14"/>
    </row>
    <row r="847" spans="13:13" ht="18" customHeight="1">
      <c r="M847" s="14"/>
    </row>
    <row r="848" spans="13:13" ht="18" customHeight="1">
      <c r="M848" s="14"/>
    </row>
    <row r="849" spans="13:13" ht="18" customHeight="1">
      <c r="M849" s="14"/>
    </row>
    <row r="850" spans="13:13" ht="18" customHeight="1">
      <c r="M850" s="14"/>
    </row>
    <row r="851" spans="13:13" ht="18" customHeight="1">
      <c r="M851" s="14"/>
    </row>
    <row r="852" spans="13:13" ht="18" customHeight="1">
      <c r="M852" s="14"/>
    </row>
    <row r="853" spans="13:13" ht="18" customHeight="1">
      <c r="M853" s="14"/>
    </row>
    <row r="854" spans="13:13" ht="18" customHeight="1">
      <c r="M854" s="14"/>
    </row>
    <row r="855" spans="13:13" ht="18" customHeight="1">
      <c r="M855" s="14"/>
    </row>
    <row r="856" spans="13:13" ht="18" customHeight="1">
      <c r="M856" s="14"/>
    </row>
    <row r="857" spans="13:13" ht="18" customHeight="1">
      <c r="M857" s="14"/>
    </row>
    <row r="858" spans="13:13" ht="18" customHeight="1">
      <c r="M858" s="14"/>
    </row>
    <row r="859" spans="13:13" ht="18" customHeight="1">
      <c r="M859" s="14"/>
    </row>
    <row r="860" spans="13:13" ht="18" customHeight="1">
      <c r="M860" s="14"/>
    </row>
    <row r="861" spans="13:13" ht="18" customHeight="1">
      <c r="M861" s="14"/>
    </row>
    <row r="862" spans="13:13" ht="18" customHeight="1">
      <c r="M862" s="14"/>
    </row>
    <row r="863" spans="13:13" ht="18" customHeight="1">
      <c r="M863" s="14"/>
    </row>
    <row r="864" spans="13:13" ht="18" customHeight="1">
      <c r="M864" s="14"/>
    </row>
    <row r="865" spans="13:13" ht="18" customHeight="1">
      <c r="M865" s="14"/>
    </row>
    <row r="866" spans="13:13" ht="18" customHeight="1">
      <c r="M866" s="14"/>
    </row>
    <row r="867" spans="13:13" ht="18" customHeight="1">
      <c r="M867" s="14"/>
    </row>
    <row r="868" spans="13:13" ht="18" customHeight="1">
      <c r="M868" s="14"/>
    </row>
    <row r="869" spans="13:13" ht="18" customHeight="1">
      <c r="M869" s="14"/>
    </row>
    <row r="870" spans="13:13" ht="18" customHeight="1">
      <c r="M870" s="14"/>
    </row>
    <row r="871" spans="13:13" ht="18" customHeight="1">
      <c r="M871" s="14"/>
    </row>
    <row r="872" spans="13:13" ht="18" customHeight="1">
      <c r="M872" s="14"/>
    </row>
    <row r="873" spans="13:13" ht="18" customHeight="1">
      <c r="M873" s="14"/>
    </row>
    <row r="874" spans="13:13" ht="18" customHeight="1">
      <c r="M874" s="14"/>
    </row>
    <row r="875" spans="13:13" ht="18" customHeight="1">
      <c r="M875" s="14"/>
    </row>
    <row r="876" spans="13:13" ht="18" customHeight="1">
      <c r="M876" s="14"/>
    </row>
    <row r="877" spans="13:13" ht="18" customHeight="1">
      <c r="M877" s="14"/>
    </row>
    <row r="878" spans="13:13" ht="18" customHeight="1">
      <c r="M878" s="14"/>
    </row>
    <row r="879" spans="13:13" ht="18" customHeight="1">
      <c r="M879" s="14"/>
    </row>
    <row r="880" spans="13:13" ht="18" customHeight="1">
      <c r="M880" s="14"/>
    </row>
    <row r="881" spans="13:13" ht="18" customHeight="1">
      <c r="M881" s="14"/>
    </row>
    <row r="882" spans="13:13" ht="18" customHeight="1">
      <c r="M882" s="14"/>
    </row>
    <row r="883" spans="13:13" ht="18" customHeight="1">
      <c r="M883" s="14"/>
    </row>
    <row r="884" spans="13:13" ht="18" customHeight="1">
      <c r="M884" s="14"/>
    </row>
    <row r="885" spans="13:13" ht="18" customHeight="1">
      <c r="M885" s="14"/>
    </row>
    <row r="886" spans="13:13" ht="18" customHeight="1">
      <c r="M886" s="14"/>
    </row>
    <row r="887" spans="13:13" ht="18" customHeight="1">
      <c r="M887" s="14"/>
    </row>
    <row r="888" spans="13:13" ht="18" customHeight="1">
      <c r="M888" s="14"/>
    </row>
    <row r="889" spans="13:13" ht="18" customHeight="1">
      <c r="M889" s="14"/>
    </row>
    <row r="890" spans="13:13" ht="18" customHeight="1">
      <c r="M890" s="14"/>
    </row>
    <row r="891" spans="13:13" ht="18" customHeight="1">
      <c r="M891" s="14"/>
    </row>
    <row r="892" spans="13:13" ht="18" customHeight="1">
      <c r="M892" s="14"/>
    </row>
    <row r="893" spans="13:13" ht="18" customHeight="1">
      <c r="M893" s="14"/>
    </row>
    <row r="894" spans="13:13" ht="18" customHeight="1">
      <c r="M894" s="14"/>
    </row>
    <row r="895" spans="13:13" ht="18" customHeight="1">
      <c r="M895" s="14"/>
    </row>
    <row r="896" spans="13:13" ht="18" customHeight="1">
      <c r="M896" s="14"/>
    </row>
    <row r="897" spans="13:13" ht="18" customHeight="1">
      <c r="M897" s="14"/>
    </row>
    <row r="898" spans="13:13" ht="18" customHeight="1">
      <c r="M898" s="14"/>
    </row>
    <row r="899" spans="13:13" ht="18" customHeight="1">
      <c r="M899" s="14"/>
    </row>
    <row r="900" spans="13:13" ht="18" customHeight="1">
      <c r="M900" s="14"/>
    </row>
    <row r="901" spans="13:13" ht="18" customHeight="1">
      <c r="M901" s="14"/>
    </row>
    <row r="902" spans="13:13" ht="18" customHeight="1">
      <c r="M902" s="14"/>
    </row>
    <row r="903" spans="13:13" ht="18" customHeight="1">
      <c r="M903" s="14"/>
    </row>
    <row r="904" spans="13:13" ht="18" customHeight="1">
      <c r="M904" s="14"/>
    </row>
    <row r="905" spans="13:13" ht="18" customHeight="1">
      <c r="M905" s="14"/>
    </row>
    <row r="906" spans="13:13" ht="18" customHeight="1">
      <c r="M906" s="14"/>
    </row>
    <row r="907" spans="13:13" ht="18" customHeight="1">
      <c r="M907" s="14"/>
    </row>
    <row r="908" spans="13:13" ht="18" customHeight="1">
      <c r="M908" s="14"/>
    </row>
    <row r="909" spans="13:13" ht="18" customHeight="1">
      <c r="M909" s="14"/>
    </row>
    <row r="910" spans="13:13" ht="18" customHeight="1">
      <c r="M910" s="14"/>
    </row>
    <row r="911" spans="13:13" ht="18" customHeight="1">
      <c r="M911" s="14"/>
    </row>
    <row r="912" spans="13:13" ht="18" customHeight="1">
      <c r="M912" s="14"/>
    </row>
    <row r="913" spans="13:13" ht="18" customHeight="1">
      <c r="M913" s="14"/>
    </row>
    <row r="914" spans="13:13" ht="18" customHeight="1">
      <c r="M914" s="14"/>
    </row>
    <row r="915" spans="13:13" ht="18" customHeight="1">
      <c r="M915" s="14"/>
    </row>
    <row r="916" spans="13:13" ht="18" customHeight="1">
      <c r="M916" s="14"/>
    </row>
    <row r="917" spans="13:13" ht="18" customHeight="1">
      <c r="M917" s="14"/>
    </row>
    <row r="918" spans="13:13" ht="18" customHeight="1">
      <c r="M918" s="14"/>
    </row>
    <row r="919" spans="13:13" ht="18" customHeight="1">
      <c r="M919" s="14"/>
    </row>
    <row r="920" spans="13:13" ht="18" customHeight="1">
      <c r="M920" s="14"/>
    </row>
    <row r="921" spans="13:13" ht="18" customHeight="1">
      <c r="M921" s="14"/>
    </row>
    <row r="922" spans="13:13" ht="18" customHeight="1">
      <c r="M922" s="14"/>
    </row>
    <row r="923" spans="13:13" ht="18" customHeight="1">
      <c r="M923" s="14"/>
    </row>
    <row r="924" spans="13:13" ht="18" customHeight="1">
      <c r="M924" s="14"/>
    </row>
    <row r="925" spans="13:13" ht="18" customHeight="1">
      <c r="M925" s="14"/>
    </row>
    <row r="926" spans="13:13" ht="18" customHeight="1">
      <c r="M926" s="14"/>
    </row>
    <row r="927" spans="13:13" ht="18" customHeight="1">
      <c r="M927" s="14"/>
    </row>
    <row r="928" spans="13:13" ht="18" customHeight="1">
      <c r="M928" s="14"/>
    </row>
    <row r="929" spans="13:13" ht="18" customHeight="1">
      <c r="M929" s="14"/>
    </row>
    <row r="930" spans="13:13" ht="18" customHeight="1">
      <c r="M930" s="14"/>
    </row>
    <row r="931" spans="13:13" ht="18" customHeight="1">
      <c r="M931" s="14"/>
    </row>
    <row r="932" spans="13:13" ht="18" customHeight="1">
      <c r="M932" s="14"/>
    </row>
    <row r="933" spans="13:13" ht="18" customHeight="1">
      <c r="M933" s="14"/>
    </row>
    <row r="934" spans="13:13" ht="18" customHeight="1">
      <c r="M934" s="14"/>
    </row>
    <row r="935" spans="13:13" ht="18" customHeight="1">
      <c r="M935" s="14"/>
    </row>
    <row r="936" spans="13:13" ht="18" customHeight="1">
      <c r="M936" s="14"/>
    </row>
    <row r="937" spans="13:13" ht="18" customHeight="1">
      <c r="M937" s="14"/>
    </row>
    <row r="938" spans="13:13" ht="18" customHeight="1">
      <c r="M938" s="14"/>
    </row>
    <row r="939" spans="13:13" ht="18" customHeight="1">
      <c r="M939" s="14"/>
    </row>
    <row r="940" spans="13:13" ht="18" customHeight="1">
      <c r="M940" s="14"/>
    </row>
    <row r="941" spans="13:13" ht="18" customHeight="1">
      <c r="M941" s="14"/>
    </row>
    <row r="942" spans="13:13" ht="18" customHeight="1">
      <c r="M942" s="14"/>
    </row>
    <row r="943" spans="13:13" ht="18" customHeight="1">
      <c r="M943" s="14"/>
    </row>
    <row r="944" spans="13:13" ht="18" customHeight="1">
      <c r="M944" s="14"/>
    </row>
    <row r="945" spans="13:13" ht="18" customHeight="1">
      <c r="M945" s="14"/>
    </row>
    <row r="946" spans="13:13" ht="18" customHeight="1">
      <c r="M946" s="14"/>
    </row>
    <row r="947" spans="13:13" ht="18" customHeight="1">
      <c r="M947" s="14"/>
    </row>
    <row r="948" spans="13:13" ht="18" customHeight="1">
      <c r="M948" s="14"/>
    </row>
    <row r="949" spans="13:13" ht="18" customHeight="1">
      <c r="M949" s="14"/>
    </row>
    <row r="950" spans="13:13" ht="18" customHeight="1">
      <c r="M950" s="14"/>
    </row>
    <row r="951" spans="13:13" ht="18" customHeight="1">
      <c r="M951" s="14"/>
    </row>
    <row r="952" spans="13:13" ht="18" customHeight="1">
      <c r="M952" s="14"/>
    </row>
    <row r="953" spans="13:13" ht="18" customHeight="1">
      <c r="M953" s="14"/>
    </row>
    <row r="954" spans="13:13" ht="18" customHeight="1">
      <c r="M954" s="14"/>
    </row>
    <row r="955" spans="13:13" ht="18" customHeight="1">
      <c r="M955" s="14"/>
    </row>
    <row r="956" spans="13:13" ht="18" customHeight="1">
      <c r="M956" s="14"/>
    </row>
    <row r="957" spans="13:13" ht="18" customHeight="1">
      <c r="M957" s="14"/>
    </row>
    <row r="958" spans="13:13" ht="18" customHeight="1">
      <c r="M958" s="14"/>
    </row>
    <row r="959" spans="13:13" ht="18" customHeight="1">
      <c r="M959" s="14"/>
    </row>
    <row r="960" spans="13:13" ht="18" customHeight="1">
      <c r="M960" s="14"/>
    </row>
    <row r="961" spans="13:13" ht="18" customHeight="1">
      <c r="M961" s="14"/>
    </row>
    <row r="962" spans="13:13" ht="18" customHeight="1">
      <c r="M962" s="14"/>
    </row>
    <row r="963" spans="13:13" ht="18" customHeight="1">
      <c r="M963" s="14"/>
    </row>
    <row r="964" spans="13:13" ht="18" customHeight="1">
      <c r="M964" s="14"/>
    </row>
    <row r="965" spans="13:13" ht="18" customHeight="1">
      <c r="M965" s="14"/>
    </row>
    <row r="966" spans="13:13" ht="18" customHeight="1">
      <c r="M966" s="14"/>
    </row>
    <row r="967" spans="13:13" ht="18" customHeight="1">
      <c r="M967" s="14"/>
    </row>
    <row r="968" spans="13:13" ht="18" customHeight="1">
      <c r="M968" s="14"/>
    </row>
    <row r="969" spans="13:13" ht="18" customHeight="1">
      <c r="M969" s="14"/>
    </row>
    <row r="970" spans="13:13" ht="18" customHeight="1">
      <c r="M970" s="14"/>
    </row>
    <row r="971" spans="13:13" ht="18" customHeight="1">
      <c r="M971" s="14"/>
    </row>
    <row r="972" spans="13:13" ht="18" customHeight="1">
      <c r="M972" s="14"/>
    </row>
    <row r="973" spans="13:13" ht="18" customHeight="1">
      <c r="M973" s="14"/>
    </row>
    <row r="974" spans="13:13" ht="18" customHeight="1">
      <c r="M974" s="14"/>
    </row>
    <row r="975" spans="13:13" ht="18" customHeight="1">
      <c r="M975" s="14"/>
    </row>
    <row r="976" spans="13:13" ht="18" customHeight="1">
      <c r="M976" s="14"/>
    </row>
    <row r="977" spans="13:13" ht="18" customHeight="1">
      <c r="M977" s="14"/>
    </row>
    <row r="978" spans="13:13" ht="18" customHeight="1">
      <c r="M978" s="14"/>
    </row>
    <row r="979" spans="13:13" ht="18" customHeight="1">
      <c r="M979" s="14"/>
    </row>
    <row r="980" spans="13:13" ht="18" customHeight="1">
      <c r="M980" s="14"/>
    </row>
    <row r="981" spans="13:13" ht="18" customHeight="1">
      <c r="M981" s="14"/>
    </row>
    <row r="982" spans="13:13" ht="18" customHeight="1">
      <c r="M982" s="14"/>
    </row>
    <row r="983" spans="13:13" ht="18" customHeight="1">
      <c r="M983" s="14"/>
    </row>
    <row r="984" spans="13:13" ht="18" customHeight="1">
      <c r="M984" s="14"/>
    </row>
    <row r="985" spans="13:13" ht="18" customHeight="1">
      <c r="M985" s="14"/>
    </row>
    <row r="986" spans="13:13" ht="18" customHeight="1">
      <c r="M986" s="14"/>
    </row>
    <row r="987" spans="13:13" ht="18" customHeight="1">
      <c r="M987" s="14"/>
    </row>
    <row r="988" spans="13:13" ht="18" customHeight="1">
      <c r="M988" s="14"/>
    </row>
    <row r="989" spans="13:13" ht="18" customHeight="1">
      <c r="M989" s="14"/>
    </row>
    <row r="990" spans="13:13" ht="18" customHeight="1">
      <c r="M990" s="14"/>
    </row>
    <row r="991" spans="13:13" ht="18" customHeight="1">
      <c r="M991" s="14"/>
    </row>
    <row r="992" spans="13:13" ht="18" customHeight="1">
      <c r="M992" s="14"/>
    </row>
    <row r="993" spans="13:13" ht="18" customHeight="1">
      <c r="M993" s="14"/>
    </row>
    <row r="994" spans="13:13" ht="18" customHeight="1">
      <c r="M994" s="14"/>
    </row>
    <row r="995" spans="13:13" ht="18" customHeight="1">
      <c r="M995" s="14"/>
    </row>
    <row r="996" spans="13:13" ht="18" customHeight="1">
      <c r="M996" s="14"/>
    </row>
    <row r="997" spans="13:13" ht="18" customHeight="1">
      <c r="M997" s="14"/>
    </row>
    <row r="998" spans="13:13" ht="18" customHeight="1">
      <c r="M998" s="14"/>
    </row>
    <row r="999" spans="13:13" ht="18" customHeight="1">
      <c r="M999" s="14"/>
    </row>
    <row r="1000" spans="13:13" ht="18" customHeight="1">
      <c r="M1000" s="14"/>
    </row>
    <row r="1001" spans="13:13" ht="18" customHeight="1">
      <c r="M1001" s="14"/>
    </row>
    <row r="1002" spans="13:13" ht="18" customHeight="1">
      <c r="M1002" s="14"/>
    </row>
    <row r="1003" spans="13:13" ht="18" customHeight="1">
      <c r="M1003" s="14"/>
    </row>
    <row r="1004" spans="13:13" ht="18" customHeight="1">
      <c r="M1004" s="14"/>
    </row>
    <row r="1005" spans="13:13" ht="18" customHeight="1">
      <c r="M1005" s="14"/>
    </row>
    <row r="1006" spans="13:13" ht="18" customHeight="1">
      <c r="M1006" s="14"/>
    </row>
    <row r="1007" spans="13:13" ht="18" customHeight="1">
      <c r="M1007" s="14"/>
    </row>
    <row r="1008" spans="13:13" ht="18" customHeight="1">
      <c r="M1008" s="14"/>
    </row>
    <row r="1009" spans="13:13" ht="18" customHeight="1">
      <c r="M1009" s="14"/>
    </row>
    <row r="1010" spans="13:13" ht="18" customHeight="1">
      <c r="M1010" s="14"/>
    </row>
    <row r="1011" spans="13:13" ht="18" customHeight="1">
      <c r="M1011" s="14"/>
    </row>
    <row r="1012" spans="13:13" ht="18" customHeight="1">
      <c r="M1012" s="14"/>
    </row>
    <row r="1013" spans="13:13" ht="18" customHeight="1">
      <c r="M1013" s="14"/>
    </row>
    <row r="1014" spans="13:13" ht="18" customHeight="1">
      <c r="M1014" s="14"/>
    </row>
    <row r="1015" spans="13:13" ht="18" customHeight="1">
      <c r="M1015" s="14"/>
    </row>
    <row r="1016" spans="13:13" ht="18" customHeight="1">
      <c r="M1016" s="14"/>
    </row>
    <row r="1017" spans="13:13" ht="18" customHeight="1">
      <c r="M1017" s="14"/>
    </row>
    <row r="1018" spans="13:13" ht="18" customHeight="1">
      <c r="M1018" s="14"/>
    </row>
    <row r="1019" spans="13:13" ht="18" customHeight="1">
      <c r="M1019" s="14"/>
    </row>
    <row r="1020" spans="13:13" ht="18" customHeight="1">
      <c r="M1020" s="14"/>
    </row>
    <row r="1021" spans="13:13" ht="18" customHeight="1">
      <c r="M1021" s="14"/>
    </row>
    <row r="1022" spans="13:13" ht="18" customHeight="1">
      <c r="M1022" s="14"/>
    </row>
    <row r="1023" spans="13:13" ht="18" customHeight="1">
      <c r="M1023" s="14"/>
    </row>
    <row r="1024" spans="13:13" ht="18" customHeight="1">
      <c r="M1024" s="14"/>
    </row>
    <row r="1025" spans="13:13" ht="18" customHeight="1">
      <c r="M1025" s="14"/>
    </row>
    <row r="1026" spans="13:13" ht="18" customHeight="1">
      <c r="M1026" s="14"/>
    </row>
    <row r="1027" spans="13:13" ht="18" customHeight="1">
      <c r="M1027" s="14"/>
    </row>
    <row r="1028" spans="13:13" ht="18" customHeight="1">
      <c r="M1028" s="14"/>
    </row>
    <row r="1029" spans="13:13" ht="18" customHeight="1">
      <c r="M1029" s="14"/>
    </row>
    <row r="1030" spans="13:13" ht="18" customHeight="1">
      <c r="M1030" s="14"/>
    </row>
    <row r="1031" spans="13:13" ht="18" customHeight="1">
      <c r="M1031" s="14"/>
    </row>
    <row r="1032" spans="13:13" ht="18" customHeight="1">
      <c r="M1032" s="14"/>
    </row>
    <row r="1033" spans="13:13" ht="18" customHeight="1">
      <c r="M1033" s="14"/>
    </row>
    <row r="1034" spans="13:13" ht="18" customHeight="1">
      <c r="M1034" s="14"/>
    </row>
    <row r="1035" spans="13:13" ht="18" customHeight="1">
      <c r="M1035" s="14"/>
    </row>
    <row r="1036" spans="13:13" ht="18" customHeight="1">
      <c r="M1036" s="14"/>
    </row>
    <row r="1037" spans="13:13" ht="18" customHeight="1">
      <c r="M1037" s="14"/>
    </row>
    <row r="1038" spans="13:13" ht="18" customHeight="1">
      <c r="M1038" s="14"/>
    </row>
    <row r="1039" spans="13:13" ht="18" customHeight="1">
      <c r="M1039" s="14"/>
    </row>
    <row r="1040" spans="13:13" ht="18" customHeight="1">
      <c r="M1040" s="14"/>
    </row>
    <row r="1041" spans="13:13" ht="18" customHeight="1">
      <c r="M1041" s="14"/>
    </row>
    <row r="1042" spans="13:13" ht="18" customHeight="1">
      <c r="M1042" s="14"/>
    </row>
    <row r="1043" spans="13:13" ht="18" customHeight="1">
      <c r="M1043" s="14"/>
    </row>
    <row r="1044" spans="13:13" ht="18" customHeight="1">
      <c r="M1044" s="14"/>
    </row>
    <row r="1045" spans="13:13" ht="18" customHeight="1">
      <c r="M1045" s="14"/>
    </row>
    <row r="1046" spans="13:13" ht="18" customHeight="1">
      <c r="M1046" s="14"/>
    </row>
    <row r="1047" spans="13:13" ht="18" customHeight="1">
      <c r="M1047" s="14"/>
    </row>
    <row r="1048" spans="13:13" ht="18" customHeight="1">
      <c r="M1048" s="14"/>
    </row>
    <row r="1049" spans="13:13" ht="18" customHeight="1">
      <c r="M1049" s="14"/>
    </row>
    <row r="1050" spans="13:13" ht="18" customHeight="1">
      <c r="M1050" s="14"/>
    </row>
    <row r="1051" spans="13:13" ht="18" customHeight="1">
      <c r="M1051" s="14"/>
    </row>
    <row r="1052" spans="13:13" ht="18" customHeight="1">
      <c r="M1052" s="14"/>
    </row>
    <row r="1053" spans="13:13" ht="18" customHeight="1">
      <c r="M1053" s="14"/>
    </row>
    <row r="1054" spans="13:13" ht="18" customHeight="1">
      <c r="M1054" s="14"/>
    </row>
    <row r="1055" spans="13:13" ht="18" customHeight="1">
      <c r="M1055" s="14"/>
    </row>
    <row r="1056" spans="13:13" ht="18" customHeight="1">
      <c r="M1056" s="14"/>
    </row>
    <row r="1057" spans="13:13" ht="18" customHeight="1">
      <c r="M1057" s="14"/>
    </row>
    <row r="1058" spans="13:13" ht="18" customHeight="1">
      <c r="M1058" s="14"/>
    </row>
    <row r="1059" spans="13:13" ht="18" customHeight="1">
      <c r="M1059" s="14"/>
    </row>
    <row r="1060" spans="13:13" ht="18" customHeight="1">
      <c r="M1060" s="14"/>
    </row>
    <row r="1061" spans="13:13" ht="18" customHeight="1">
      <c r="M1061" s="14"/>
    </row>
    <row r="1062" spans="13:13" ht="18" customHeight="1">
      <c r="M1062" s="14"/>
    </row>
    <row r="1063" spans="13:13" ht="18" customHeight="1">
      <c r="M1063" s="14"/>
    </row>
    <row r="1064" spans="13:13" ht="18" customHeight="1">
      <c r="M1064" s="14"/>
    </row>
    <row r="1065" spans="13:13" ht="18" customHeight="1">
      <c r="M1065" s="14"/>
    </row>
    <row r="1066" spans="13:13" ht="18" customHeight="1">
      <c r="M1066" s="14"/>
    </row>
    <row r="1067" spans="13:13" ht="18" customHeight="1">
      <c r="M1067" s="14"/>
    </row>
    <row r="1068" spans="13:13" ht="18" customHeight="1">
      <c r="M1068" s="14"/>
    </row>
    <row r="1069" spans="13:13" ht="18" customHeight="1">
      <c r="M1069" s="14"/>
    </row>
    <row r="1070" spans="13:13" ht="18" customHeight="1">
      <c r="M1070" s="14"/>
    </row>
    <row r="1071" spans="13:13" ht="18" customHeight="1">
      <c r="M1071" s="14"/>
    </row>
    <row r="1072" spans="13:13" ht="18" customHeight="1">
      <c r="M1072" s="14"/>
    </row>
    <row r="1073" spans="13:13" ht="18" customHeight="1">
      <c r="M1073" s="14"/>
    </row>
    <row r="1074" spans="13:13" ht="18" customHeight="1">
      <c r="M1074" s="14"/>
    </row>
    <row r="1075" spans="13:13" ht="18" customHeight="1">
      <c r="M1075" s="14"/>
    </row>
    <row r="1076" spans="13:13" ht="18" customHeight="1">
      <c r="M1076" s="14"/>
    </row>
    <row r="1077" spans="13:13" ht="18" customHeight="1">
      <c r="M1077" s="14"/>
    </row>
    <row r="1078" spans="13:13" ht="18" customHeight="1">
      <c r="M1078" s="14"/>
    </row>
    <row r="1079" spans="13:13" ht="18" customHeight="1">
      <c r="M1079" s="14"/>
    </row>
    <row r="1080" spans="13:13" ht="18" customHeight="1">
      <c r="M1080" s="14"/>
    </row>
    <row r="1081" spans="13:13" ht="18" customHeight="1">
      <c r="M1081" s="14"/>
    </row>
    <row r="1082" spans="13:13" ht="18" customHeight="1">
      <c r="M1082" s="14"/>
    </row>
    <row r="1083" spans="13:13" ht="18" customHeight="1">
      <c r="M1083" s="14"/>
    </row>
    <row r="1084" spans="13:13" ht="18" customHeight="1">
      <c r="M1084" s="14"/>
    </row>
    <row r="1085" spans="13:13" ht="18" customHeight="1">
      <c r="M1085" s="14"/>
    </row>
    <row r="1086" spans="13:13" ht="18" customHeight="1">
      <c r="M1086" s="14"/>
    </row>
    <row r="1087" spans="13:13" ht="18" customHeight="1">
      <c r="M1087" s="14"/>
    </row>
    <row r="1088" spans="13:13" ht="18" customHeight="1">
      <c r="M1088" s="14"/>
    </row>
    <row r="1089" spans="13:13" ht="18" customHeight="1">
      <c r="M1089" s="14"/>
    </row>
    <row r="1090" spans="13:13" ht="18" customHeight="1">
      <c r="M1090" s="14"/>
    </row>
    <row r="1091" spans="13:13" ht="18" customHeight="1">
      <c r="M1091" s="14"/>
    </row>
    <row r="1092" spans="13:13" ht="18" customHeight="1">
      <c r="M1092" s="14"/>
    </row>
    <row r="1093" spans="13:13" ht="18" customHeight="1">
      <c r="M1093" s="14"/>
    </row>
    <row r="1094" spans="13:13" ht="18" customHeight="1">
      <c r="M1094" s="14"/>
    </row>
    <row r="1095" spans="13:13" ht="18" customHeight="1">
      <c r="M1095" s="14"/>
    </row>
    <row r="1096" spans="13:13" ht="18" customHeight="1">
      <c r="M1096" s="14"/>
    </row>
    <row r="1097" spans="13:13" ht="18" customHeight="1">
      <c r="M1097" s="14"/>
    </row>
    <row r="1098" spans="13:13" ht="18" customHeight="1">
      <c r="M1098" s="14"/>
    </row>
    <row r="1099" spans="13:13" ht="18" customHeight="1">
      <c r="M1099" s="14"/>
    </row>
    <row r="1100" spans="13:13" ht="18" customHeight="1">
      <c r="M1100" s="14"/>
    </row>
    <row r="1101" spans="13:13" ht="18" customHeight="1">
      <c r="M1101" s="14"/>
    </row>
    <row r="1102" spans="13:13" ht="18" customHeight="1">
      <c r="M1102" s="14"/>
    </row>
    <row r="1103" spans="13:13" ht="18" customHeight="1">
      <c r="M1103" s="14"/>
    </row>
    <row r="1104" spans="13:13" ht="18" customHeight="1">
      <c r="M1104" s="14"/>
    </row>
    <row r="1105" spans="13:13" ht="18" customHeight="1">
      <c r="M1105" s="14"/>
    </row>
    <row r="1106" spans="13:13" ht="18" customHeight="1">
      <c r="M1106" s="14"/>
    </row>
    <row r="1107" spans="13:13" ht="18" customHeight="1">
      <c r="M1107" s="14"/>
    </row>
    <row r="1108" spans="13:13" ht="18" customHeight="1">
      <c r="M1108" s="14"/>
    </row>
    <row r="1109" spans="13:13" ht="18" customHeight="1">
      <c r="M1109" s="14"/>
    </row>
    <row r="1110" spans="13:13" ht="18" customHeight="1">
      <c r="M1110" s="14"/>
    </row>
    <row r="1111" spans="13:13" ht="18" customHeight="1">
      <c r="M1111" s="14"/>
    </row>
    <row r="1112" spans="13:13" ht="18" customHeight="1">
      <c r="M1112" s="14"/>
    </row>
    <row r="1113" spans="13:13" ht="18" customHeight="1">
      <c r="M1113" s="14"/>
    </row>
    <row r="1114" spans="13:13" ht="18" customHeight="1">
      <c r="M1114" s="14"/>
    </row>
    <row r="1115" spans="13:13" ht="18" customHeight="1">
      <c r="M1115" s="14"/>
    </row>
    <row r="1116" spans="13:13" ht="18" customHeight="1">
      <c r="M1116" s="14"/>
    </row>
    <row r="1117" spans="13:13" ht="18" customHeight="1">
      <c r="M1117" s="14"/>
    </row>
    <row r="1118" spans="13:13" ht="18" customHeight="1">
      <c r="M1118" s="14"/>
    </row>
    <row r="1119" spans="13:13" ht="18" customHeight="1">
      <c r="M1119" s="14"/>
    </row>
    <row r="1120" spans="13:13" ht="18" customHeight="1">
      <c r="M1120" s="14"/>
    </row>
    <row r="1121" spans="13:13" ht="18" customHeight="1">
      <c r="M1121" s="14"/>
    </row>
    <row r="1122" spans="13:13" ht="18" customHeight="1">
      <c r="M1122" s="14"/>
    </row>
    <row r="1123" spans="13:13" ht="18" customHeight="1">
      <c r="M1123" s="14"/>
    </row>
    <row r="1124" spans="13:13" ht="18" customHeight="1">
      <c r="M1124" s="14"/>
    </row>
    <row r="1125" spans="13:13" ht="18" customHeight="1">
      <c r="M1125" s="14"/>
    </row>
    <row r="1126" spans="13:13" ht="18" customHeight="1">
      <c r="M1126" s="14"/>
    </row>
    <row r="1127" spans="13:13" ht="18" customHeight="1">
      <c r="M1127" s="14"/>
    </row>
    <row r="1128" spans="13:13" ht="18" customHeight="1">
      <c r="M1128" s="14"/>
    </row>
    <row r="1129" spans="13:13" ht="18" customHeight="1">
      <c r="M1129" s="14"/>
    </row>
    <row r="1130" spans="13:13" ht="18" customHeight="1">
      <c r="M1130" s="14"/>
    </row>
    <row r="1131" spans="13:13" ht="18" customHeight="1">
      <c r="M1131" s="14"/>
    </row>
    <row r="1132" spans="13:13" ht="18" customHeight="1">
      <c r="M1132" s="14"/>
    </row>
    <row r="1133" spans="13:13" ht="18" customHeight="1">
      <c r="M1133" s="14"/>
    </row>
    <row r="1134" spans="13:13" ht="18" customHeight="1">
      <c r="M1134" s="14"/>
    </row>
    <row r="1135" spans="13:13" ht="18" customHeight="1">
      <c r="M1135" s="14"/>
    </row>
    <row r="1136" spans="13:13" ht="18" customHeight="1">
      <c r="M1136" s="14"/>
    </row>
    <row r="1137" spans="13:13" ht="18" customHeight="1">
      <c r="M1137" s="14"/>
    </row>
    <row r="1138" spans="13:13" ht="18" customHeight="1">
      <c r="M1138" s="14"/>
    </row>
    <row r="1139" spans="13:13" ht="18" customHeight="1">
      <c r="M1139" s="14"/>
    </row>
    <row r="1140" spans="13:13" ht="18" customHeight="1">
      <c r="M1140" s="14"/>
    </row>
    <row r="1141" spans="13:13" ht="18" customHeight="1">
      <c r="M1141" s="14"/>
    </row>
    <row r="1142" spans="13:13" ht="18" customHeight="1">
      <c r="M1142" s="14"/>
    </row>
    <row r="1143" spans="13:13" ht="18" customHeight="1">
      <c r="M1143" s="14"/>
    </row>
    <row r="1144" spans="13:13" ht="18" customHeight="1">
      <c r="M1144" s="14"/>
    </row>
    <row r="1145" spans="13:13" ht="18" customHeight="1">
      <c r="M1145" s="14"/>
    </row>
    <row r="1146" spans="13:13" ht="18" customHeight="1">
      <c r="M1146" s="14"/>
    </row>
    <row r="1147" spans="13:13" ht="18" customHeight="1">
      <c r="M1147" s="14"/>
    </row>
    <row r="1148" spans="13:13" ht="18" customHeight="1">
      <c r="M1148" s="14"/>
    </row>
    <row r="1149" spans="13:13" ht="18" customHeight="1">
      <c r="M1149" s="14"/>
    </row>
    <row r="1150" spans="13:13" ht="18" customHeight="1">
      <c r="M1150" s="14"/>
    </row>
    <row r="1151" spans="13:13" ht="18" customHeight="1">
      <c r="M1151" s="14"/>
    </row>
    <row r="1152" spans="13:13" ht="18" customHeight="1">
      <c r="M1152" s="14"/>
    </row>
    <row r="1153" spans="13:13" ht="18" customHeight="1">
      <c r="M1153" s="14"/>
    </row>
    <row r="1154" spans="13:13" ht="18" customHeight="1">
      <c r="M1154" s="14"/>
    </row>
    <row r="1155" spans="13:13" ht="18" customHeight="1">
      <c r="M1155" s="14"/>
    </row>
    <row r="1156" spans="13:13" ht="18" customHeight="1">
      <c r="M1156" s="14"/>
    </row>
    <row r="1157" spans="13:13" ht="18" customHeight="1">
      <c r="M1157" s="14"/>
    </row>
    <row r="1158" spans="13:13" ht="18" customHeight="1">
      <c r="M1158" s="14"/>
    </row>
    <row r="1159" spans="13:13" ht="18" customHeight="1">
      <c r="M1159" s="14"/>
    </row>
    <row r="1160" spans="13:13" ht="18" customHeight="1">
      <c r="M1160" s="14"/>
    </row>
    <row r="1161" spans="13:13" ht="18" customHeight="1">
      <c r="M1161" s="14"/>
    </row>
    <row r="1162" spans="13:13" ht="18" customHeight="1">
      <c r="M1162" s="14"/>
    </row>
    <row r="1163" spans="13:13" ht="18" customHeight="1">
      <c r="M1163" s="14"/>
    </row>
    <row r="1164" spans="13:13" ht="18" customHeight="1">
      <c r="M1164" s="14"/>
    </row>
    <row r="1165" spans="13:13" ht="18" customHeight="1">
      <c r="M1165" s="14"/>
    </row>
    <row r="1166" spans="13:13" ht="18" customHeight="1">
      <c r="M1166" s="14"/>
    </row>
    <row r="1167" spans="13:13" ht="18" customHeight="1">
      <c r="M1167" s="14"/>
    </row>
    <row r="1168" spans="13:13" ht="18" customHeight="1">
      <c r="M1168" s="14"/>
    </row>
    <row r="1169" spans="13:13" ht="18" customHeight="1">
      <c r="M1169" s="14"/>
    </row>
    <row r="1170" spans="13:13" ht="18" customHeight="1">
      <c r="M1170" s="14"/>
    </row>
    <row r="1171" spans="13:13" ht="18" customHeight="1">
      <c r="M1171" s="14"/>
    </row>
    <row r="1172" spans="13:13" ht="18" customHeight="1">
      <c r="M1172" s="14"/>
    </row>
    <row r="1173" spans="13:13" ht="18" customHeight="1">
      <c r="M1173" s="14"/>
    </row>
    <row r="1174" spans="13:13" ht="18" customHeight="1">
      <c r="M1174" s="14"/>
    </row>
    <row r="1175" spans="13:13" ht="18" customHeight="1">
      <c r="M1175" s="14"/>
    </row>
    <row r="1176" spans="13:13" ht="18" customHeight="1">
      <c r="M1176" s="14"/>
    </row>
    <row r="1177" spans="13:13" ht="18" customHeight="1">
      <c r="M1177" s="14"/>
    </row>
    <row r="1178" spans="13:13" ht="18" customHeight="1">
      <c r="M1178" s="14"/>
    </row>
    <row r="1179" spans="13:13" ht="18" customHeight="1">
      <c r="M1179" s="14"/>
    </row>
    <row r="1180" spans="13:13" ht="18" customHeight="1">
      <c r="M1180" s="14"/>
    </row>
    <row r="1181" spans="13:13" ht="18" customHeight="1">
      <c r="M1181" s="14"/>
    </row>
    <row r="1182" spans="13:13" ht="18" customHeight="1">
      <c r="M1182" s="14"/>
    </row>
    <row r="1183" spans="13:13" ht="18" customHeight="1">
      <c r="M1183" s="14"/>
    </row>
    <row r="1184" spans="13:13" ht="18" customHeight="1">
      <c r="M1184" s="14"/>
    </row>
    <row r="1185" spans="13:13" ht="18" customHeight="1">
      <c r="M1185" s="14"/>
    </row>
    <row r="1186" spans="13:13" ht="18" customHeight="1">
      <c r="M1186" s="14"/>
    </row>
    <row r="1187" spans="13:13" ht="18" customHeight="1">
      <c r="M1187" s="14"/>
    </row>
    <row r="1188" spans="13:13" ht="18" customHeight="1">
      <c r="M1188" s="14"/>
    </row>
    <row r="1189" spans="13:13" ht="18" customHeight="1">
      <c r="M1189" s="14"/>
    </row>
    <row r="1190" spans="13:13" ht="18" customHeight="1">
      <c r="M1190" s="14"/>
    </row>
    <row r="1191" spans="13:13" ht="18" customHeight="1">
      <c r="M1191" s="14"/>
    </row>
    <row r="1192" spans="13:13" ht="18" customHeight="1">
      <c r="M1192" s="14"/>
    </row>
    <row r="1193" spans="13:13" ht="18" customHeight="1">
      <c r="M1193" s="14"/>
    </row>
    <row r="1194" spans="13:13" ht="18" customHeight="1">
      <c r="M1194" s="14"/>
    </row>
    <row r="1195" spans="13:13" ht="18" customHeight="1">
      <c r="M1195" s="14"/>
    </row>
    <row r="1196" spans="13:13" ht="18" customHeight="1">
      <c r="M1196" s="14"/>
    </row>
    <row r="1197" spans="13:13" ht="18" customHeight="1">
      <c r="M1197" s="14"/>
    </row>
    <row r="1198" spans="13:13" ht="18" customHeight="1">
      <c r="M1198" s="14"/>
    </row>
    <row r="1199" spans="13:13" ht="18" customHeight="1">
      <c r="M1199" s="14"/>
    </row>
    <row r="1200" spans="13:13" ht="18" customHeight="1">
      <c r="M1200" s="14"/>
    </row>
    <row r="1201" spans="13:13" ht="18" customHeight="1">
      <c r="M1201" s="14"/>
    </row>
    <row r="1202" spans="13:13" ht="18" customHeight="1">
      <c r="M1202" s="14"/>
    </row>
    <row r="1203" spans="13:13" ht="18" customHeight="1">
      <c r="M1203" s="14"/>
    </row>
    <row r="1204" spans="13:13" ht="18" customHeight="1">
      <c r="M1204" s="14"/>
    </row>
    <row r="1205" spans="13:13" ht="18" customHeight="1">
      <c r="M1205" s="14"/>
    </row>
    <row r="1206" spans="13:13" ht="18" customHeight="1">
      <c r="M1206" s="14"/>
    </row>
    <row r="1207" spans="13:13" ht="18" customHeight="1">
      <c r="M1207" s="14"/>
    </row>
    <row r="1208" spans="13:13" ht="18" customHeight="1">
      <c r="M1208" s="14"/>
    </row>
    <row r="1209" spans="13:13" ht="18" customHeight="1">
      <c r="M1209" s="14"/>
    </row>
    <row r="1210" spans="13:13" ht="18" customHeight="1">
      <c r="M1210" s="14"/>
    </row>
    <row r="1211" spans="13:13" ht="18" customHeight="1">
      <c r="M1211" s="14"/>
    </row>
    <row r="1212" spans="13:13" ht="18" customHeight="1">
      <c r="M1212" s="14"/>
    </row>
    <row r="1213" spans="13:13" ht="18" customHeight="1">
      <c r="M1213" s="14"/>
    </row>
    <row r="1214" spans="13:13" ht="18" customHeight="1">
      <c r="M1214" s="14"/>
    </row>
    <row r="1215" spans="13:13" ht="18" customHeight="1">
      <c r="M1215" s="14"/>
    </row>
    <row r="1216" spans="13:13" ht="18" customHeight="1">
      <c r="M1216" s="14"/>
    </row>
    <row r="1217" spans="13:13" ht="18" customHeight="1">
      <c r="M1217" s="14"/>
    </row>
    <row r="1218" spans="13:13" ht="18" customHeight="1">
      <c r="M1218" s="14"/>
    </row>
    <row r="1219" spans="13:13" ht="18" customHeight="1">
      <c r="M1219" s="14"/>
    </row>
    <row r="1220" spans="13:13" ht="18" customHeight="1">
      <c r="M1220" s="14"/>
    </row>
    <row r="1221" spans="13:13" ht="18" customHeight="1">
      <c r="M1221" s="14"/>
    </row>
    <row r="1222" spans="13:13" ht="18" customHeight="1">
      <c r="M1222" s="14"/>
    </row>
    <row r="1223" spans="13:13" ht="18" customHeight="1">
      <c r="M1223" s="14"/>
    </row>
    <row r="1224" spans="13:13" ht="18" customHeight="1">
      <c r="M1224" s="14"/>
    </row>
    <row r="1225" spans="13:13" ht="18" customHeight="1">
      <c r="M1225" s="14"/>
    </row>
    <row r="1226" spans="13:13" ht="18" customHeight="1">
      <c r="M1226" s="14"/>
    </row>
    <row r="1227" spans="13:13" ht="18" customHeight="1">
      <c r="M1227" s="14"/>
    </row>
    <row r="1228" spans="13:13" ht="18" customHeight="1">
      <c r="M1228" s="14"/>
    </row>
    <row r="1229" spans="13:13" ht="18" customHeight="1">
      <c r="M1229" s="14"/>
    </row>
    <row r="1230" spans="13:13" ht="18" customHeight="1">
      <c r="M1230" s="14"/>
    </row>
    <row r="1231" spans="13:13" ht="18" customHeight="1">
      <c r="M1231" s="14"/>
    </row>
    <row r="1232" spans="13:13" ht="18" customHeight="1">
      <c r="M1232" s="14"/>
    </row>
    <row r="1233" spans="13:13" ht="18" customHeight="1">
      <c r="M1233" s="14"/>
    </row>
    <row r="1234" spans="13:13" ht="18" customHeight="1">
      <c r="M1234" s="14"/>
    </row>
    <row r="1235" spans="13:13" ht="18" customHeight="1">
      <c r="M1235" s="14"/>
    </row>
    <row r="1236" spans="13:13" ht="18" customHeight="1">
      <c r="M1236" s="14"/>
    </row>
    <row r="1237" spans="13:13" ht="18" customHeight="1">
      <c r="M1237" s="14"/>
    </row>
    <row r="1238" spans="13:13" ht="18" customHeight="1">
      <c r="M1238" s="14"/>
    </row>
    <row r="1239" spans="13:13" ht="18" customHeight="1">
      <c r="M1239" s="14"/>
    </row>
    <row r="1240" spans="13:13" ht="18" customHeight="1">
      <c r="M1240" s="14"/>
    </row>
    <row r="1241" spans="13:13" ht="18" customHeight="1">
      <c r="M1241" s="14"/>
    </row>
    <row r="1242" spans="13:13" ht="18" customHeight="1">
      <c r="M1242" s="14"/>
    </row>
    <row r="1243" spans="13:13" ht="18" customHeight="1">
      <c r="M1243" s="14"/>
    </row>
    <row r="1244" spans="13:13" ht="18" customHeight="1">
      <c r="M1244" s="14"/>
    </row>
    <row r="1245" spans="13:13" ht="18" customHeight="1">
      <c r="M1245" s="14"/>
    </row>
    <row r="1246" spans="13:13" ht="18" customHeight="1">
      <c r="M1246" s="14"/>
    </row>
    <row r="1247" spans="13:13" ht="18" customHeight="1">
      <c r="M1247" s="14"/>
    </row>
    <row r="1248" spans="13:13" ht="18" customHeight="1">
      <c r="M1248" s="14"/>
    </row>
    <row r="1249" spans="13:13" ht="18" customHeight="1">
      <c r="M1249" s="14"/>
    </row>
    <row r="1250" spans="13:13" ht="18" customHeight="1">
      <c r="M1250" s="14"/>
    </row>
    <row r="1251" spans="13:13" ht="18" customHeight="1">
      <c r="M1251" s="14"/>
    </row>
    <row r="1252" spans="13:13" ht="18" customHeight="1">
      <c r="M1252" s="14"/>
    </row>
    <row r="1253" spans="13:13" ht="18" customHeight="1">
      <c r="M1253" s="14"/>
    </row>
    <row r="1254" spans="13:13" ht="18" customHeight="1">
      <c r="M1254" s="14"/>
    </row>
    <row r="1255" spans="13:13" ht="18" customHeight="1">
      <c r="M1255" s="14"/>
    </row>
    <row r="1256" spans="13:13" ht="18" customHeight="1">
      <c r="M1256" s="14"/>
    </row>
    <row r="1257" spans="13:13" ht="18" customHeight="1">
      <c r="M1257" s="14"/>
    </row>
    <row r="1258" spans="13:13" ht="18" customHeight="1">
      <c r="M1258" s="14"/>
    </row>
    <row r="1259" spans="13:13" ht="18" customHeight="1">
      <c r="M1259" s="14"/>
    </row>
    <row r="1260" spans="13:13" ht="18" customHeight="1">
      <c r="M1260" s="14"/>
    </row>
    <row r="1261" spans="13:13" ht="18" customHeight="1">
      <c r="M1261" s="14"/>
    </row>
    <row r="1262" spans="13:13" ht="18" customHeight="1">
      <c r="M1262" s="14"/>
    </row>
    <row r="1263" spans="13:13" ht="18" customHeight="1">
      <c r="M1263" s="14"/>
    </row>
    <row r="1264" spans="13:13" ht="18" customHeight="1">
      <c r="M1264" s="14"/>
    </row>
    <row r="1265" spans="13:13" ht="18" customHeight="1">
      <c r="M1265" s="14"/>
    </row>
    <row r="1266" spans="13:13" ht="18" customHeight="1">
      <c r="M1266" s="14"/>
    </row>
    <row r="1267" spans="13:13" ht="18" customHeight="1">
      <c r="M1267" s="14"/>
    </row>
    <row r="1268" spans="13:13" ht="18" customHeight="1">
      <c r="M1268" s="14"/>
    </row>
    <row r="1269" spans="13:13" ht="18" customHeight="1">
      <c r="M1269" s="14"/>
    </row>
    <row r="1270" spans="13:13" ht="18" customHeight="1">
      <c r="M1270" s="14"/>
    </row>
    <row r="1271" spans="13:13" ht="18" customHeight="1">
      <c r="M1271" s="14"/>
    </row>
    <row r="1272" spans="13:13" ht="18" customHeight="1">
      <c r="M1272" s="14"/>
    </row>
    <row r="1273" spans="13:13" ht="18" customHeight="1">
      <c r="M1273" s="14"/>
    </row>
    <row r="1274" spans="13:13" ht="18" customHeight="1">
      <c r="M1274" s="14"/>
    </row>
    <row r="1275" spans="13:13" ht="18" customHeight="1">
      <c r="M1275" s="14"/>
    </row>
    <row r="1276" spans="13:13" ht="18" customHeight="1">
      <c r="M1276" s="14"/>
    </row>
    <row r="1277" spans="13:13" ht="18" customHeight="1">
      <c r="M1277" s="14"/>
    </row>
    <row r="1278" spans="13:13" ht="18" customHeight="1">
      <c r="M1278" s="14"/>
    </row>
    <row r="1279" spans="13:13" ht="18" customHeight="1">
      <c r="M1279" s="14"/>
    </row>
    <row r="1280" spans="13:13" ht="18" customHeight="1">
      <c r="M1280" s="14"/>
    </row>
    <row r="1281" spans="13:13" ht="18" customHeight="1">
      <c r="M1281" s="14"/>
    </row>
    <row r="1282" spans="13:13" ht="18" customHeight="1">
      <c r="M1282" s="14"/>
    </row>
    <row r="1283" spans="13:13" ht="18" customHeight="1">
      <c r="M1283" s="14"/>
    </row>
    <row r="1284" spans="13:13" ht="18" customHeight="1">
      <c r="M1284" s="14"/>
    </row>
    <row r="1285" spans="13:13" ht="18" customHeight="1">
      <c r="M1285" s="14"/>
    </row>
    <row r="1286" spans="13:13" ht="18" customHeight="1">
      <c r="M1286" s="14"/>
    </row>
    <row r="1287" spans="13:13" ht="18" customHeight="1">
      <c r="M1287" s="14"/>
    </row>
    <row r="1288" spans="13:13" ht="18" customHeight="1">
      <c r="M1288" s="14"/>
    </row>
    <row r="1289" spans="13:13" ht="18" customHeight="1">
      <c r="M1289" s="14"/>
    </row>
    <row r="1290" spans="13:13" ht="18" customHeight="1">
      <c r="M1290" s="14"/>
    </row>
    <row r="1291" spans="13:13" ht="18" customHeight="1">
      <c r="M1291" s="14"/>
    </row>
    <row r="1292" spans="13:13" ht="18" customHeight="1">
      <c r="M1292" s="14"/>
    </row>
    <row r="1293" spans="13:13" ht="18" customHeight="1">
      <c r="M1293" s="14"/>
    </row>
    <row r="1294" spans="13:13" ht="18" customHeight="1">
      <c r="M1294" s="14"/>
    </row>
    <row r="1295" spans="13:13" ht="18" customHeight="1">
      <c r="M1295" s="14"/>
    </row>
    <row r="1296" spans="13:13" ht="18" customHeight="1">
      <c r="M1296" s="14"/>
    </row>
    <row r="1297" spans="13:13" ht="18" customHeight="1">
      <c r="M1297" s="14"/>
    </row>
    <row r="1298" spans="13:13" ht="18" customHeight="1">
      <c r="M1298" s="14"/>
    </row>
    <row r="1299" spans="13:13" ht="18" customHeight="1">
      <c r="M1299" s="14"/>
    </row>
    <row r="1300" spans="13:13" ht="18" customHeight="1">
      <c r="M1300" s="14"/>
    </row>
    <row r="1301" spans="13:13" ht="18" customHeight="1">
      <c r="M1301" s="14"/>
    </row>
    <row r="1302" spans="13:13" ht="18" customHeight="1">
      <c r="M1302" s="14"/>
    </row>
    <row r="1303" spans="13:13" ht="18" customHeight="1">
      <c r="M1303" s="14"/>
    </row>
    <row r="1304" spans="13:13" ht="18" customHeight="1">
      <c r="M1304" s="14"/>
    </row>
    <row r="1305" spans="13:13" ht="18" customHeight="1">
      <c r="M1305" s="14"/>
    </row>
    <row r="1306" spans="13:13" ht="18" customHeight="1">
      <c r="M1306" s="14"/>
    </row>
    <row r="1307" spans="13:13" ht="18" customHeight="1">
      <c r="M1307" s="14"/>
    </row>
    <row r="1308" spans="13:13" ht="18" customHeight="1">
      <c r="M1308" s="14"/>
    </row>
    <row r="1309" spans="13:13" ht="18" customHeight="1">
      <c r="M1309" s="14"/>
    </row>
    <row r="1310" spans="13:13" ht="18" customHeight="1">
      <c r="M1310" s="14"/>
    </row>
    <row r="1311" spans="13:13" ht="18" customHeight="1">
      <c r="M1311" s="14"/>
    </row>
    <row r="1312" spans="13:13" ht="18" customHeight="1">
      <c r="M1312" s="14"/>
    </row>
    <row r="1313" spans="13:13" ht="18" customHeight="1">
      <c r="M1313" s="14"/>
    </row>
    <row r="1314" spans="13:13" ht="18" customHeight="1">
      <c r="M1314" s="14"/>
    </row>
    <row r="1315" spans="13:13" ht="18" customHeight="1">
      <c r="M1315" s="14"/>
    </row>
    <row r="1316" spans="13:13" ht="18" customHeight="1">
      <c r="M1316" s="14"/>
    </row>
    <row r="1317" spans="13:13" ht="18" customHeight="1">
      <c r="M1317" s="14"/>
    </row>
    <row r="1318" spans="13:13" ht="18" customHeight="1">
      <c r="M1318" s="14"/>
    </row>
    <row r="1319" spans="13:13" ht="18" customHeight="1">
      <c r="M1319" s="14"/>
    </row>
    <row r="1320" spans="13:13" ht="18" customHeight="1">
      <c r="M1320" s="14"/>
    </row>
    <row r="1321" spans="13:13" ht="18" customHeight="1">
      <c r="M1321" s="14"/>
    </row>
    <row r="1322" spans="13:13" ht="18" customHeight="1">
      <c r="M1322" s="14"/>
    </row>
    <row r="1323" spans="13:13" ht="18" customHeight="1">
      <c r="M1323" s="14"/>
    </row>
    <row r="1324" spans="13:13" ht="18" customHeight="1">
      <c r="M1324" s="14"/>
    </row>
    <row r="1325" spans="13:13" ht="18" customHeight="1">
      <c r="M1325" s="14"/>
    </row>
    <row r="1326" spans="13:13" ht="18" customHeight="1">
      <c r="M1326" s="14"/>
    </row>
    <row r="1327" spans="13:13" ht="18" customHeight="1">
      <c r="M1327" s="14"/>
    </row>
    <row r="1328" spans="13:13" ht="18" customHeight="1">
      <c r="M1328" s="14"/>
    </row>
    <row r="1329" spans="13:13" ht="18" customHeight="1">
      <c r="M1329" s="14"/>
    </row>
    <row r="1330" spans="13:13" ht="18" customHeight="1">
      <c r="M1330" s="14"/>
    </row>
    <row r="1331" spans="13:13" ht="18" customHeight="1">
      <c r="M1331" s="14"/>
    </row>
    <row r="1332" spans="13:13" ht="18" customHeight="1">
      <c r="M1332" s="14"/>
    </row>
    <row r="1333" spans="13:13" ht="18" customHeight="1">
      <c r="M1333" s="14"/>
    </row>
    <row r="1334" spans="13:13" ht="18" customHeight="1">
      <c r="M1334" s="14"/>
    </row>
    <row r="1335" spans="13:13" ht="18" customHeight="1">
      <c r="M1335" s="14"/>
    </row>
    <row r="1336" spans="13:13" ht="18" customHeight="1">
      <c r="M1336" s="14"/>
    </row>
    <row r="1337" spans="13:13" ht="18" customHeight="1">
      <c r="M1337" s="14"/>
    </row>
    <row r="1338" spans="13:13" ht="18" customHeight="1">
      <c r="M1338" s="14"/>
    </row>
    <row r="1339" spans="13:13" ht="18" customHeight="1">
      <c r="M1339" s="14"/>
    </row>
    <row r="1340" spans="13:13" ht="18" customHeight="1">
      <c r="M1340" s="14"/>
    </row>
    <row r="1341" spans="13:13" ht="18" customHeight="1">
      <c r="M1341" s="14"/>
    </row>
    <row r="1342" spans="13:13" ht="18" customHeight="1">
      <c r="M1342" s="14"/>
    </row>
    <row r="1343" spans="13:13" ht="18" customHeight="1">
      <c r="M1343" s="14"/>
    </row>
    <row r="1344" spans="13:13" ht="18" customHeight="1">
      <c r="M1344" s="14"/>
    </row>
    <row r="1345" spans="13:13" ht="18" customHeight="1">
      <c r="M1345" s="14"/>
    </row>
    <row r="1346" spans="13:13" ht="18" customHeight="1">
      <c r="M1346" s="14"/>
    </row>
    <row r="1347" spans="13:13" ht="18" customHeight="1">
      <c r="M1347" s="14"/>
    </row>
    <row r="1348" spans="13:13" ht="18" customHeight="1">
      <c r="M1348" s="14"/>
    </row>
    <row r="1349" spans="13:13" ht="18" customHeight="1">
      <c r="M1349" s="14"/>
    </row>
    <row r="1350" spans="13:13" ht="18" customHeight="1">
      <c r="M1350" s="14"/>
    </row>
  </sheetData>
  <sheetProtection formatCells="0" formatColumns="0" formatRows="0" autoFilter="0"/>
  <mergeCells count="1">
    <mergeCell ref="B1:L1"/>
  </mergeCells>
  <phoneticPr fontId="6" type="noConversion"/>
  <pageMargins left="0.75" right="0.75" top="1" bottom="1" header="0.5" footer="0.5"/>
  <pageSetup paperSize="9" orientation="portrait" r:id="rId1"/>
  <headerFooter alignWithMargins="0"/>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A1:N1317"/>
  <sheetViews>
    <sheetView topLeftCell="A19" zoomScaleNormal="100" workbookViewId="0">
      <selection activeCell="K12" sqref="K12"/>
    </sheetView>
  </sheetViews>
  <sheetFormatPr defaultColWidth="10" defaultRowHeight="18" customHeight="1" outlineLevelCol="1"/>
  <cols>
    <col min="1" max="1" width="4" style="385" customWidth="1"/>
    <col min="2" max="2" width="22.58203125" style="385" customWidth="1"/>
    <col min="3" max="4" width="2.08203125" style="385" hidden="1" customWidth="1" outlineLevel="1"/>
    <col min="5" max="5" width="8.75" style="385" hidden="1" customWidth="1" outlineLevel="1"/>
    <col min="6" max="6" width="10.08203125" style="385" customWidth="1" collapsed="1"/>
    <col min="7" max="9" width="9" style="385" customWidth="1"/>
    <col min="10" max="11" width="9.08203125" style="385" customWidth="1"/>
    <col min="12" max="12" width="3.58203125" style="395" customWidth="1"/>
    <col min="13" max="13" width="10" style="395"/>
    <col min="14" max="14" width="10" style="395" customWidth="1"/>
    <col min="15" max="16384" width="10" style="385"/>
  </cols>
  <sheetData>
    <row r="1" spans="2:14" s="392" customFormat="1" ht="30.75" customHeight="1">
      <c r="B1" s="767" t="s">
        <v>617</v>
      </c>
      <c r="C1" s="768"/>
      <c r="D1" s="768"/>
      <c r="E1" s="768"/>
      <c r="F1" s="768"/>
      <c r="G1" s="768"/>
      <c r="H1" s="768"/>
      <c r="I1" s="768"/>
      <c r="J1" s="768"/>
      <c r="K1" s="768"/>
      <c r="L1" s="385"/>
    </row>
    <row r="2" spans="2:14" s="392" customFormat="1" ht="19.5" customHeight="1">
      <c r="B2" s="265" t="str">
        <f>'1报表'!B11</f>
        <v>评估基准日：2017/12/31</v>
      </c>
      <c r="C2" s="388"/>
      <c r="D2" s="388"/>
      <c r="H2" s="389"/>
      <c r="I2" s="388"/>
      <c r="J2" s="388"/>
      <c r="K2" s="388"/>
      <c r="L2" s="385"/>
    </row>
    <row r="3" spans="2:14" s="392" customFormat="1" ht="18" customHeight="1">
      <c r="B3" s="265" t="str">
        <f>'1报表'!B12</f>
        <v>被评估单位：JSBD公司</v>
      </c>
      <c r="C3" s="373"/>
      <c r="D3" s="373"/>
      <c r="K3" s="374" t="s">
        <v>52</v>
      </c>
      <c r="L3" s="385"/>
    </row>
    <row r="4" spans="2:14" ht="18" customHeight="1">
      <c r="B4" s="137" t="s">
        <v>622</v>
      </c>
      <c r="C4" s="56"/>
      <c r="D4" s="56"/>
      <c r="E4" s="56"/>
      <c r="F4" s="375" t="str">
        <f>'3收入'!F4</f>
        <v>2018年</v>
      </c>
      <c r="G4" s="375" t="str">
        <f>'3收入'!G4</f>
        <v>2019年</v>
      </c>
      <c r="H4" s="375" t="str">
        <f>'3收入'!H4</f>
        <v>2020年</v>
      </c>
      <c r="I4" s="375" t="str">
        <f>'3收入'!I4</f>
        <v>2021年</v>
      </c>
      <c r="J4" s="375" t="str">
        <f>'3收入'!J4</f>
        <v>2022年</v>
      </c>
      <c r="K4" s="375" t="s">
        <v>398</v>
      </c>
      <c r="L4" s="385"/>
      <c r="M4" s="385"/>
      <c r="N4" s="385"/>
    </row>
    <row r="5" spans="2:14" ht="18" customHeight="1">
      <c r="B5" s="63" t="s">
        <v>416</v>
      </c>
      <c r="C5" s="56"/>
      <c r="D5" s="56"/>
      <c r="E5" s="56"/>
      <c r="F5" s="376">
        <f>'12收益表'!F5</f>
        <v>11935.47732058755</v>
      </c>
      <c r="G5" s="376">
        <f>'12收益表'!G5</f>
        <v>14141.383768720463</v>
      </c>
      <c r="H5" s="376">
        <f>'12收益表'!H5</f>
        <v>15896.179912814478</v>
      </c>
      <c r="I5" s="376">
        <f>'12收益表'!I5</f>
        <v>16863.122702610581</v>
      </c>
      <c r="J5" s="376">
        <f>'12收益表'!J5</f>
        <v>17224.451164859773</v>
      </c>
      <c r="K5" s="376">
        <f>J5</f>
        <v>17224.451164859773</v>
      </c>
      <c r="L5" s="385"/>
      <c r="M5" s="385"/>
      <c r="N5" s="385"/>
    </row>
    <row r="6" spans="2:14" ht="18" customHeight="1">
      <c r="B6" s="53" t="s">
        <v>623</v>
      </c>
      <c r="C6" s="56"/>
      <c r="D6" s="56"/>
      <c r="E6" s="56"/>
      <c r="F6" s="377">
        <f>'12收益表'!F6</f>
        <v>7161.2863923525301</v>
      </c>
      <c r="G6" s="377">
        <f>'12收益表'!G6</f>
        <v>8484.8302612322768</v>
      </c>
      <c r="H6" s="377">
        <f>'12收益表'!H6</f>
        <v>9537.7079476886865</v>
      </c>
      <c r="I6" s="377">
        <f>'12收益表'!I6</f>
        <v>10117.873621566348</v>
      </c>
      <c r="J6" s="377">
        <f>'12收益表'!J6</f>
        <v>10334.670698915863</v>
      </c>
      <c r="K6" s="377">
        <f>J6</f>
        <v>10334.670698915863</v>
      </c>
      <c r="L6" s="385"/>
      <c r="M6" s="385"/>
      <c r="N6" s="385"/>
    </row>
    <row r="7" spans="2:14" ht="18" customHeight="1">
      <c r="B7" s="53" t="s">
        <v>624</v>
      </c>
      <c r="C7" s="56"/>
      <c r="D7" s="56"/>
      <c r="E7" s="56"/>
      <c r="F7" s="377">
        <f>'12收益表'!F7</f>
        <v>107.26835541722282</v>
      </c>
      <c r="G7" s="377">
        <f>'12收益表'!G7</f>
        <v>127.21454394475082</v>
      </c>
      <c r="H7" s="377">
        <f>'12收益表'!H7</f>
        <v>142.79594350458177</v>
      </c>
      <c r="I7" s="377">
        <f>'12收益表'!I7</f>
        <v>152.48180914883849</v>
      </c>
      <c r="J7" s="377">
        <f>'12收益表'!J7</f>
        <v>155.38376810740826</v>
      </c>
      <c r="K7" s="377">
        <f t="shared" ref="K7:K10" si="0">J7</f>
        <v>155.38376810740826</v>
      </c>
      <c r="L7" s="385"/>
      <c r="M7" s="385"/>
      <c r="N7" s="385"/>
    </row>
    <row r="8" spans="2:14" ht="18" customHeight="1">
      <c r="B8" s="53" t="s">
        <v>625</v>
      </c>
      <c r="C8" s="56"/>
      <c r="D8" s="56"/>
      <c r="E8" s="56"/>
      <c r="F8" s="377">
        <f>'12收益表'!F8</f>
        <v>950.06399471876898</v>
      </c>
      <c r="G8" s="377">
        <f>'12收益表'!G8</f>
        <v>1125.6541479901491</v>
      </c>
      <c r="H8" s="377">
        <f>'12收益表'!H8</f>
        <v>1265.3359210600324</v>
      </c>
      <c r="I8" s="377">
        <f>'12收益表'!I8</f>
        <v>1342.3045671278023</v>
      </c>
      <c r="J8" s="377">
        <f>'12收益表'!J8</f>
        <v>1371.0663127228379</v>
      </c>
      <c r="K8" s="377">
        <f t="shared" si="0"/>
        <v>1371.0663127228379</v>
      </c>
      <c r="L8" s="385"/>
      <c r="M8" s="385"/>
      <c r="N8" s="385"/>
    </row>
    <row r="9" spans="2:14" ht="18" customHeight="1">
      <c r="B9" s="53" t="s">
        <v>626</v>
      </c>
      <c r="C9" s="56"/>
      <c r="D9" s="56"/>
      <c r="E9" s="56"/>
      <c r="F9" s="377">
        <f>'12收益表'!F9</f>
        <v>1140.1680865915284</v>
      </c>
      <c r="G9" s="377">
        <f>'12收益表'!G9</f>
        <v>1284.8846646328643</v>
      </c>
      <c r="H9" s="377">
        <f>'12收益表'!H9</f>
        <v>1341.4960891320359</v>
      </c>
      <c r="I9" s="377">
        <f>'12收益表'!I9</f>
        <v>1376.4757945411359</v>
      </c>
      <c r="J9" s="377">
        <f>'12收益表'!J9</f>
        <v>1432.4397334915836</v>
      </c>
      <c r="K9" s="377">
        <f t="shared" si="0"/>
        <v>1432.4397334915836</v>
      </c>
      <c r="L9" s="385"/>
      <c r="M9" s="385"/>
      <c r="N9" s="385"/>
    </row>
    <row r="10" spans="2:14" ht="18" customHeight="1">
      <c r="B10" s="53" t="s">
        <v>627</v>
      </c>
      <c r="C10" s="56"/>
      <c r="D10" s="56"/>
      <c r="E10" s="56"/>
      <c r="F10" s="377">
        <f>'12收益表'!F10</f>
        <v>596.77386602937747</v>
      </c>
      <c r="G10" s="377">
        <f>'12收益表'!G10</f>
        <v>707.06918843602318</v>
      </c>
      <c r="H10" s="377">
        <f>'12收益表'!H10</f>
        <v>794.80899564072388</v>
      </c>
      <c r="I10" s="377">
        <f>'12收益表'!I10</f>
        <v>843.15613513052904</v>
      </c>
      <c r="J10" s="377">
        <f>'12收益表'!J10</f>
        <v>861.22255824298873</v>
      </c>
      <c r="K10" s="377">
        <f t="shared" si="0"/>
        <v>861.22255824298873</v>
      </c>
      <c r="L10" s="385"/>
      <c r="M10" s="385"/>
      <c r="N10" s="385"/>
    </row>
    <row r="11" spans="2:14" ht="18" customHeight="1">
      <c r="B11" s="53" t="s">
        <v>628</v>
      </c>
      <c r="C11" s="56"/>
      <c r="D11" s="56"/>
      <c r="E11" s="56"/>
      <c r="F11" s="377" t="str">
        <f>IF('11财务费用'!E10,"模型不适用",'11财务费用'!F21)</f>
        <v>模型不适用</v>
      </c>
      <c r="G11" s="377" t="str">
        <f>IF('11财务费用'!F10,"模型不适用",'11财务费用'!G21)</f>
        <v>模型不适用</v>
      </c>
      <c r="H11" s="377" t="str">
        <f>IF('11财务费用'!G10,"模型不适用",'11财务费用'!H21)</f>
        <v>模型不适用</v>
      </c>
      <c r="I11" s="377" t="str">
        <f>IF('11财务费用'!H10,"模型不适用",'11财务费用'!I21)</f>
        <v>模型不适用</v>
      </c>
      <c r="J11" s="377" t="str">
        <f>IF('11财务费用'!I10,"模型不适用",'11财务费用'!J21)</f>
        <v>模型不适用</v>
      </c>
      <c r="K11" s="377" t="str">
        <f>IF('11财务费用'!J10,"模型不适用",'11财务费用'!K21)</f>
        <v>模型不适用</v>
      </c>
      <c r="L11" s="475"/>
      <c r="M11" s="385"/>
      <c r="N11" s="385"/>
    </row>
    <row r="12" spans="2:14" ht="18" customHeight="1">
      <c r="B12" s="63" t="s">
        <v>414</v>
      </c>
      <c r="C12" s="56"/>
      <c r="D12" s="56"/>
      <c r="E12" s="56"/>
      <c r="F12" s="376">
        <f>F5-SUM(F6:F11)</f>
        <v>1979.916625478123</v>
      </c>
      <c r="G12" s="376">
        <f t="shared" ref="G12:J12" si="1">G5-SUM(G6:G11)</f>
        <v>2411.7309624843983</v>
      </c>
      <c r="H12" s="376">
        <f t="shared" si="1"/>
        <v>2814.0350157884186</v>
      </c>
      <c r="I12" s="376">
        <f t="shared" si="1"/>
        <v>3030.8307750959284</v>
      </c>
      <c r="J12" s="376">
        <f t="shared" si="1"/>
        <v>3069.6680933790922</v>
      </c>
      <c r="K12" s="376">
        <f>K5-SUM(K6:K11)</f>
        <v>3069.6680933790922</v>
      </c>
      <c r="L12" s="385"/>
      <c r="M12" s="385"/>
      <c r="N12" s="385"/>
    </row>
    <row r="13" spans="2:14" ht="18" customHeight="1">
      <c r="B13" s="63" t="s">
        <v>415</v>
      </c>
      <c r="C13" s="56"/>
      <c r="D13" s="56"/>
      <c r="E13" s="56"/>
      <c r="F13" s="376">
        <f>F12</f>
        <v>1979.916625478123</v>
      </c>
      <c r="G13" s="376">
        <f t="shared" ref="G13:J13" si="2">G12</f>
        <v>2411.7309624843983</v>
      </c>
      <c r="H13" s="376">
        <f t="shared" si="2"/>
        <v>2814.0350157884186</v>
      </c>
      <c r="I13" s="376">
        <f t="shared" si="2"/>
        <v>3030.8307750959284</v>
      </c>
      <c r="J13" s="376">
        <f t="shared" si="2"/>
        <v>3069.6680933790922</v>
      </c>
      <c r="K13" s="376">
        <f>K12</f>
        <v>3069.6680933790922</v>
      </c>
      <c r="L13" s="385"/>
      <c r="M13" s="385"/>
      <c r="N13" s="385"/>
    </row>
    <row r="14" spans="2:14" ht="18" customHeight="1">
      <c r="B14" s="53" t="s">
        <v>629</v>
      </c>
      <c r="C14" s="56"/>
      <c r="D14" s="56"/>
      <c r="E14" s="56"/>
      <c r="F14" s="3">
        <f>'12收益表'!F20</f>
        <v>367.3090564890224</v>
      </c>
      <c r="G14" s="3">
        <f>'12收益表'!G20</f>
        <v>270.18751907103564</v>
      </c>
      <c r="H14" s="3">
        <f>'12收益表'!H20</f>
        <v>353.02957769520845</v>
      </c>
      <c r="I14" s="3">
        <f>'12收益表'!I20</f>
        <v>381.92290612959954</v>
      </c>
      <c r="J14" s="3">
        <f>'12收益表'!J20</f>
        <v>643.9892035643993</v>
      </c>
      <c r="K14" s="481">
        <f>K13*'12收益表'!J19</f>
        <v>767.41702334477304</v>
      </c>
      <c r="L14" s="385"/>
      <c r="M14" s="385"/>
      <c r="N14" s="385"/>
    </row>
    <row r="15" spans="2:14" ht="18" customHeight="1">
      <c r="B15" s="63" t="s">
        <v>630</v>
      </c>
      <c r="C15" s="56"/>
      <c r="D15" s="56"/>
      <c r="E15" s="56"/>
      <c r="F15" s="378">
        <f t="shared" ref="F15:J15" si="3">F13-F14</f>
        <v>1612.6075689891006</v>
      </c>
      <c r="G15" s="378">
        <f t="shared" si="3"/>
        <v>2141.5434434133626</v>
      </c>
      <c r="H15" s="378">
        <f t="shared" si="3"/>
        <v>2461.0054380932102</v>
      </c>
      <c r="I15" s="378">
        <f t="shared" si="3"/>
        <v>2648.9078689663288</v>
      </c>
      <c r="J15" s="378">
        <f t="shared" si="3"/>
        <v>2425.6788898146929</v>
      </c>
      <c r="K15" s="378">
        <f>K13-K14</f>
        <v>2302.2510700343191</v>
      </c>
      <c r="L15" s="385"/>
      <c r="M15" s="385"/>
      <c r="N15" s="385"/>
    </row>
    <row r="16" spans="2:14" ht="18" customHeight="1">
      <c r="B16" s="53" t="s">
        <v>413</v>
      </c>
      <c r="C16" s="56"/>
      <c r="D16" s="56"/>
      <c r="E16" s="56"/>
      <c r="F16" s="379">
        <f>'7折旧'!F9+'8摊销'!F7</f>
        <v>684.07805133333318</v>
      </c>
      <c r="G16" s="379">
        <f>'7折旧'!G9+'8摊销'!G7</f>
        <v>722.17805133333309</v>
      </c>
      <c r="H16" s="379">
        <f>'7折旧'!H9+'8摊销'!H7</f>
        <v>391.28937179083346</v>
      </c>
      <c r="I16" s="379">
        <f>'7折旧'!I9+'8摊销'!I7</f>
        <v>204.9376731525</v>
      </c>
      <c r="J16" s="379">
        <f>'7折旧'!J9+'8摊销'!J7</f>
        <v>235.9376731525</v>
      </c>
      <c r="K16" s="379">
        <f>J16</f>
        <v>235.9376731525</v>
      </c>
      <c r="L16" s="385"/>
      <c r="M16" s="385"/>
      <c r="N16" s="385"/>
    </row>
    <row r="17" spans="1:14" ht="18" customHeight="1">
      <c r="B17" s="53" t="s">
        <v>631</v>
      </c>
      <c r="C17" s="56"/>
      <c r="D17" s="56"/>
      <c r="E17" s="56"/>
      <c r="F17" s="379">
        <f>'7折旧'!F10+'8摊销'!F10</f>
        <v>232</v>
      </c>
      <c r="G17" s="379">
        <f>'7折旧'!G10+'8摊销'!G10</f>
        <v>50</v>
      </c>
      <c r="H17" s="379">
        <f>'7折旧'!H10+'8摊销'!H10</f>
        <v>110</v>
      </c>
      <c r="I17" s="379">
        <f>'7折旧'!I10+'8摊销'!I10</f>
        <v>110</v>
      </c>
      <c r="J17" s="379">
        <f>'7折旧'!J10+'8摊销'!J10</f>
        <v>110</v>
      </c>
      <c r="K17" s="380">
        <f>K16</f>
        <v>235.9376731525</v>
      </c>
      <c r="L17" s="385"/>
      <c r="M17" s="385"/>
      <c r="N17" s="385"/>
    </row>
    <row r="18" spans="1:14" ht="18" customHeight="1">
      <c r="B18" s="57" t="s">
        <v>632</v>
      </c>
      <c r="C18" s="55"/>
      <c r="D18" s="56"/>
      <c r="E18" s="56"/>
      <c r="F18" s="379">
        <f>'10营运'!F40</f>
        <v>640.35139808247186</v>
      </c>
      <c r="G18" s="379">
        <f>'10营运'!G40</f>
        <v>721.43724653172558</v>
      </c>
      <c r="H18" s="379">
        <f>'10营运'!H40</f>
        <v>570.29670721068032</v>
      </c>
      <c r="I18" s="379">
        <f>'10营运'!I40</f>
        <v>317.04581503131885</v>
      </c>
      <c r="J18" s="379">
        <f>'10营运'!J40</f>
        <v>121.14597200904427</v>
      </c>
      <c r="K18" s="480">
        <v>0</v>
      </c>
      <c r="L18" s="385"/>
      <c r="M18" s="385"/>
      <c r="N18" s="385"/>
    </row>
    <row r="19" spans="1:14" ht="18" customHeight="1">
      <c r="B19" s="53" t="s">
        <v>633</v>
      </c>
      <c r="C19" s="56"/>
      <c r="D19" s="56"/>
      <c r="E19" s="56"/>
      <c r="F19" s="379" t="str">
        <f>IF('11财务费用'!E10,"模型不适用",0)</f>
        <v>模型不适用</v>
      </c>
      <c r="G19" s="379" t="str">
        <f>IF('11财务费用'!F10,"模型不适用",0)</f>
        <v>模型不适用</v>
      </c>
      <c r="H19" s="379" t="str">
        <f>IF('11财务费用'!G10,"模型不适用",0)</f>
        <v>模型不适用</v>
      </c>
      <c r="I19" s="379" t="str">
        <f>IF('11财务费用'!H10,"模型不适用",0)</f>
        <v>模型不适用</v>
      </c>
      <c r="J19" s="379" t="str">
        <f>IF('11财务费用'!I10,"模型不适用",0)</f>
        <v>模型不适用</v>
      </c>
      <c r="K19" s="480">
        <v>0</v>
      </c>
      <c r="L19" s="385"/>
      <c r="M19" s="385"/>
      <c r="N19" s="385"/>
    </row>
    <row r="20" spans="1:14" ht="18" customHeight="1">
      <c r="B20" s="63" t="s">
        <v>620</v>
      </c>
      <c r="C20" s="56"/>
      <c r="D20" s="56"/>
      <c r="E20" s="56"/>
      <c r="F20" s="378" t="e">
        <f>F15+F16-F17-F18+F19</f>
        <v>#VALUE!</v>
      </c>
      <c r="G20" s="378" t="e">
        <f t="shared" ref="G20:J20" si="4">G15+G16-G17-G18+G19</f>
        <v>#VALUE!</v>
      </c>
      <c r="H20" s="378" t="e">
        <f t="shared" si="4"/>
        <v>#VALUE!</v>
      </c>
      <c r="I20" s="378" t="e">
        <f t="shared" si="4"/>
        <v>#VALUE!</v>
      </c>
      <c r="J20" s="378" t="e">
        <f t="shared" si="4"/>
        <v>#VALUE!</v>
      </c>
      <c r="K20" s="378">
        <f>K15+K16-K17-K18+K19</f>
        <v>2302.2510700343191</v>
      </c>
      <c r="L20" s="385"/>
      <c r="M20" s="385"/>
      <c r="N20" s="385"/>
    </row>
    <row r="21" spans="1:14" s="14" customFormat="1" ht="18" customHeight="1">
      <c r="A21" s="241"/>
      <c r="B21" s="53" t="s">
        <v>634</v>
      </c>
      <c r="C21" s="56"/>
      <c r="D21" s="268"/>
      <c r="E21" s="99"/>
      <c r="F21" s="93">
        <v>1</v>
      </c>
      <c r="G21" s="93">
        <f>1+F21</f>
        <v>2</v>
      </c>
      <c r="H21" s="93">
        <f>1+G21</f>
        <v>3</v>
      </c>
      <c r="I21" s="93">
        <f t="shared" ref="I21:J21" si="5">1+H21</f>
        <v>4</v>
      </c>
      <c r="J21" s="93">
        <f t="shared" si="5"/>
        <v>5</v>
      </c>
      <c r="K21" s="74"/>
    </row>
    <row r="22" spans="1:14" s="14" customFormat="1" ht="18" customHeight="1">
      <c r="A22" s="241"/>
      <c r="B22" s="62" t="s">
        <v>70</v>
      </c>
      <c r="C22" s="55"/>
      <c r="D22" s="268"/>
      <c r="E22" s="97"/>
      <c r="F22" s="78">
        <f>ROUND(F33,4)</f>
        <v>0.1348</v>
      </c>
      <c r="G22" s="78">
        <f>F22</f>
        <v>0.1348</v>
      </c>
      <c r="H22" s="78">
        <f t="shared" ref="H22:J22" si="6">G22</f>
        <v>0.1348</v>
      </c>
      <c r="I22" s="78">
        <f t="shared" si="6"/>
        <v>0.1348</v>
      </c>
      <c r="J22" s="78">
        <f t="shared" si="6"/>
        <v>0.1348</v>
      </c>
      <c r="K22" s="78">
        <f>J22</f>
        <v>0.1348</v>
      </c>
    </row>
    <row r="23" spans="1:14" s="14" customFormat="1" ht="18" customHeight="1">
      <c r="A23" s="241"/>
      <c r="B23" s="54" t="s">
        <v>71</v>
      </c>
      <c r="C23" s="56"/>
      <c r="D23" s="268"/>
      <c r="E23" s="98"/>
      <c r="F23" s="18">
        <f>1/(1+F22)</f>
        <v>0.88121254846669017</v>
      </c>
      <c r="G23" s="18">
        <f>F23/(1+G22)</f>
        <v>0.77653555557515874</v>
      </c>
      <c r="H23" s="18">
        <f>G23/(1+H22)</f>
        <v>0.68429287590338272</v>
      </c>
      <c r="I23" s="18">
        <f>H23/(1+I22)</f>
        <v>0.60300746907242042</v>
      </c>
      <c r="J23" s="18">
        <f t="shared" ref="J23" si="7">I23/(1+J22)</f>
        <v>0.53137774856575648</v>
      </c>
      <c r="K23" s="18">
        <f>J23/K22</f>
        <v>3.9419714285293508</v>
      </c>
    </row>
    <row r="24" spans="1:14" s="14" customFormat="1" ht="18" customHeight="1">
      <c r="A24" s="241"/>
      <c r="B24" s="63" t="s">
        <v>619</v>
      </c>
      <c r="C24" s="56"/>
      <c r="D24" s="387"/>
      <c r="E24" s="64"/>
      <c r="F24" s="10" t="e">
        <f>F20*F23</f>
        <v>#VALUE!</v>
      </c>
      <c r="G24" s="10" t="e">
        <f t="shared" ref="G24:I24" si="8">G20*G23</f>
        <v>#VALUE!</v>
      </c>
      <c r="H24" s="10" t="e">
        <f t="shared" si="8"/>
        <v>#VALUE!</v>
      </c>
      <c r="I24" s="10" t="e">
        <f t="shared" si="8"/>
        <v>#VALUE!</v>
      </c>
      <c r="J24" s="10" t="e">
        <f>J20*J23</f>
        <v>#VALUE!</v>
      </c>
      <c r="K24" s="10">
        <f>K20*K23</f>
        <v>9075.4079393764114</v>
      </c>
    </row>
    <row r="25" spans="1:14" s="14" customFormat="1" ht="18" customHeight="1">
      <c r="A25" s="241"/>
      <c r="B25" s="63" t="s">
        <v>621</v>
      </c>
      <c r="C25" s="56"/>
      <c r="D25" s="268"/>
      <c r="E25" s="64"/>
      <c r="F25" s="10" t="e">
        <f>SUM(F24:K24)</f>
        <v>#VALUE!</v>
      </c>
      <c r="K25" s="26"/>
      <c r="L25" s="269"/>
    </row>
    <row r="26" spans="1:14" ht="18" customHeight="1">
      <c r="B26" s="381"/>
      <c r="C26" s="381"/>
      <c r="D26" s="381"/>
      <c r="E26" s="381"/>
      <c r="F26" s="474"/>
      <c r="G26" s="474"/>
      <c r="H26" s="474"/>
      <c r="I26" s="474"/>
      <c r="J26" s="474"/>
      <c r="K26" s="474"/>
      <c r="L26" s="385"/>
      <c r="M26" s="385"/>
      <c r="N26" s="385"/>
    </row>
    <row r="27" spans="1:14" ht="18" customHeight="1">
      <c r="B27" s="39" t="s">
        <v>616</v>
      </c>
      <c r="D27" s="391"/>
      <c r="F27" s="390"/>
      <c r="G27" s="382"/>
      <c r="H27" s="474"/>
      <c r="I27" s="382"/>
      <c r="J27" s="382"/>
      <c r="K27" s="382"/>
      <c r="L27" s="385"/>
      <c r="M27" s="385"/>
      <c r="N27" s="385"/>
    </row>
    <row r="28" spans="1:14" s="14" customFormat="1" ht="18" customHeight="1">
      <c r="A28" s="241"/>
      <c r="B28" s="137" t="s">
        <v>622</v>
      </c>
      <c r="C28" s="56"/>
      <c r="D28" s="56"/>
      <c r="E28" s="102"/>
      <c r="F28" s="30" t="s">
        <v>690</v>
      </c>
      <c r="G28" s="382"/>
      <c r="H28" s="474"/>
      <c r="I28" s="382"/>
      <c r="J28" s="382"/>
      <c r="K28" s="382"/>
    </row>
    <row r="29" spans="1:14" ht="18" customHeight="1">
      <c r="B29" s="71" t="s">
        <v>635</v>
      </c>
      <c r="C29" s="56"/>
      <c r="D29" s="103"/>
      <c r="E29" s="103"/>
      <c r="F29" s="393">
        <v>4.41E-2</v>
      </c>
      <c r="G29" s="382"/>
      <c r="H29" s="474"/>
      <c r="I29" s="382"/>
      <c r="J29" s="382"/>
      <c r="K29" s="604"/>
      <c r="L29" s="479"/>
      <c r="M29" s="479"/>
      <c r="N29" s="479"/>
    </row>
    <row r="30" spans="1:14" ht="18" customHeight="1">
      <c r="B30" s="71" t="s">
        <v>636</v>
      </c>
      <c r="C30" s="56"/>
      <c r="D30" s="103"/>
      <c r="E30" s="103"/>
      <c r="F30" s="393">
        <v>6.5600000000000006E-2</v>
      </c>
      <c r="G30" s="382"/>
      <c r="H30" s="474"/>
      <c r="I30" s="382"/>
      <c r="J30" s="382"/>
      <c r="K30" s="604"/>
      <c r="L30" s="479"/>
      <c r="M30" s="479"/>
      <c r="N30" s="479"/>
    </row>
    <row r="31" spans="1:14" ht="18" customHeight="1">
      <c r="B31" s="71" t="s">
        <v>689</v>
      </c>
      <c r="C31" s="56"/>
      <c r="D31" s="103"/>
      <c r="E31" s="103"/>
      <c r="F31" s="394">
        <v>0.92569999999999997</v>
      </c>
      <c r="G31" s="382"/>
      <c r="H31" s="474"/>
      <c r="I31" s="382"/>
      <c r="J31" s="382"/>
      <c r="K31" s="604"/>
      <c r="L31" s="479"/>
      <c r="M31" s="479"/>
      <c r="N31" s="479"/>
    </row>
    <row r="32" spans="1:14" ht="18" customHeight="1">
      <c r="B32" s="71" t="s">
        <v>637</v>
      </c>
      <c r="C32" s="56"/>
      <c r="D32" s="103"/>
      <c r="E32" s="103"/>
      <c r="F32" s="393">
        <v>0.03</v>
      </c>
      <c r="G32" s="382"/>
      <c r="H32" s="474"/>
      <c r="I32" s="382"/>
      <c r="J32" s="382"/>
      <c r="K32" s="604"/>
      <c r="L32" s="479"/>
      <c r="M32" s="479"/>
      <c r="N32" s="479"/>
    </row>
    <row r="33" spans="2:14" ht="18" customHeight="1">
      <c r="B33" s="71" t="s">
        <v>649</v>
      </c>
      <c r="C33" s="56"/>
      <c r="D33" s="103"/>
      <c r="E33" s="103"/>
      <c r="F33" s="383">
        <f>F29+F31*F30+F32</f>
        <v>0.13482591999999999</v>
      </c>
      <c r="G33" s="382"/>
      <c r="H33" s="474"/>
      <c r="I33" s="382"/>
      <c r="J33" s="382"/>
      <c r="K33" s="382"/>
      <c r="L33" s="385"/>
      <c r="M33" s="385"/>
      <c r="N33" s="385"/>
    </row>
    <row r="34" spans="2:14" ht="18" customHeight="1">
      <c r="B34" s="384" t="s">
        <v>618</v>
      </c>
      <c r="C34" s="384"/>
      <c r="D34" s="384"/>
      <c r="F34" s="382"/>
      <c r="G34" s="382"/>
      <c r="H34" s="474"/>
      <c r="I34" s="382"/>
      <c r="J34" s="382"/>
      <c r="K34" s="382"/>
      <c r="L34" s="385"/>
      <c r="M34" s="385"/>
      <c r="N34" s="385"/>
    </row>
    <row r="35" spans="2:14" ht="18" customHeight="1">
      <c r="B35" s="526"/>
      <c r="C35" s="55"/>
      <c r="D35" s="55"/>
      <c r="E35" s="527"/>
      <c r="F35" s="527"/>
      <c r="G35" s="527"/>
      <c r="H35" s="527"/>
      <c r="I35" s="527"/>
      <c r="J35" s="527"/>
      <c r="K35" s="527"/>
      <c r="L35" s="385"/>
      <c r="M35" s="385"/>
      <c r="N35" s="385"/>
    </row>
    <row r="36" spans="2:14" ht="18" customHeight="1">
      <c r="B36" s="39" t="s">
        <v>207</v>
      </c>
      <c r="C36" s="14"/>
      <c r="D36" s="14"/>
      <c r="E36" s="14"/>
      <c r="F36" s="14"/>
      <c r="G36" s="14"/>
      <c r="H36" s="14"/>
      <c r="I36" s="14"/>
      <c r="J36" s="14"/>
      <c r="K36" s="14"/>
      <c r="L36" s="385"/>
      <c r="M36" s="385"/>
      <c r="N36" s="385"/>
    </row>
    <row r="37" spans="2:14" ht="18" customHeight="1">
      <c r="B37" s="153" t="s">
        <v>622</v>
      </c>
      <c r="C37" s="56"/>
      <c r="D37" s="56"/>
      <c r="E37" s="56"/>
      <c r="F37" s="154" t="s">
        <v>73</v>
      </c>
      <c r="G37" s="154" t="s">
        <v>74</v>
      </c>
      <c r="L37" s="385"/>
      <c r="M37" s="385"/>
      <c r="N37" s="385"/>
    </row>
    <row r="38" spans="2:14" ht="18" customHeight="1">
      <c r="B38" s="66" t="s">
        <v>619</v>
      </c>
      <c r="C38" s="56"/>
      <c r="D38" s="56"/>
      <c r="E38" s="56"/>
      <c r="F38" s="3" t="e">
        <f>F25</f>
        <v>#VALUE!</v>
      </c>
      <c r="G38" s="3"/>
      <c r="L38" s="385"/>
      <c r="M38" s="385"/>
      <c r="N38" s="385"/>
    </row>
    <row r="39" spans="2:14" ht="18" customHeight="1">
      <c r="B39" s="66" t="s">
        <v>638</v>
      </c>
      <c r="C39" s="56"/>
      <c r="D39" s="56"/>
      <c r="E39" s="56"/>
      <c r="F39" s="101">
        <f>'2报表调整'!F80</f>
        <v>37.45312775000005</v>
      </c>
      <c r="G39" s="3"/>
      <c r="L39" s="385"/>
      <c r="M39" s="385"/>
      <c r="N39" s="385"/>
    </row>
    <row r="40" spans="2:14" ht="18" customHeight="1">
      <c r="B40" s="66" t="s">
        <v>639</v>
      </c>
      <c r="C40" s="56"/>
      <c r="D40" s="56"/>
      <c r="E40" s="56"/>
      <c r="F40" s="85">
        <f>'2报表调整'!N43</f>
        <v>83.680217999999996</v>
      </c>
      <c r="G40" s="3"/>
      <c r="L40" s="385"/>
      <c r="M40" s="385"/>
      <c r="N40" s="385"/>
    </row>
    <row r="41" spans="2:14" ht="18" customHeight="1">
      <c r="B41" s="66" t="s">
        <v>640</v>
      </c>
      <c r="C41" s="56"/>
      <c r="D41" s="56"/>
      <c r="E41" s="56"/>
      <c r="F41" s="85">
        <f>'2报表调整'!N70</f>
        <v>1415.2446359999999</v>
      </c>
      <c r="G41" s="3"/>
      <c r="L41" s="385"/>
      <c r="M41" s="385"/>
      <c r="N41" s="385"/>
    </row>
    <row r="42" spans="2:14" ht="18" customHeight="1">
      <c r="B42" s="67" t="s">
        <v>404</v>
      </c>
      <c r="C42" s="56"/>
      <c r="D42" s="56"/>
      <c r="F42" s="10" t="e">
        <f>F38+F39+F40-F41</f>
        <v>#VALUE!</v>
      </c>
      <c r="G42" s="3"/>
      <c r="L42" s="385"/>
      <c r="M42" s="385"/>
      <c r="N42" s="385"/>
    </row>
    <row r="43" spans="2:14" ht="18" customHeight="1">
      <c r="B43" s="66" t="s">
        <v>641</v>
      </c>
      <c r="C43" s="56"/>
      <c r="D43" s="56"/>
      <c r="E43" s="56"/>
      <c r="F43" s="3"/>
      <c r="G43" s="3"/>
      <c r="L43" s="385"/>
      <c r="M43" s="385"/>
      <c r="N43" s="385"/>
    </row>
    <row r="44" spans="2:14" ht="18" customHeight="1">
      <c r="B44" s="66" t="s">
        <v>642</v>
      </c>
      <c r="C44" s="56"/>
      <c r="D44" s="56"/>
      <c r="E44" s="56"/>
      <c r="F44" s="3"/>
      <c r="G44" s="3"/>
      <c r="L44" s="385"/>
      <c r="M44" s="385"/>
      <c r="N44" s="385"/>
    </row>
    <row r="45" spans="2:14" ht="18" customHeight="1">
      <c r="B45" s="66" t="s">
        <v>643</v>
      </c>
      <c r="C45" s="56"/>
      <c r="D45" s="56"/>
      <c r="E45" s="56"/>
      <c r="F45" s="3"/>
      <c r="G45" s="3"/>
      <c r="I45" s="396"/>
      <c r="L45" s="385"/>
      <c r="M45" s="385"/>
      <c r="N45" s="385"/>
    </row>
    <row r="46" spans="2:14" ht="18" customHeight="1">
      <c r="B46" s="66" t="s">
        <v>644</v>
      </c>
      <c r="C46" s="56"/>
      <c r="D46" s="56"/>
      <c r="E46" s="56"/>
      <c r="F46" s="3" t="e">
        <f>F42-SUM(F43:F45)</f>
        <v>#VALUE!</v>
      </c>
      <c r="G46" s="3"/>
      <c r="I46" s="396"/>
      <c r="L46" s="385"/>
      <c r="M46" s="385"/>
      <c r="N46" s="385"/>
    </row>
    <row r="47" spans="2:14" ht="18" customHeight="1">
      <c r="B47" s="67" t="s">
        <v>127</v>
      </c>
      <c r="C47" s="56"/>
      <c r="D47" s="56"/>
      <c r="F47" s="10" t="e">
        <f>ROUND(F46,-1)</f>
        <v>#VALUE!</v>
      </c>
      <c r="G47" s="3"/>
      <c r="I47" s="396"/>
      <c r="J47" s="479"/>
      <c r="L47" s="385"/>
      <c r="M47" s="385"/>
      <c r="N47" s="385"/>
    </row>
    <row r="48" spans="2:14" ht="18" customHeight="1">
      <c r="B48" s="66" t="s">
        <v>645</v>
      </c>
      <c r="C48" s="56"/>
      <c r="D48" s="56"/>
      <c r="E48" s="56"/>
      <c r="F48" s="3"/>
      <c r="G48" s="8" t="s">
        <v>75</v>
      </c>
      <c r="L48" s="385"/>
      <c r="M48" s="385"/>
      <c r="N48" s="385"/>
    </row>
    <row r="49" spans="2:14" ht="18" customHeight="1">
      <c r="B49" s="66" t="s">
        <v>646</v>
      </c>
      <c r="C49" s="56"/>
      <c r="D49" s="56"/>
      <c r="E49" s="56"/>
      <c r="F49" s="3"/>
      <c r="G49" s="8" t="s">
        <v>75</v>
      </c>
      <c r="L49" s="385"/>
      <c r="M49" s="385"/>
      <c r="N49" s="385"/>
    </row>
    <row r="50" spans="2:14" ht="18" customHeight="1">
      <c r="B50" s="66" t="s">
        <v>647</v>
      </c>
      <c r="C50" s="56"/>
      <c r="D50" s="56"/>
      <c r="E50" s="56"/>
      <c r="F50" s="272"/>
      <c r="G50" s="3"/>
      <c r="L50" s="385"/>
      <c r="M50" s="385"/>
      <c r="N50" s="385"/>
    </row>
    <row r="51" spans="2:14" ht="18" customHeight="1">
      <c r="B51" s="66" t="s">
        <v>648</v>
      </c>
      <c r="C51" s="56"/>
      <c r="D51" s="56"/>
      <c r="E51" s="56"/>
      <c r="F51" s="3" t="e">
        <f>F47*F50</f>
        <v>#VALUE!</v>
      </c>
      <c r="G51" s="3"/>
      <c r="L51" s="385"/>
      <c r="M51" s="385"/>
      <c r="N51" s="385"/>
    </row>
    <row r="52" spans="2:14" ht="18" customHeight="1">
      <c r="L52" s="385"/>
      <c r="M52" s="385"/>
      <c r="N52" s="385"/>
    </row>
    <row r="53" spans="2:14" ht="18" customHeight="1">
      <c r="B53" s="476" t="s">
        <v>691</v>
      </c>
      <c r="L53" s="385"/>
      <c r="M53" s="385"/>
      <c r="N53" s="385"/>
    </row>
    <row r="54" spans="2:14" ht="18" customHeight="1">
      <c r="B54" s="554" t="s">
        <v>692</v>
      </c>
      <c r="L54" s="385"/>
      <c r="M54" s="385"/>
      <c r="N54" s="385"/>
    </row>
    <row r="55" spans="2:14" ht="18" customHeight="1">
      <c r="L55" s="385"/>
      <c r="M55" s="385"/>
      <c r="N55" s="385"/>
    </row>
    <row r="56" spans="2:14" ht="18" customHeight="1">
      <c r="L56" s="385"/>
      <c r="M56" s="385"/>
      <c r="N56" s="385"/>
    </row>
    <row r="57" spans="2:14" ht="18" customHeight="1">
      <c r="L57" s="385"/>
      <c r="M57" s="385"/>
      <c r="N57" s="385"/>
    </row>
    <row r="58" spans="2:14" ht="18" customHeight="1">
      <c r="L58" s="385"/>
      <c r="M58" s="385"/>
      <c r="N58" s="385"/>
    </row>
    <row r="59" spans="2:14" ht="18" customHeight="1">
      <c r="L59" s="385"/>
      <c r="M59" s="385"/>
      <c r="N59" s="385"/>
    </row>
    <row r="60" spans="2:14" ht="18" customHeight="1">
      <c r="L60" s="385"/>
      <c r="M60" s="385"/>
      <c r="N60" s="385"/>
    </row>
    <row r="61" spans="2:14" ht="18" customHeight="1">
      <c r="L61" s="385"/>
      <c r="M61" s="385"/>
      <c r="N61" s="385"/>
    </row>
    <row r="62" spans="2:14" ht="18" customHeight="1">
      <c r="L62" s="385"/>
      <c r="M62" s="385"/>
      <c r="N62" s="385"/>
    </row>
    <row r="63" spans="2:14" ht="18" customHeight="1">
      <c r="L63" s="385"/>
      <c r="M63" s="385"/>
      <c r="N63" s="385"/>
    </row>
    <row r="64" spans="2:14" ht="18" customHeight="1">
      <c r="L64" s="385"/>
      <c r="M64" s="385"/>
      <c r="N64" s="385"/>
    </row>
    <row r="65" spans="12:14" ht="18" customHeight="1">
      <c r="L65" s="385"/>
      <c r="M65" s="385"/>
      <c r="N65" s="385"/>
    </row>
    <row r="66" spans="12:14" ht="18" customHeight="1">
      <c r="L66" s="385"/>
      <c r="M66" s="385"/>
      <c r="N66" s="385"/>
    </row>
    <row r="67" spans="12:14" ht="18" customHeight="1">
      <c r="L67" s="385"/>
      <c r="M67" s="385"/>
      <c r="N67" s="385"/>
    </row>
    <row r="68" spans="12:14" ht="18" customHeight="1">
      <c r="L68" s="385"/>
      <c r="M68" s="385"/>
      <c r="N68" s="385"/>
    </row>
    <row r="69" spans="12:14" ht="18" customHeight="1">
      <c r="L69" s="385"/>
      <c r="M69" s="385"/>
      <c r="N69" s="385"/>
    </row>
    <row r="70" spans="12:14" ht="18" customHeight="1">
      <c r="L70" s="385"/>
      <c r="M70" s="385"/>
      <c r="N70" s="385"/>
    </row>
    <row r="71" spans="12:14" ht="18" customHeight="1">
      <c r="L71" s="385"/>
      <c r="M71" s="385"/>
      <c r="N71" s="385"/>
    </row>
    <row r="72" spans="12:14" ht="18" customHeight="1">
      <c r="L72" s="385"/>
      <c r="M72" s="385"/>
      <c r="N72" s="385"/>
    </row>
    <row r="73" spans="12:14" ht="18" customHeight="1">
      <c r="L73" s="385"/>
      <c r="M73" s="385"/>
      <c r="N73" s="385"/>
    </row>
    <row r="74" spans="12:14" ht="18" customHeight="1">
      <c r="L74" s="385"/>
      <c r="M74" s="385"/>
      <c r="N74" s="385"/>
    </row>
    <row r="75" spans="12:14" ht="18" customHeight="1">
      <c r="L75" s="385"/>
      <c r="M75" s="385"/>
      <c r="N75" s="385"/>
    </row>
    <row r="76" spans="12:14" ht="18" customHeight="1">
      <c r="L76" s="385"/>
      <c r="M76" s="385"/>
      <c r="N76" s="385"/>
    </row>
    <row r="77" spans="12:14" ht="18" customHeight="1">
      <c r="L77" s="385"/>
      <c r="M77" s="385"/>
      <c r="N77" s="385"/>
    </row>
    <row r="78" spans="12:14" ht="18" customHeight="1">
      <c r="L78" s="385"/>
      <c r="M78" s="385"/>
      <c r="N78" s="385"/>
    </row>
    <row r="79" spans="12:14" ht="18" customHeight="1">
      <c r="L79" s="385"/>
      <c r="M79" s="385"/>
      <c r="N79" s="385"/>
    </row>
    <row r="80" spans="12:14" ht="18" customHeight="1">
      <c r="L80" s="385"/>
      <c r="M80" s="385"/>
      <c r="N80" s="385"/>
    </row>
    <row r="81" spans="12:14" ht="18" customHeight="1">
      <c r="L81" s="385"/>
      <c r="M81" s="385"/>
      <c r="N81" s="385"/>
    </row>
    <row r="82" spans="12:14" ht="18" customHeight="1">
      <c r="L82" s="385"/>
      <c r="M82" s="385"/>
      <c r="N82" s="385"/>
    </row>
    <row r="83" spans="12:14" ht="18" customHeight="1">
      <c r="L83" s="385"/>
      <c r="M83" s="385"/>
      <c r="N83" s="385"/>
    </row>
    <row r="84" spans="12:14" ht="18" customHeight="1">
      <c r="L84" s="385"/>
      <c r="M84" s="385"/>
      <c r="N84" s="385"/>
    </row>
    <row r="85" spans="12:14" ht="18" customHeight="1">
      <c r="L85" s="385"/>
      <c r="M85" s="385"/>
      <c r="N85" s="385"/>
    </row>
    <row r="86" spans="12:14" ht="18" customHeight="1">
      <c r="L86" s="385"/>
      <c r="M86" s="385"/>
      <c r="N86" s="385"/>
    </row>
    <row r="87" spans="12:14" ht="18" customHeight="1">
      <c r="L87" s="385"/>
      <c r="M87" s="385"/>
      <c r="N87" s="385"/>
    </row>
    <row r="88" spans="12:14" ht="18" customHeight="1">
      <c r="L88" s="385"/>
      <c r="M88" s="385"/>
      <c r="N88" s="385"/>
    </row>
    <row r="89" spans="12:14" ht="18" customHeight="1">
      <c r="L89" s="385"/>
      <c r="M89" s="385"/>
      <c r="N89" s="385"/>
    </row>
    <row r="90" spans="12:14" ht="18" customHeight="1">
      <c r="L90" s="385"/>
      <c r="M90" s="385"/>
      <c r="N90" s="385"/>
    </row>
    <row r="91" spans="12:14" ht="18" customHeight="1">
      <c r="L91" s="385"/>
      <c r="M91" s="385"/>
      <c r="N91" s="385"/>
    </row>
    <row r="92" spans="12:14" ht="18" customHeight="1">
      <c r="L92" s="385"/>
      <c r="M92" s="385"/>
      <c r="N92" s="385"/>
    </row>
    <row r="93" spans="12:14" ht="18" customHeight="1">
      <c r="L93" s="385"/>
      <c r="M93" s="385"/>
      <c r="N93" s="385"/>
    </row>
    <row r="94" spans="12:14" ht="18" customHeight="1">
      <c r="L94" s="385"/>
      <c r="M94" s="385"/>
      <c r="N94" s="385"/>
    </row>
    <row r="95" spans="12:14" ht="18" customHeight="1">
      <c r="L95" s="385"/>
      <c r="M95" s="385"/>
      <c r="N95" s="385"/>
    </row>
    <row r="96" spans="12:14" ht="18" customHeight="1">
      <c r="L96" s="385"/>
      <c r="M96" s="385"/>
      <c r="N96" s="385"/>
    </row>
    <row r="97" spans="12:14" ht="18" customHeight="1">
      <c r="L97" s="385"/>
      <c r="M97" s="385"/>
      <c r="N97" s="385"/>
    </row>
    <row r="98" spans="12:14" ht="18" customHeight="1">
      <c r="L98" s="385"/>
      <c r="M98" s="385"/>
      <c r="N98" s="385"/>
    </row>
    <row r="99" spans="12:14" ht="18" customHeight="1">
      <c r="L99" s="385"/>
      <c r="M99" s="385"/>
      <c r="N99" s="385"/>
    </row>
    <row r="100" spans="12:14" ht="18" customHeight="1">
      <c r="L100" s="385"/>
      <c r="M100" s="385"/>
      <c r="N100" s="385"/>
    </row>
    <row r="101" spans="12:14" ht="18" customHeight="1">
      <c r="L101" s="385"/>
      <c r="M101" s="385"/>
      <c r="N101" s="385"/>
    </row>
    <row r="102" spans="12:14" ht="18" customHeight="1">
      <c r="L102" s="385"/>
      <c r="M102" s="385"/>
      <c r="N102" s="385"/>
    </row>
    <row r="103" spans="12:14" ht="18" customHeight="1">
      <c r="L103" s="385"/>
      <c r="M103" s="385"/>
      <c r="N103" s="385"/>
    </row>
    <row r="104" spans="12:14" ht="18" customHeight="1">
      <c r="L104" s="385"/>
      <c r="M104" s="385"/>
      <c r="N104" s="385"/>
    </row>
    <row r="105" spans="12:14" ht="18" customHeight="1">
      <c r="L105" s="385"/>
      <c r="M105" s="385"/>
      <c r="N105" s="385"/>
    </row>
    <row r="106" spans="12:14" ht="18" customHeight="1">
      <c r="L106" s="385"/>
      <c r="M106" s="385"/>
      <c r="N106" s="385"/>
    </row>
    <row r="107" spans="12:14" ht="18" customHeight="1">
      <c r="L107" s="385"/>
      <c r="M107" s="385"/>
      <c r="N107" s="385"/>
    </row>
    <row r="108" spans="12:14" ht="18" customHeight="1">
      <c r="L108" s="385"/>
      <c r="M108" s="385"/>
      <c r="N108" s="385"/>
    </row>
    <row r="109" spans="12:14" ht="18" customHeight="1">
      <c r="L109" s="385"/>
      <c r="M109" s="385"/>
      <c r="N109" s="385"/>
    </row>
    <row r="110" spans="12:14" ht="18" customHeight="1">
      <c r="L110" s="385"/>
      <c r="M110" s="385"/>
      <c r="N110" s="385"/>
    </row>
    <row r="111" spans="12:14" ht="18" customHeight="1">
      <c r="L111" s="385"/>
      <c r="M111" s="385"/>
      <c r="N111" s="385"/>
    </row>
    <row r="112" spans="12:14" ht="18" customHeight="1">
      <c r="L112" s="385"/>
      <c r="M112" s="385"/>
      <c r="N112" s="385"/>
    </row>
    <row r="113" spans="12:14" ht="18" customHeight="1">
      <c r="L113" s="385"/>
      <c r="M113" s="385"/>
      <c r="N113" s="385"/>
    </row>
    <row r="114" spans="12:14" ht="18" customHeight="1">
      <c r="L114" s="385"/>
      <c r="M114" s="385"/>
      <c r="N114" s="385"/>
    </row>
    <row r="115" spans="12:14" ht="18" customHeight="1">
      <c r="L115" s="385"/>
      <c r="M115" s="385"/>
      <c r="N115" s="385"/>
    </row>
    <row r="116" spans="12:14" ht="18" customHeight="1">
      <c r="L116" s="385"/>
      <c r="M116" s="385"/>
      <c r="N116" s="385"/>
    </row>
    <row r="117" spans="12:14" ht="18" customHeight="1">
      <c r="L117" s="385"/>
      <c r="M117" s="385"/>
      <c r="N117" s="385"/>
    </row>
    <row r="118" spans="12:14" ht="18" customHeight="1">
      <c r="L118" s="385"/>
      <c r="M118" s="385"/>
      <c r="N118" s="385"/>
    </row>
    <row r="119" spans="12:14" ht="18" customHeight="1">
      <c r="L119" s="385"/>
      <c r="M119" s="385"/>
      <c r="N119" s="385"/>
    </row>
    <row r="120" spans="12:14" ht="18" customHeight="1">
      <c r="L120" s="385"/>
      <c r="M120" s="385"/>
      <c r="N120" s="385"/>
    </row>
    <row r="121" spans="12:14" ht="18" customHeight="1">
      <c r="L121" s="385"/>
      <c r="M121" s="385"/>
      <c r="N121" s="385"/>
    </row>
    <row r="122" spans="12:14" ht="18" customHeight="1">
      <c r="L122" s="385"/>
      <c r="M122" s="385"/>
      <c r="N122" s="385"/>
    </row>
    <row r="123" spans="12:14" ht="18" customHeight="1">
      <c r="L123" s="385"/>
      <c r="M123" s="385"/>
      <c r="N123" s="385"/>
    </row>
    <row r="124" spans="12:14" ht="18" customHeight="1">
      <c r="L124" s="385"/>
      <c r="M124" s="385"/>
      <c r="N124" s="385"/>
    </row>
    <row r="125" spans="12:14" ht="18" customHeight="1">
      <c r="L125" s="385"/>
      <c r="M125" s="385"/>
      <c r="N125" s="385"/>
    </row>
    <row r="126" spans="12:14" ht="18" customHeight="1">
      <c r="L126" s="385"/>
      <c r="M126" s="385"/>
      <c r="N126" s="385"/>
    </row>
    <row r="127" spans="12:14" ht="18" customHeight="1">
      <c r="L127" s="385"/>
      <c r="M127" s="385"/>
      <c r="N127" s="385"/>
    </row>
    <row r="128" spans="12:14" ht="18" customHeight="1">
      <c r="L128" s="385"/>
      <c r="M128" s="385"/>
      <c r="N128" s="385"/>
    </row>
    <row r="129" spans="12:14" ht="18" customHeight="1">
      <c r="L129" s="385"/>
      <c r="M129" s="385"/>
      <c r="N129" s="385"/>
    </row>
    <row r="130" spans="12:14" ht="18" customHeight="1">
      <c r="L130" s="385"/>
      <c r="M130" s="385"/>
      <c r="N130" s="385"/>
    </row>
    <row r="131" spans="12:14" ht="18" customHeight="1">
      <c r="L131" s="385"/>
      <c r="M131" s="385"/>
      <c r="N131" s="385"/>
    </row>
    <row r="132" spans="12:14" ht="18" customHeight="1">
      <c r="L132" s="385"/>
      <c r="M132" s="385"/>
      <c r="N132" s="385"/>
    </row>
    <row r="133" spans="12:14" ht="18" customHeight="1">
      <c r="L133" s="385"/>
      <c r="M133" s="385"/>
      <c r="N133" s="385"/>
    </row>
    <row r="134" spans="12:14" ht="18" customHeight="1">
      <c r="L134" s="385"/>
      <c r="M134" s="385"/>
      <c r="N134" s="385"/>
    </row>
    <row r="135" spans="12:14" ht="18" customHeight="1">
      <c r="L135" s="385"/>
      <c r="M135" s="385"/>
      <c r="N135" s="385"/>
    </row>
    <row r="136" spans="12:14" ht="18" customHeight="1">
      <c r="L136" s="385"/>
      <c r="M136" s="385"/>
      <c r="N136" s="385"/>
    </row>
    <row r="137" spans="12:14" ht="18" customHeight="1">
      <c r="L137" s="385"/>
      <c r="M137" s="385"/>
      <c r="N137" s="385"/>
    </row>
    <row r="138" spans="12:14" ht="18" customHeight="1">
      <c r="L138" s="385"/>
      <c r="M138" s="385"/>
      <c r="N138" s="385"/>
    </row>
    <row r="139" spans="12:14" ht="18" customHeight="1">
      <c r="L139" s="385"/>
      <c r="M139" s="385"/>
      <c r="N139" s="385"/>
    </row>
    <row r="140" spans="12:14" ht="18" customHeight="1">
      <c r="L140" s="385"/>
      <c r="M140" s="385"/>
      <c r="N140" s="385"/>
    </row>
    <row r="141" spans="12:14" ht="18" customHeight="1">
      <c r="L141" s="385"/>
      <c r="M141" s="385"/>
      <c r="N141" s="385"/>
    </row>
    <row r="142" spans="12:14" ht="18" customHeight="1">
      <c r="L142" s="385"/>
      <c r="M142" s="385"/>
      <c r="N142" s="385"/>
    </row>
    <row r="143" spans="12:14" ht="18" customHeight="1">
      <c r="L143" s="385"/>
      <c r="M143" s="385"/>
      <c r="N143" s="385"/>
    </row>
    <row r="144" spans="12:14" ht="18" customHeight="1">
      <c r="L144" s="385"/>
      <c r="M144" s="385"/>
      <c r="N144" s="385"/>
    </row>
    <row r="145" spans="12:14" ht="18" customHeight="1">
      <c r="L145" s="385"/>
      <c r="M145" s="385"/>
      <c r="N145" s="385"/>
    </row>
    <row r="146" spans="12:14" ht="18" customHeight="1">
      <c r="L146" s="385"/>
      <c r="M146" s="385"/>
      <c r="N146" s="385"/>
    </row>
    <row r="147" spans="12:14" ht="18" customHeight="1">
      <c r="L147" s="385"/>
      <c r="M147" s="385"/>
      <c r="N147" s="385"/>
    </row>
    <row r="148" spans="12:14" ht="18" customHeight="1">
      <c r="L148" s="385"/>
      <c r="M148" s="385"/>
      <c r="N148" s="385"/>
    </row>
    <row r="149" spans="12:14" ht="18" customHeight="1">
      <c r="L149" s="385"/>
      <c r="M149" s="385"/>
      <c r="N149" s="385"/>
    </row>
    <row r="150" spans="12:14" ht="18" customHeight="1">
      <c r="L150" s="385"/>
      <c r="M150" s="385"/>
      <c r="N150" s="385"/>
    </row>
    <row r="151" spans="12:14" ht="18" customHeight="1">
      <c r="L151" s="385"/>
      <c r="M151" s="385"/>
      <c r="N151" s="385"/>
    </row>
    <row r="152" spans="12:14" ht="18" customHeight="1">
      <c r="L152" s="385"/>
      <c r="M152" s="385"/>
      <c r="N152" s="385"/>
    </row>
    <row r="153" spans="12:14" ht="18" customHeight="1">
      <c r="L153" s="385"/>
      <c r="M153" s="385"/>
      <c r="N153" s="385"/>
    </row>
    <row r="154" spans="12:14" ht="18" customHeight="1">
      <c r="L154" s="385"/>
      <c r="M154" s="385"/>
      <c r="N154" s="385"/>
    </row>
    <row r="155" spans="12:14" ht="18" customHeight="1">
      <c r="L155" s="385"/>
      <c r="M155" s="385"/>
      <c r="N155" s="385"/>
    </row>
    <row r="156" spans="12:14" ht="18" customHeight="1">
      <c r="L156" s="385"/>
      <c r="M156" s="385"/>
      <c r="N156" s="385"/>
    </row>
    <row r="157" spans="12:14" ht="18" customHeight="1">
      <c r="L157" s="385"/>
      <c r="M157" s="385"/>
      <c r="N157" s="385"/>
    </row>
    <row r="158" spans="12:14" ht="18" customHeight="1">
      <c r="L158" s="385"/>
      <c r="M158" s="385"/>
      <c r="N158" s="385"/>
    </row>
    <row r="159" spans="12:14" ht="18" customHeight="1">
      <c r="L159" s="385"/>
      <c r="M159" s="385"/>
      <c r="N159" s="385"/>
    </row>
    <row r="160" spans="12:14" ht="18" customHeight="1">
      <c r="L160" s="385"/>
      <c r="M160" s="385"/>
      <c r="N160" s="385"/>
    </row>
    <row r="161" spans="12:14" ht="18" customHeight="1">
      <c r="L161" s="385"/>
      <c r="M161" s="385"/>
      <c r="N161" s="385"/>
    </row>
    <row r="162" spans="12:14" ht="18" customHeight="1">
      <c r="L162" s="385"/>
      <c r="M162" s="385"/>
      <c r="N162" s="385"/>
    </row>
    <row r="163" spans="12:14" ht="18" customHeight="1">
      <c r="L163" s="385"/>
      <c r="M163" s="385"/>
      <c r="N163" s="385"/>
    </row>
    <row r="164" spans="12:14" ht="18" customHeight="1">
      <c r="L164" s="385"/>
      <c r="M164" s="385"/>
      <c r="N164" s="385"/>
    </row>
    <row r="165" spans="12:14" ht="18" customHeight="1">
      <c r="L165" s="385"/>
      <c r="M165" s="385"/>
      <c r="N165" s="385"/>
    </row>
    <row r="166" spans="12:14" ht="18" customHeight="1">
      <c r="L166" s="385"/>
      <c r="M166" s="385"/>
      <c r="N166" s="385"/>
    </row>
    <row r="167" spans="12:14" ht="18" customHeight="1">
      <c r="L167" s="385"/>
      <c r="M167" s="385"/>
      <c r="N167" s="385"/>
    </row>
    <row r="168" spans="12:14" ht="18" customHeight="1">
      <c r="L168" s="385"/>
      <c r="M168" s="385"/>
      <c r="N168" s="385"/>
    </row>
    <row r="169" spans="12:14" ht="18" customHeight="1">
      <c r="L169" s="385"/>
      <c r="M169" s="385"/>
      <c r="N169" s="385"/>
    </row>
    <row r="170" spans="12:14" ht="18" customHeight="1">
      <c r="L170" s="385"/>
      <c r="M170" s="385"/>
      <c r="N170" s="385"/>
    </row>
    <row r="171" spans="12:14" ht="18" customHeight="1">
      <c r="L171" s="385"/>
      <c r="M171" s="385"/>
      <c r="N171" s="385"/>
    </row>
    <row r="172" spans="12:14" ht="18" customHeight="1">
      <c r="L172" s="385"/>
      <c r="M172" s="385"/>
      <c r="N172" s="385"/>
    </row>
    <row r="173" spans="12:14" ht="18" customHeight="1">
      <c r="L173" s="385"/>
      <c r="M173" s="385"/>
      <c r="N173" s="385"/>
    </row>
    <row r="174" spans="12:14" ht="18" customHeight="1">
      <c r="L174" s="385"/>
      <c r="M174" s="385"/>
      <c r="N174" s="385"/>
    </row>
    <row r="175" spans="12:14" ht="18" customHeight="1">
      <c r="L175" s="385"/>
      <c r="M175" s="385"/>
      <c r="N175" s="385"/>
    </row>
    <row r="176" spans="12:14" ht="18" customHeight="1">
      <c r="L176" s="385"/>
      <c r="M176" s="385"/>
      <c r="N176" s="385"/>
    </row>
    <row r="177" spans="12:14" ht="18" customHeight="1">
      <c r="L177" s="385"/>
      <c r="M177" s="385"/>
      <c r="N177" s="385"/>
    </row>
    <row r="178" spans="12:14" ht="18" customHeight="1">
      <c r="L178" s="385"/>
      <c r="M178" s="385"/>
      <c r="N178" s="385"/>
    </row>
    <row r="179" spans="12:14" ht="18" customHeight="1">
      <c r="L179" s="385"/>
      <c r="M179" s="385"/>
      <c r="N179" s="385"/>
    </row>
    <row r="180" spans="12:14" ht="18" customHeight="1">
      <c r="L180" s="385"/>
      <c r="M180" s="385"/>
      <c r="N180" s="385"/>
    </row>
    <row r="181" spans="12:14" ht="18" customHeight="1">
      <c r="L181" s="385"/>
      <c r="M181" s="385"/>
      <c r="N181" s="385"/>
    </row>
    <row r="182" spans="12:14" ht="18" customHeight="1">
      <c r="L182" s="385"/>
      <c r="M182" s="385"/>
      <c r="N182" s="385"/>
    </row>
    <row r="183" spans="12:14" ht="18" customHeight="1">
      <c r="L183" s="385"/>
      <c r="M183" s="385"/>
      <c r="N183" s="385"/>
    </row>
    <row r="184" spans="12:14" ht="18" customHeight="1">
      <c r="L184" s="385"/>
      <c r="M184" s="385"/>
      <c r="N184" s="385"/>
    </row>
    <row r="185" spans="12:14" ht="18" customHeight="1">
      <c r="L185" s="385"/>
      <c r="M185" s="385"/>
      <c r="N185" s="385"/>
    </row>
    <row r="186" spans="12:14" ht="18" customHeight="1">
      <c r="L186" s="385"/>
      <c r="M186" s="385"/>
      <c r="N186" s="385"/>
    </row>
    <row r="187" spans="12:14" ht="18" customHeight="1">
      <c r="L187" s="385"/>
      <c r="M187" s="385"/>
      <c r="N187" s="385"/>
    </row>
    <row r="188" spans="12:14" ht="18" customHeight="1">
      <c r="L188" s="385"/>
      <c r="M188" s="385"/>
      <c r="N188" s="385"/>
    </row>
    <row r="189" spans="12:14" ht="18" customHeight="1">
      <c r="L189" s="385"/>
      <c r="M189" s="385"/>
      <c r="N189" s="385"/>
    </row>
    <row r="190" spans="12:14" ht="18" customHeight="1">
      <c r="L190" s="385"/>
      <c r="M190" s="385"/>
      <c r="N190" s="385"/>
    </row>
    <row r="191" spans="12:14" ht="18" customHeight="1">
      <c r="L191" s="385"/>
      <c r="M191" s="385"/>
      <c r="N191" s="385"/>
    </row>
    <row r="192" spans="12:14" ht="18" customHeight="1">
      <c r="L192" s="385"/>
      <c r="M192" s="385"/>
      <c r="N192" s="385"/>
    </row>
    <row r="193" spans="12:14" ht="18" customHeight="1">
      <c r="L193" s="385"/>
      <c r="M193" s="385"/>
      <c r="N193" s="385"/>
    </row>
    <row r="194" spans="12:14" ht="18" customHeight="1">
      <c r="L194" s="385"/>
      <c r="M194" s="385"/>
      <c r="N194" s="385"/>
    </row>
    <row r="195" spans="12:14" ht="18" customHeight="1">
      <c r="L195" s="385"/>
      <c r="M195" s="385"/>
      <c r="N195" s="385"/>
    </row>
    <row r="196" spans="12:14" ht="18" customHeight="1">
      <c r="L196" s="385"/>
      <c r="M196" s="385"/>
      <c r="N196" s="385"/>
    </row>
    <row r="197" spans="12:14" ht="18" customHeight="1">
      <c r="L197" s="385"/>
      <c r="M197" s="385"/>
      <c r="N197" s="385"/>
    </row>
    <row r="198" spans="12:14" ht="18" customHeight="1">
      <c r="L198" s="385"/>
      <c r="M198" s="385"/>
      <c r="N198" s="385"/>
    </row>
    <row r="199" spans="12:14" ht="18" customHeight="1">
      <c r="L199" s="385"/>
      <c r="M199" s="385"/>
      <c r="N199" s="385"/>
    </row>
    <row r="200" spans="12:14" ht="18" customHeight="1">
      <c r="L200" s="385"/>
      <c r="M200" s="385"/>
      <c r="N200" s="385"/>
    </row>
    <row r="201" spans="12:14" ht="18" customHeight="1">
      <c r="L201" s="385"/>
      <c r="M201" s="385"/>
      <c r="N201" s="385"/>
    </row>
    <row r="202" spans="12:14" ht="18" customHeight="1">
      <c r="L202" s="385"/>
      <c r="M202" s="385"/>
      <c r="N202" s="385"/>
    </row>
    <row r="203" spans="12:14" ht="18" customHeight="1">
      <c r="L203" s="385"/>
      <c r="M203" s="385"/>
      <c r="N203" s="385"/>
    </row>
    <row r="204" spans="12:14" ht="18" customHeight="1">
      <c r="L204" s="385"/>
      <c r="M204" s="385"/>
      <c r="N204" s="385"/>
    </row>
    <row r="205" spans="12:14" ht="18" customHeight="1">
      <c r="L205" s="385"/>
      <c r="M205" s="385"/>
      <c r="N205" s="385"/>
    </row>
    <row r="206" spans="12:14" ht="18" customHeight="1">
      <c r="L206" s="385"/>
      <c r="M206" s="385"/>
      <c r="N206" s="385"/>
    </row>
    <row r="207" spans="12:14" ht="18" customHeight="1">
      <c r="L207" s="385"/>
      <c r="M207" s="385"/>
      <c r="N207" s="385"/>
    </row>
    <row r="208" spans="12:14" ht="18" customHeight="1">
      <c r="L208" s="385"/>
      <c r="M208" s="385"/>
      <c r="N208" s="385"/>
    </row>
    <row r="209" spans="12:14" ht="18" customHeight="1">
      <c r="L209" s="385"/>
      <c r="M209" s="385"/>
      <c r="N209" s="385"/>
    </row>
    <row r="210" spans="12:14" ht="18" customHeight="1">
      <c r="L210" s="385"/>
      <c r="M210" s="385"/>
      <c r="N210" s="385"/>
    </row>
    <row r="211" spans="12:14" ht="18" customHeight="1">
      <c r="L211" s="385"/>
      <c r="M211" s="385"/>
      <c r="N211" s="385"/>
    </row>
    <row r="212" spans="12:14" ht="18" customHeight="1">
      <c r="L212" s="385"/>
      <c r="M212" s="385"/>
      <c r="N212" s="385"/>
    </row>
    <row r="213" spans="12:14" ht="18" customHeight="1">
      <c r="L213" s="385"/>
      <c r="M213" s="385"/>
      <c r="N213" s="385"/>
    </row>
    <row r="214" spans="12:14" ht="18" customHeight="1">
      <c r="L214" s="385"/>
      <c r="M214" s="385"/>
      <c r="N214" s="385"/>
    </row>
    <row r="215" spans="12:14" ht="18" customHeight="1">
      <c r="L215" s="385"/>
      <c r="M215" s="385"/>
      <c r="N215" s="385"/>
    </row>
    <row r="216" spans="12:14" ht="18" customHeight="1">
      <c r="L216" s="385"/>
      <c r="M216" s="385"/>
      <c r="N216" s="385"/>
    </row>
    <row r="217" spans="12:14" ht="18" customHeight="1">
      <c r="L217" s="385"/>
      <c r="M217" s="385"/>
      <c r="N217" s="385"/>
    </row>
    <row r="218" spans="12:14" ht="18" customHeight="1">
      <c r="L218" s="385"/>
      <c r="M218" s="385"/>
      <c r="N218" s="385"/>
    </row>
    <row r="219" spans="12:14" ht="18" customHeight="1">
      <c r="L219" s="385"/>
      <c r="M219" s="385"/>
      <c r="N219" s="385"/>
    </row>
    <row r="220" spans="12:14" ht="18" customHeight="1">
      <c r="L220" s="385"/>
      <c r="M220" s="385"/>
      <c r="N220" s="385"/>
    </row>
    <row r="221" spans="12:14" ht="18" customHeight="1">
      <c r="L221" s="385"/>
      <c r="M221" s="385"/>
      <c r="N221" s="385"/>
    </row>
    <row r="222" spans="12:14" ht="18" customHeight="1">
      <c r="L222" s="385"/>
      <c r="M222" s="385"/>
      <c r="N222" s="385"/>
    </row>
    <row r="223" spans="12:14" ht="18" customHeight="1">
      <c r="L223" s="385"/>
      <c r="M223" s="385"/>
      <c r="N223" s="385"/>
    </row>
    <row r="224" spans="12:14" ht="18" customHeight="1">
      <c r="L224" s="385"/>
      <c r="M224" s="385"/>
      <c r="N224" s="385"/>
    </row>
    <row r="225" spans="12:14" ht="18" customHeight="1">
      <c r="L225" s="385"/>
      <c r="M225" s="385"/>
      <c r="N225" s="385"/>
    </row>
    <row r="226" spans="12:14" ht="18" customHeight="1">
      <c r="L226" s="385"/>
      <c r="M226" s="385"/>
      <c r="N226" s="385"/>
    </row>
    <row r="227" spans="12:14" ht="18" customHeight="1">
      <c r="L227" s="385"/>
      <c r="M227" s="385"/>
      <c r="N227" s="385"/>
    </row>
    <row r="228" spans="12:14" ht="18" customHeight="1">
      <c r="L228" s="385"/>
      <c r="M228" s="385"/>
      <c r="N228" s="385"/>
    </row>
    <row r="229" spans="12:14" ht="18" customHeight="1">
      <c r="L229" s="385"/>
      <c r="M229" s="385"/>
      <c r="N229" s="385"/>
    </row>
    <row r="230" spans="12:14" ht="18" customHeight="1">
      <c r="L230" s="385"/>
      <c r="M230" s="385"/>
      <c r="N230" s="385"/>
    </row>
    <row r="231" spans="12:14" ht="18" customHeight="1">
      <c r="L231" s="385"/>
      <c r="M231" s="385"/>
      <c r="N231" s="385"/>
    </row>
    <row r="232" spans="12:14" ht="18" customHeight="1">
      <c r="L232" s="385"/>
      <c r="M232" s="385"/>
      <c r="N232" s="385"/>
    </row>
    <row r="233" spans="12:14" ht="18" customHeight="1">
      <c r="L233" s="385"/>
      <c r="M233" s="385"/>
      <c r="N233" s="385"/>
    </row>
    <row r="234" spans="12:14" ht="18" customHeight="1">
      <c r="L234" s="385"/>
      <c r="M234" s="385"/>
      <c r="N234" s="385"/>
    </row>
    <row r="235" spans="12:14" ht="18" customHeight="1">
      <c r="L235" s="385"/>
      <c r="M235" s="385"/>
      <c r="N235" s="385"/>
    </row>
    <row r="236" spans="12:14" ht="18" customHeight="1">
      <c r="L236" s="385"/>
      <c r="M236" s="385"/>
      <c r="N236" s="385"/>
    </row>
    <row r="237" spans="12:14" ht="18" customHeight="1">
      <c r="L237" s="385"/>
      <c r="M237" s="385"/>
      <c r="N237" s="385"/>
    </row>
    <row r="238" spans="12:14" ht="18" customHeight="1">
      <c r="L238" s="385"/>
      <c r="M238" s="385"/>
      <c r="N238" s="385"/>
    </row>
    <row r="239" spans="12:14" ht="18" customHeight="1">
      <c r="L239" s="385"/>
      <c r="M239" s="385"/>
      <c r="N239" s="385"/>
    </row>
    <row r="240" spans="12:14" ht="18" customHeight="1">
      <c r="L240" s="385"/>
      <c r="M240" s="385"/>
      <c r="N240" s="385"/>
    </row>
    <row r="241" spans="12:14" ht="18" customHeight="1">
      <c r="L241" s="385"/>
      <c r="M241" s="385"/>
      <c r="N241" s="385"/>
    </row>
    <row r="242" spans="12:14" ht="18" customHeight="1">
      <c r="L242" s="385"/>
      <c r="M242" s="385"/>
      <c r="N242" s="385"/>
    </row>
    <row r="243" spans="12:14" ht="18" customHeight="1">
      <c r="L243" s="385"/>
      <c r="M243" s="385"/>
      <c r="N243" s="385"/>
    </row>
    <row r="244" spans="12:14" ht="18" customHeight="1">
      <c r="L244" s="385"/>
      <c r="M244" s="385"/>
      <c r="N244" s="385"/>
    </row>
    <row r="245" spans="12:14" ht="18" customHeight="1">
      <c r="L245" s="385"/>
      <c r="M245" s="385"/>
      <c r="N245" s="385"/>
    </row>
    <row r="246" spans="12:14" ht="18" customHeight="1">
      <c r="L246" s="385"/>
      <c r="M246" s="385"/>
      <c r="N246" s="385"/>
    </row>
    <row r="247" spans="12:14" ht="18" customHeight="1">
      <c r="L247" s="385"/>
      <c r="M247" s="385"/>
      <c r="N247" s="385"/>
    </row>
    <row r="248" spans="12:14" ht="18" customHeight="1">
      <c r="L248" s="385"/>
      <c r="M248" s="385"/>
      <c r="N248" s="385"/>
    </row>
    <row r="249" spans="12:14" ht="18" customHeight="1">
      <c r="L249" s="385"/>
      <c r="M249" s="385"/>
      <c r="N249" s="385"/>
    </row>
    <row r="250" spans="12:14" ht="18" customHeight="1">
      <c r="L250" s="385"/>
      <c r="M250" s="385"/>
      <c r="N250" s="385"/>
    </row>
    <row r="251" spans="12:14" ht="18" customHeight="1">
      <c r="L251" s="385"/>
      <c r="M251" s="385"/>
      <c r="N251" s="385"/>
    </row>
    <row r="252" spans="12:14" ht="18" customHeight="1">
      <c r="L252" s="385"/>
      <c r="M252" s="385"/>
      <c r="N252" s="385"/>
    </row>
    <row r="253" spans="12:14" ht="18" customHeight="1">
      <c r="L253" s="385"/>
      <c r="M253" s="385"/>
      <c r="N253" s="385"/>
    </row>
    <row r="254" spans="12:14" ht="18" customHeight="1">
      <c r="L254" s="385"/>
      <c r="M254" s="385"/>
      <c r="N254" s="385"/>
    </row>
    <row r="255" spans="12:14" ht="18" customHeight="1">
      <c r="L255" s="385"/>
      <c r="M255" s="385"/>
      <c r="N255" s="385"/>
    </row>
    <row r="256" spans="12:14" ht="18" customHeight="1">
      <c r="L256" s="385"/>
      <c r="M256" s="385"/>
      <c r="N256" s="385"/>
    </row>
    <row r="257" spans="12:14" ht="18" customHeight="1">
      <c r="L257" s="385"/>
      <c r="M257" s="385"/>
      <c r="N257" s="385"/>
    </row>
    <row r="258" spans="12:14" ht="18" customHeight="1">
      <c r="L258" s="385"/>
      <c r="M258" s="385"/>
      <c r="N258" s="385"/>
    </row>
    <row r="259" spans="12:14" ht="18" customHeight="1">
      <c r="L259" s="385"/>
      <c r="M259" s="385"/>
      <c r="N259" s="385"/>
    </row>
    <row r="260" spans="12:14" ht="18" customHeight="1">
      <c r="L260" s="385"/>
      <c r="M260" s="385"/>
      <c r="N260" s="385"/>
    </row>
    <row r="261" spans="12:14" ht="18" customHeight="1">
      <c r="L261" s="385"/>
      <c r="M261" s="385"/>
      <c r="N261" s="385"/>
    </row>
    <row r="262" spans="12:14" ht="18" customHeight="1">
      <c r="L262" s="385"/>
      <c r="M262" s="385"/>
      <c r="N262" s="385"/>
    </row>
    <row r="263" spans="12:14" ht="18" customHeight="1">
      <c r="L263" s="385"/>
      <c r="M263" s="385"/>
      <c r="N263" s="385"/>
    </row>
    <row r="264" spans="12:14" ht="18" customHeight="1">
      <c r="L264" s="385"/>
      <c r="M264" s="385"/>
      <c r="N264" s="385"/>
    </row>
    <row r="265" spans="12:14" ht="18" customHeight="1">
      <c r="L265" s="385"/>
      <c r="M265" s="385"/>
      <c r="N265" s="385"/>
    </row>
    <row r="266" spans="12:14" ht="18" customHeight="1">
      <c r="L266" s="385"/>
      <c r="M266" s="385"/>
      <c r="N266" s="385"/>
    </row>
    <row r="267" spans="12:14" ht="18" customHeight="1">
      <c r="L267" s="385"/>
      <c r="M267" s="385"/>
      <c r="N267" s="385"/>
    </row>
    <row r="268" spans="12:14" ht="18" customHeight="1">
      <c r="L268" s="385"/>
      <c r="M268" s="385"/>
      <c r="N268" s="385"/>
    </row>
    <row r="269" spans="12:14" ht="18" customHeight="1">
      <c r="L269" s="385"/>
      <c r="M269" s="385"/>
      <c r="N269" s="385"/>
    </row>
    <row r="270" spans="12:14" ht="18" customHeight="1">
      <c r="L270" s="385"/>
      <c r="M270" s="385"/>
      <c r="N270" s="385"/>
    </row>
    <row r="271" spans="12:14" ht="18" customHeight="1">
      <c r="L271" s="385"/>
      <c r="M271" s="385"/>
      <c r="N271" s="385"/>
    </row>
    <row r="272" spans="12:14" ht="18" customHeight="1">
      <c r="L272" s="385"/>
      <c r="M272" s="385"/>
      <c r="N272" s="385"/>
    </row>
    <row r="273" spans="12:14" ht="18" customHeight="1">
      <c r="L273" s="385"/>
      <c r="M273" s="385"/>
      <c r="N273" s="385"/>
    </row>
    <row r="274" spans="12:14" ht="18" customHeight="1">
      <c r="L274" s="385"/>
      <c r="M274" s="385"/>
      <c r="N274" s="385"/>
    </row>
    <row r="275" spans="12:14" ht="18" customHeight="1">
      <c r="L275" s="385"/>
      <c r="M275" s="385"/>
      <c r="N275" s="385"/>
    </row>
    <row r="276" spans="12:14" ht="18" customHeight="1">
      <c r="L276" s="385"/>
      <c r="M276" s="385"/>
      <c r="N276" s="385"/>
    </row>
    <row r="277" spans="12:14" ht="18" customHeight="1">
      <c r="L277" s="385"/>
      <c r="M277" s="385"/>
      <c r="N277" s="385"/>
    </row>
    <row r="278" spans="12:14" ht="18" customHeight="1">
      <c r="L278" s="385"/>
      <c r="M278" s="385"/>
      <c r="N278" s="385"/>
    </row>
    <row r="279" spans="12:14" ht="18" customHeight="1">
      <c r="L279" s="385"/>
      <c r="M279" s="385"/>
      <c r="N279" s="385"/>
    </row>
    <row r="280" spans="12:14" ht="18" customHeight="1">
      <c r="L280" s="385"/>
      <c r="M280" s="385"/>
      <c r="N280" s="385"/>
    </row>
    <row r="281" spans="12:14" ht="18" customHeight="1">
      <c r="L281" s="385"/>
      <c r="M281" s="385"/>
      <c r="N281" s="385"/>
    </row>
    <row r="282" spans="12:14" ht="18" customHeight="1">
      <c r="L282" s="385"/>
      <c r="M282" s="385"/>
      <c r="N282" s="385"/>
    </row>
    <row r="283" spans="12:14" ht="18" customHeight="1">
      <c r="L283" s="385"/>
      <c r="M283" s="385"/>
      <c r="N283" s="385"/>
    </row>
    <row r="284" spans="12:14" ht="18" customHeight="1">
      <c r="L284" s="385"/>
      <c r="M284" s="385"/>
      <c r="N284" s="385"/>
    </row>
    <row r="285" spans="12:14" ht="18" customHeight="1">
      <c r="L285" s="385"/>
      <c r="M285" s="385"/>
      <c r="N285" s="385"/>
    </row>
    <row r="286" spans="12:14" ht="18" customHeight="1">
      <c r="L286" s="385"/>
      <c r="M286" s="385"/>
      <c r="N286" s="385"/>
    </row>
    <row r="287" spans="12:14" ht="18" customHeight="1">
      <c r="L287" s="385"/>
      <c r="M287" s="385"/>
      <c r="N287" s="385"/>
    </row>
    <row r="288" spans="12:14" ht="18" customHeight="1">
      <c r="L288" s="385"/>
      <c r="M288" s="385"/>
      <c r="N288" s="385"/>
    </row>
    <row r="289" spans="12:14" ht="18" customHeight="1">
      <c r="L289" s="385"/>
      <c r="M289" s="385"/>
      <c r="N289" s="385"/>
    </row>
    <row r="290" spans="12:14" ht="18" customHeight="1">
      <c r="L290" s="385"/>
      <c r="M290" s="385"/>
      <c r="N290" s="385"/>
    </row>
    <row r="291" spans="12:14" ht="18" customHeight="1">
      <c r="L291" s="385"/>
      <c r="M291" s="385"/>
      <c r="N291" s="385"/>
    </row>
    <row r="292" spans="12:14" ht="18" customHeight="1">
      <c r="L292" s="385"/>
      <c r="M292" s="385"/>
      <c r="N292" s="385"/>
    </row>
    <row r="293" spans="12:14" ht="18" customHeight="1">
      <c r="L293" s="385"/>
      <c r="M293" s="385"/>
      <c r="N293" s="385"/>
    </row>
    <row r="294" spans="12:14" ht="18" customHeight="1">
      <c r="L294" s="385"/>
      <c r="M294" s="385"/>
      <c r="N294" s="385"/>
    </row>
    <row r="295" spans="12:14" ht="18" customHeight="1">
      <c r="L295" s="385"/>
      <c r="M295" s="385"/>
      <c r="N295" s="385"/>
    </row>
    <row r="296" spans="12:14" ht="18" customHeight="1">
      <c r="L296" s="385"/>
      <c r="M296" s="385"/>
      <c r="N296" s="385"/>
    </row>
    <row r="297" spans="12:14" ht="18" customHeight="1">
      <c r="L297" s="385"/>
      <c r="M297" s="385"/>
      <c r="N297" s="385"/>
    </row>
    <row r="298" spans="12:14" ht="18" customHeight="1">
      <c r="L298" s="385"/>
      <c r="M298" s="385"/>
      <c r="N298" s="385"/>
    </row>
    <row r="299" spans="12:14" ht="18" customHeight="1">
      <c r="L299" s="385"/>
      <c r="M299" s="385"/>
      <c r="N299" s="385"/>
    </row>
    <row r="300" spans="12:14" ht="18" customHeight="1">
      <c r="L300" s="385"/>
      <c r="M300" s="385"/>
      <c r="N300" s="385"/>
    </row>
    <row r="301" spans="12:14" ht="18" customHeight="1">
      <c r="L301" s="385"/>
      <c r="M301" s="385"/>
      <c r="N301" s="385"/>
    </row>
    <row r="302" spans="12:14" ht="18" customHeight="1">
      <c r="L302" s="385"/>
      <c r="M302" s="385"/>
      <c r="N302" s="385"/>
    </row>
    <row r="303" spans="12:14" ht="18" customHeight="1">
      <c r="L303" s="385"/>
      <c r="M303" s="385"/>
      <c r="N303" s="385"/>
    </row>
    <row r="304" spans="12:14" ht="18" customHeight="1">
      <c r="L304" s="385"/>
      <c r="M304" s="385"/>
      <c r="N304" s="385"/>
    </row>
    <row r="305" spans="12:14" ht="18" customHeight="1">
      <c r="L305" s="385"/>
      <c r="M305" s="385"/>
      <c r="N305" s="385"/>
    </row>
    <row r="306" spans="12:14" ht="18" customHeight="1">
      <c r="L306" s="385"/>
      <c r="M306" s="385"/>
      <c r="N306" s="385"/>
    </row>
    <row r="307" spans="12:14" ht="18" customHeight="1">
      <c r="L307" s="385"/>
      <c r="M307" s="385"/>
      <c r="N307" s="385"/>
    </row>
    <row r="308" spans="12:14" ht="18" customHeight="1">
      <c r="L308" s="385"/>
      <c r="M308" s="385"/>
      <c r="N308" s="385"/>
    </row>
    <row r="309" spans="12:14" ht="18" customHeight="1">
      <c r="L309" s="385"/>
      <c r="M309" s="385"/>
      <c r="N309" s="385"/>
    </row>
    <row r="310" spans="12:14" ht="18" customHeight="1">
      <c r="L310" s="385"/>
      <c r="M310" s="385"/>
      <c r="N310" s="385"/>
    </row>
    <row r="311" spans="12:14" ht="18" customHeight="1">
      <c r="L311" s="385"/>
      <c r="M311" s="385"/>
      <c r="N311" s="385"/>
    </row>
    <row r="312" spans="12:14" ht="18" customHeight="1">
      <c r="L312" s="385"/>
      <c r="M312" s="385"/>
      <c r="N312" s="385"/>
    </row>
    <row r="313" spans="12:14" ht="18" customHeight="1">
      <c r="L313" s="385"/>
      <c r="M313" s="385"/>
      <c r="N313" s="385"/>
    </row>
    <row r="314" spans="12:14" ht="18" customHeight="1">
      <c r="L314" s="385"/>
      <c r="M314" s="385"/>
      <c r="N314" s="385"/>
    </row>
    <row r="315" spans="12:14" ht="18" customHeight="1">
      <c r="L315" s="385"/>
      <c r="M315" s="385"/>
      <c r="N315" s="385"/>
    </row>
    <row r="316" spans="12:14" ht="18" customHeight="1">
      <c r="L316" s="385"/>
      <c r="M316" s="385"/>
      <c r="N316" s="385"/>
    </row>
    <row r="317" spans="12:14" ht="18" customHeight="1">
      <c r="L317" s="385"/>
      <c r="M317" s="385"/>
      <c r="N317" s="385"/>
    </row>
    <row r="318" spans="12:14" ht="18" customHeight="1">
      <c r="L318" s="385"/>
      <c r="M318" s="385"/>
      <c r="N318" s="385"/>
    </row>
    <row r="319" spans="12:14" ht="18" customHeight="1">
      <c r="L319" s="385"/>
      <c r="M319" s="385"/>
      <c r="N319" s="385"/>
    </row>
    <row r="320" spans="12:14" ht="18" customHeight="1">
      <c r="L320" s="385"/>
      <c r="M320" s="385"/>
      <c r="N320" s="385"/>
    </row>
    <row r="321" spans="12:14" ht="18" customHeight="1">
      <c r="L321" s="385"/>
      <c r="M321" s="385"/>
      <c r="N321" s="385"/>
    </row>
    <row r="322" spans="12:14" ht="18" customHeight="1">
      <c r="L322" s="385"/>
      <c r="M322" s="385"/>
      <c r="N322" s="385"/>
    </row>
    <row r="323" spans="12:14" ht="18" customHeight="1">
      <c r="L323" s="385"/>
      <c r="M323" s="385"/>
      <c r="N323" s="385"/>
    </row>
    <row r="324" spans="12:14" ht="18" customHeight="1">
      <c r="L324" s="385"/>
      <c r="M324" s="385"/>
      <c r="N324" s="385"/>
    </row>
    <row r="325" spans="12:14" ht="18" customHeight="1">
      <c r="L325" s="385"/>
      <c r="M325" s="385"/>
      <c r="N325" s="385"/>
    </row>
    <row r="326" spans="12:14" ht="18" customHeight="1">
      <c r="L326" s="385"/>
      <c r="M326" s="385"/>
      <c r="N326" s="385"/>
    </row>
    <row r="327" spans="12:14" ht="18" customHeight="1">
      <c r="L327" s="385"/>
      <c r="M327" s="385"/>
      <c r="N327" s="385"/>
    </row>
    <row r="328" spans="12:14" ht="18" customHeight="1">
      <c r="L328" s="385"/>
      <c r="M328" s="385"/>
      <c r="N328" s="385"/>
    </row>
    <row r="329" spans="12:14" ht="18" customHeight="1">
      <c r="L329" s="385"/>
      <c r="M329" s="385"/>
      <c r="N329" s="385"/>
    </row>
    <row r="330" spans="12:14" ht="18" customHeight="1">
      <c r="L330" s="385"/>
      <c r="M330" s="385"/>
      <c r="N330" s="385"/>
    </row>
    <row r="331" spans="12:14" ht="18" customHeight="1">
      <c r="L331" s="385"/>
      <c r="M331" s="385"/>
      <c r="N331" s="385"/>
    </row>
    <row r="332" spans="12:14" ht="18" customHeight="1">
      <c r="L332" s="385"/>
      <c r="M332" s="385"/>
      <c r="N332" s="385"/>
    </row>
    <row r="333" spans="12:14" ht="18" customHeight="1">
      <c r="L333" s="385"/>
      <c r="M333" s="385"/>
      <c r="N333" s="385"/>
    </row>
    <row r="334" spans="12:14" ht="18" customHeight="1">
      <c r="L334" s="385"/>
      <c r="M334" s="385"/>
      <c r="N334" s="385"/>
    </row>
    <row r="335" spans="12:14" ht="18" customHeight="1">
      <c r="L335" s="385"/>
      <c r="M335" s="385"/>
      <c r="N335" s="385"/>
    </row>
    <row r="336" spans="12:14" ht="18" customHeight="1">
      <c r="L336" s="385"/>
      <c r="M336" s="385"/>
      <c r="N336" s="385"/>
    </row>
    <row r="337" spans="12:14" ht="18" customHeight="1">
      <c r="L337" s="385"/>
      <c r="M337" s="385"/>
      <c r="N337" s="385"/>
    </row>
    <row r="338" spans="12:14" ht="18" customHeight="1">
      <c r="L338" s="385"/>
      <c r="M338" s="385"/>
      <c r="N338" s="385"/>
    </row>
    <row r="339" spans="12:14" ht="18" customHeight="1">
      <c r="L339" s="385"/>
      <c r="M339" s="385"/>
      <c r="N339" s="385"/>
    </row>
    <row r="340" spans="12:14" ht="18" customHeight="1">
      <c r="L340" s="385"/>
      <c r="M340" s="385"/>
      <c r="N340" s="385"/>
    </row>
    <row r="341" spans="12:14" ht="18" customHeight="1">
      <c r="L341" s="385"/>
      <c r="M341" s="385"/>
      <c r="N341" s="385"/>
    </row>
    <row r="342" spans="12:14" ht="18" customHeight="1">
      <c r="L342" s="385"/>
      <c r="M342" s="385"/>
      <c r="N342" s="385"/>
    </row>
    <row r="343" spans="12:14" ht="18" customHeight="1">
      <c r="L343" s="385"/>
      <c r="M343" s="385"/>
      <c r="N343" s="385"/>
    </row>
    <row r="344" spans="12:14" ht="18" customHeight="1">
      <c r="L344" s="385"/>
      <c r="M344" s="385"/>
      <c r="N344" s="385"/>
    </row>
    <row r="345" spans="12:14" ht="18" customHeight="1">
      <c r="L345" s="385"/>
      <c r="M345" s="385"/>
      <c r="N345" s="385"/>
    </row>
    <row r="346" spans="12:14" ht="18" customHeight="1">
      <c r="L346" s="385"/>
      <c r="M346" s="385"/>
      <c r="N346" s="385"/>
    </row>
    <row r="347" spans="12:14" ht="18" customHeight="1">
      <c r="L347" s="385"/>
      <c r="M347" s="385"/>
      <c r="N347" s="385"/>
    </row>
    <row r="348" spans="12:14" ht="18" customHeight="1">
      <c r="L348" s="385"/>
      <c r="M348" s="385"/>
      <c r="N348" s="385"/>
    </row>
    <row r="349" spans="12:14" ht="18" customHeight="1">
      <c r="L349" s="385"/>
      <c r="M349" s="385"/>
      <c r="N349" s="385"/>
    </row>
    <row r="350" spans="12:14" ht="18" customHeight="1">
      <c r="L350" s="385"/>
      <c r="M350" s="385"/>
      <c r="N350" s="385"/>
    </row>
    <row r="351" spans="12:14" ht="18" customHeight="1">
      <c r="L351" s="385"/>
      <c r="M351" s="385"/>
      <c r="N351" s="385"/>
    </row>
    <row r="352" spans="12:14" ht="18" customHeight="1">
      <c r="L352" s="385"/>
      <c r="M352" s="385"/>
      <c r="N352" s="385"/>
    </row>
    <row r="353" spans="12:14" ht="18" customHeight="1">
      <c r="L353" s="385"/>
      <c r="M353" s="385"/>
      <c r="N353" s="385"/>
    </row>
    <row r="354" spans="12:14" ht="18" customHeight="1">
      <c r="L354" s="385"/>
      <c r="M354" s="385"/>
      <c r="N354" s="385"/>
    </row>
    <row r="355" spans="12:14" ht="18" customHeight="1">
      <c r="L355" s="385"/>
      <c r="M355" s="385"/>
      <c r="N355" s="385"/>
    </row>
    <row r="356" spans="12:14" ht="18" customHeight="1">
      <c r="L356" s="385"/>
      <c r="M356" s="385"/>
      <c r="N356" s="385"/>
    </row>
    <row r="357" spans="12:14" ht="18" customHeight="1">
      <c r="L357" s="385"/>
      <c r="M357" s="385"/>
      <c r="N357" s="385"/>
    </row>
    <row r="358" spans="12:14" ht="18" customHeight="1">
      <c r="L358" s="385"/>
      <c r="M358" s="385"/>
      <c r="N358" s="385"/>
    </row>
    <row r="359" spans="12:14" ht="18" customHeight="1">
      <c r="L359" s="385"/>
      <c r="M359" s="385"/>
      <c r="N359" s="385"/>
    </row>
    <row r="360" spans="12:14" ht="18" customHeight="1">
      <c r="L360" s="385"/>
      <c r="M360" s="385"/>
      <c r="N360" s="385"/>
    </row>
    <row r="361" spans="12:14" ht="18" customHeight="1">
      <c r="L361" s="385"/>
      <c r="M361" s="385"/>
      <c r="N361" s="385"/>
    </row>
    <row r="362" spans="12:14" ht="18" customHeight="1">
      <c r="L362" s="385"/>
      <c r="M362" s="385"/>
      <c r="N362" s="385"/>
    </row>
    <row r="363" spans="12:14" ht="18" customHeight="1">
      <c r="L363" s="385"/>
      <c r="M363" s="385"/>
      <c r="N363" s="385"/>
    </row>
    <row r="364" spans="12:14" ht="18" customHeight="1">
      <c r="L364" s="385"/>
      <c r="M364" s="385"/>
      <c r="N364" s="385"/>
    </row>
    <row r="365" spans="12:14" ht="18" customHeight="1">
      <c r="L365" s="385"/>
      <c r="M365" s="385"/>
      <c r="N365" s="385"/>
    </row>
    <row r="366" spans="12:14" ht="18" customHeight="1">
      <c r="L366" s="385"/>
      <c r="M366" s="385"/>
      <c r="N366" s="385"/>
    </row>
    <row r="367" spans="12:14" ht="18" customHeight="1">
      <c r="L367" s="385"/>
      <c r="M367" s="385"/>
      <c r="N367" s="385"/>
    </row>
    <row r="368" spans="12:14" ht="18" customHeight="1">
      <c r="L368" s="385"/>
      <c r="M368" s="385"/>
      <c r="N368" s="385"/>
    </row>
    <row r="369" spans="12:14" ht="18" customHeight="1">
      <c r="L369" s="385"/>
      <c r="M369" s="385"/>
      <c r="N369" s="385"/>
    </row>
    <row r="370" spans="12:14" ht="18" customHeight="1">
      <c r="L370" s="385"/>
      <c r="M370" s="385"/>
      <c r="N370" s="385"/>
    </row>
    <row r="371" spans="12:14" ht="18" customHeight="1">
      <c r="L371" s="385"/>
      <c r="M371" s="385"/>
      <c r="N371" s="385"/>
    </row>
    <row r="372" spans="12:14" ht="18" customHeight="1">
      <c r="L372" s="385"/>
      <c r="M372" s="385"/>
      <c r="N372" s="385"/>
    </row>
    <row r="373" spans="12:14" ht="18" customHeight="1">
      <c r="L373" s="385"/>
      <c r="M373" s="385"/>
      <c r="N373" s="385"/>
    </row>
    <row r="374" spans="12:14" ht="18" customHeight="1">
      <c r="L374" s="385"/>
      <c r="M374" s="385"/>
      <c r="N374" s="385"/>
    </row>
    <row r="375" spans="12:14" ht="18" customHeight="1">
      <c r="L375" s="385"/>
      <c r="M375" s="385"/>
      <c r="N375" s="385"/>
    </row>
    <row r="376" spans="12:14" ht="18" customHeight="1">
      <c r="L376" s="385"/>
      <c r="M376" s="385"/>
      <c r="N376" s="385"/>
    </row>
    <row r="377" spans="12:14" ht="18" customHeight="1">
      <c r="L377" s="385"/>
      <c r="M377" s="385"/>
      <c r="N377" s="385"/>
    </row>
    <row r="378" spans="12:14" ht="18" customHeight="1">
      <c r="L378" s="385"/>
      <c r="M378" s="385"/>
      <c r="N378" s="385"/>
    </row>
    <row r="379" spans="12:14" ht="18" customHeight="1">
      <c r="L379" s="385"/>
      <c r="M379" s="385"/>
      <c r="N379" s="385"/>
    </row>
    <row r="380" spans="12:14" ht="18" customHeight="1">
      <c r="L380" s="385"/>
      <c r="M380" s="385"/>
      <c r="N380" s="385"/>
    </row>
    <row r="381" spans="12:14" ht="18" customHeight="1">
      <c r="L381" s="385"/>
      <c r="M381" s="385"/>
      <c r="N381" s="385"/>
    </row>
    <row r="382" spans="12:14" ht="18" customHeight="1">
      <c r="L382" s="385"/>
      <c r="M382" s="385"/>
      <c r="N382" s="385"/>
    </row>
    <row r="383" spans="12:14" ht="18" customHeight="1">
      <c r="L383" s="385"/>
      <c r="M383" s="385"/>
      <c r="N383" s="385"/>
    </row>
    <row r="384" spans="12:14" ht="18" customHeight="1">
      <c r="L384" s="385"/>
      <c r="M384" s="385"/>
      <c r="N384" s="385"/>
    </row>
    <row r="385" spans="12:14" ht="18" customHeight="1">
      <c r="L385" s="385"/>
      <c r="M385" s="385"/>
      <c r="N385" s="385"/>
    </row>
    <row r="386" spans="12:14" ht="18" customHeight="1">
      <c r="L386" s="385"/>
      <c r="M386" s="385"/>
      <c r="N386" s="385"/>
    </row>
    <row r="387" spans="12:14" ht="18" customHeight="1">
      <c r="L387" s="385"/>
      <c r="M387" s="385"/>
      <c r="N387" s="385"/>
    </row>
    <row r="388" spans="12:14" ht="18" customHeight="1">
      <c r="L388" s="385"/>
      <c r="M388" s="385"/>
      <c r="N388" s="385"/>
    </row>
    <row r="389" spans="12:14" ht="18" customHeight="1">
      <c r="L389" s="385"/>
      <c r="M389" s="385"/>
      <c r="N389" s="385"/>
    </row>
    <row r="390" spans="12:14" ht="18" customHeight="1">
      <c r="L390" s="385"/>
      <c r="M390" s="385"/>
      <c r="N390" s="385"/>
    </row>
    <row r="391" spans="12:14" ht="18" customHeight="1">
      <c r="L391" s="385"/>
      <c r="M391" s="385"/>
      <c r="N391" s="385"/>
    </row>
    <row r="392" spans="12:14" ht="18" customHeight="1">
      <c r="L392" s="385"/>
      <c r="M392" s="385"/>
      <c r="N392" s="385"/>
    </row>
    <row r="393" spans="12:14" ht="18" customHeight="1">
      <c r="L393" s="385"/>
      <c r="M393" s="385"/>
      <c r="N393" s="385"/>
    </row>
    <row r="394" spans="12:14" ht="18" customHeight="1">
      <c r="L394" s="385"/>
      <c r="M394" s="385"/>
      <c r="N394" s="385"/>
    </row>
    <row r="395" spans="12:14" ht="18" customHeight="1">
      <c r="L395" s="385"/>
      <c r="M395" s="385"/>
      <c r="N395" s="385"/>
    </row>
    <row r="396" spans="12:14" ht="18" customHeight="1">
      <c r="L396" s="385"/>
      <c r="M396" s="385"/>
      <c r="N396" s="385"/>
    </row>
    <row r="397" spans="12:14" ht="18" customHeight="1">
      <c r="L397" s="385"/>
      <c r="M397" s="385"/>
      <c r="N397" s="385"/>
    </row>
    <row r="398" spans="12:14" ht="18" customHeight="1">
      <c r="L398" s="385"/>
      <c r="M398" s="385"/>
      <c r="N398" s="385"/>
    </row>
    <row r="399" spans="12:14" ht="18" customHeight="1">
      <c r="L399" s="385"/>
      <c r="M399" s="385"/>
      <c r="N399" s="385"/>
    </row>
    <row r="400" spans="12:14" ht="18" customHeight="1">
      <c r="L400" s="385"/>
      <c r="M400" s="385"/>
      <c r="N400" s="385"/>
    </row>
    <row r="401" spans="12:14" ht="18" customHeight="1">
      <c r="L401" s="385"/>
      <c r="M401" s="385"/>
      <c r="N401" s="385"/>
    </row>
    <row r="402" spans="12:14" ht="18" customHeight="1">
      <c r="L402" s="385"/>
      <c r="M402" s="385"/>
      <c r="N402" s="385"/>
    </row>
    <row r="403" spans="12:14" ht="18" customHeight="1">
      <c r="L403" s="385"/>
      <c r="M403" s="385"/>
      <c r="N403" s="385"/>
    </row>
    <row r="404" spans="12:14" ht="18" customHeight="1">
      <c r="L404" s="385"/>
      <c r="M404" s="385"/>
      <c r="N404" s="385"/>
    </row>
    <row r="405" spans="12:14" ht="18" customHeight="1">
      <c r="L405" s="385"/>
      <c r="M405" s="385"/>
      <c r="N405" s="385"/>
    </row>
    <row r="406" spans="12:14" ht="18" customHeight="1">
      <c r="L406" s="385"/>
      <c r="M406" s="385"/>
      <c r="N406" s="385"/>
    </row>
    <row r="407" spans="12:14" ht="18" customHeight="1">
      <c r="L407" s="385"/>
      <c r="M407" s="385"/>
      <c r="N407" s="385"/>
    </row>
    <row r="408" spans="12:14" ht="18" customHeight="1">
      <c r="L408" s="385"/>
      <c r="M408" s="385"/>
      <c r="N408" s="385"/>
    </row>
    <row r="409" spans="12:14" ht="18" customHeight="1">
      <c r="L409" s="385"/>
      <c r="M409" s="385"/>
      <c r="N409" s="385"/>
    </row>
    <row r="410" spans="12:14" ht="18" customHeight="1">
      <c r="L410" s="385"/>
      <c r="M410" s="385"/>
      <c r="N410" s="385"/>
    </row>
    <row r="411" spans="12:14" ht="18" customHeight="1">
      <c r="L411" s="385"/>
      <c r="M411" s="385"/>
      <c r="N411" s="385"/>
    </row>
    <row r="412" spans="12:14" ht="18" customHeight="1">
      <c r="L412" s="385"/>
      <c r="M412" s="385"/>
      <c r="N412" s="385"/>
    </row>
    <row r="413" spans="12:14" ht="18" customHeight="1">
      <c r="L413" s="385"/>
      <c r="M413" s="385"/>
      <c r="N413" s="385"/>
    </row>
    <row r="414" spans="12:14" ht="18" customHeight="1">
      <c r="L414" s="385"/>
      <c r="M414" s="385"/>
      <c r="N414" s="385"/>
    </row>
    <row r="415" spans="12:14" ht="18" customHeight="1">
      <c r="L415" s="385"/>
      <c r="M415" s="385"/>
      <c r="N415" s="385"/>
    </row>
    <row r="416" spans="12:14" ht="18" customHeight="1">
      <c r="L416" s="385"/>
      <c r="M416" s="385"/>
      <c r="N416" s="385"/>
    </row>
    <row r="417" spans="12:14" ht="18" customHeight="1">
      <c r="L417" s="385"/>
      <c r="M417" s="385"/>
      <c r="N417" s="385"/>
    </row>
    <row r="418" spans="12:14" ht="18" customHeight="1">
      <c r="L418" s="385"/>
      <c r="M418" s="385"/>
      <c r="N418" s="385"/>
    </row>
    <row r="419" spans="12:14" ht="18" customHeight="1">
      <c r="L419" s="385"/>
      <c r="M419" s="385"/>
      <c r="N419" s="385"/>
    </row>
    <row r="420" spans="12:14" ht="18" customHeight="1">
      <c r="L420" s="385"/>
      <c r="M420" s="385"/>
      <c r="N420" s="385"/>
    </row>
    <row r="421" spans="12:14" ht="18" customHeight="1">
      <c r="L421" s="385"/>
      <c r="M421" s="385"/>
      <c r="N421" s="385"/>
    </row>
    <row r="422" spans="12:14" ht="18" customHeight="1">
      <c r="L422" s="385"/>
      <c r="M422" s="385"/>
      <c r="N422" s="385"/>
    </row>
    <row r="423" spans="12:14" ht="18" customHeight="1">
      <c r="L423" s="385"/>
      <c r="M423" s="385"/>
      <c r="N423" s="385"/>
    </row>
    <row r="424" spans="12:14" ht="18" customHeight="1">
      <c r="L424" s="385"/>
      <c r="M424" s="385"/>
      <c r="N424" s="385"/>
    </row>
    <row r="425" spans="12:14" ht="18" customHeight="1">
      <c r="L425" s="385"/>
      <c r="M425" s="385"/>
      <c r="N425" s="385"/>
    </row>
    <row r="426" spans="12:14" ht="18" customHeight="1">
      <c r="L426" s="385"/>
      <c r="M426" s="385"/>
      <c r="N426" s="385"/>
    </row>
    <row r="427" spans="12:14" ht="18" customHeight="1">
      <c r="L427" s="385"/>
      <c r="M427" s="385"/>
      <c r="N427" s="385"/>
    </row>
    <row r="428" spans="12:14" ht="18" customHeight="1">
      <c r="L428" s="385"/>
      <c r="M428" s="385"/>
      <c r="N428" s="385"/>
    </row>
    <row r="429" spans="12:14" ht="18" customHeight="1">
      <c r="L429" s="385"/>
      <c r="M429" s="385"/>
      <c r="N429" s="385"/>
    </row>
    <row r="430" spans="12:14" ht="18" customHeight="1">
      <c r="L430" s="385"/>
      <c r="M430" s="385"/>
      <c r="N430" s="385"/>
    </row>
    <row r="431" spans="12:14" ht="18" customHeight="1">
      <c r="L431" s="385"/>
      <c r="M431" s="385"/>
      <c r="N431" s="385"/>
    </row>
    <row r="432" spans="12:14" ht="18" customHeight="1">
      <c r="L432" s="385"/>
      <c r="M432" s="385"/>
      <c r="N432" s="385"/>
    </row>
    <row r="433" spans="12:14" ht="18" customHeight="1">
      <c r="L433" s="385"/>
      <c r="M433" s="385"/>
      <c r="N433" s="385"/>
    </row>
    <row r="434" spans="12:14" ht="18" customHeight="1">
      <c r="L434" s="385"/>
      <c r="M434" s="385"/>
      <c r="N434" s="385"/>
    </row>
    <row r="435" spans="12:14" ht="18" customHeight="1">
      <c r="L435" s="385"/>
      <c r="M435" s="385"/>
      <c r="N435" s="385"/>
    </row>
    <row r="436" spans="12:14" ht="18" customHeight="1">
      <c r="L436" s="385"/>
      <c r="M436" s="385"/>
      <c r="N436" s="385"/>
    </row>
    <row r="437" spans="12:14" ht="18" customHeight="1">
      <c r="L437" s="385"/>
      <c r="M437" s="385"/>
      <c r="N437" s="385"/>
    </row>
    <row r="438" spans="12:14" ht="18" customHeight="1">
      <c r="L438" s="385"/>
      <c r="M438" s="385"/>
      <c r="N438" s="385"/>
    </row>
    <row r="439" spans="12:14" ht="18" customHeight="1">
      <c r="L439" s="385"/>
      <c r="M439" s="385"/>
      <c r="N439" s="385"/>
    </row>
    <row r="440" spans="12:14" ht="18" customHeight="1">
      <c r="L440" s="385"/>
      <c r="M440" s="385"/>
      <c r="N440" s="385"/>
    </row>
    <row r="441" spans="12:14" ht="18" customHeight="1">
      <c r="L441" s="385"/>
      <c r="M441" s="385"/>
      <c r="N441" s="385"/>
    </row>
    <row r="442" spans="12:14" ht="18" customHeight="1">
      <c r="L442" s="385"/>
      <c r="M442" s="385"/>
      <c r="N442" s="385"/>
    </row>
    <row r="443" spans="12:14" ht="18" customHeight="1">
      <c r="L443" s="385"/>
      <c r="M443" s="385"/>
      <c r="N443" s="385"/>
    </row>
    <row r="444" spans="12:14" ht="18" customHeight="1">
      <c r="L444" s="385"/>
      <c r="M444" s="385"/>
      <c r="N444" s="385"/>
    </row>
    <row r="445" spans="12:14" ht="18" customHeight="1">
      <c r="L445" s="385"/>
      <c r="M445" s="385"/>
      <c r="N445" s="385"/>
    </row>
    <row r="446" spans="12:14" ht="18" customHeight="1">
      <c r="L446" s="385"/>
      <c r="M446" s="385"/>
      <c r="N446" s="385"/>
    </row>
    <row r="447" spans="12:14" ht="18" customHeight="1">
      <c r="L447" s="385"/>
      <c r="M447" s="385"/>
      <c r="N447" s="385"/>
    </row>
    <row r="448" spans="12:14" ht="18" customHeight="1">
      <c r="L448" s="385"/>
      <c r="M448" s="385"/>
      <c r="N448" s="385"/>
    </row>
    <row r="449" spans="12:14" ht="18" customHeight="1">
      <c r="L449" s="385"/>
      <c r="M449" s="385"/>
      <c r="N449" s="385"/>
    </row>
    <row r="450" spans="12:14" ht="18" customHeight="1">
      <c r="L450" s="385"/>
      <c r="M450" s="385"/>
      <c r="N450" s="385"/>
    </row>
    <row r="451" spans="12:14" ht="18" customHeight="1">
      <c r="L451" s="385"/>
      <c r="M451" s="385"/>
      <c r="N451" s="385"/>
    </row>
    <row r="452" spans="12:14" ht="18" customHeight="1">
      <c r="L452" s="385"/>
      <c r="M452" s="385"/>
      <c r="N452" s="385"/>
    </row>
    <row r="453" spans="12:14" ht="18" customHeight="1">
      <c r="L453" s="385"/>
      <c r="M453" s="385"/>
      <c r="N453" s="385"/>
    </row>
    <row r="454" spans="12:14" ht="18" customHeight="1">
      <c r="L454" s="385"/>
      <c r="M454" s="385"/>
      <c r="N454" s="385"/>
    </row>
    <row r="455" spans="12:14" ht="18" customHeight="1">
      <c r="L455" s="385"/>
      <c r="M455" s="385"/>
      <c r="N455" s="385"/>
    </row>
    <row r="456" spans="12:14" ht="18" customHeight="1">
      <c r="L456" s="385"/>
      <c r="M456" s="385"/>
      <c r="N456" s="385"/>
    </row>
    <row r="457" spans="12:14" ht="18" customHeight="1">
      <c r="L457" s="385"/>
      <c r="M457" s="385"/>
      <c r="N457" s="385"/>
    </row>
    <row r="458" spans="12:14" ht="18" customHeight="1">
      <c r="L458" s="385"/>
      <c r="M458" s="385"/>
      <c r="N458" s="385"/>
    </row>
    <row r="459" spans="12:14" ht="18" customHeight="1">
      <c r="L459" s="385"/>
      <c r="M459" s="385"/>
      <c r="N459" s="385"/>
    </row>
    <row r="460" spans="12:14" ht="18" customHeight="1">
      <c r="L460" s="385"/>
      <c r="M460" s="385"/>
      <c r="N460" s="385"/>
    </row>
    <row r="461" spans="12:14" ht="18" customHeight="1">
      <c r="L461" s="385"/>
      <c r="M461" s="385"/>
      <c r="N461" s="385"/>
    </row>
    <row r="462" spans="12:14" ht="18" customHeight="1">
      <c r="L462" s="385"/>
      <c r="M462" s="385"/>
      <c r="N462" s="385"/>
    </row>
    <row r="463" spans="12:14" ht="18" customHeight="1">
      <c r="L463" s="385"/>
      <c r="M463" s="385"/>
      <c r="N463" s="385"/>
    </row>
    <row r="464" spans="12:14" ht="18" customHeight="1">
      <c r="L464" s="385"/>
      <c r="M464" s="385"/>
      <c r="N464" s="385"/>
    </row>
    <row r="465" spans="12:14" ht="18" customHeight="1">
      <c r="L465" s="385"/>
      <c r="M465" s="385"/>
      <c r="N465" s="385"/>
    </row>
    <row r="466" spans="12:14" ht="18" customHeight="1">
      <c r="L466" s="385"/>
      <c r="M466" s="385"/>
      <c r="N466" s="385"/>
    </row>
    <row r="467" spans="12:14" ht="18" customHeight="1">
      <c r="L467" s="385"/>
      <c r="M467" s="385"/>
      <c r="N467" s="385"/>
    </row>
    <row r="468" spans="12:14" ht="18" customHeight="1">
      <c r="L468" s="385"/>
      <c r="M468" s="385"/>
      <c r="N468" s="385"/>
    </row>
    <row r="469" spans="12:14" ht="18" customHeight="1">
      <c r="L469" s="385"/>
      <c r="M469" s="385"/>
      <c r="N469" s="385"/>
    </row>
    <row r="470" spans="12:14" ht="18" customHeight="1">
      <c r="L470" s="385"/>
      <c r="M470" s="385"/>
      <c r="N470" s="385"/>
    </row>
    <row r="471" spans="12:14" ht="18" customHeight="1">
      <c r="L471" s="385"/>
      <c r="M471" s="385"/>
      <c r="N471" s="385"/>
    </row>
    <row r="472" spans="12:14" ht="18" customHeight="1">
      <c r="L472" s="385"/>
      <c r="M472" s="385"/>
      <c r="N472" s="385"/>
    </row>
    <row r="473" spans="12:14" ht="18" customHeight="1">
      <c r="L473" s="385"/>
      <c r="M473" s="385"/>
      <c r="N473" s="385"/>
    </row>
    <row r="474" spans="12:14" ht="18" customHeight="1">
      <c r="L474" s="385"/>
      <c r="M474" s="385"/>
      <c r="N474" s="385"/>
    </row>
    <row r="475" spans="12:14" ht="18" customHeight="1">
      <c r="L475" s="385"/>
      <c r="M475" s="385"/>
      <c r="N475" s="385"/>
    </row>
    <row r="476" spans="12:14" ht="18" customHeight="1">
      <c r="L476" s="385"/>
      <c r="M476" s="385"/>
      <c r="N476" s="385"/>
    </row>
    <row r="477" spans="12:14" ht="18" customHeight="1">
      <c r="L477" s="385"/>
      <c r="M477" s="385"/>
      <c r="N477" s="385"/>
    </row>
    <row r="478" spans="12:14" ht="18" customHeight="1">
      <c r="L478" s="385"/>
      <c r="M478" s="385"/>
      <c r="N478" s="385"/>
    </row>
    <row r="479" spans="12:14" ht="18" customHeight="1">
      <c r="L479" s="385"/>
      <c r="M479" s="385"/>
      <c r="N479" s="385"/>
    </row>
    <row r="480" spans="12:14" ht="18" customHeight="1">
      <c r="L480" s="385"/>
      <c r="M480" s="385"/>
      <c r="N480" s="385"/>
    </row>
    <row r="481" spans="12:14" ht="18" customHeight="1">
      <c r="L481" s="385"/>
      <c r="M481" s="385"/>
      <c r="N481" s="385"/>
    </row>
    <row r="482" spans="12:14" ht="18" customHeight="1">
      <c r="L482" s="385"/>
      <c r="M482" s="385"/>
      <c r="N482" s="385"/>
    </row>
    <row r="483" spans="12:14" ht="18" customHeight="1">
      <c r="L483" s="385"/>
      <c r="M483" s="385"/>
      <c r="N483" s="385"/>
    </row>
    <row r="484" spans="12:14" ht="18" customHeight="1">
      <c r="L484" s="385"/>
      <c r="M484" s="385"/>
      <c r="N484" s="385"/>
    </row>
    <row r="485" spans="12:14" ht="18" customHeight="1">
      <c r="L485" s="385"/>
      <c r="M485" s="385"/>
      <c r="N485" s="385"/>
    </row>
    <row r="486" spans="12:14" ht="18" customHeight="1">
      <c r="L486" s="385"/>
      <c r="M486" s="385"/>
      <c r="N486" s="385"/>
    </row>
    <row r="487" spans="12:14" ht="18" customHeight="1">
      <c r="L487" s="385"/>
      <c r="M487" s="385"/>
      <c r="N487" s="385"/>
    </row>
    <row r="488" spans="12:14" ht="18" customHeight="1">
      <c r="L488" s="385"/>
      <c r="M488" s="385"/>
      <c r="N488" s="385"/>
    </row>
    <row r="489" spans="12:14" ht="18" customHeight="1">
      <c r="L489" s="385"/>
      <c r="M489" s="385"/>
      <c r="N489" s="385"/>
    </row>
    <row r="490" spans="12:14" ht="18" customHeight="1">
      <c r="L490" s="385"/>
      <c r="M490" s="385"/>
      <c r="N490" s="385"/>
    </row>
    <row r="491" spans="12:14" ht="18" customHeight="1">
      <c r="L491" s="385"/>
      <c r="M491" s="385"/>
      <c r="N491" s="385"/>
    </row>
    <row r="492" spans="12:14" ht="18" customHeight="1">
      <c r="L492" s="385"/>
      <c r="M492" s="385"/>
      <c r="N492" s="385"/>
    </row>
    <row r="493" spans="12:14" ht="18" customHeight="1">
      <c r="L493" s="385"/>
      <c r="M493" s="385"/>
      <c r="N493" s="385"/>
    </row>
    <row r="494" spans="12:14" ht="18" customHeight="1">
      <c r="L494" s="385"/>
      <c r="M494" s="385"/>
      <c r="N494" s="385"/>
    </row>
    <row r="495" spans="12:14" ht="18" customHeight="1">
      <c r="L495" s="385"/>
      <c r="M495" s="385"/>
      <c r="N495" s="385"/>
    </row>
    <row r="496" spans="12:14" ht="18" customHeight="1">
      <c r="L496" s="385"/>
      <c r="M496" s="385"/>
      <c r="N496" s="385"/>
    </row>
    <row r="497" spans="12:14" ht="18" customHeight="1">
      <c r="L497" s="385"/>
      <c r="M497" s="385"/>
      <c r="N497" s="385"/>
    </row>
    <row r="498" spans="12:14" ht="18" customHeight="1">
      <c r="L498" s="385"/>
      <c r="M498" s="385"/>
      <c r="N498" s="385"/>
    </row>
    <row r="499" spans="12:14" ht="18" customHeight="1">
      <c r="L499" s="385"/>
      <c r="M499" s="385"/>
      <c r="N499" s="385"/>
    </row>
    <row r="500" spans="12:14" ht="18" customHeight="1">
      <c r="L500" s="385"/>
      <c r="M500" s="385"/>
      <c r="N500" s="385"/>
    </row>
    <row r="501" spans="12:14" ht="18" customHeight="1">
      <c r="L501" s="385"/>
      <c r="M501" s="385"/>
      <c r="N501" s="385"/>
    </row>
    <row r="502" spans="12:14" ht="18" customHeight="1">
      <c r="L502" s="385"/>
      <c r="M502" s="385"/>
      <c r="N502" s="385"/>
    </row>
    <row r="503" spans="12:14" ht="18" customHeight="1">
      <c r="L503" s="385"/>
      <c r="M503" s="385"/>
      <c r="N503" s="385"/>
    </row>
    <row r="504" spans="12:14" ht="18" customHeight="1">
      <c r="L504" s="385"/>
      <c r="M504" s="385"/>
      <c r="N504" s="385"/>
    </row>
    <row r="505" spans="12:14" ht="18" customHeight="1">
      <c r="L505" s="385"/>
      <c r="M505" s="385"/>
      <c r="N505" s="385"/>
    </row>
    <row r="506" spans="12:14" ht="18" customHeight="1">
      <c r="L506" s="385"/>
      <c r="M506" s="385"/>
      <c r="N506" s="385"/>
    </row>
    <row r="507" spans="12:14" ht="18" customHeight="1">
      <c r="L507" s="385"/>
      <c r="M507" s="385"/>
      <c r="N507" s="385"/>
    </row>
    <row r="508" spans="12:14" ht="18" customHeight="1">
      <c r="L508" s="385"/>
      <c r="M508" s="385"/>
      <c r="N508" s="385"/>
    </row>
    <row r="509" spans="12:14" ht="18" customHeight="1">
      <c r="L509" s="385"/>
      <c r="M509" s="385"/>
      <c r="N509" s="385"/>
    </row>
    <row r="510" spans="12:14" ht="18" customHeight="1">
      <c r="L510" s="385"/>
      <c r="M510" s="385"/>
      <c r="N510" s="385"/>
    </row>
    <row r="511" spans="12:14" ht="18" customHeight="1">
      <c r="L511" s="385"/>
      <c r="M511" s="385"/>
      <c r="N511" s="385"/>
    </row>
    <row r="512" spans="12:14" ht="18" customHeight="1">
      <c r="L512" s="385"/>
      <c r="M512" s="385"/>
      <c r="N512" s="385"/>
    </row>
    <row r="513" spans="12:14" ht="18" customHeight="1">
      <c r="L513" s="385"/>
      <c r="M513" s="385"/>
      <c r="N513" s="385"/>
    </row>
    <row r="514" spans="12:14" ht="18" customHeight="1">
      <c r="L514" s="385"/>
      <c r="M514" s="385"/>
      <c r="N514" s="385"/>
    </row>
    <row r="515" spans="12:14" ht="18" customHeight="1">
      <c r="L515" s="385"/>
      <c r="M515" s="385"/>
      <c r="N515" s="385"/>
    </row>
    <row r="516" spans="12:14" ht="18" customHeight="1">
      <c r="L516" s="385"/>
      <c r="M516" s="385"/>
      <c r="N516" s="385"/>
    </row>
    <row r="517" spans="12:14" ht="18" customHeight="1">
      <c r="L517" s="385"/>
      <c r="M517" s="385"/>
      <c r="N517" s="385"/>
    </row>
    <row r="518" spans="12:14" ht="18" customHeight="1">
      <c r="L518" s="385"/>
      <c r="M518" s="385"/>
      <c r="N518" s="385"/>
    </row>
    <row r="519" spans="12:14" ht="18" customHeight="1">
      <c r="L519" s="385"/>
      <c r="M519" s="385"/>
      <c r="N519" s="385"/>
    </row>
    <row r="520" spans="12:14" ht="18" customHeight="1">
      <c r="L520" s="385"/>
      <c r="M520" s="385"/>
      <c r="N520" s="385"/>
    </row>
    <row r="521" spans="12:14" ht="18" customHeight="1">
      <c r="L521" s="385"/>
      <c r="M521" s="385"/>
      <c r="N521" s="385"/>
    </row>
    <row r="522" spans="12:14" ht="18" customHeight="1">
      <c r="L522" s="385"/>
      <c r="M522" s="385"/>
      <c r="N522" s="385"/>
    </row>
    <row r="523" spans="12:14" ht="18" customHeight="1">
      <c r="L523" s="385"/>
      <c r="M523" s="385"/>
      <c r="N523" s="385"/>
    </row>
    <row r="524" spans="12:14" ht="18" customHeight="1">
      <c r="L524" s="385"/>
      <c r="M524" s="385"/>
      <c r="N524" s="385"/>
    </row>
    <row r="525" spans="12:14" ht="18" customHeight="1">
      <c r="L525" s="385"/>
      <c r="M525" s="385"/>
      <c r="N525" s="385"/>
    </row>
    <row r="526" spans="12:14" ht="18" customHeight="1">
      <c r="L526" s="385"/>
      <c r="M526" s="385"/>
      <c r="N526" s="385"/>
    </row>
    <row r="527" spans="12:14" ht="18" customHeight="1">
      <c r="L527" s="385"/>
      <c r="M527" s="385"/>
      <c r="N527" s="385"/>
    </row>
    <row r="528" spans="12:14" ht="18" customHeight="1">
      <c r="L528" s="385"/>
      <c r="M528" s="385"/>
      <c r="N528" s="385"/>
    </row>
    <row r="529" spans="12:14" ht="18" customHeight="1">
      <c r="L529" s="385"/>
      <c r="M529" s="385"/>
      <c r="N529" s="385"/>
    </row>
    <row r="530" spans="12:14" ht="18" customHeight="1">
      <c r="L530" s="385"/>
      <c r="M530" s="385"/>
      <c r="N530" s="385"/>
    </row>
    <row r="531" spans="12:14" ht="18" customHeight="1">
      <c r="L531" s="385"/>
      <c r="M531" s="385"/>
      <c r="N531" s="385"/>
    </row>
    <row r="532" spans="12:14" ht="18" customHeight="1">
      <c r="L532" s="385"/>
      <c r="M532" s="385"/>
      <c r="N532" s="385"/>
    </row>
    <row r="533" spans="12:14" ht="18" customHeight="1">
      <c r="L533" s="385"/>
      <c r="M533" s="385"/>
      <c r="N533" s="385"/>
    </row>
    <row r="534" spans="12:14" ht="18" customHeight="1">
      <c r="L534" s="385"/>
      <c r="M534" s="385"/>
      <c r="N534" s="385"/>
    </row>
    <row r="535" spans="12:14" ht="18" customHeight="1">
      <c r="L535" s="385"/>
      <c r="M535" s="385"/>
      <c r="N535" s="385"/>
    </row>
    <row r="536" spans="12:14" ht="18" customHeight="1">
      <c r="L536" s="385"/>
      <c r="M536" s="385"/>
      <c r="N536" s="385"/>
    </row>
    <row r="537" spans="12:14" ht="18" customHeight="1">
      <c r="L537" s="385"/>
      <c r="M537" s="385"/>
      <c r="N537" s="385"/>
    </row>
    <row r="538" spans="12:14" ht="18" customHeight="1">
      <c r="L538" s="385"/>
      <c r="M538" s="385"/>
      <c r="N538" s="385"/>
    </row>
    <row r="539" spans="12:14" ht="18" customHeight="1">
      <c r="L539" s="385"/>
      <c r="M539" s="385"/>
      <c r="N539" s="385"/>
    </row>
    <row r="540" spans="12:14" ht="18" customHeight="1">
      <c r="L540" s="385"/>
      <c r="M540" s="385"/>
      <c r="N540" s="385"/>
    </row>
    <row r="541" spans="12:14" ht="18" customHeight="1">
      <c r="L541" s="385"/>
      <c r="M541" s="385"/>
      <c r="N541" s="385"/>
    </row>
    <row r="542" spans="12:14" ht="18" customHeight="1">
      <c r="L542" s="385"/>
      <c r="M542" s="385"/>
      <c r="N542" s="385"/>
    </row>
    <row r="543" spans="12:14" ht="18" customHeight="1">
      <c r="L543" s="385"/>
      <c r="M543" s="385"/>
      <c r="N543" s="385"/>
    </row>
    <row r="544" spans="12:14" ht="18" customHeight="1">
      <c r="L544" s="385"/>
      <c r="M544" s="385"/>
      <c r="N544" s="385"/>
    </row>
    <row r="545" spans="12:14" ht="18" customHeight="1">
      <c r="L545" s="385"/>
      <c r="M545" s="385"/>
      <c r="N545" s="385"/>
    </row>
    <row r="546" spans="12:14" ht="18" customHeight="1">
      <c r="L546" s="385"/>
      <c r="M546" s="385"/>
      <c r="N546" s="385"/>
    </row>
    <row r="547" spans="12:14" ht="18" customHeight="1">
      <c r="L547" s="385"/>
      <c r="M547" s="385"/>
      <c r="N547" s="385"/>
    </row>
    <row r="548" spans="12:14" ht="18" customHeight="1">
      <c r="L548" s="385"/>
      <c r="M548" s="385"/>
      <c r="N548" s="385"/>
    </row>
    <row r="549" spans="12:14" ht="18" customHeight="1">
      <c r="L549" s="385"/>
      <c r="M549" s="385"/>
      <c r="N549" s="385"/>
    </row>
    <row r="550" spans="12:14" ht="18" customHeight="1">
      <c r="L550" s="385"/>
      <c r="M550" s="385"/>
      <c r="N550" s="385"/>
    </row>
    <row r="551" spans="12:14" ht="18" customHeight="1">
      <c r="L551" s="385"/>
      <c r="M551" s="385"/>
      <c r="N551" s="385"/>
    </row>
    <row r="552" spans="12:14" ht="18" customHeight="1">
      <c r="L552" s="385"/>
      <c r="M552" s="385"/>
      <c r="N552" s="385"/>
    </row>
    <row r="553" spans="12:14" ht="18" customHeight="1">
      <c r="L553" s="385"/>
      <c r="M553" s="385"/>
      <c r="N553" s="385"/>
    </row>
    <row r="554" spans="12:14" ht="18" customHeight="1">
      <c r="L554" s="385"/>
      <c r="M554" s="385"/>
      <c r="N554" s="385"/>
    </row>
    <row r="555" spans="12:14" ht="18" customHeight="1">
      <c r="L555" s="385"/>
      <c r="M555" s="385"/>
      <c r="N555" s="385"/>
    </row>
    <row r="556" spans="12:14" ht="18" customHeight="1">
      <c r="L556" s="385"/>
      <c r="M556" s="385"/>
      <c r="N556" s="385"/>
    </row>
    <row r="557" spans="12:14" ht="18" customHeight="1">
      <c r="L557" s="385"/>
      <c r="M557" s="385"/>
      <c r="N557" s="385"/>
    </row>
    <row r="558" spans="12:14" ht="18" customHeight="1">
      <c r="L558" s="385"/>
      <c r="M558" s="385"/>
      <c r="N558" s="385"/>
    </row>
    <row r="559" spans="12:14" ht="18" customHeight="1">
      <c r="L559" s="385"/>
      <c r="M559" s="385"/>
      <c r="N559" s="385"/>
    </row>
    <row r="560" spans="12:14" ht="18" customHeight="1">
      <c r="L560" s="385"/>
      <c r="M560" s="385"/>
      <c r="N560" s="385"/>
    </row>
    <row r="561" spans="12:14" ht="18" customHeight="1">
      <c r="L561" s="385"/>
      <c r="M561" s="385"/>
      <c r="N561" s="385"/>
    </row>
    <row r="562" spans="12:14" ht="18" customHeight="1">
      <c r="L562" s="385"/>
      <c r="M562" s="385"/>
      <c r="N562" s="385"/>
    </row>
    <row r="563" spans="12:14" ht="18" customHeight="1">
      <c r="L563" s="385"/>
      <c r="M563" s="385"/>
      <c r="N563" s="385"/>
    </row>
    <row r="564" spans="12:14" ht="18" customHeight="1">
      <c r="L564" s="385"/>
      <c r="M564" s="385"/>
      <c r="N564" s="385"/>
    </row>
    <row r="565" spans="12:14" ht="18" customHeight="1">
      <c r="L565" s="385"/>
      <c r="M565" s="385"/>
      <c r="N565" s="385"/>
    </row>
    <row r="566" spans="12:14" ht="18" customHeight="1">
      <c r="L566" s="385"/>
      <c r="M566" s="385"/>
      <c r="N566" s="385"/>
    </row>
    <row r="567" spans="12:14" ht="18" customHeight="1">
      <c r="L567" s="385"/>
      <c r="M567" s="385"/>
      <c r="N567" s="385"/>
    </row>
    <row r="568" spans="12:14" ht="18" customHeight="1">
      <c r="L568" s="385"/>
      <c r="M568" s="385"/>
      <c r="N568" s="385"/>
    </row>
    <row r="569" spans="12:14" ht="18" customHeight="1">
      <c r="L569" s="385"/>
      <c r="M569" s="385"/>
      <c r="N569" s="385"/>
    </row>
    <row r="570" spans="12:14" ht="18" customHeight="1">
      <c r="L570" s="385"/>
      <c r="M570" s="385"/>
      <c r="N570" s="385"/>
    </row>
    <row r="571" spans="12:14" ht="18" customHeight="1">
      <c r="L571" s="385"/>
      <c r="M571" s="385"/>
      <c r="N571" s="385"/>
    </row>
    <row r="572" spans="12:14" ht="18" customHeight="1">
      <c r="L572" s="385"/>
      <c r="M572" s="385"/>
      <c r="N572" s="385"/>
    </row>
    <row r="573" spans="12:14" ht="18" customHeight="1">
      <c r="L573" s="385"/>
      <c r="M573" s="385"/>
      <c r="N573" s="385"/>
    </row>
    <row r="574" spans="12:14" ht="18" customHeight="1">
      <c r="L574" s="385"/>
      <c r="M574" s="385"/>
      <c r="N574" s="385"/>
    </row>
    <row r="575" spans="12:14" ht="18" customHeight="1">
      <c r="L575" s="385"/>
      <c r="M575" s="385"/>
      <c r="N575" s="385"/>
    </row>
    <row r="576" spans="12:14" ht="18" customHeight="1">
      <c r="L576" s="385"/>
      <c r="M576" s="385"/>
      <c r="N576" s="385"/>
    </row>
    <row r="577" spans="12:14" ht="18" customHeight="1">
      <c r="L577" s="385"/>
      <c r="M577" s="385"/>
      <c r="N577" s="385"/>
    </row>
    <row r="578" spans="12:14" ht="18" customHeight="1">
      <c r="L578" s="385"/>
      <c r="M578" s="385"/>
      <c r="N578" s="385"/>
    </row>
    <row r="579" spans="12:14" ht="18" customHeight="1">
      <c r="L579" s="385"/>
      <c r="M579" s="385"/>
      <c r="N579" s="385"/>
    </row>
    <row r="580" spans="12:14" ht="18" customHeight="1">
      <c r="L580" s="385"/>
      <c r="M580" s="385"/>
      <c r="N580" s="385"/>
    </row>
    <row r="581" spans="12:14" ht="18" customHeight="1">
      <c r="L581" s="385"/>
      <c r="M581" s="385"/>
      <c r="N581" s="385"/>
    </row>
    <row r="582" spans="12:14" ht="18" customHeight="1">
      <c r="L582" s="385"/>
      <c r="M582" s="385"/>
      <c r="N582" s="385"/>
    </row>
    <row r="583" spans="12:14" ht="18" customHeight="1">
      <c r="L583" s="385"/>
      <c r="M583" s="385"/>
      <c r="N583" s="385"/>
    </row>
    <row r="584" spans="12:14" ht="18" customHeight="1">
      <c r="L584" s="385"/>
      <c r="M584" s="385"/>
      <c r="N584" s="385"/>
    </row>
    <row r="585" spans="12:14" ht="18" customHeight="1">
      <c r="L585" s="385"/>
      <c r="M585" s="385"/>
      <c r="N585" s="385"/>
    </row>
    <row r="586" spans="12:14" ht="18" customHeight="1">
      <c r="L586" s="385"/>
      <c r="M586" s="385"/>
      <c r="N586" s="385"/>
    </row>
    <row r="587" spans="12:14" ht="18" customHeight="1">
      <c r="L587" s="385"/>
      <c r="M587" s="385"/>
      <c r="N587" s="385"/>
    </row>
    <row r="588" spans="12:14" ht="18" customHeight="1">
      <c r="L588" s="385"/>
      <c r="M588" s="385"/>
      <c r="N588" s="385"/>
    </row>
    <row r="589" spans="12:14" ht="18" customHeight="1">
      <c r="L589" s="385"/>
      <c r="M589" s="385"/>
      <c r="N589" s="385"/>
    </row>
    <row r="590" spans="12:14" ht="18" customHeight="1">
      <c r="L590" s="385"/>
      <c r="M590" s="385"/>
      <c r="N590" s="385"/>
    </row>
    <row r="591" spans="12:14" ht="18" customHeight="1">
      <c r="L591" s="385"/>
      <c r="M591" s="385"/>
      <c r="N591" s="385"/>
    </row>
    <row r="592" spans="12:14" ht="18" customHeight="1">
      <c r="L592" s="385"/>
      <c r="M592" s="385"/>
      <c r="N592" s="385"/>
    </row>
    <row r="593" spans="12:14" ht="18" customHeight="1">
      <c r="L593" s="385"/>
      <c r="M593" s="385"/>
      <c r="N593" s="385"/>
    </row>
    <row r="594" spans="12:14" ht="18" customHeight="1">
      <c r="L594" s="385"/>
      <c r="M594" s="385"/>
      <c r="N594" s="385"/>
    </row>
    <row r="595" spans="12:14" ht="18" customHeight="1">
      <c r="L595" s="385"/>
      <c r="M595" s="385"/>
      <c r="N595" s="385"/>
    </row>
    <row r="596" spans="12:14" ht="18" customHeight="1">
      <c r="L596" s="385"/>
      <c r="M596" s="385"/>
      <c r="N596" s="385"/>
    </row>
    <row r="597" spans="12:14" ht="18" customHeight="1">
      <c r="L597" s="385"/>
      <c r="M597" s="385"/>
      <c r="N597" s="385"/>
    </row>
    <row r="598" spans="12:14" ht="18" customHeight="1">
      <c r="L598" s="385"/>
      <c r="M598" s="385"/>
      <c r="N598" s="385"/>
    </row>
    <row r="599" spans="12:14" ht="18" customHeight="1">
      <c r="L599" s="385"/>
      <c r="M599" s="385"/>
      <c r="N599" s="385"/>
    </row>
    <row r="600" spans="12:14" ht="18" customHeight="1">
      <c r="L600" s="385"/>
      <c r="M600" s="385"/>
      <c r="N600" s="385"/>
    </row>
    <row r="601" spans="12:14" ht="18" customHeight="1">
      <c r="L601" s="385"/>
      <c r="M601" s="385"/>
      <c r="N601" s="385"/>
    </row>
    <row r="602" spans="12:14" ht="18" customHeight="1">
      <c r="L602" s="385"/>
      <c r="M602" s="385"/>
      <c r="N602" s="385"/>
    </row>
    <row r="603" spans="12:14" ht="18" customHeight="1">
      <c r="L603" s="385"/>
      <c r="M603" s="385"/>
      <c r="N603" s="385"/>
    </row>
    <row r="604" spans="12:14" ht="18" customHeight="1">
      <c r="L604" s="385"/>
      <c r="M604" s="385"/>
      <c r="N604" s="385"/>
    </row>
    <row r="605" spans="12:14" ht="18" customHeight="1">
      <c r="L605" s="385"/>
      <c r="M605" s="385"/>
      <c r="N605" s="385"/>
    </row>
    <row r="606" spans="12:14" ht="18" customHeight="1">
      <c r="L606" s="385"/>
      <c r="M606" s="385"/>
      <c r="N606" s="385"/>
    </row>
    <row r="607" spans="12:14" ht="18" customHeight="1">
      <c r="L607" s="385"/>
      <c r="M607" s="385"/>
      <c r="N607" s="385"/>
    </row>
    <row r="608" spans="12:14" ht="18" customHeight="1">
      <c r="L608" s="385"/>
      <c r="M608" s="385"/>
      <c r="N608" s="385"/>
    </row>
    <row r="609" spans="12:14" ht="18" customHeight="1">
      <c r="L609" s="385"/>
      <c r="M609" s="385"/>
      <c r="N609" s="385"/>
    </row>
    <row r="610" spans="12:14" ht="18" customHeight="1">
      <c r="L610" s="385"/>
      <c r="M610" s="385"/>
      <c r="N610" s="385"/>
    </row>
    <row r="611" spans="12:14" ht="18" customHeight="1">
      <c r="L611" s="385"/>
      <c r="M611" s="385"/>
      <c r="N611" s="385"/>
    </row>
    <row r="612" spans="12:14" ht="18" customHeight="1">
      <c r="L612" s="385"/>
      <c r="M612" s="385"/>
      <c r="N612" s="385"/>
    </row>
    <row r="613" spans="12:14" ht="18" customHeight="1">
      <c r="L613" s="385"/>
      <c r="M613" s="385"/>
      <c r="N613" s="385"/>
    </row>
    <row r="614" spans="12:14" ht="18" customHeight="1">
      <c r="L614" s="385"/>
      <c r="M614" s="385"/>
      <c r="N614" s="385"/>
    </row>
    <row r="615" spans="12:14" ht="18" customHeight="1">
      <c r="L615" s="385"/>
      <c r="M615" s="385"/>
      <c r="N615" s="385"/>
    </row>
    <row r="616" spans="12:14" ht="18" customHeight="1">
      <c r="L616" s="385"/>
      <c r="M616" s="385"/>
      <c r="N616" s="385"/>
    </row>
    <row r="617" spans="12:14" ht="18" customHeight="1">
      <c r="L617" s="385"/>
      <c r="M617" s="385"/>
      <c r="N617" s="385"/>
    </row>
    <row r="618" spans="12:14" ht="18" customHeight="1">
      <c r="L618" s="385"/>
      <c r="M618" s="385"/>
      <c r="N618" s="385"/>
    </row>
    <row r="619" spans="12:14" ht="18" customHeight="1">
      <c r="L619" s="385"/>
      <c r="M619" s="385"/>
      <c r="N619" s="385"/>
    </row>
    <row r="620" spans="12:14" ht="18" customHeight="1">
      <c r="L620" s="385"/>
      <c r="M620" s="385"/>
      <c r="N620" s="385"/>
    </row>
    <row r="621" spans="12:14" ht="18" customHeight="1">
      <c r="L621" s="385"/>
      <c r="M621" s="385"/>
      <c r="N621" s="385"/>
    </row>
    <row r="622" spans="12:14" ht="18" customHeight="1">
      <c r="L622" s="385"/>
      <c r="M622" s="385"/>
      <c r="N622" s="385"/>
    </row>
    <row r="623" spans="12:14" ht="18" customHeight="1">
      <c r="L623" s="385"/>
      <c r="M623" s="385"/>
      <c r="N623" s="385"/>
    </row>
    <row r="624" spans="12:14" ht="18" customHeight="1">
      <c r="L624" s="385"/>
      <c r="M624" s="385"/>
      <c r="N624" s="385"/>
    </row>
    <row r="625" spans="12:14" ht="18" customHeight="1">
      <c r="L625" s="385"/>
      <c r="M625" s="385"/>
      <c r="N625" s="385"/>
    </row>
    <row r="626" spans="12:14" ht="18" customHeight="1">
      <c r="L626" s="385"/>
      <c r="M626" s="385"/>
      <c r="N626" s="385"/>
    </row>
    <row r="627" spans="12:14" ht="18" customHeight="1">
      <c r="L627" s="385"/>
      <c r="M627" s="385"/>
      <c r="N627" s="385"/>
    </row>
    <row r="628" spans="12:14" ht="18" customHeight="1">
      <c r="L628" s="385"/>
      <c r="M628" s="385"/>
      <c r="N628" s="385"/>
    </row>
    <row r="629" spans="12:14" ht="18" customHeight="1">
      <c r="L629" s="385"/>
      <c r="M629" s="385"/>
      <c r="N629" s="385"/>
    </row>
    <row r="630" spans="12:14" ht="18" customHeight="1">
      <c r="L630" s="385"/>
      <c r="M630" s="385"/>
      <c r="N630" s="385"/>
    </row>
    <row r="631" spans="12:14" ht="18" customHeight="1">
      <c r="L631" s="385"/>
      <c r="M631" s="385"/>
      <c r="N631" s="385"/>
    </row>
    <row r="632" spans="12:14" ht="18" customHeight="1">
      <c r="L632" s="385"/>
      <c r="M632" s="385"/>
      <c r="N632" s="385"/>
    </row>
    <row r="633" spans="12:14" ht="18" customHeight="1">
      <c r="L633" s="385"/>
      <c r="M633" s="385"/>
      <c r="N633" s="385"/>
    </row>
    <row r="634" spans="12:14" ht="18" customHeight="1">
      <c r="L634" s="385"/>
      <c r="M634" s="385"/>
      <c r="N634" s="385"/>
    </row>
    <row r="635" spans="12:14" ht="18" customHeight="1">
      <c r="L635" s="385"/>
      <c r="M635" s="385"/>
      <c r="N635" s="385"/>
    </row>
    <row r="636" spans="12:14" ht="18" customHeight="1">
      <c r="L636" s="385"/>
      <c r="M636" s="385"/>
      <c r="N636" s="385"/>
    </row>
    <row r="637" spans="12:14" ht="18" customHeight="1">
      <c r="L637" s="385"/>
      <c r="M637" s="385"/>
      <c r="N637" s="385"/>
    </row>
    <row r="638" spans="12:14" ht="18" customHeight="1">
      <c r="L638" s="385"/>
      <c r="M638" s="385"/>
      <c r="N638" s="385"/>
    </row>
    <row r="639" spans="12:14" ht="18" customHeight="1">
      <c r="L639" s="385"/>
      <c r="M639" s="385"/>
      <c r="N639" s="385"/>
    </row>
    <row r="640" spans="12:14" ht="18" customHeight="1">
      <c r="L640" s="385"/>
      <c r="M640" s="385"/>
      <c r="N640" s="385"/>
    </row>
    <row r="641" spans="12:14" ht="18" customHeight="1">
      <c r="L641" s="385"/>
      <c r="M641" s="385"/>
      <c r="N641" s="385"/>
    </row>
    <row r="642" spans="12:14" ht="18" customHeight="1">
      <c r="L642" s="385"/>
      <c r="M642" s="385"/>
      <c r="N642" s="385"/>
    </row>
    <row r="643" spans="12:14" ht="18" customHeight="1">
      <c r="L643" s="385"/>
      <c r="M643" s="385"/>
      <c r="N643" s="385"/>
    </row>
    <row r="644" spans="12:14" ht="18" customHeight="1">
      <c r="L644" s="385"/>
      <c r="M644" s="385"/>
      <c r="N644" s="385"/>
    </row>
    <row r="645" spans="12:14" ht="18" customHeight="1">
      <c r="L645" s="385"/>
      <c r="M645" s="385"/>
      <c r="N645" s="385"/>
    </row>
    <row r="646" spans="12:14" ht="18" customHeight="1">
      <c r="L646" s="385"/>
      <c r="M646" s="385"/>
      <c r="N646" s="385"/>
    </row>
    <row r="647" spans="12:14" ht="18" customHeight="1">
      <c r="L647" s="385"/>
      <c r="M647" s="385"/>
      <c r="N647" s="385"/>
    </row>
    <row r="648" spans="12:14" ht="18" customHeight="1">
      <c r="L648" s="385"/>
      <c r="M648" s="385"/>
      <c r="N648" s="385"/>
    </row>
    <row r="649" spans="12:14" ht="18" customHeight="1">
      <c r="L649" s="385"/>
      <c r="M649" s="385"/>
      <c r="N649" s="385"/>
    </row>
    <row r="650" spans="12:14" ht="18" customHeight="1">
      <c r="L650" s="385"/>
      <c r="M650" s="385"/>
      <c r="N650" s="385"/>
    </row>
    <row r="651" spans="12:14" ht="18" customHeight="1">
      <c r="L651" s="385"/>
      <c r="M651" s="385"/>
      <c r="N651" s="385"/>
    </row>
    <row r="652" spans="12:14" ht="18" customHeight="1">
      <c r="L652" s="385"/>
      <c r="M652" s="385"/>
      <c r="N652" s="385"/>
    </row>
    <row r="653" spans="12:14" ht="18" customHeight="1">
      <c r="L653" s="385"/>
      <c r="M653" s="385"/>
      <c r="N653" s="385"/>
    </row>
    <row r="654" spans="12:14" ht="18" customHeight="1">
      <c r="L654" s="385"/>
      <c r="M654" s="385"/>
      <c r="N654" s="385"/>
    </row>
    <row r="655" spans="12:14" ht="18" customHeight="1">
      <c r="L655" s="385"/>
      <c r="M655" s="385"/>
      <c r="N655" s="385"/>
    </row>
    <row r="656" spans="12:14" ht="18" customHeight="1">
      <c r="L656" s="385"/>
      <c r="M656" s="385"/>
      <c r="N656" s="385"/>
    </row>
    <row r="657" spans="12:14" ht="18" customHeight="1">
      <c r="L657" s="385"/>
      <c r="M657" s="385"/>
      <c r="N657" s="385"/>
    </row>
    <row r="658" spans="12:14" ht="18" customHeight="1">
      <c r="L658" s="385"/>
      <c r="M658" s="385"/>
      <c r="N658" s="385"/>
    </row>
    <row r="659" spans="12:14" ht="18" customHeight="1">
      <c r="L659" s="385"/>
      <c r="M659" s="385"/>
      <c r="N659" s="385"/>
    </row>
    <row r="660" spans="12:14" ht="18" customHeight="1">
      <c r="L660" s="385"/>
      <c r="M660" s="385"/>
      <c r="N660" s="385"/>
    </row>
    <row r="661" spans="12:14" ht="18" customHeight="1">
      <c r="L661" s="385"/>
      <c r="M661" s="385"/>
      <c r="N661" s="385"/>
    </row>
    <row r="662" spans="12:14" ht="18" customHeight="1">
      <c r="L662" s="385"/>
      <c r="M662" s="385"/>
      <c r="N662" s="385"/>
    </row>
    <row r="663" spans="12:14" ht="18" customHeight="1">
      <c r="L663" s="385"/>
      <c r="M663" s="385"/>
      <c r="N663" s="385"/>
    </row>
    <row r="664" spans="12:14" ht="18" customHeight="1">
      <c r="L664" s="385"/>
      <c r="M664" s="385"/>
      <c r="N664" s="385"/>
    </row>
    <row r="665" spans="12:14" ht="18" customHeight="1">
      <c r="L665" s="385"/>
      <c r="M665" s="385"/>
      <c r="N665" s="385"/>
    </row>
    <row r="666" spans="12:14" ht="18" customHeight="1">
      <c r="L666" s="385"/>
      <c r="M666" s="385"/>
      <c r="N666" s="385"/>
    </row>
    <row r="667" spans="12:14" ht="18" customHeight="1">
      <c r="L667" s="385"/>
      <c r="M667" s="385"/>
      <c r="N667" s="385"/>
    </row>
    <row r="668" spans="12:14" ht="18" customHeight="1">
      <c r="L668" s="385"/>
      <c r="M668" s="385"/>
      <c r="N668" s="385"/>
    </row>
    <row r="669" spans="12:14" ht="18" customHeight="1">
      <c r="L669" s="385"/>
      <c r="M669" s="385"/>
      <c r="N669" s="385"/>
    </row>
    <row r="670" spans="12:14" ht="18" customHeight="1">
      <c r="L670" s="385"/>
      <c r="M670" s="385"/>
      <c r="N670" s="385"/>
    </row>
    <row r="671" spans="12:14" ht="18" customHeight="1">
      <c r="L671" s="385"/>
      <c r="M671" s="385"/>
      <c r="N671" s="385"/>
    </row>
    <row r="672" spans="12:14" ht="18" customHeight="1">
      <c r="L672" s="385"/>
      <c r="M672" s="385"/>
      <c r="N672" s="385"/>
    </row>
    <row r="673" spans="12:14" ht="18" customHeight="1">
      <c r="L673" s="385"/>
      <c r="M673" s="385"/>
      <c r="N673" s="385"/>
    </row>
    <row r="674" spans="12:14" ht="18" customHeight="1">
      <c r="L674" s="385"/>
      <c r="M674" s="385"/>
      <c r="N674" s="385"/>
    </row>
    <row r="675" spans="12:14" ht="18" customHeight="1">
      <c r="L675" s="385"/>
      <c r="M675" s="385"/>
      <c r="N675" s="385"/>
    </row>
    <row r="676" spans="12:14" ht="18" customHeight="1">
      <c r="L676" s="385"/>
      <c r="M676" s="385"/>
      <c r="N676" s="385"/>
    </row>
    <row r="677" spans="12:14" ht="18" customHeight="1">
      <c r="L677" s="385"/>
      <c r="M677" s="385"/>
      <c r="N677" s="385"/>
    </row>
    <row r="678" spans="12:14" ht="18" customHeight="1">
      <c r="L678" s="385"/>
      <c r="M678" s="385"/>
      <c r="N678" s="385"/>
    </row>
    <row r="679" spans="12:14" ht="18" customHeight="1">
      <c r="L679" s="385"/>
      <c r="M679" s="385"/>
      <c r="N679" s="385"/>
    </row>
    <row r="680" spans="12:14" ht="18" customHeight="1">
      <c r="L680" s="385"/>
      <c r="M680" s="385"/>
      <c r="N680" s="385"/>
    </row>
    <row r="681" spans="12:14" ht="18" customHeight="1">
      <c r="L681" s="385"/>
      <c r="M681" s="385"/>
      <c r="N681" s="385"/>
    </row>
    <row r="682" spans="12:14" ht="18" customHeight="1">
      <c r="L682" s="385"/>
      <c r="M682" s="385"/>
      <c r="N682" s="385"/>
    </row>
    <row r="683" spans="12:14" ht="18" customHeight="1">
      <c r="L683" s="385"/>
      <c r="M683" s="385"/>
      <c r="N683" s="385"/>
    </row>
    <row r="684" spans="12:14" ht="18" customHeight="1">
      <c r="L684" s="385"/>
      <c r="M684" s="385"/>
      <c r="N684" s="385"/>
    </row>
    <row r="685" spans="12:14" ht="18" customHeight="1">
      <c r="L685" s="385"/>
      <c r="M685" s="385"/>
      <c r="N685" s="385"/>
    </row>
    <row r="686" spans="12:14" ht="18" customHeight="1">
      <c r="L686" s="385"/>
      <c r="M686" s="385"/>
      <c r="N686" s="385"/>
    </row>
    <row r="687" spans="12:14" ht="18" customHeight="1">
      <c r="L687" s="385"/>
      <c r="M687" s="385"/>
      <c r="N687" s="385"/>
    </row>
    <row r="688" spans="12:14" ht="18" customHeight="1">
      <c r="L688" s="385"/>
      <c r="M688" s="385"/>
      <c r="N688" s="385"/>
    </row>
    <row r="689" spans="12:14" ht="18" customHeight="1">
      <c r="L689" s="385"/>
      <c r="M689" s="385"/>
      <c r="N689" s="385"/>
    </row>
    <row r="690" spans="12:14" ht="18" customHeight="1">
      <c r="L690" s="385"/>
      <c r="M690" s="385"/>
      <c r="N690" s="385"/>
    </row>
    <row r="691" spans="12:14" ht="18" customHeight="1">
      <c r="L691" s="385"/>
      <c r="M691" s="385"/>
      <c r="N691" s="385"/>
    </row>
    <row r="692" spans="12:14" ht="18" customHeight="1">
      <c r="L692" s="385"/>
      <c r="M692" s="385"/>
      <c r="N692" s="385"/>
    </row>
    <row r="693" spans="12:14" ht="18" customHeight="1">
      <c r="L693" s="385"/>
      <c r="M693" s="385"/>
      <c r="N693" s="385"/>
    </row>
    <row r="694" spans="12:14" ht="18" customHeight="1">
      <c r="L694" s="385"/>
      <c r="M694" s="385"/>
      <c r="N694" s="385"/>
    </row>
    <row r="695" spans="12:14" ht="18" customHeight="1">
      <c r="L695" s="385"/>
      <c r="M695" s="385"/>
      <c r="N695" s="385"/>
    </row>
    <row r="696" spans="12:14" ht="18" customHeight="1">
      <c r="L696" s="385"/>
      <c r="M696" s="385"/>
      <c r="N696" s="385"/>
    </row>
    <row r="697" spans="12:14" ht="18" customHeight="1">
      <c r="L697" s="385"/>
      <c r="M697" s="385"/>
      <c r="N697" s="385"/>
    </row>
    <row r="698" spans="12:14" ht="18" customHeight="1">
      <c r="L698" s="385"/>
      <c r="M698" s="385"/>
      <c r="N698" s="385"/>
    </row>
    <row r="699" spans="12:14" ht="18" customHeight="1">
      <c r="L699" s="385"/>
      <c r="M699" s="385"/>
      <c r="N699" s="385"/>
    </row>
    <row r="700" spans="12:14" ht="18" customHeight="1">
      <c r="L700" s="385"/>
      <c r="M700" s="385"/>
      <c r="N700" s="385"/>
    </row>
    <row r="701" spans="12:14" ht="18" customHeight="1">
      <c r="L701" s="385"/>
      <c r="M701" s="385"/>
      <c r="N701" s="385"/>
    </row>
    <row r="702" spans="12:14" ht="18" customHeight="1">
      <c r="L702" s="385"/>
      <c r="M702" s="385"/>
      <c r="N702" s="385"/>
    </row>
    <row r="703" spans="12:14" ht="18" customHeight="1">
      <c r="L703" s="385"/>
      <c r="M703" s="385"/>
      <c r="N703" s="385"/>
    </row>
    <row r="704" spans="12:14" ht="18" customHeight="1">
      <c r="L704" s="385"/>
      <c r="M704" s="385"/>
      <c r="N704" s="385"/>
    </row>
    <row r="705" spans="12:14" ht="18" customHeight="1">
      <c r="L705" s="385"/>
      <c r="M705" s="385"/>
      <c r="N705" s="385"/>
    </row>
    <row r="706" spans="12:14" ht="18" customHeight="1">
      <c r="L706" s="385"/>
      <c r="M706" s="385"/>
      <c r="N706" s="385"/>
    </row>
    <row r="707" spans="12:14" ht="18" customHeight="1">
      <c r="L707" s="385"/>
      <c r="M707" s="385"/>
      <c r="N707" s="385"/>
    </row>
    <row r="708" spans="12:14" ht="18" customHeight="1">
      <c r="L708" s="385"/>
      <c r="M708" s="385"/>
      <c r="N708" s="385"/>
    </row>
    <row r="709" spans="12:14" ht="18" customHeight="1">
      <c r="L709" s="385"/>
      <c r="M709" s="385"/>
      <c r="N709" s="385"/>
    </row>
    <row r="710" spans="12:14" ht="18" customHeight="1">
      <c r="L710" s="385"/>
      <c r="M710" s="385"/>
      <c r="N710" s="385"/>
    </row>
    <row r="711" spans="12:14" ht="18" customHeight="1">
      <c r="L711" s="385"/>
      <c r="M711" s="385"/>
      <c r="N711" s="385"/>
    </row>
    <row r="712" spans="12:14" ht="18" customHeight="1">
      <c r="L712" s="385"/>
      <c r="M712" s="385"/>
      <c r="N712" s="385"/>
    </row>
    <row r="713" spans="12:14" ht="18" customHeight="1">
      <c r="L713" s="385"/>
      <c r="M713" s="385"/>
      <c r="N713" s="385"/>
    </row>
    <row r="714" spans="12:14" ht="18" customHeight="1">
      <c r="L714" s="385"/>
      <c r="M714" s="385"/>
      <c r="N714" s="385"/>
    </row>
    <row r="715" spans="12:14" ht="18" customHeight="1">
      <c r="L715" s="385"/>
      <c r="M715" s="385"/>
      <c r="N715" s="385"/>
    </row>
    <row r="716" spans="12:14" ht="18" customHeight="1">
      <c r="L716" s="385"/>
      <c r="M716" s="385"/>
      <c r="N716" s="385"/>
    </row>
    <row r="717" spans="12:14" ht="18" customHeight="1">
      <c r="L717" s="385"/>
      <c r="M717" s="385"/>
      <c r="N717" s="385"/>
    </row>
    <row r="718" spans="12:14" ht="18" customHeight="1">
      <c r="L718" s="385"/>
      <c r="M718" s="385"/>
      <c r="N718" s="385"/>
    </row>
    <row r="719" spans="12:14" ht="18" customHeight="1">
      <c r="L719" s="385"/>
      <c r="M719" s="385"/>
      <c r="N719" s="385"/>
    </row>
    <row r="720" spans="12:14" ht="18" customHeight="1">
      <c r="L720" s="385"/>
      <c r="M720" s="385"/>
      <c r="N720" s="385"/>
    </row>
    <row r="721" spans="12:14" ht="18" customHeight="1">
      <c r="L721" s="385"/>
      <c r="M721" s="385"/>
      <c r="N721" s="385"/>
    </row>
    <row r="722" spans="12:14" ht="18" customHeight="1">
      <c r="L722" s="385"/>
      <c r="M722" s="385"/>
      <c r="N722" s="385"/>
    </row>
    <row r="723" spans="12:14" ht="18" customHeight="1">
      <c r="L723" s="385"/>
      <c r="M723" s="385"/>
      <c r="N723" s="385"/>
    </row>
    <row r="724" spans="12:14" ht="18" customHeight="1">
      <c r="L724" s="385"/>
      <c r="M724" s="385"/>
      <c r="N724" s="385"/>
    </row>
    <row r="725" spans="12:14" ht="18" customHeight="1">
      <c r="L725" s="385"/>
      <c r="M725" s="385"/>
      <c r="N725" s="385"/>
    </row>
    <row r="726" spans="12:14" ht="18" customHeight="1">
      <c r="L726" s="385"/>
      <c r="M726" s="385"/>
      <c r="N726" s="385"/>
    </row>
    <row r="727" spans="12:14" ht="18" customHeight="1">
      <c r="L727" s="385"/>
      <c r="M727" s="385"/>
      <c r="N727" s="385"/>
    </row>
    <row r="728" spans="12:14" ht="18" customHeight="1">
      <c r="L728" s="385"/>
      <c r="M728" s="385"/>
      <c r="N728" s="385"/>
    </row>
    <row r="729" spans="12:14" ht="18" customHeight="1">
      <c r="L729" s="385"/>
      <c r="M729" s="385"/>
      <c r="N729" s="385"/>
    </row>
    <row r="730" spans="12:14" ht="18" customHeight="1">
      <c r="L730" s="385"/>
      <c r="M730" s="385"/>
      <c r="N730" s="385"/>
    </row>
    <row r="731" spans="12:14" ht="18" customHeight="1">
      <c r="L731" s="385"/>
      <c r="M731" s="385"/>
      <c r="N731" s="385"/>
    </row>
    <row r="732" spans="12:14" ht="18" customHeight="1">
      <c r="L732" s="385"/>
      <c r="M732" s="385"/>
      <c r="N732" s="385"/>
    </row>
    <row r="733" spans="12:14" ht="18" customHeight="1">
      <c r="L733" s="385"/>
      <c r="M733" s="385"/>
      <c r="N733" s="385"/>
    </row>
    <row r="734" spans="12:14" ht="18" customHeight="1">
      <c r="L734" s="385"/>
      <c r="M734" s="385"/>
      <c r="N734" s="385"/>
    </row>
    <row r="735" spans="12:14" ht="18" customHeight="1">
      <c r="L735" s="385"/>
      <c r="M735" s="385"/>
      <c r="N735" s="385"/>
    </row>
    <row r="736" spans="12:14" ht="18" customHeight="1">
      <c r="L736" s="385"/>
      <c r="M736" s="385"/>
      <c r="N736" s="385"/>
    </row>
    <row r="737" spans="12:14" ht="18" customHeight="1">
      <c r="L737" s="385"/>
      <c r="M737" s="385"/>
      <c r="N737" s="385"/>
    </row>
    <row r="738" spans="12:14" ht="18" customHeight="1">
      <c r="L738" s="385"/>
      <c r="M738" s="385"/>
      <c r="N738" s="385"/>
    </row>
    <row r="739" spans="12:14" ht="18" customHeight="1">
      <c r="L739" s="385"/>
      <c r="M739" s="385"/>
      <c r="N739" s="385"/>
    </row>
    <row r="740" spans="12:14" ht="18" customHeight="1">
      <c r="L740" s="385"/>
      <c r="M740" s="385"/>
      <c r="N740" s="385"/>
    </row>
    <row r="741" spans="12:14" ht="18" customHeight="1">
      <c r="L741" s="385"/>
      <c r="M741" s="385"/>
      <c r="N741" s="385"/>
    </row>
    <row r="742" spans="12:14" ht="18" customHeight="1">
      <c r="L742" s="385"/>
      <c r="M742" s="385"/>
      <c r="N742" s="385"/>
    </row>
    <row r="743" spans="12:14" ht="18" customHeight="1">
      <c r="L743" s="385"/>
      <c r="M743" s="385"/>
      <c r="N743" s="385"/>
    </row>
    <row r="744" spans="12:14" ht="18" customHeight="1">
      <c r="L744" s="385"/>
      <c r="M744" s="385"/>
      <c r="N744" s="385"/>
    </row>
    <row r="745" spans="12:14" ht="18" customHeight="1">
      <c r="L745" s="385"/>
      <c r="M745" s="385"/>
      <c r="N745" s="385"/>
    </row>
    <row r="746" spans="12:14" ht="18" customHeight="1">
      <c r="L746" s="385"/>
      <c r="M746" s="385"/>
      <c r="N746" s="385"/>
    </row>
    <row r="747" spans="12:14" ht="18" customHeight="1">
      <c r="L747" s="385"/>
      <c r="M747" s="385"/>
      <c r="N747" s="385"/>
    </row>
    <row r="748" spans="12:14" ht="18" customHeight="1">
      <c r="L748" s="385"/>
      <c r="M748" s="385"/>
      <c r="N748" s="385"/>
    </row>
    <row r="749" spans="12:14" ht="18" customHeight="1">
      <c r="L749" s="385"/>
      <c r="M749" s="385"/>
      <c r="N749" s="385"/>
    </row>
    <row r="750" spans="12:14" ht="18" customHeight="1">
      <c r="L750" s="385"/>
      <c r="M750" s="385"/>
      <c r="N750" s="385"/>
    </row>
    <row r="751" spans="12:14" ht="18" customHeight="1">
      <c r="L751" s="385"/>
      <c r="M751" s="385"/>
      <c r="N751" s="385"/>
    </row>
    <row r="752" spans="12:14" ht="18" customHeight="1">
      <c r="L752" s="385"/>
      <c r="M752" s="385"/>
      <c r="N752" s="385"/>
    </row>
    <row r="753" spans="12:14" ht="18" customHeight="1">
      <c r="L753" s="385"/>
      <c r="M753" s="385"/>
      <c r="N753" s="385"/>
    </row>
    <row r="754" spans="12:14" ht="18" customHeight="1">
      <c r="L754" s="385"/>
      <c r="M754" s="385"/>
      <c r="N754" s="385"/>
    </row>
    <row r="755" spans="12:14" ht="18" customHeight="1">
      <c r="L755" s="385"/>
      <c r="M755" s="385"/>
      <c r="N755" s="385"/>
    </row>
    <row r="756" spans="12:14" ht="18" customHeight="1">
      <c r="L756" s="385"/>
      <c r="M756" s="385"/>
      <c r="N756" s="385"/>
    </row>
    <row r="757" spans="12:14" ht="18" customHeight="1">
      <c r="L757" s="385"/>
      <c r="M757" s="385"/>
      <c r="N757" s="385"/>
    </row>
    <row r="758" spans="12:14" ht="18" customHeight="1">
      <c r="L758" s="385"/>
      <c r="M758" s="385"/>
      <c r="N758" s="385"/>
    </row>
    <row r="759" spans="12:14" ht="18" customHeight="1">
      <c r="L759" s="385"/>
      <c r="M759" s="385"/>
      <c r="N759" s="385"/>
    </row>
    <row r="760" spans="12:14" ht="18" customHeight="1">
      <c r="L760" s="385"/>
      <c r="M760" s="385"/>
      <c r="N760" s="385"/>
    </row>
    <row r="761" spans="12:14" ht="18" customHeight="1">
      <c r="L761" s="385"/>
      <c r="M761" s="385"/>
      <c r="N761" s="385"/>
    </row>
    <row r="762" spans="12:14" ht="18" customHeight="1">
      <c r="L762" s="385"/>
      <c r="M762" s="385"/>
      <c r="N762" s="385"/>
    </row>
    <row r="763" spans="12:14" ht="18" customHeight="1">
      <c r="L763" s="385"/>
      <c r="M763" s="385"/>
      <c r="N763" s="385"/>
    </row>
    <row r="764" spans="12:14" ht="18" customHeight="1">
      <c r="L764" s="385"/>
      <c r="M764" s="385"/>
      <c r="N764" s="385"/>
    </row>
    <row r="765" spans="12:14" ht="18" customHeight="1">
      <c r="L765" s="385"/>
      <c r="M765" s="385"/>
      <c r="N765" s="385"/>
    </row>
    <row r="766" spans="12:14" ht="18" customHeight="1">
      <c r="L766" s="385"/>
      <c r="M766" s="385"/>
      <c r="N766" s="385"/>
    </row>
    <row r="767" spans="12:14" ht="18" customHeight="1">
      <c r="L767" s="385"/>
      <c r="M767" s="385"/>
      <c r="N767" s="385"/>
    </row>
    <row r="768" spans="12:14" ht="18" customHeight="1">
      <c r="L768" s="385"/>
      <c r="M768" s="385"/>
      <c r="N768" s="385"/>
    </row>
    <row r="769" spans="12:14" ht="18" customHeight="1">
      <c r="L769" s="385"/>
      <c r="M769" s="385"/>
      <c r="N769" s="385"/>
    </row>
    <row r="770" spans="12:14" ht="18" customHeight="1">
      <c r="L770" s="385"/>
      <c r="M770" s="385"/>
      <c r="N770" s="385"/>
    </row>
    <row r="771" spans="12:14" ht="18" customHeight="1">
      <c r="L771" s="385"/>
      <c r="M771" s="385"/>
      <c r="N771" s="385"/>
    </row>
    <row r="772" spans="12:14" ht="18" customHeight="1">
      <c r="L772" s="385"/>
      <c r="M772" s="385"/>
      <c r="N772" s="385"/>
    </row>
    <row r="773" spans="12:14" ht="18" customHeight="1">
      <c r="L773" s="385"/>
      <c r="M773" s="385"/>
      <c r="N773" s="385"/>
    </row>
    <row r="774" spans="12:14" ht="18" customHeight="1">
      <c r="L774" s="385"/>
      <c r="M774" s="385"/>
      <c r="N774" s="385"/>
    </row>
    <row r="775" spans="12:14" ht="18" customHeight="1">
      <c r="L775" s="385"/>
      <c r="M775" s="385"/>
      <c r="N775" s="385"/>
    </row>
    <row r="776" spans="12:14" ht="18" customHeight="1">
      <c r="L776" s="385"/>
      <c r="M776" s="385"/>
      <c r="N776" s="385"/>
    </row>
    <row r="777" spans="12:14" ht="18" customHeight="1">
      <c r="L777" s="385"/>
      <c r="M777" s="385"/>
      <c r="N777" s="385"/>
    </row>
    <row r="778" spans="12:14" ht="18" customHeight="1">
      <c r="L778" s="385"/>
      <c r="M778" s="385"/>
      <c r="N778" s="385"/>
    </row>
    <row r="779" spans="12:14" ht="18" customHeight="1">
      <c r="L779" s="385"/>
      <c r="M779" s="385"/>
      <c r="N779" s="385"/>
    </row>
    <row r="780" spans="12:14" ht="18" customHeight="1">
      <c r="L780" s="385"/>
      <c r="M780" s="385"/>
      <c r="N780" s="385"/>
    </row>
    <row r="781" spans="12:14" ht="18" customHeight="1">
      <c r="L781" s="385"/>
      <c r="M781" s="385"/>
      <c r="N781" s="385"/>
    </row>
    <row r="782" spans="12:14" ht="18" customHeight="1">
      <c r="L782" s="385"/>
      <c r="M782" s="385"/>
      <c r="N782" s="385"/>
    </row>
    <row r="783" spans="12:14" ht="18" customHeight="1">
      <c r="L783" s="385"/>
      <c r="M783" s="385"/>
      <c r="N783" s="385"/>
    </row>
    <row r="784" spans="12:14" ht="18" customHeight="1">
      <c r="L784" s="385"/>
      <c r="M784" s="385"/>
      <c r="N784" s="385"/>
    </row>
    <row r="785" spans="12:14" ht="18" customHeight="1">
      <c r="L785" s="385"/>
      <c r="M785" s="385"/>
      <c r="N785" s="385"/>
    </row>
    <row r="786" spans="12:14" ht="18" customHeight="1">
      <c r="L786" s="385"/>
      <c r="M786" s="385"/>
      <c r="N786" s="385"/>
    </row>
    <row r="787" spans="12:14" ht="18" customHeight="1">
      <c r="L787" s="385"/>
      <c r="M787" s="385"/>
      <c r="N787" s="385"/>
    </row>
    <row r="788" spans="12:14" ht="18" customHeight="1">
      <c r="L788" s="385"/>
      <c r="M788" s="385"/>
      <c r="N788" s="385"/>
    </row>
    <row r="789" spans="12:14" ht="18" customHeight="1">
      <c r="L789" s="385"/>
      <c r="M789" s="385"/>
      <c r="N789" s="385"/>
    </row>
    <row r="790" spans="12:14" ht="18" customHeight="1">
      <c r="L790" s="385"/>
      <c r="M790" s="385"/>
      <c r="N790" s="385"/>
    </row>
    <row r="791" spans="12:14" ht="18" customHeight="1">
      <c r="L791" s="385"/>
      <c r="M791" s="385"/>
      <c r="N791" s="385"/>
    </row>
    <row r="792" spans="12:14" ht="18" customHeight="1">
      <c r="L792" s="385"/>
      <c r="M792" s="385"/>
      <c r="N792" s="385"/>
    </row>
    <row r="793" spans="12:14" ht="18" customHeight="1">
      <c r="L793" s="385"/>
      <c r="M793" s="385"/>
      <c r="N793" s="385"/>
    </row>
    <row r="794" spans="12:14" ht="18" customHeight="1">
      <c r="L794" s="385"/>
      <c r="M794" s="385"/>
      <c r="N794" s="385"/>
    </row>
    <row r="795" spans="12:14" ht="18" customHeight="1">
      <c r="L795" s="385"/>
      <c r="M795" s="385"/>
      <c r="N795" s="385"/>
    </row>
    <row r="796" spans="12:14" ht="18" customHeight="1">
      <c r="L796" s="385"/>
      <c r="M796" s="385"/>
      <c r="N796" s="385"/>
    </row>
    <row r="797" spans="12:14" ht="18" customHeight="1">
      <c r="L797" s="385"/>
      <c r="M797" s="385"/>
      <c r="N797" s="385"/>
    </row>
    <row r="798" spans="12:14" ht="18" customHeight="1">
      <c r="L798" s="385"/>
      <c r="M798" s="385"/>
      <c r="N798" s="385"/>
    </row>
    <row r="799" spans="12:14" ht="18" customHeight="1">
      <c r="L799" s="385"/>
      <c r="M799" s="385"/>
      <c r="N799" s="385"/>
    </row>
    <row r="800" spans="12:14" ht="18" customHeight="1">
      <c r="L800" s="385"/>
      <c r="M800" s="385"/>
      <c r="N800" s="385"/>
    </row>
    <row r="801" spans="12:14" ht="18" customHeight="1">
      <c r="L801" s="385"/>
      <c r="M801" s="385"/>
      <c r="N801" s="385"/>
    </row>
    <row r="802" spans="12:14" ht="18" customHeight="1">
      <c r="L802" s="385"/>
      <c r="M802" s="385"/>
      <c r="N802" s="385"/>
    </row>
    <row r="803" spans="12:14" ht="18" customHeight="1">
      <c r="L803" s="385"/>
      <c r="M803" s="385"/>
      <c r="N803" s="385"/>
    </row>
    <row r="804" spans="12:14" ht="18" customHeight="1">
      <c r="L804" s="385"/>
      <c r="M804" s="385"/>
      <c r="N804" s="385"/>
    </row>
    <row r="805" spans="12:14" ht="18" customHeight="1">
      <c r="L805" s="385"/>
      <c r="M805" s="385"/>
      <c r="N805" s="385"/>
    </row>
    <row r="806" spans="12:14" ht="18" customHeight="1">
      <c r="L806" s="385"/>
      <c r="M806" s="385"/>
      <c r="N806" s="385"/>
    </row>
    <row r="807" spans="12:14" ht="18" customHeight="1">
      <c r="L807" s="385"/>
      <c r="M807" s="385"/>
      <c r="N807" s="385"/>
    </row>
    <row r="808" spans="12:14" ht="18" customHeight="1">
      <c r="L808" s="385"/>
      <c r="M808" s="385"/>
      <c r="N808" s="385"/>
    </row>
    <row r="809" spans="12:14" ht="18" customHeight="1">
      <c r="L809" s="385"/>
      <c r="M809" s="385"/>
      <c r="N809" s="385"/>
    </row>
    <row r="810" spans="12:14" ht="18" customHeight="1">
      <c r="L810" s="385"/>
      <c r="M810" s="385"/>
      <c r="N810" s="385"/>
    </row>
    <row r="811" spans="12:14" ht="18" customHeight="1">
      <c r="L811" s="385"/>
      <c r="M811" s="385"/>
      <c r="N811" s="385"/>
    </row>
    <row r="812" spans="12:14" ht="18" customHeight="1">
      <c r="L812" s="385"/>
      <c r="M812" s="385"/>
      <c r="N812" s="385"/>
    </row>
    <row r="813" spans="12:14" ht="18" customHeight="1">
      <c r="L813" s="385"/>
      <c r="M813" s="385"/>
      <c r="N813" s="385"/>
    </row>
    <row r="814" spans="12:14" ht="18" customHeight="1">
      <c r="L814" s="385"/>
      <c r="M814" s="385"/>
      <c r="N814" s="385"/>
    </row>
    <row r="815" spans="12:14" ht="18" customHeight="1">
      <c r="L815" s="385"/>
      <c r="M815" s="385"/>
      <c r="N815" s="385"/>
    </row>
    <row r="816" spans="12:14" ht="18" customHeight="1">
      <c r="L816" s="385"/>
      <c r="M816" s="385"/>
      <c r="N816" s="385"/>
    </row>
    <row r="817" spans="12:14" ht="18" customHeight="1">
      <c r="L817" s="385"/>
      <c r="M817" s="385"/>
      <c r="N817" s="385"/>
    </row>
    <row r="818" spans="12:14" ht="18" customHeight="1">
      <c r="L818" s="385"/>
      <c r="M818" s="385"/>
      <c r="N818" s="385"/>
    </row>
    <row r="819" spans="12:14" ht="18" customHeight="1">
      <c r="L819" s="385"/>
      <c r="M819" s="385"/>
      <c r="N819" s="385"/>
    </row>
    <row r="820" spans="12:14" ht="18" customHeight="1">
      <c r="L820" s="385"/>
      <c r="M820" s="385"/>
      <c r="N820" s="385"/>
    </row>
    <row r="821" spans="12:14" ht="18" customHeight="1">
      <c r="L821" s="385"/>
      <c r="M821" s="385"/>
      <c r="N821" s="385"/>
    </row>
    <row r="822" spans="12:14" ht="18" customHeight="1">
      <c r="L822" s="385"/>
      <c r="M822" s="385"/>
      <c r="N822" s="385"/>
    </row>
    <row r="823" spans="12:14" ht="18" customHeight="1">
      <c r="L823" s="385"/>
      <c r="M823" s="385"/>
      <c r="N823" s="385"/>
    </row>
    <row r="824" spans="12:14" ht="18" customHeight="1">
      <c r="L824" s="385"/>
      <c r="M824" s="385"/>
      <c r="N824" s="385"/>
    </row>
    <row r="825" spans="12:14" ht="18" customHeight="1">
      <c r="L825" s="385"/>
      <c r="M825" s="385"/>
      <c r="N825" s="385"/>
    </row>
    <row r="826" spans="12:14" ht="18" customHeight="1">
      <c r="L826" s="385"/>
      <c r="M826" s="385"/>
      <c r="N826" s="385"/>
    </row>
    <row r="827" spans="12:14" ht="18" customHeight="1">
      <c r="L827" s="385"/>
      <c r="M827" s="385"/>
      <c r="N827" s="385"/>
    </row>
    <row r="828" spans="12:14" ht="18" customHeight="1">
      <c r="L828" s="385"/>
      <c r="M828" s="385"/>
      <c r="N828" s="385"/>
    </row>
    <row r="829" spans="12:14" ht="18" customHeight="1">
      <c r="L829" s="385"/>
      <c r="M829" s="385"/>
      <c r="N829" s="385"/>
    </row>
    <row r="830" spans="12:14" ht="18" customHeight="1">
      <c r="L830" s="385"/>
      <c r="M830" s="385"/>
      <c r="N830" s="385"/>
    </row>
    <row r="831" spans="12:14" ht="18" customHeight="1">
      <c r="L831" s="385"/>
      <c r="M831" s="385"/>
      <c r="N831" s="385"/>
    </row>
    <row r="832" spans="12:14" ht="18" customHeight="1">
      <c r="L832" s="385"/>
      <c r="M832" s="385"/>
      <c r="N832" s="385"/>
    </row>
    <row r="833" spans="12:14" ht="18" customHeight="1">
      <c r="L833" s="385"/>
      <c r="M833" s="385"/>
      <c r="N833" s="385"/>
    </row>
    <row r="834" spans="12:14" ht="18" customHeight="1">
      <c r="L834" s="385"/>
      <c r="M834" s="385"/>
      <c r="N834" s="385"/>
    </row>
    <row r="835" spans="12:14" ht="18" customHeight="1">
      <c r="L835" s="385"/>
      <c r="M835" s="385"/>
      <c r="N835" s="385"/>
    </row>
    <row r="836" spans="12:14" ht="18" customHeight="1">
      <c r="L836" s="385"/>
      <c r="M836" s="385"/>
      <c r="N836" s="385"/>
    </row>
    <row r="837" spans="12:14" ht="18" customHeight="1">
      <c r="L837" s="385"/>
      <c r="M837" s="385"/>
      <c r="N837" s="385"/>
    </row>
    <row r="838" spans="12:14" ht="18" customHeight="1">
      <c r="L838" s="385"/>
      <c r="M838" s="385"/>
      <c r="N838" s="385"/>
    </row>
    <row r="839" spans="12:14" ht="18" customHeight="1">
      <c r="L839" s="385"/>
      <c r="M839" s="385"/>
      <c r="N839" s="385"/>
    </row>
    <row r="840" spans="12:14" ht="18" customHeight="1">
      <c r="L840" s="385"/>
      <c r="M840" s="385"/>
      <c r="N840" s="385"/>
    </row>
    <row r="841" spans="12:14" ht="18" customHeight="1">
      <c r="L841" s="385"/>
      <c r="M841" s="385"/>
      <c r="N841" s="385"/>
    </row>
    <row r="842" spans="12:14" ht="18" customHeight="1">
      <c r="L842" s="385"/>
      <c r="M842" s="385"/>
      <c r="N842" s="385"/>
    </row>
    <row r="843" spans="12:14" ht="18" customHeight="1">
      <c r="L843" s="385"/>
      <c r="M843" s="385"/>
      <c r="N843" s="385"/>
    </row>
    <row r="844" spans="12:14" ht="18" customHeight="1">
      <c r="L844" s="385"/>
      <c r="M844" s="385"/>
      <c r="N844" s="385"/>
    </row>
    <row r="845" spans="12:14" ht="18" customHeight="1">
      <c r="L845" s="385"/>
      <c r="M845" s="385"/>
      <c r="N845" s="385"/>
    </row>
    <row r="846" spans="12:14" ht="18" customHeight="1">
      <c r="L846" s="385"/>
      <c r="M846" s="385"/>
      <c r="N846" s="385"/>
    </row>
    <row r="847" spans="12:14" ht="18" customHeight="1">
      <c r="L847" s="385"/>
      <c r="M847" s="385"/>
      <c r="N847" s="385"/>
    </row>
    <row r="848" spans="12:14" ht="18" customHeight="1">
      <c r="L848" s="385"/>
      <c r="M848" s="385"/>
      <c r="N848" s="385"/>
    </row>
    <row r="849" spans="12:14" ht="18" customHeight="1">
      <c r="L849" s="385"/>
      <c r="M849" s="385"/>
      <c r="N849" s="385"/>
    </row>
    <row r="850" spans="12:14" ht="18" customHeight="1">
      <c r="L850" s="385"/>
      <c r="M850" s="385"/>
      <c r="N850" s="385"/>
    </row>
    <row r="851" spans="12:14" ht="18" customHeight="1">
      <c r="L851" s="385"/>
      <c r="M851" s="385"/>
      <c r="N851" s="385"/>
    </row>
    <row r="852" spans="12:14" ht="18" customHeight="1">
      <c r="L852" s="385"/>
      <c r="M852" s="385"/>
      <c r="N852" s="385"/>
    </row>
    <row r="853" spans="12:14" ht="18" customHeight="1">
      <c r="L853" s="385"/>
      <c r="M853" s="385"/>
      <c r="N853" s="385"/>
    </row>
    <row r="854" spans="12:14" ht="18" customHeight="1">
      <c r="L854" s="385"/>
      <c r="M854" s="385"/>
      <c r="N854" s="385"/>
    </row>
    <row r="855" spans="12:14" ht="18" customHeight="1">
      <c r="L855" s="385"/>
      <c r="M855" s="385"/>
      <c r="N855" s="385"/>
    </row>
    <row r="856" spans="12:14" ht="18" customHeight="1">
      <c r="L856" s="385"/>
      <c r="M856" s="385"/>
      <c r="N856" s="385"/>
    </row>
    <row r="857" spans="12:14" ht="18" customHeight="1">
      <c r="L857" s="385"/>
      <c r="M857" s="385"/>
      <c r="N857" s="385"/>
    </row>
    <row r="858" spans="12:14" ht="18" customHeight="1">
      <c r="L858" s="385"/>
      <c r="M858" s="385"/>
      <c r="N858" s="385"/>
    </row>
    <row r="859" spans="12:14" ht="18" customHeight="1">
      <c r="L859" s="385"/>
      <c r="M859" s="385"/>
      <c r="N859" s="385"/>
    </row>
    <row r="860" spans="12:14" ht="18" customHeight="1">
      <c r="L860" s="385"/>
      <c r="M860" s="385"/>
      <c r="N860" s="385"/>
    </row>
    <row r="861" spans="12:14" ht="18" customHeight="1">
      <c r="L861" s="385"/>
      <c r="M861" s="385"/>
      <c r="N861" s="385"/>
    </row>
    <row r="862" spans="12:14" ht="18" customHeight="1">
      <c r="L862" s="385"/>
      <c r="M862" s="385"/>
      <c r="N862" s="385"/>
    </row>
    <row r="863" spans="12:14" ht="18" customHeight="1">
      <c r="L863" s="385"/>
      <c r="M863" s="385"/>
      <c r="N863" s="385"/>
    </row>
    <row r="864" spans="12:14" ht="18" customHeight="1">
      <c r="L864" s="385"/>
      <c r="M864" s="385"/>
      <c r="N864" s="385"/>
    </row>
    <row r="865" spans="12:14" ht="18" customHeight="1">
      <c r="L865" s="385"/>
      <c r="M865" s="385"/>
      <c r="N865" s="385"/>
    </row>
    <row r="866" spans="12:14" ht="18" customHeight="1">
      <c r="L866" s="385"/>
      <c r="M866" s="385"/>
      <c r="N866" s="385"/>
    </row>
    <row r="867" spans="12:14" ht="18" customHeight="1">
      <c r="L867" s="385"/>
      <c r="M867" s="385"/>
      <c r="N867" s="385"/>
    </row>
    <row r="868" spans="12:14" ht="18" customHeight="1">
      <c r="L868" s="385"/>
      <c r="M868" s="385"/>
      <c r="N868" s="385"/>
    </row>
    <row r="869" spans="12:14" ht="18" customHeight="1">
      <c r="L869" s="385"/>
      <c r="M869" s="385"/>
      <c r="N869" s="385"/>
    </row>
    <row r="870" spans="12:14" ht="18" customHeight="1">
      <c r="L870" s="385"/>
      <c r="M870" s="385"/>
      <c r="N870" s="385"/>
    </row>
    <row r="871" spans="12:14" ht="18" customHeight="1">
      <c r="L871" s="385"/>
      <c r="M871" s="385"/>
      <c r="N871" s="385"/>
    </row>
    <row r="872" spans="12:14" ht="18" customHeight="1">
      <c r="L872" s="385"/>
      <c r="M872" s="385"/>
      <c r="N872" s="385"/>
    </row>
    <row r="873" spans="12:14" ht="18" customHeight="1">
      <c r="L873" s="385"/>
      <c r="M873" s="385"/>
      <c r="N873" s="385"/>
    </row>
    <row r="874" spans="12:14" ht="18" customHeight="1">
      <c r="L874" s="385"/>
      <c r="M874" s="385"/>
      <c r="N874" s="385"/>
    </row>
    <row r="875" spans="12:14" ht="18" customHeight="1">
      <c r="L875" s="385"/>
      <c r="M875" s="385"/>
      <c r="N875" s="385"/>
    </row>
    <row r="876" spans="12:14" ht="18" customHeight="1">
      <c r="L876" s="385"/>
      <c r="M876" s="385"/>
      <c r="N876" s="385"/>
    </row>
    <row r="877" spans="12:14" ht="18" customHeight="1">
      <c r="L877" s="385"/>
      <c r="M877" s="385"/>
      <c r="N877" s="385"/>
    </row>
    <row r="878" spans="12:14" ht="18" customHeight="1">
      <c r="L878" s="385"/>
      <c r="M878" s="385"/>
      <c r="N878" s="385"/>
    </row>
    <row r="879" spans="12:14" ht="18" customHeight="1">
      <c r="L879" s="385"/>
      <c r="M879" s="385"/>
      <c r="N879" s="385"/>
    </row>
    <row r="880" spans="12:14" ht="18" customHeight="1">
      <c r="L880" s="385"/>
      <c r="M880" s="385"/>
      <c r="N880" s="385"/>
    </row>
    <row r="881" spans="12:14" ht="18" customHeight="1">
      <c r="L881" s="385"/>
      <c r="M881" s="385"/>
      <c r="N881" s="385"/>
    </row>
    <row r="882" spans="12:14" ht="18" customHeight="1">
      <c r="L882" s="385"/>
      <c r="M882" s="385"/>
      <c r="N882" s="385"/>
    </row>
    <row r="883" spans="12:14" ht="18" customHeight="1">
      <c r="L883" s="385"/>
      <c r="M883" s="385"/>
      <c r="N883" s="385"/>
    </row>
    <row r="884" spans="12:14" ht="18" customHeight="1">
      <c r="L884" s="385"/>
      <c r="M884" s="385"/>
      <c r="N884" s="385"/>
    </row>
    <row r="885" spans="12:14" ht="18" customHeight="1">
      <c r="L885" s="385"/>
      <c r="M885" s="385"/>
      <c r="N885" s="385"/>
    </row>
    <row r="886" spans="12:14" ht="18" customHeight="1">
      <c r="L886" s="385"/>
      <c r="M886" s="385"/>
      <c r="N886" s="385"/>
    </row>
    <row r="887" spans="12:14" ht="18" customHeight="1">
      <c r="L887" s="385"/>
      <c r="M887" s="385"/>
      <c r="N887" s="385"/>
    </row>
    <row r="888" spans="12:14" ht="18" customHeight="1">
      <c r="L888" s="385"/>
      <c r="M888" s="385"/>
      <c r="N888" s="385"/>
    </row>
    <row r="889" spans="12:14" ht="18" customHeight="1">
      <c r="L889" s="385"/>
      <c r="M889" s="385"/>
      <c r="N889" s="385"/>
    </row>
    <row r="890" spans="12:14" ht="18" customHeight="1">
      <c r="L890" s="385"/>
      <c r="M890" s="385"/>
      <c r="N890" s="385"/>
    </row>
    <row r="891" spans="12:14" ht="18" customHeight="1">
      <c r="L891" s="385"/>
      <c r="M891" s="385"/>
      <c r="N891" s="385"/>
    </row>
    <row r="892" spans="12:14" ht="18" customHeight="1">
      <c r="L892" s="385"/>
      <c r="M892" s="385"/>
      <c r="N892" s="385"/>
    </row>
    <row r="893" spans="12:14" ht="18" customHeight="1">
      <c r="L893" s="385"/>
      <c r="M893" s="385"/>
      <c r="N893" s="385"/>
    </row>
    <row r="894" spans="12:14" ht="18" customHeight="1">
      <c r="L894" s="385"/>
      <c r="M894" s="385"/>
      <c r="N894" s="385"/>
    </row>
    <row r="895" spans="12:14" ht="18" customHeight="1">
      <c r="L895" s="385"/>
      <c r="M895" s="385"/>
      <c r="N895" s="385"/>
    </row>
    <row r="896" spans="12:14" ht="18" customHeight="1">
      <c r="L896" s="385"/>
      <c r="M896" s="385"/>
      <c r="N896" s="385"/>
    </row>
    <row r="897" spans="12:14" ht="18" customHeight="1">
      <c r="L897" s="385"/>
      <c r="M897" s="385"/>
      <c r="N897" s="385"/>
    </row>
    <row r="898" spans="12:14" ht="18" customHeight="1">
      <c r="L898" s="385"/>
      <c r="M898" s="385"/>
      <c r="N898" s="385"/>
    </row>
    <row r="899" spans="12:14" ht="18" customHeight="1">
      <c r="L899" s="385"/>
      <c r="M899" s="385"/>
      <c r="N899" s="385"/>
    </row>
    <row r="900" spans="12:14" ht="18" customHeight="1">
      <c r="L900" s="385"/>
      <c r="M900" s="385"/>
      <c r="N900" s="385"/>
    </row>
    <row r="901" spans="12:14" ht="18" customHeight="1">
      <c r="L901" s="385"/>
      <c r="M901" s="385"/>
      <c r="N901" s="385"/>
    </row>
    <row r="902" spans="12:14" ht="18" customHeight="1">
      <c r="L902" s="385"/>
      <c r="M902" s="385"/>
      <c r="N902" s="385"/>
    </row>
    <row r="903" spans="12:14" ht="18" customHeight="1">
      <c r="L903" s="385"/>
      <c r="M903" s="385"/>
      <c r="N903" s="385"/>
    </row>
    <row r="904" spans="12:14" ht="18" customHeight="1">
      <c r="L904" s="385"/>
      <c r="M904" s="385"/>
      <c r="N904" s="385"/>
    </row>
    <row r="905" spans="12:14" ht="18" customHeight="1">
      <c r="L905" s="385"/>
      <c r="M905" s="385"/>
      <c r="N905" s="385"/>
    </row>
    <row r="906" spans="12:14" ht="18" customHeight="1">
      <c r="L906" s="385"/>
      <c r="M906" s="385"/>
      <c r="N906" s="385"/>
    </row>
    <row r="907" spans="12:14" ht="18" customHeight="1">
      <c r="L907" s="385"/>
      <c r="M907" s="385"/>
      <c r="N907" s="385"/>
    </row>
    <row r="908" spans="12:14" ht="18" customHeight="1">
      <c r="L908" s="385"/>
      <c r="M908" s="385"/>
      <c r="N908" s="385"/>
    </row>
    <row r="909" spans="12:14" ht="18" customHeight="1">
      <c r="L909" s="385"/>
      <c r="M909" s="385"/>
      <c r="N909" s="385"/>
    </row>
    <row r="910" spans="12:14" ht="18" customHeight="1">
      <c r="L910" s="385"/>
      <c r="M910" s="385"/>
      <c r="N910" s="385"/>
    </row>
    <row r="911" spans="12:14" ht="18" customHeight="1">
      <c r="L911" s="385"/>
      <c r="M911" s="385"/>
      <c r="N911" s="385"/>
    </row>
    <row r="912" spans="12:14" ht="18" customHeight="1">
      <c r="L912" s="385"/>
      <c r="M912" s="385"/>
      <c r="N912" s="385"/>
    </row>
    <row r="913" spans="12:14" ht="18" customHeight="1">
      <c r="L913" s="385"/>
      <c r="M913" s="385"/>
      <c r="N913" s="385"/>
    </row>
    <row r="914" spans="12:14" ht="18" customHeight="1">
      <c r="L914" s="385"/>
      <c r="M914" s="385"/>
      <c r="N914" s="385"/>
    </row>
    <row r="915" spans="12:14" ht="18" customHeight="1">
      <c r="L915" s="385"/>
      <c r="M915" s="385"/>
      <c r="N915" s="385"/>
    </row>
    <row r="916" spans="12:14" ht="18" customHeight="1">
      <c r="L916" s="385"/>
      <c r="M916" s="385"/>
      <c r="N916" s="385"/>
    </row>
    <row r="917" spans="12:14" ht="18" customHeight="1">
      <c r="L917" s="385"/>
      <c r="M917" s="385"/>
      <c r="N917" s="385"/>
    </row>
    <row r="918" spans="12:14" ht="18" customHeight="1">
      <c r="L918" s="385"/>
      <c r="M918" s="385"/>
      <c r="N918" s="385"/>
    </row>
    <row r="919" spans="12:14" ht="18" customHeight="1">
      <c r="L919" s="385"/>
      <c r="M919" s="385"/>
      <c r="N919" s="385"/>
    </row>
    <row r="920" spans="12:14" ht="18" customHeight="1">
      <c r="L920" s="385"/>
      <c r="M920" s="385"/>
      <c r="N920" s="385"/>
    </row>
    <row r="921" spans="12:14" ht="18" customHeight="1">
      <c r="L921" s="385"/>
      <c r="M921" s="385"/>
      <c r="N921" s="385"/>
    </row>
    <row r="922" spans="12:14" ht="18" customHeight="1">
      <c r="L922" s="385"/>
      <c r="M922" s="385"/>
      <c r="N922" s="385"/>
    </row>
    <row r="923" spans="12:14" ht="18" customHeight="1">
      <c r="L923" s="385"/>
      <c r="M923" s="385"/>
      <c r="N923" s="385"/>
    </row>
    <row r="924" spans="12:14" ht="18" customHeight="1">
      <c r="L924" s="385"/>
      <c r="M924" s="385"/>
      <c r="N924" s="385"/>
    </row>
    <row r="925" spans="12:14" ht="18" customHeight="1">
      <c r="L925" s="385"/>
      <c r="M925" s="385"/>
      <c r="N925" s="385"/>
    </row>
    <row r="926" spans="12:14" ht="18" customHeight="1">
      <c r="L926" s="385"/>
      <c r="M926" s="385"/>
      <c r="N926" s="385"/>
    </row>
    <row r="927" spans="12:14" ht="18" customHeight="1">
      <c r="L927" s="385"/>
      <c r="M927" s="385"/>
      <c r="N927" s="385"/>
    </row>
    <row r="928" spans="12:14" ht="18" customHeight="1">
      <c r="L928" s="385"/>
      <c r="M928" s="385"/>
      <c r="N928" s="385"/>
    </row>
    <row r="929" spans="12:14" ht="18" customHeight="1">
      <c r="L929" s="385"/>
      <c r="M929" s="385"/>
      <c r="N929" s="385"/>
    </row>
    <row r="930" spans="12:14" ht="18" customHeight="1">
      <c r="L930" s="385"/>
      <c r="M930" s="385"/>
      <c r="N930" s="385"/>
    </row>
    <row r="931" spans="12:14" ht="18" customHeight="1">
      <c r="L931" s="385"/>
      <c r="M931" s="385"/>
      <c r="N931" s="385"/>
    </row>
    <row r="932" spans="12:14" ht="18" customHeight="1">
      <c r="L932" s="385"/>
      <c r="M932" s="385"/>
      <c r="N932" s="385"/>
    </row>
    <row r="933" spans="12:14" ht="18" customHeight="1">
      <c r="L933" s="385"/>
      <c r="M933" s="385"/>
      <c r="N933" s="385"/>
    </row>
    <row r="934" spans="12:14" ht="18" customHeight="1">
      <c r="L934" s="385"/>
      <c r="M934" s="385"/>
      <c r="N934" s="385"/>
    </row>
    <row r="935" spans="12:14" ht="18" customHeight="1">
      <c r="L935" s="385"/>
      <c r="M935" s="385"/>
      <c r="N935" s="385"/>
    </row>
    <row r="936" spans="12:14" ht="18" customHeight="1">
      <c r="L936" s="385"/>
      <c r="M936" s="385"/>
      <c r="N936" s="385"/>
    </row>
    <row r="937" spans="12:14" ht="18" customHeight="1">
      <c r="L937" s="385"/>
      <c r="M937" s="385"/>
      <c r="N937" s="385"/>
    </row>
    <row r="938" spans="12:14" ht="18" customHeight="1">
      <c r="L938" s="385"/>
      <c r="M938" s="385"/>
      <c r="N938" s="385"/>
    </row>
    <row r="939" spans="12:14" ht="18" customHeight="1">
      <c r="L939" s="385"/>
      <c r="M939" s="385"/>
      <c r="N939" s="385"/>
    </row>
    <row r="940" spans="12:14" ht="18" customHeight="1">
      <c r="L940" s="385"/>
      <c r="M940" s="385"/>
      <c r="N940" s="385"/>
    </row>
    <row r="941" spans="12:14" ht="18" customHeight="1">
      <c r="L941" s="385"/>
      <c r="M941" s="385"/>
      <c r="N941" s="385"/>
    </row>
    <row r="942" spans="12:14" ht="18" customHeight="1">
      <c r="L942" s="385"/>
      <c r="M942" s="385"/>
      <c r="N942" s="385"/>
    </row>
    <row r="943" spans="12:14" ht="18" customHeight="1">
      <c r="L943" s="385"/>
      <c r="M943" s="385"/>
      <c r="N943" s="385"/>
    </row>
    <row r="944" spans="12:14" ht="18" customHeight="1">
      <c r="L944" s="385"/>
      <c r="M944" s="385"/>
      <c r="N944" s="385"/>
    </row>
    <row r="945" spans="12:14" ht="18" customHeight="1">
      <c r="L945" s="385"/>
      <c r="M945" s="385"/>
      <c r="N945" s="385"/>
    </row>
    <row r="946" spans="12:14" ht="18" customHeight="1">
      <c r="L946" s="385"/>
      <c r="M946" s="385"/>
      <c r="N946" s="385"/>
    </row>
    <row r="947" spans="12:14" ht="18" customHeight="1">
      <c r="L947" s="385"/>
      <c r="M947" s="385"/>
      <c r="N947" s="385"/>
    </row>
    <row r="948" spans="12:14" ht="18" customHeight="1">
      <c r="L948" s="385"/>
      <c r="M948" s="385"/>
      <c r="N948" s="385"/>
    </row>
    <row r="949" spans="12:14" ht="18" customHeight="1">
      <c r="L949" s="385"/>
      <c r="M949" s="385"/>
      <c r="N949" s="385"/>
    </row>
    <row r="950" spans="12:14" ht="18" customHeight="1">
      <c r="L950" s="385"/>
      <c r="M950" s="385"/>
      <c r="N950" s="385"/>
    </row>
    <row r="951" spans="12:14" ht="18" customHeight="1">
      <c r="L951" s="385"/>
      <c r="M951" s="385"/>
      <c r="N951" s="385"/>
    </row>
    <row r="952" spans="12:14" ht="18" customHeight="1">
      <c r="L952" s="385"/>
      <c r="M952" s="385"/>
      <c r="N952" s="385"/>
    </row>
    <row r="953" spans="12:14" ht="18" customHeight="1">
      <c r="L953" s="385"/>
      <c r="M953" s="385"/>
      <c r="N953" s="385"/>
    </row>
    <row r="954" spans="12:14" ht="18" customHeight="1">
      <c r="L954" s="385"/>
      <c r="M954" s="385"/>
      <c r="N954" s="385"/>
    </row>
    <row r="955" spans="12:14" ht="18" customHeight="1">
      <c r="L955" s="385"/>
      <c r="M955" s="385"/>
      <c r="N955" s="385"/>
    </row>
    <row r="956" spans="12:14" ht="18" customHeight="1">
      <c r="L956" s="385"/>
      <c r="M956" s="385"/>
      <c r="N956" s="385"/>
    </row>
    <row r="957" spans="12:14" ht="18" customHeight="1">
      <c r="L957" s="385"/>
      <c r="M957" s="385"/>
      <c r="N957" s="385"/>
    </row>
    <row r="958" spans="12:14" ht="18" customHeight="1">
      <c r="L958" s="385"/>
      <c r="M958" s="385"/>
      <c r="N958" s="385"/>
    </row>
    <row r="959" spans="12:14" ht="18" customHeight="1">
      <c r="L959" s="385"/>
      <c r="M959" s="385"/>
      <c r="N959" s="385"/>
    </row>
    <row r="960" spans="12:14" ht="18" customHeight="1">
      <c r="L960" s="385"/>
      <c r="M960" s="385"/>
      <c r="N960" s="385"/>
    </row>
    <row r="961" spans="12:14" ht="18" customHeight="1">
      <c r="L961" s="385"/>
      <c r="M961" s="385"/>
      <c r="N961" s="385"/>
    </row>
    <row r="962" spans="12:14" ht="18" customHeight="1">
      <c r="L962" s="385"/>
      <c r="M962" s="385"/>
      <c r="N962" s="385"/>
    </row>
    <row r="963" spans="12:14" ht="18" customHeight="1">
      <c r="L963" s="385"/>
      <c r="M963" s="385"/>
      <c r="N963" s="385"/>
    </row>
    <row r="964" spans="12:14" ht="18" customHeight="1">
      <c r="L964" s="385"/>
      <c r="M964" s="385"/>
      <c r="N964" s="385"/>
    </row>
    <row r="965" spans="12:14" ht="18" customHeight="1">
      <c r="L965" s="385"/>
      <c r="M965" s="385"/>
      <c r="N965" s="385"/>
    </row>
    <row r="966" spans="12:14" ht="18" customHeight="1">
      <c r="L966" s="385"/>
      <c r="M966" s="385"/>
      <c r="N966" s="385"/>
    </row>
    <row r="967" spans="12:14" ht="18" customHeight="1">
      <c r="L967" s="385"/>
      <c r="M967" s="385"/>
      <c r="N967" s="385"/>
    </row>
    <row r="968" spans="12:14" ht="18" customHeight="1">
      <c r="L968" s="385"/>
      <c r="M968" s="385"/>
      <c r="N968" s="385"/>
    </row>
    <row r="969" spans="12:14" ht="18" customHeight="1">
      <c r="L969" s="385"/>
      <c r="M969" s="385"/>
      <c r="N969" s="385"/>
    </row>
    <row r="970" spans="12:14" ht="18" customHeight="1">
      <c r="L970" s="385"/>
      <c r="M970" s="385"/>
      <c r="N970" s="385"/>
    </row>
    <row r="971" spans="12:14" ht="18" customHeight="1">
      <c r="L971" s="385"/>
      <c r="M971" s="385"/>
      <c r="N971" s="385"/>
    </row>
    <row r="972" spans="12:14" ht="18" customHeight="1">
      <c r="L972" s="385"/>
      <c r="M972" s="385"/>
      <c r="N972" s="385"/>
    </row>
    <row r="973" spans="12:14" ht="18" customHeight="1">
      <c r="L973" s="385"/>
      <c r="M973" s="385"/>
      <c r="N973" s="385"/>
    </row>
    <row r="974" spans="12:14" ht="18" customHeight="1">
      <c r="L974" s="385"/>
      <c r="M974" s="385"/>
      <c r="N974" s="385"/>
    </row>
    <row r="975" spans="12:14" ht="18" customHeight="1">
      <c r="L975" s="385"/>
      <c r="M975" s="385"/>
      <c r="N975" s="385"/>
    </row>
    <row r="976" spans="12:14" ht="18" customHeight="1">
      <c r="L976" s="385"/>
      <c r="M976" s="385"/>
      <c r="N976" s="385"/>
    </row>
    <row r="977" spans="12:14" ht="18" customHeight="1">
      <c r="L977" s="385"/>
      <c r="M977" s="385"/>
      <c r="N977" s="385"/>
    </row>
    <row r="978" spans="12:14" ht="18" customHeight="1">
      <c r="L978" s="385"/>
      <c r="M978" s="385"/>
      <c r="N978" s="385"/>
    </row>
    <row r="979" spans="12:14" ht="18" customHeight="1">
      <c r="L979" s="385"/>
      <c r="M979" s="385"/>
      <c r="N979" s="385"/>
    </row>
    <row r="980" spans="12:14" ht="18" customHeight="1">
      <c r="L980" s="385"/>
      <c r="M980" s="385"/>
      <c r="N980" s="385"/>
    </row>
    <row r="981" spans="12:14" ht="18" customHeight="1">
      <c r="L981" s="385"/>
      <c r="M981" s="385"/>
      <c r="N981" s="385"/>
    </row>
    <row r="982" spans="12:14" ht="18" customHeight="1">
      <c r="L982" s="385"/>
      <c r="M982" s="385"/>
      <c r="N982" s="385"/>
    </row>
    <row r="983" spans="12:14" ht="18" customHeight="1">
      <c r="L983" s="385"/>
      <c r="M983" s="385"/>
      <c r="N983" s="385"/>
    </row>
    <row r="984" spans="12:14" ht="18" customHeight="1">
      <c r="L984" s="385"/>
      <c r="M984" s="385"/>
      <c r="N984" s="385"/>
    </row>
    <row r="985" spans="12:14" ht="18" customHeight="1">
      <c r="L985" s="385"/>
      <c r="M985" s="385"/>
      <c r="N985" s="385"/>
    </row>
    <row r="986" spans="12:14" ht="18" customHeight="1">
      <c r="L986" s="385"/>
      <c r="M986" s="385"/>
      <c r="N986" s="385"/>
    </row>
    <row r="987" spans="12:14" ht="18" customHeight="1">
      <c r="L987" s="385"/>
      <c r="M987" s="385"/>
      <c r="N987" s="385"/>
    </row>
    <row r="988" spans="12:14" ht="18" customHeight="1">
      <c r="L988" s="385"/>
      <c r="M988" s="385"/>
      <c r="N988" s="385"/>
    </row>
    <row r="989" spans="12:14" ht="18" customHeight="1">
      <c r="L989" s="385"/>
      <c r="M989" s="385"/>
      <c r="N989" s="385"/>
    </row>
    <row r="990" spans="12:14" ht="18" customHeight="1">
      <c r="L990" s="385"/>
      <c r="M990" s="385"/>
      <c r="N990" s="385"/>
    </row>
    <row r="991" spans="12:14" ht="18" customHeight="1">
      <c r="L991" s="385"/>
      <c r="M991" s="385"/>
      <c r="N991" s="385"/>
    </row>
    <row r="992" spans="12:14" ht="18" customHeight="1">
      <c r="L992" s="385"/>
      <c r="M992" s="385"/>
      <c r="N992" s="385"/>
    </row>
    <row r="993" spans="12:14" ht="18" customHeight="1">
      <c r="L993" s="385"/>
      <c r="M993" s="385"/>
      <c r="N993" s="385"/>
    </row>
    <row r="994" spans="12:14" ht="18" customHeight="1">
      <c r="L994" s="385"/>
      <c r="M994" s="385"/>
      <c r="N994" s="385"/>
    </row>
    <row r="995" spans="12:14" ht="18" customHeight="1">
      <c r="L995" s="385"/>
      <c r="M995" s="385"/>
      <c r="N995" s="385"/>
    </row>
    <row r="996" spans="12:14" ht="18" customHeight="1">
      <c r="L996" s="385"/>
      <c r="M996" s="385"/>
      <c r="N996" s="385"/>
    </row>
    <row r="997" spans="12:14" ht="18" customHeight="1">
      <c r="L997" s="385"/>
      <c r="M997" s="385"/>
      <c r="N997" s="385"/>
    </row>
    <row r="998" spans="12:14" ht="18" customHeight="1">
      <c r="L998" s="385"/>
      <c r="M998" s="385"/>
      <c r="N998" s="385"/>
    </row>
    <row r="999" spans="12:14" ht="18" customHeight="1">
      <c r="L999" s="385"/>
      <c r="M999" s="385"/>
      <c r="N999" s="385"/>
    </row>
    <row r="1000" spans="12:14" ht="18" customHeight="1">
      <c r="L1000" s="385"/>
      <c r="M1000" s="385"/>
      <c r="N1000" s="385"/>
    </row>
    <row r="1001" spans="12:14" ht="18" customHeight="1">
      <c r="L1001" s="385"/>
      <c r="M1001" s="385"/>
      <c r="N1001" s="385"/>
    </row>
    <row r="1002" spans="12:14" ht="18" customHeight="1">
      <c r="L1002" s="385"/>
      <c r="M1002" s="385"/>
      <c r="N1002" s="385"/>
    </row>
    <row r="1003" spans="12:14" ht="18" customHeight="1">
      <c r="L1003" s="385"/>
      <c r="M1003" s="385"/>
      <c r="N1003" s="385"/>
    </row>
    <row r="1004" spans="12:14" ht="18" customHeight="1">
      <c r="L1004" s="385"/>
      <c r="M1004" s="385"/>
      <c r="N1004" s="385"/>
    </row>
    <row r="1005" spans="12:14" ht="18" customHeight="1">
      <c r="L1005" s="385"/>
      <c r="M1005" s="385"/>
      <c r="N1005" s="385"/>
    </row>
    <row r="1006" spans="12:14" ht="18" customHeight="1">
      <c r="L1006" s="385"/>
      <c r="M1006" s="385"/>
      <c r="N1006" s="385"/>
    </row>
    <row r="1007" spans="12:14" ht="18" customHeight="1">
      <c r="L1007" s="385"/>
      <c r="M1007" s="385"/>
      <c r="N1007" s="385"/>
    </row>
    <row r="1008" spans="12:14" ht="18" customHeight="1">
      <c r="L1008" s="385"/>
      <c r="M1008" s="385"/>
      <c r="N1008" s="385"/>
    </row>
    <row r="1009" spans="12:14" ht="18" customHeight="1">
      <c r="L1009" s="385"/>
      <c r="M1009" s="385"/>
      <c r="N1009" s="385"/>
    </row>
    <row r="1010" spans="12:14" ht="18" customHeight="1">
      <c r="L1010" s="385"/>
      <c r="M1010" s="385"/>
      <c r="N1010" s="385"/>
    </row>
    <row r="1011" spans="12:14" ht="18" customHeight="1">
      <c r="L1011" s="385"/>
      <c r="M1011" s="385"/>
      <c r="N1011" s="385"/>
    </row>
    <row r="1012" spans="12:14" ht="18" customHeight="1">
      <c r="L1012" s="385"/>
      <c r="M1012" s="385"/>
      <c r="N1012" s="385"/>
    </row>
    <row r="1013" spans="12:14" ht="18" customHeight="1">
      <c r="L1013" s="385"/>
      <c r="M1013" s="385"/>
      <c r="N1013" s="385"/>
    </row>
    <row r="1014" spans="12:14" ht="18" customHeight="1">
      <c r="L1014" s="385"/>
      <c r="M1014" s="385"/>
      <c r="N1014" s="385"/>
    </row>
    <row r="1015" spans="12:14" ht="18" customHeight="1">
      <c r="L1015" s="385"/>
      <c r="M1015" s="385"/>
      <c r="N1015" s="385"/>
    </row>
    <row r="1016" spans="12:14" ht="18" customHeight="1">
      <c r="L1016" s="385"/>
      <c r="M1016" s="385"/>
      <c r="N1016" s="385"/>
    </row>
    <row r="1017" spans="12:14" ht="18" customHeight="1">
      <c r="L1017" s="385"/>
      <c r="M1017" s="385"/>
      <c r="N1017" s="385"/>
    </row>
    <row r="1018" spans="12:14" ht="18" customHeight="1">
      <c r="L1018" s="385"/>
      <c r="M1018" s="385"/>
      <c r="N1018" s="385"/>
    </row>
    <row r="1019" spans="12:14" ht="18" customHeight="1">
      <c r="L1019" s="385"/>
      <c r="M1019" s="385"/>
      <c r="N1019" s="385"/>
    </row>
    <row r="1020" spans="12:14" ht="18" customHeight="1">
      <c r="L1020" s="385"/>
      <c r="M1020" s="385"/>
      <c r="N1020" s="385"/>
    </row>
    <row r="1021" spans="12:14" ht="18" customHeight="1">
      <c r="L1021" s="385"/>
      <c r="M1021" s="385"/>
      <c r="N1021" s="385"/>
    </row>
    <row r="1022" spans="12:14" ht="18" customHeight="1">
      <c r="L1022" s="385"/>
      <c r="M1022" s="385"/>
      <c r="N1022" s="385"/>
    </row>
    <row r="1023" spans="12:14" ht="18" customHeight="1">
      <c r="L1023" s="385"/>
      <c r="M1023" s="385"/>
      <c r="N1023" s="385"/>
    </row>
    <row r="1024" spans="12:14" ht="18" customHeight="1">
      <c r="L1024" s="385"/>
      <c r="M1024" s="385"/>
      <c r="N1024" s="385"/>
    </row>
    <row r="1025" spans="12:14" ht="18" customHeight="1">
      <c r="L1025" s="385"/>
      <c r="M1025" s="385"/>
      <c r="N1025" s="385"/>
    </row>
    <row r="1026" spans="12:14" ht="18" customHeight="1">
      <c r="L1026" s="385"/>
      <c r="M1026" s="385"/>
      <c r="N1026" s="385"/>
    </row>
    <row r="1027" spans="12:14" ht="18" customHeight="1">
      <c r="L1027" s="385"/>
      <c r="M1027" s="385"/>
      <c r="N1027" s="385"/>
    </row>
    <row r="1028" spans="12:14" ht="18" customHeight="1">
      <c r="L1028" s="385"/>
      <c r="M1028" s="385"/>
      <c r="N1028" s="385"/>
    </row>
    <row r="1029" spans="12:14" ht="18" customHeight="1">
      <c r="L1029" s="385"/>
      <c r="M1029" s="385"/>
      <c r="N1029" s="385"/>
    </row>
    <row r="1030" spans="12:14" ht="18" customHeight="1">
      <c r="L1030" s="385"/>
      <c r="M1030" s="385"/>
      <c r="N1030" s="385"/>
    </row>
    <row r="1031" spans="12:14" ht="18" customHeight="1">
      <c r="L1031" s="385"/>
      <c r="M1031" s="385"/>
      <c r="N1031" s="385"/>
    </row>
    <row r="1032" spans="12:14" ht="18" customHeight="1">
      <c r="L1032" s="385"/>
      <c r="M1032" s="385"/>
      <c r="N1032" s="385"/>
    </row>
    <row r="1033" spans="12:14" ht="18" customHeight="1">
      <c r="L1033" s="385"/>
      <c r="M1033" s="385"/>
      <c r="N1033" s="385"/>
    </row>
    <row r="1034" spans="12:14" ht="18" customHeight="1">
      <c r="L1034" s="385"/>
      <c r="M1034" s="385"/>
      <c r="N1034" s="385"/>
    </row>
    <row r="1035" spans="12:14" ht="18" customHeight="1">
      <c r="L1035" s="385"/>
      <c r="M1035" s="385"/>
      <c r="N1035" s="385"/>
    </row>
    <row r="1036" spans="12:14" ht="18" customHeight="1">
      <c r="L1036" s="385"/>
      <c r="M1036" s="385"/>
      <c r="N1036" s="385"/>
    </row>
    <row r="1037" spans="12:14" ht="18" customHeight="1">
      <c r="L1037" s="385"/>
      <c r="M1037" s="385"/>
      <c r="N1037" s="385"/>
    </row>
    <row r="1038" spans="12:14" ht="18" customHeight="1">
      <c r="L1038" s="385"/>
      <c r="M1038" s="385"/>
      <c r="N1038" s="385"/>
    </row>
    <row r="1039" spans="12:14" ht="18" customHeight="1">
      <c r="L1039" s="385"/>
      <c r="M1039" s="385"/>
      <c r="N1039" s="385"/>
    </row>
    <row r="1040" spans="12:14" ht="18" customHeight="1">
      <c r="L1040" s="385"/>
      <c r="M1040" s="385"/>
      <c r="N1040" s="385"/>
    </row>
    <row r="1041" spans="12:14" ht="18" customHeight="1">
      <c r="L1041" s="385"/>
      <c r="M1041" s="385"/>
      <c r="N1041" s="385"/>
    </row>
    <row r="1042" spans="12:14" ht="18" customHeight="1">
      <c r="L1042" s="385"/>
      <c r="M1042" s="385"/>
      <c r="N1042" s="385"/>
    </row>
    <row r="1043" spans="12:14" ht="18" customHeight="1">
      <c r="L1043" s="385"/>
      <c r="M1043" s="385"/>
      <c r="N1043" s="385"/>
    </row>
    <row r="1044" spans="12:14" ht="18" customHeight="1">
      <c r="L1044" s="385"/>
      <c r="M1044" s="385"/>
      <c r="N1044" s="385"/>
    </row>
    <row r="1045" spans="12:14" ht="18" customHeight="1">
      <c r="L1045" s="385"/>
      <c r="M1045" s="385"/>
      <c r="N1045" s="385"/>
    </row>
    <row r="1046" spans="12:14" ht="18" customHeight="1">
      <c r="L1046" s="385"/>
      <c r="M1046" s="385"/>
      <c r="N1046" s="385"/>
    </row>
    <row r="1047" spans="12:14" ht="18" customHeight="1">
      <c r="L1047" s="385"/>
      <c r="M1047" s="385"/>
      <c r="N1047" s="385"/>
    </row>
    <row r="1048" spans="12:14" ht="18" customHeight="1">
      <c r="L1048" s="385"/>
      <c r="M1048" s="385"/>
      <c r="N1048" s="385"/>
    </row>
    <row r="1049" spans="12:14" ht="18" customHeight="1">
      <c r="L1049" s="385"/>
      <c r="M1049" s="385"/>
      <c r="N1049" s="385"/>
    </row>
    <row r="1050" spans="12:14" ht="18" customHeight="1">
      <c r="L1050" s="385"/>
      <c r="M1050" s="385"/>
      <c r="N1050" s="385"/>
    </row>
    <row r="1051" spans="12:14" ht="18" customHeight="1">
      <c r="L1051" s="385"/>
      <c r="M1051" s="385"/>
      <c r="N1051" s="385"/>
    </row>
    <row r="1052" spans="12:14" ht="18" customHeight="1">
      <c r="L1052" s="385"/>
      <c r="M1052" s="385"/>
      <c r="N1052" s="385"/>
    </row>
    <row r="1053" spans="12:14" ht="18" customHeight="1">
      <c r="L1053" s="385"/>
      <c r="M1053" s="385"/>
      <c r="N1053" s="385"/>
    </row>
    <row r="1054" spans="12:14" ht="18" customHeight="1">
      <c r="L1054" s="385"/>
      <c r="M1054" s="385"/>
      <c r="N1054" s="385"/>
    </row>
    <row r="1055" spans="12:14" ht="18" customHeight="1">
      <c r="L1055" s="385"/>
      <c r="M1055" s="385"/>
      <c r="N1055" s="385"/>
    </row>
    <row r="1056" spans="12:14" ht="18" customHeight="1">
      <c r="L1056" s="385"/>
      <c r="M1056" s="385"/>
      <c r="N1056" s="385"/>
    </row>
    <row r="1057" spans="12:14" ht="18" customHeight="1">
      <c r="L1057" s="385"/>
      <c r="M1057" s="385"/>
      <c r="N1057" s="385"/>
    </row>
    <row r="1058" spans="12:14" ht="18" customHeight="1">
      <c r="L1058" s="385"/>
      <c r="M1058" s="385"/>
      <c r="N1058" s="385"/>
    </row>
    <row r="1059" spans="12:14" ht="18" customHeight="1">
      <c r="L1059" s="385"/>
      <c r="M1059" s="385"/>
      <c r="N1059" s="385"/>
    </row>
    <row r="1060" spans="12:14" ht="18" customHeight="1">
      <c r="L1060" s="385"/>
      <c r="M1060" s="385"/>
      <c r="N1060" s="385"/>
    </row>
    <row r="1061" spans="12:14" ht="18" customHeight="1">
      <c r="L1061" s="385"/>
      <c r="M1061" s="385"/>
      <c r="N1061" s="385"/>
    </row>
    <row r="1062" spans="12:14" ht="18" customHeight="1">
      <c r="L1062" s="385"/>
      <c r="M1062" s="385"/>
      <c r="N1062" s="385"/>
    </row>
    <row r="1063" spans="12:14" ht="18" customHeight="1">
      <c r="L1063" s="385"/>
      <c r="M1063" s="385"/>
      <c r="N1063" s="385"/>
    </row>
    <row r="1064" spans="12:14" ht="18" customHeight="1">
      <c r="L1064" s="385"/>
      <c r="M1064" s="385"/>
      <c r="N1064" s="385"/>
    </row>
    <row r="1065" spans="12:14" ht="18" customHeight="1">
      <c r="L1065" s="385"/>
      <c r="M1065" s="385"/>
      <c r="N1065" s="385"/>
    </row>
    <row r="1066" spans="12:14" ht="18" customHeight="1">
      <c r="L1066" s="385"/>
      <c r="M1066" s="385"/>
      <c r="N1066" s="385"/>
    </row>
    <row r="1067" spans="12:14" ht="18" customHeight="1">
      <c r="L1067" s="385"/>
      <c r="M1067" s="385"/>
      <c r="N1067" s="385"/>
    </row>
    <row r="1068" spans="12:14" ht="18" customHeight="1">
      <c r="L1068" s="385"/>
      <c r="M1068" s="385"/>
      <c r="N1068" s="385"/>
    </row>
    <row r="1069" spans="12:14" ht="18" customHeight="1">
      <c r="L1069" s="385"/>
      <c r="M1069" s="385"/>
      <c r="N1069" s="385"/>
    </row>
    <row r="1070" spans="12:14" ht="18" customHeight="1">
      <c r="L1070" s="385"/>
      <c r="M1070" s="385"/>
      <c r="N1070" s="385"/>
    </row>
    <row r="1071" spans="12:14" ht="18" customHeight="1">
      <c r="L1071" s="385"/>
      <c r="M1071" s="385"/>
      <c r="N1071" s="385"/>
    </row>
    <row r="1072" spans="12:14" ht="18" customHeight="1">
      <c r="L1072" s="385"/>
      <c r="M1072" s="385"/>
      <c r="N1072" s="385"/>
    </row>
    <row r="1073" spans="12:14" ht="18" customHeight="1">
      <c r="L1073" s="385"/>
      <c r="M1073" s="385"/>
      <c r="N1073" s="385"/>
    </row>
    <row r="1074" spans="12:14" ht="18" customHeight="1">
      <c r="L1074" s="385"/>
      <c r="M1074" s="385"/>
      <c r="N1074" s="385"/>
    </row>
    <row r="1075" spans="12:14" ht="18" customHeight="1">
      <c r="L1075" s="385"/>
      <c r="M1075" s="385"/>
      <c r="N1075" s="385"/>
    </row>
    <row r="1076" spans="12:14" ht="18" customHeight="1">
      <c r="L1076" s="385"/>
      <c r="M1076" s="385"/>
      <c r="N1076" s="385"/>
    </row>
    <row r="1077" spans="12:14" ht="18" customHeight="1">
      <c r="L1077" s="385"/>
      <c r="M1077" s="385"/>
      <c r="N1077" s="385"/>
    </row>
    <row r="1078" spans="12:14" ht="18" customHeight="1">
      <c r="L1078" s="385"/>
      <c r="M1078" s="385"/>
      <c r="N1078" s="385"/>
    </row>
    <row r="1079" spans="12:14" ht="18" customHeight="1">
      <c r="L1079" s="385"/>
      <c r="M1079" s="385"/>
      <c r="N1079" s="385"/>
    </row>
    <row r="1080" spans="12:14" ht="18" customHeight="1">
      <c r="L1080" s="385"/>
      <c r="M1080" s="385"/>
      <c r="N1080" s="385"/>
    </row>
    <row r="1081" spans="12:14" ht="18" customHeight="1">
      <c r="L1081" s="385"/>
      <c r="M1081" s="385"/>
      <c r="N1081" s="385"/>
    </row>
    <row r="1082" spans="12:14" ht="18" customHeight="1">
      <c r="L1082" s="385"/>
      <c r="M1082" s="385"/>
      <c r="N1082" s="385"/>
    </row>
    <row r="1083" spans="12:14" ht="18" customHeight="1">
      <c r="L1083" s="385"/>
      <c r="M1083" s="385"/>
      <c r="N1083" s="385"/>
    </row>
    <row r="1084" spans="12:14" ht="18" customHeight="1">
      <c r="L1084" s="385"/>
      <c r="M1084" s="385"/>
      <c r="N1084" s="385"/>
    </row>
    <row r="1085" spans="12:14" ht="18" customHeight="1">
      <c r="L1085" s="385"/>
      <c r="M1085" s="385"/>
      <c r="N1085" s="385"/>
    </row>
    <row r="1086" spans="12:14" ht="18" customHeight="1">
      <c r="L1086" s="385"/>
      <c r="M1086" s="385"/>
      <c r="N1086" s="385"/>
    </row>
    <row r="1087" spans="12:14" ht="18" customHeight="1">
      <c r="L1087" s="385"/>
      <c r="M1087" s="385"/>
      <c r="N1087" s="385"/>
    </row>
    <row r="1088" spans="12:14" ht="18" customHeight="1">
      <c r="L1088" s="385"/>
      <c r="M1088" s="385"/>
      <c r="N1088" s="385"/>
    </row>
    <row r="1089" spans="12:14" ht="18" customHeight="1">
      <c r="L1089" s="385"/>
      <c r="M1089" s="385"/>
      <c r="N1089" s="385"/>
    </row>
    <row r="1090" spans="12:14" ht="18" customHeight="1">
      <c r="L1090" s="385"/>
      <c r="M1090" s="385"/>
      <c r="N1090" s="385"/>
    </row>
    <row r="1091" spans="12:14" ht="18" customHeight="1">
      <c r="L1091" s="385"/>
      <c r="M1091" s="385"/>
      <c r="N1091" s="385"/>
    </row>
    <row r="1092" spans="12:14" ht="18" customHeight="1">
      <c r="L1092" s="385"/>
      <c r="M1092" s="385"/>
      <c r="N1092" s="385"/>
    </row>
    <row r="1093" spans="12:14" ht="18" customHeight="1">
      <c r="L1093" s="385"/>
      <c r="M1093" s="385"/>
      <c r="N1093" s="385"/>
    </row>
    <row r="1094" spans="12:14" ht="18" customHeight="1">
      <c r="L1094" s="385"/>
      <c r="M1094" s="385"/>
      <c r="N1094" s="385"/>
    </row>
    <row r="1095" spans="12:14" ht="18" customHeight="1">
      <c r="L1095" s="385"/>
      <c r="M1095" s="385"/>
      <c r="N1095" s="385"/>
    </row>
    <row r="1096" spans="12:14" ht="18" customHeight="1">
      <c r="L1096" s="385"/>
      <c r="M1096" s="385"/>
      <c r="N1096" s="385"/>
    </row>
    <row r="1097" spans="12:14" ht="18" customHeight="1">
      <c r="L1097" s="385"/>
      <c r="M1097" s="385"/>
      <c r="N1097" s="385"/>
    </row>
    <row r="1098" spans="12:14" ht="18" customHeight="1">
      <c r="L1098" s="385"/>
      <c r="M1098" s="385"/>
      <c r="N1098" s="385"/>
    </row>
    <row r="1099" spans="12:14" ht="18" customHeight="1">
      <c r="L1099" s="385"/>
      <c r="M1099" s="385"/>
      <c r="N1099" s="385"/>
    </row>
    <row r="1100" spans="12:14" ht="18" customHeight="1">
      <c r="L1100" s="385"/>
      <c r="M1100" s="385"/>
      <c r="N1100" s="385"/>
    </row>
    <row r="1101" spans="12:14" ht="18" customHeight="1">
      <c r="L1101" s="385"/>
      <c r="M1101" s="385"/>
      <c r="N1101" s="385"/>
    </row>
    <row r="1102" spans="12:14" ht="18" customHeight="1">
      <c r="L1102" s="385"/>
      <c r="M1102" s="385"/>
      <c r="N1102" s="385"/>
    </row>
    <row r="1103" spans="12:14" ht="18" customHeight="1">
      <c r="L1103" s="385"/>
      <c r="M1103" s="385"/>
      <c r="N1103" s="385"/>
    </row>
    <row r="1104" spans="12:14" ht="18" customHeight="1">
      <c r="L1104" s="385"/>
      <c r="M1104" s="385"/>
      <c r="N1104" s="385"/>
    </row>
    <row r="1105" spans="12:14" ht="18" customHeight="1">
      <c r="L1105" s="385"/>
      <c r="M1105" s="385"/>
      <c r="N1105" s="385"/>
    </row>
    <row r="1106" spans="12:14" ht="18" customHeight="1">
      <c r="L1106" s="385"/>
      <c r="M1106" s="385"/>
      <c r="N1106" s="385"/>
    </row>
    <row r="1107" spans="12:14" ht="18" customHeight="1">
      <c r="L1107" s="385"/>
      <c r="M1107" s="385"/>
      <c r="N1107" s="385"/>
    </row>
    <row r="1108" spans="12:14" ht="18" customHeight="1">
      <c r="L1108" s="385"/>
      <c r="M1108" s="385"/>
      <c r="N1108" s="385"/>
    </row>
    <row r="1109" spans="12:14" ht="18" customHeight="1">
      <c r="L1109" s="385"/>
      <c r="M1109" s="385"/>
      <c r="N1109" s="385"/>
    </row>
    <row r="1110" spans="12:14" ht="18" customHeight="1">
      <c r="L1110" s="385"/>
      <c r="M1110" s="385"/>
      <c r="N1110" s="385"/>
    </row>
    <row r="1111" spans="12:14" ht="18" customHeight="1">
      <c r="L1111" s="385"/>
      <c r="M1111" s="385"/>
      <c r="N1111" s="385"/>
    </row>
    <row r="1112" spans="12:14" ht="18" customHeight="1">
      <c r="L1112" s="385"/>
      <c r="M1112" s="385"/>
      <c r="N1112" s="385"/>
    </row>
    <row r="1113" spans="12:14" ht="18" customHeight="1">
      <c r="L1113" s="385"/>
      <c r="M1113" s="385"/>
      <c r="N1113" s="385"/>
    </row>
    <row r="1114" spans="12:14" ht="18" customHeight="1">
      <c r="L1114" s="385"/>
      <c r="M1114" s="385"/>
      <c r="N1114" s="385"/>
    </row>
    <row r="1115" spans="12:14" ht="18" customHeight="1">
      <c r="L1115" s="385"/>
      <c r="M1115" s="385"/>
      <c r="N1115" s="385"/>
    </row>
    <row r="1116" spans="12:14" ht="18" customHeight="1">
      <c r="L1116" s="385"/>
      <c r="M1116" s="385"/>
      <c r="N1116" s="385"/>
    </row>
    <row r="1117" spans="12:14" ht="18" customHeight="1">
      <c r="L1117" s="385"/>
      <c r="M1117" s="385"/>
      <c r="N1117" s="385"/>
    </row>
    <row r="1118" spans="12:14" ht="18" customHeight="1">
      <c r="L1118" s="385"/>
      <c r="M1118" s="385"/>
      <c r="N1118" s="385"/>
    </row>
    <row r="1119" spans="12:14" ht="18" customHeight="1">
      <c r="L1119" s="385"/>
      <c r="M1119" s="385"/>
      <c r="N1119" s="385"/>
    </row>
    <row r="1120" spans="12:14" ht="18" customHeight="1">
      <c r="L1120" s="385"/>
      <c r="M1120" s="385"/>
      <c r="N1120" s="385"/>
    </row>
    <row r="1121" spans="12:14" ht="18" customHeight="1">
      <c r="L1121" s="385"/>
      <c r="M1121" s="385"/>
      <c r="N1121" s="385"/>
    </row>
    <row r="1122" spans="12:14" ht="18" customHeight="1">
      <c r="L1122" s="385"/>
      <c r="M1122" s="385"/>
      <c r="N1122" s="385"/>
    </row>
    <row r="1123" spans="12:14" ht="18" customHeight="1">
      <c r="L1123" s="385"/>
      <c r="M1123" s="385"/>
      <c r="N1123" s="385"/>
    </row>
    <row r="1124" spans="12:14" ht="18" customHeight="1">
      <c r="L1124" s="385"/>
      <c r="M1124" s="385"/>
      <c r="N1124" s="385"/>
    </row>
    <row r="1125" spans="12:14" ht="18" customHeight="1">
      <c r="L1125" s="385"/>
      <c r="M1125" s="385"/>
      <c r="N1125" s="385"/>
    </row>
    <row r="1126" spans="12:14" ht="18" customHeight="1">
      <c r="L1126" s="385"/>
      <c r="M1126" s="385"/>
      <c r="N1126" s="385"/>
    </row>
    <row r="1127" spans="12:14" ht="18" customHeight="1">
      <c r="L1127" s="385"/>
      <c r="M1127" s="385"/>
      <c r="N1127" s="385"/>
    </row>
    <row r="1128" spans="12:14" ht="18" customHeight="1">
      <c r="L1128" s="385"/>
      <c r="M1128" s="385"/>
      <c r="N1128" s="385"/>
    </row>
    <row r="1129" spans="12:14" ht="18" customHeight="1">
      <c r="L1129" s="385"/>
      <c r="M1129" s="385"/>
      <c r="N1129" s="385"/>
    </row>
    <row r="1130" spans="12:14" ht="18" customHeight="1">
      <c r="L1130" s="385"/>
      <c r="M1130" s="385"/>
      <c r="N1130" s="385"/>
    </row>
    <row r="1131" spans="12:14" ht="18" customHeight="1">
      <c r="L1131" s="385"/>
      <c r="M1131" s="385"/>
      <c r="N1131" s="385"/>
    </row>
    <row r="1132" spans="12:14" ht="18" customHeight="1">
      <c r="L1132" s="385"/>
      <c r="M1132" s="385"/>
      <c r="N1132" s="385"/>
    </row>
    <row r="1133" spans="12:14" ht="18" customHeight="1">
      <c r="L1133" s="385"/>
      <c r="M1133" s="385"/>
      <c r="N1133" s="385"/>
    </row>
    <row r="1134" spans="12:14" ht="18" customHeight="1">
      <c r="L1134" s="385"/>
      <c r="M1134" s="385"/>
      <c r="N1134" s="385"/>
    </row>
    <row r="1135" spans="12:14" ht="18" customHeight="1">
      <c r="L1135" s="385"/>
      <c r="M1135" s="385"/>
      <c r="N1135" s="385"/>
    </row>
    <row r="1136" spans="12:14" ht="18" customHeight="1">
      <c r="L1136" s="385"/>
      <c r="M1136" s="385"/>
      <c r="N1136" s="385"/>
    </row>
    <row r="1137" spans="12:14" ht="18" customHeight="1">
      <c r="L1137" s="385"/>
      <c r="M1137" s="385"/>
      <c r="N1137" s="385"/>
    </row>
    <row r="1138" spans="12:14" ht="18" customHeight="1">
      <c r="L1138" s="385"/>
      <c r="M1138" s="385"/>
      <c r="N1138" s="385"/>
    </row>
    <row r="1139" spans="12:14" ht="18" customHeight="1">
      <c r="L1139" s="385"/>
      <c r="M1139" s="385"/>
      <c r="N1139" s="385"/>
    </row>
    <row r="1140" spans="12:14" ht="18" customHeight="1">
      <c r="L1140" s="385"/>
      <c r="M1140" s="385"/>
      <c r="N1140" s="385"/>
    </row>
    <row r="1141" spans="12:14" ht="18" customHeight="1">
      <c r="L1141" s="385"/>
      <c r="M1141" s="385"/>
      <c r="N1141" s="385"/>
    </row>
    <row r="1142" spans="12:14" ht="18" customHeight="1">
      <c r="L1142" s="385"/>
      <c r="M1142" s="385"/>
      <c r="N1142" s="385"/>
    </row>
    <row r="1143" spans="12:14" ht="18" customHeight="1">
      <c r="L1143" s="385"/>
      <c r="M1143" s="385"/>
      <c r="N1143" s="385"/>
    </row>
    <row r="1144" spans="12:14" ht="18" customHeight="1">
      <c r="L1144" s="385"/>
      <c r="M1144" s="385"/>
      <c r="N1144" s="385"/>
    </row>
    <row r="1145" spans="12:14" ht="18" customHeight="1">
      <c r="L1145" s="385"/>
      <c r="M1145" s="385"/>
      <c r="N1145" s="385"/>
    </row>
    <row r="1146" spans="12:14" ht="18" customHeight="1">
      <c r="L1146" s="385"/>
      <c r="M1146" s="385"/>
      <c r="N1146" s="385"/>
    </row>
    <row r="1147" spans="12:14" ht="18" customHeight="1">
      <c r="L1147" s="385"/>
      <c r="M1147" s="385"/>
      <c r="N1147" s="385"/>
    </row>
    <row r="1148" spans="12:14" ht="18" customHeight="1">
      <c r="L1148" s="385"/>
      <c r="M1148" s="385"/>
      <c r="N1148" s="385"/>
    </row>
    <row r="1149" spans="12:14" ht="18" customHeight="1">
      <c r="L1149" s="385"/>
      <c r="M1149" s="385"/>
      <c r="N1149" s="385"/>
    </row>
    <row r="1150" spans="12:14" ht="18" customHeight="1">
      <c r="L1150" s="385"/>
      <c r="M1150" s="385"/>
      <c r="N1150" s="385"/>
    </row>
    <row r="1151" spans="12:14" ht="18" customHeight="1">
      <c r="L1151" s="385"/>
      <c r="M1151" s="385"/>
      <c r="N1151" s="385"/>
    </row>
    <row r="1152" spans="12:14" ht="18" customHeight="1">
      <c r="L1152" s="385"/>
      <c r="M1152" s="385"/>
      <c r="N1152" s="385"/>
    </row>
    <row r="1153" spans="12:14" ht="18" customHeight="1">
      <c r="L1153" s="385"/>
      <c r="M1153" s="385"/>
      <c r="N1153" s="385"/>
    </row>
    <row r="1154" spans="12:14" ht="18" customHeight="1">
      <c r="L1154" s="385"/>
      <c r="M1154" s="385"/>
      <c r="N1154" s="385"/>
    </row>
    <row r="1155" spans="12:14" ht="18" customHeight="1">
      <c r="L1155" s="385"/>
      <c r="M1155" s="385"/>
      <c r="N1155" s="385"/>
    </row>
    <row r="1156" spans="12:14" ht="18" customHeight="1">
      <c r="L1156" s="385"/>
      <c r="M1156" s="385"/>
      <c r="N1156" s="385"/>
    </row>
    <row r="1157" spans="12:14" ht="18" customHeight="1">
      <c r="L1157" s="385"/>
      <c r="M1157" s="385"/>
      <c r="N1157" s="385"/>
    </row>
    <row r="1158" spans="12:14" ht="18" customHeight="1">
      <c r="L1158" s="385"/>
      <c r="M1158" s="385"/>
      <c r="N1158" s="385"/>
    </row>
    <row r="1159" spans="12:14" ht="18" customHeight="1">
      <c r="L1159" s="385"/>
      <c r="M1159" s="385"/>
      <c r="N1159" s="385"/>
    </row>
    <row r="1160" spans="12:14" ht="18" customHeight="1">
      <c r="L1160" s="385"/>
      <c r="M1160" s="385"/>
      <c r="N1160" s="385"/>
    </row>
    <row r="1161" spans="12:14" ht="18" customHeight="1">
      <c r="L1161" s="385"/>
      <c r="M1161" s="385"/>
      <c r="N1161" s="385"/>
    </row>
    <row r="1162" spans="12:14" ht="18" customHeight="1">
      <c r="L1162" s="385"/>
      <c r="M1162" s="385"/>
      <c r="N1162" s="385"/>
    </row>
    <row r="1163" spans="12:14" ht="18" customHeight="1">
      <c r="L1163" s="385"/>
      <c r="M1163" s="385"/>
      <c r="N1163" s="385"/>
    </row>
    <row r="1164" spans="12:14" ht="18" customHeight="1">
      <c r="L1164" s="385"/>
      <c r="M1164" s="385"/>
      <c r="N1164" s="385"/>
    </row>
    <row r="1165" spans="12:14" ht="18" customHeight="1">
      <c r="L1165" s="385"/>
      <c r="M1165" s="385"/>
      <c r="N1165" s="385"/>
    </row>
    <row r="1166" spans="12:14" ht="18" customHeight="1">
      <c r="L1166" s="385"/>
      <c r="M1166" s="385"/>
      <c r="N1166" s="385"/>
    </row>
    <row r="1167" spans="12:14" ht="18" customHeight="1">
      <c r="L1167" s="385"/>
      <c r="M1167" s="385"/>
      <c r="N1167" s="385"/>
    </row>
    <row r="1168" spans="12:14" ht="18" customHeight="1">
      <c r="L1168" s="385"/>
      <c r="M1168" s="385"/>
      <c r="N1168" s="385"/>
    </row>
    <row r="1169" spans="12:14" ht="18" customHeight="1">
      <c r="L1169" s="385"/>
      <c r="M1169" s="385"/>
      <c r="N1169" s="385"/>
    </row>
    <row r="1170" spans="12:14" ht="18" customHeight="1">
      <c r="L1170" s="385"/>
      <c r="M1170" s="385"/>
      <c r="N1170" s="385"/>
    </row>
    <row r="1171" spans="12:14" ht="18" customHeight="1">
      <c r="L1171" s="385"/>
      <c r="M1171" s="385"/>
      <c r="N1171" s="385"/>
    </row>
    <row r="1172" spans="12:14" ht="18" customHeight="1">
      <c r="L1172" s="385"/>
      <c r="M1172" s="385"/>
      <c r="N1172" s="385"/>
    </row>
    <row r="1173" spans="12:14" ht="18" customHeight="1">
      <c r="L1173" s="385"/>
      <c r="M1173" s="385"/>
      <c r="N1173" s="385"/>
    </row>
    <row r="1174" spans="12:14" ht="18" customHeight="1">
      <c r="L1174" s="385"/>
      <c r="M1174" s="385"/>
      <c r="N1174" s="385"/>
    </row>
    <row r="1175" spans="12:14" ht="18" customHeight="1">
      <c r="L1175" s="385"/>
      <c r="M1175" s="385"/>
      <c r="N1175" s="385"/>
    </row>
    <row r="1176" spans="12:14" ht="18" customHeight="1">
      <c r="L1176" s="385"/>
      <c r="M1176" s="385"/>
      <c r="N1176" s="385"/>
    </row>
    <row r="1177" spans="12:14" ht="18" customHeight="1">
      <c r="L1177" s="385"/>
      <c r="M1177" s="385"/>
      <c r="N1177" s="385"/>
    </row>
    <row r="1178" spans="12:14" ht="18" customHeight="1">
      <c r="L1178" s="385"/>
      <c r="M1178" s="385"/>
      <c r="N1178" s="385"/>
    </row>
    <row r="1179" spans="12:14" ht="18" customHeight="1">
      <c r="L1179" s="385"/>
      <c r="M1179" s="385"/>
      <c r="N1179" s="385"/>
    </row>
    <row r="1180" spans="12:14" ht="18" customHeight="1">
      <c r="L1180" s="385"/>
      <c r="M1180" s="385"/>
      <c r="N1180" s="385"/>
    </row>
    <row r="1181" spans="12:14" ht="18" customHeight="1">
      <c r="L1181" s="385"/>
      <c r="M1181" s="385"/>
      <c r="N1181" s="385"/>
    </row>
    <row r="1182" spans="12:14" ht="18" customHeight="1">
      <c r="L1182" s="385"/>
      <c r="M1182" s="385"/>
      <c r="N1182" s="385"/>
    </row>
    <row r="1183" spans="12:14" ht="18" customHeight="1">
      <c r="L1183" s="385"/>
      <c r="M1183" s="385"/>
      <c r="N1183" s="385"/>
    </row>
    <row r="1184" spans="12:14" ht="18" customHeight="1">
      <c r="L1184" s="385"/>
      <c r="M1184" s="385"/>
      <c r="N1184" s="385"/>
    </row>
    <row r="1185" spans="12:14" ht="18" customHeight="1">
      <c r="L1185" s="385"/>
      <c r="M1185" s="385"/>
      <c r="N1185" s="385"/>
    </row>
    <row r="1186" spans="12:14" ht="18" customHeight="1">
      <c r="L1186" s="385"/>
      <c r="M1186" s="385"/>
      <c r="N1186" s="385"/>
    </row>
    <row r="1187" spans="12:14" ht="18" customHeight="1">
      <c r="L1187" s="385"/>
      <c r="M1187" s="385"/>
      <c r="N1187" s="385"/>
    </row>
    <row r="1188" spans="12:14" ht="18" customHeight="1">
      <c r="L1188" s="385"/>
      <c r="M1188" s="385"/>
      <c r="N1188" s="385"/>
    </row>
    <row r="1189" spans="12:14" ht="18" customHeight="1">
      <c r="L1189" s="385"/>
      <c r="M1189" s="385"/>
      <c r="N1189" s="385"/>
    </row>
    <row r="1190" spans="12:14" ht="18" customHeight="1">
      <c r="L1190" s="385"/>
      <c r="M1190" s="385"/>
      <c r="N1190" s="385"/>
    </row>
    <row r="1191" spans="12:14" ht="18" customHeight="1">
      <c r="L1191" s="385"/>
      <c r="M1191" s="385"/>
      <c r="N1191" s="385"/>
    </row>
    <row r="1192" spans="12:14" ht="18" customHeight="1">
      <c r="L1192" s="385"/>
      <c r="M1192" s="385"/>
      <c r="N1192" s="385"/>
    </row>
    <row r="1193" spans="12:14" ht="18" customHeight="1">
      <c r="L1193" s="385"/>
      <c r="M1193" s="385"/>
      <c r="N1193" s="385"/>
    </row>
    <row r="1194" spans="12:14" ht="18" customHeight="1">
      <c r="L1194" s="385"/>
      <c r="M1194" s="385"/>
      <c r="N1194" s="385"/>
    </row>
    <row r="1195" spans="12:14" ht="18" customHeight="1">
      <c r="L1195" s="385"/>
      <c r="M1195" s="385"/>
      <c r="N1195" s="385"/>
    </row>
    <row r="1196" spans="12:14" ht="18" customHeight="1">
      <c r="L1196" s="385"/>
      <c r="M1196" s="385"/>
      <c r="N1196" s="385"/>
    </row>
    <row r="1197" spans="12:14" ht="18" customHeight="1">
      <c r="L1197" s="385"/>
      <c r="M1197" s="385"/>
      <c r="N1197" s="385"/>
    </row>
    <row r="1198" spans="12:14" ht="18" customHeight="1">
      <c r="L1198" s="385"/>
      <c r="M1198" s="385"/>
      <c r="N1198" s="385"/>
    </row>
    <row r="1199" spans="12:14" ht="18" customHeight="1">
      <c r="L1199" s="385"/>
      <c r="M1199" s="385"/>
      <c r="N1199" s="385"/>
    </row>
    <row r="1200" spans="12:14" ht="18" customHeight="1">
      <c r="L1200" s="385"/>
      <c r="M1200" s="385"/>
      <c r="N1200" s="385"/>
    </row>
    <row r="1201" spans="12:14" ht="18" customHeight="1">
      <c r="L1201" s="385"/>
      <c r="M1201" s="385"/>
      <c r="N1201" s="385"/>
    </row>
    <row r="1202" spans="12:14" ht="18" customHeight="1">
      <c r="L1202" s="385"/>
      <c r="M1202" s="385"/>
      <c r="N1202" s="385"/>
    </row>
    <row r="1203" spans="12:14" ht="18" customHeight="1">
      <c r="L1203" s="385"/>
      <c r="M1203" s="385"/>
      <c r="N1203" s="385"/>
    </row>
    <row r="1204" spans="12:14" ht="18" customHeight="1">
      <c r="L1204" s="385"/>
      <c r="M1204" s="385"/>
      <c r="N1204" s="385"/>
    </row>
    <row r="1205" spans="12:14" ht="18" customHeight="1">
      <c r="L1205" s="385"/>
      <c r="M1205" s="385"/>
      <c r="N1205" s="385"/>
    </row>
    <row r="1206" spans="12:14" ht="18" customHeight="1">
      <c r="L1206" s="385"/>
      <c r="M1206" s="385"/>
      <c r="N1206" s="385"/>
    </row>
    <row r="1207" spans="12:14" ht="18" customHeight="1">
      <c r="L1207" s="385"/>
      <c r="M1207" s="385"/>
      <c r="N1207" s="385"/>
    </row>
    <row r="1208" spans="12:14" ht="18" customHeight="1">
      <c r="L1208" s="385"/>
      <c r="M1208" s="385"/>
      <c r="N1208" s="385"/>
    </row>
    <row r="1209" spans="12:14" ht="18" customHeight="1">
      <c r="L1209" s="385"/>
      <c r="M1209" s="385"/>
      <c r="N1209" s="385"/>
    </row>
    <row r="1210" spans="12:14" ht="18" customHeight="1">
      <c r="L1210" s="385"/>
      <c r="M1210" s="385"/>
      <c r="N1210" s="385"/>
    </row>
    <row r="1211" spans="12:14" ht="18" customHeight="1">
      <c r="L1211" s="385"/>
      <c r="M1211" s="385"/>
      <c r="N1211" s="385"/>
    </row>
    <row r="1212" spans="12:14" ht="18" customHeight="1">
      <c r="L1212" s="385"/>
      <c r="M1212" s="385"/>
      <c r="N1212" s="385"/>
    </row>
    <row r="1213" spans="12:14" ht="18" customHeight="1">
      <c r="L1213" s="385"/>
      <c r="M1213" s="385"/>
      <c r="N1213" s="385"/>
    </row>
    <row r="1214" spans="12:14" ht="18" customHeight="1">
      <c r="L1214" s="385"/>
      <c r="M1214" s="385"/>
      <c r="N1214" s="385"/>
    </row>
    <row r="1215" spans="12:14" ht="18" customHeight="1">
      <c r="L1215" s="385"/>
      <c r="M1215" s="385"/>
      <c r="N1215" s="385"/>
    </row>
    <row r="1216" spans="12:14" ht="18" customHeight="1">
      <c r="L1216" s="385"/>
      <c r="M1216" s="385"/>
      <c r="N1216" s="385"/>
    </row>
    <row r="1217" spans="12:14" ht="18" customHeight="1">
      <c r="L1217" s="385"/>
      <c r="M1217" s="385"/>
      <c r="N1217" s="385"/>
    </row>
    <row r="1218" spans="12:14" ht="18" customHeight="1">
      <c r="L1218" s="385"/>
      <c r="M1218" s="385"/>
      <c r="N1218" s="385"/>
    </row>
    <row r="1219" spans="12:14" ht="18" customHeight="1">
      <c r="L1219" s="385"/>
      <c r="M1219" s="385"/>
      <c r="N1219" s="385"/>
    </row>
    <row r="1220" spans="12:14" ht="18" customHeight="1">
      <c r="L1220" s="385"/>
      <c r="M1220" s="385"/>
      <c r="N1220" s="385"/>
    </row>
    <row r="1221" spans="12:14" ht="18" customHeight="1">
      <c r="L1221" s="385"/>
      <c r="M1221" s="385"/>
      <c r="N1221" s="385"/>
    </row>
    <row r="1222" spans="12:14" ht="18" customHeight="1">
      <c r="L1222" s="385"/>
      <c r="M1222" s="385"/>
      <c r="N1222" s="385"/>
    </row>
    <row r="1223" spans="12:14" ht="18" customHeight="1">
      <c r="L1223" s="385"/>
      <c r="M1223" s="385"/>
      <c r="N1223" s="385"/>
    </row>
    <row r="1224" spans="12:14" ht="18" customHeight="1">
      <c r="L1224" s="385"/>
      <c r="M1224" s="385"/>
      <c r="N1224" s="385"/>
    </row>
    <row r="1225" spans="12:14" ht="18" customHeight="1">
      <c r="L1225" s="385"/>
      <c r="M1225" s="385"/>
      <c r="N1225" s="385"/>
    </row>
    <row r="1226" spans="12:14" ht="18" customHeight="1">
      <c r="L1226" s="385"/>
      <c r="M1226" s="385"/>
      <c r="N1226" s="385"/>
    </row>
    <row r="1227" spans="12:14" ht="18" customHeight="1">
      <c r="L1227" s="385"/>
      <c r="M1227" s="385"/>
      <c r="N1227" s="385"/>
    </row>
    <row r="1228" spans="12:14" ht="18" customHeight="1">
      <c r="L1228" s="385"/>
      <c r="M1228" s="385"/>
      <c r="N1228" s="385"/>
    </row>
    <row r="1229" spans="12:14" ht="18" customHeight="1">
      <c r="L1229" s="385"/>
      <c r="M1229" s="385"/>
      <c r="N1229" s="385"/>
    </row>
    <row r="1230" spans="12:14" ht="18" customHeight="1">
      <c r="L1230" s="385"/>
      <c r="M1230" s="385"/>
      <c r="N1230" s="385"/>
    </row>
    <row r="1231" spans="12:14" ht="18" customHeight="1">
      <c r="L1231" s="385"/>
      <c r="M1231" s="385"/>
      <c r="N1231" s="385"/>
    </row>
    <row r="1232" spans="12:14" ht="18" customHeight="1">
      <c r="L1232" s="385"/>
      <c r="M1232" s="385"/>
      <c r="N1232" s="385"/>
    </row>
    <row r="1233" spans="12:14" ht="18" customHeight="1">
      <c r="L1233" s="385"/>
      <c r="M1233" s="385"/>
      <c r="N1233" s="385"/>
    </row>
    <row r="1234" spans="12:14" ht="18" customHeight="1">
      <c r="L1234" s="385"/>
      <c r="M1234" s="385"/>
      <c r="N1234" s="385"/>
    </row>
    <row r="1235" spans="12:14" ht="18" customHeight="1">
      <c r="L1235" s="385"/>
      <c r="M1235" s="385"/>
      <c r="N1235" s="385"/>
    </row>
    <row r="1236" spans="12:14" ht="18" customHeight="1">
      <c r="L1236" s="385"/>
      <c r="M1236" s="385"/>
      <c r="N1236" s="385"/>
    </row>
    <row r="1237" spans="12:14" ht="18" customHeight="1">
      <c r="L1237" s="385"/>
      <c r="M1237" s="385"/>
      <c r="N1237" s="385"/>
    </row>
    <row r="1238" spans="12:14" ht="18" customHeight="1">
      <c r="L1238" s="385"/>
      <c r="M1238" s="385"/>
      <c r="N1238" s="385"/>
    </row>
    <row r="1239" spans="12:14" ht="18" customHeight="1">
      <c r="L1239" s="385"/>
      <c r="M1239" s="385"/>
      <c r="N1239" s="385"/>
    </row>
    <row r="1240" spans="12:14" ht="18" customHeight="1">
      <c r="L1240" s="385"/>
      <c r="M1240" s="385"/>
      <c r="N1240" s="385"/>
    </row>
    <row r="1241" spans="12:14" ht="18" customHeight="1">
      <c r="L1241" s="385"/>
      <c r="M1241" s="385"/>
      <c r="N1241" s="385"/>
    </row>
    <row r="1242" spans="12:14" ht="18" customHeight="1">
      <c r="L1242" s="385"/>
      <c r="M1242" s="385"/>
      <c r="N1242" s="385"/>
    </row>
    <row r="1243" spans="12:14" ht="18" customHeight="1">
      <c r="L1243" s="385"/>
      <c r="M1243" s="385"/>
      <c r="N1243" s="385"/>
    </row>
    <row r="1244" spans="12:14" ht="18" customHeight="1">
      <c r="L1244" s="385"/>
      <c r="M1244" s="385"/>
      <c r="N1244" s="385"/>
    </row>
    <row r="1245" spans="12:14" ht="18" customHeight="1">
      <c r="L1245" s="385"/>
      <c r="M1245" s="385"/>
      <c r="N1245" s="385"/>
    </row>
    <row r="1246" spans="12:14" ht="18" customHeight="1">
      <c r="L1246" s="385"/>
      <c r="M1246" s="385"/>
      <c r="N1246" s="385"/>
    </row>
    <row r="1247" spans="12:14" ht="18" customHeight="1">
      <c r="L1247" s="385"/>
      <c r="M1247" s="385"/>
      <c r="N1247" s="385"/>
    </row>
    <row r="1248" spans="12:14" ht="18" customHeight="1">
      <c r="L1248" s="385"/>
      <c r="M1248" s="385"/>
      <c r="N1248" s="385"/>
    </row>
    <row r="1249" spans="12:14" ht="18" customHeight="1">
      <c r="L1249" s="385"/>
      <c r="M1249" s="385"/>
      <c r="N1249" s="385"/>
    </row>
    <row r="1250" spans="12:14" ht="18" customHeight="1">
      <c r="L1250" s="385"/>
      <c r="M1250" s="385"/>
      <c r="N1250" s="385"/>
    </row>
    <row r="1251" spans="12:14" ht="18" customHeight="1">
      <c r="L1251" s="385"/>
      <c r="M1251" s="385"/>
      <c r="N1251" s="385"/>
    </row>
    <row r="1252" spans="12:14" ht="18" customHeight="1">
      <c r="L1252" s="385"/>
      <c r="M1252" s="385"/>
      <c r="N1252" s="385"/>
    </row>
    <row r="1253" spans="12:14" ht="18" customHeight="1">
      <c r="L1253" s="385"/>
      <c r="M1253" s="385"/>
      <c r="N1253" s="385"/>
    </row>
    <row r="1254" spans="12:14" ht="18" customHeight="1">
      <c r="L1254" s="385"/>
      <c r="M1254" s="385"/>
      <c r="N1254" s="385"/>
    </row>
    <row r="1255" spans="12:14" ht="18" customHeight="1">
      <c r="L1255" s="385"/>
      <c r="M1255" s="385"/>
      <c r="N1255" s="385"/>
    </row>
    <row r="1256" spans="12:14" ht="18" customHeight="1">
      <c r="L1256" s="385"/>
      <c r="M1256" s="385"/>
      <c r="N1256" s="385"/>
    </row>
    <row r="1257" spans="12:14" ht="18" customHeight="1">
      <c r="L1257" s="385"/>
      <c r="M1257" s="385"/>
      <c r="N1257" s="385"/>
    </row>
    <row r="1258" spans="12:14" ht="18" customHeight="1">
      <c r="L1258" s="385"/>
      <c r="M1258" s="385"/>
      <c r="N1258" s="385"/>
    </row>
    <row r="1259" spans="12:14" ht="18" customHeight="1">
      <c r="L1259" s="385"/>
      <c r="M1259" s="385"/>
      <c r="N1259" s="385"/>
    </row>
    <row r="1260" spans="12:14" ht="18" customHeight="1">
      <c r="L1260" s="385"/>
      <c r="M1260" s="385"/>
      <c r="N1260" s="385"/>
    </row>
    <row r="1261" spans="12:14" ht="18" customHeight="1">
      <c r="L1261" s="385"/>
      <c r="M1261" s="385"/>
      <c r="N1261" s="385"/>
    </row>
    <row r="1262" spans="12:14" ht="18" customHeight="1">
      <c r="L1262" s="385"/>
      <c r="M1262" s="385"/>
      <c r="N1262" s="385"/>
    </row>
    <row r="1263" spans="12:14" ht="18" customHeight="1">
      <c r="L1263" s="385"/>
      <c r="M1263" s="385"/>
      <c r="N1263" s="385"/>
    </row>
    <row r="1264" spans="12:14" ht="18" customHeight="1">
      <c r="L1264" s="385"/>
      <c r="M1264" s="385"/>
      <c r="N1264" s="385"/>
    </row>
    <row r="1265" spans="12:14" ht="18" customHeight="1">
      <c r="L1265" s="385"/>
      <c r="M1265" s="385"/>
      <c r="N1265" s="385"/>
    </row>
    <row r="1266" spans="12:14" ht="18" customHeight="1">
      <c r="L1266" s="385"/>
      <c r="M1266" s="385"/>
      <c r="N1266" s="385"/>
    </row>
    <row r="1267" spans="12:14" ht="18" customHeight="1">
      <c r="L1267" s="385"/>
      <c r="M1267" s="385"/>
      <c r="N1267" s="385"/>
    </row>
    <row r="1268" spans="12:14" ht="18" customHeight="1">
      <c r="L1268" s="385"/>
      <c r="M1268" s="385"/>
      <c r="N1268" s="385"/>
    </row>
    <row r="1269" spans="12:14" ht="18" customHeight="1">
      <c r="L1269" s="385"/>
      <c r="M1269" s="385"/>
      <c r="N1269" s="385"/>
    </row>
    <row r="1270" spans="12:14" ht="18" customHeight="1">
      <c r="L1270" s="385"/>
      <c r="M1270" s="385"/>
      <c r="N1270" s="385"/>
    </row>
    <row r="1271" spans="12:14" ht="18" customHeight="1">
      <c r="L1271" s="385"/>
      <c r="M1271" s="385"/>
      <c r="N1271" s="385"/>
    </row>
    <row r="1272" spans="12:14" ht="18" customHeight="1">
      <c r="L1272" s="385"/>
      <c r="M1272" s="385"/>
      <c r="N1272" s="385"/>
    </row>
    <row r="1273" spans="12:14" ht="18" customHeight="1">
      <c r="L1273" s="385"/>
      <c r="M1273" s="385"/>
      <c r="N1273" s="385"/>
    </row>
    <row r="1274" spans="12:14" ht="18" customHeight="1">
      <c r="L1274" s="385"/>
      <c r="M1274" s="385"/>
      <c r="N1274" s="385"/>
    </row>
    <row r="1275" spans="12:14" ht="18" customHeight="1">
      <c r="L1275" s="385"/>
      <c r="M1275" s="385"/>
      <c r="N1275" s="385"/>
    </row>
    <row r="1276" spans="12:14" ht="18" customHeight="1">
      <c r="L1276" s="385"/>
      <c r="M1276" s="385"/>
      <c r="N1276" s="385"/>
    </row>
    <row r="1277" spans="12:14" ht="18" customHeight="1">
      <c r="L1277" s="385"/>
      <c r="M1277" s="385"/>
      <c r="N1277" s="385"/>
    </row>
    <row r="1278" spans="12:14" ht="18" customHeight="1">
      <c r="L1278" s="385"/>
      <c r="M1278" s="385"/>
      <c r="N1278" s="385"/>
    </row>
    <row r="1279" spans="12:14" ht="18" customHeight="1">
      <c r="L1279" s="385"/>
      <c r="M1279" s="385"/>
      <c r="N1279" s="385"/>
    </row>
    <row r="1280" spans="12:14" ht="18" customHeight="1">
      <c r="L1280" s="385"/>
      <c r="M1280" s="385"/>
      <c r="N1280" s="385"/>
    </row>
    <row r="1281" spans="12:14" ht="18" customHeight="1">
      <c r="L1281" s="385"/>
      <c r="M1281" s="385"/>
      <c r="N1281" s="385"/>
    </row>
    <row r="1282" spans="12:14" ht="18" customHeight="1">
      <c r="L1282" s="385"/>
      <c r="M1282" s="385"/>
      <c r="N1282" s="385"/>
    </row>
    <row r="1283" spans="12:14" ht="18" customHeight="1">
      <c r="L1283" s="385"/>
      <c r="M1283" s="385"/>
      <c r="N1283" s="385"/>
    </row>
    <row r="1284" spans="12:14" ht="18" customHeight="1">
      <c r="L1284" s="385"/>
      <c r="M1284" s="385"/>
      <c r="N1284" s="385"/>
    </row>
    <row r="1285" spans="12:14" ht="18" customHeight="1">
      <c r="L1285" s="385"/>
      <c r="M1285" s="385"/>
      <c r="N1285" s="385"/>
    </row>
    <row r="1286" spans="12:14" ht="18" customHeight="1">
      <c r="L1286" s="385"/>
      <c r="M1286" s="385"/>
      <c r="N1286" s="385"/>
    </row>
    <row r="1287" spans="12:14" ht="18" customHeight="1">
      <c r="L1287" s="385"/>
      <c r="M1287" s="385"/>
      <c r="N1287" s="385"/>
    </row>
    <row r="1288" spans="12:14" ht="18" customHeight="1">
      <c r="L1288" s="385"/>
      <c r="M1288" s="385"/>
      <c r="N1288" s="385"/>
    </row>
    <row r="1289" spans="12:14" ht="18" customHeight="1">
      <c r="L1289" s="385"/>
      <c r="M1289" s="385"/>
      <c r="N1289" s="385"/>
    </row>
    <row r="1290" spans="12:14" ht="18" customHeight="1">
      <c r="L1290" s="385"/>
      <c r="M1290" s="385"/>
      <c r="N1290" s="385"/>
    </row>
    <row r="1291" spans="12:14" ht="18" customHeight="1">
      <c r="L1291" s="385"/>
      <c r="M1291" s="385"/>
      <c r="N1291" s="385"/>
    </row>
    <row r="1292" spans="12:14" ht="18" customHeight="1">
      <c r="L1292" s="385"/>
      <c r="M1292" s="385"/>
      <c r="N1292" s="385"/>
    </row>
    <row r="1293" spans="12:14" ht="18" customHeight="1">
      <c r="L1293" s="385"/>
      <c r="M1293" s="385"/>
      <c r="N1293" s="385"/>
    </row>
    <row r="1294" spans="12:14" ht="18" customHeight="1">
      <c r="L1294" s="385"/>
      <c r="M1294" s="385"/>
      <c r="N1294" s="385"/>
    </row>
    <row r="1295" spans="12:14" ht="18" customHeight="1">
      <c r="L1295" s="385"/>
      <c r="M1295" s="385"/>
      <c r="N1295" s="385"/>
    </row>
    <row r="1296" spans="12:14" ht="18" customHeight="1">
      <c r="L1296" s="385"/>
      <c r="M1296" s="385"/>
      <c r="N1296" s="385"/>
    </row>
    <row r="1297" spans="12:14" ht="18" customHeight="1">
      <c r="L1297" s="385"/>
      <c r="M1297" s="385"/>
      <c r="N1297" s="385"/>
    </row>
    <row r="1298" spans="12:14" ht="18" customHeight="1">
      <c r="L1298" s="385"/>
      <c r="M1298" s="385"/>
      <c r="N1298" s="385"/>
    </row>
    <row r="1299" spans="12:14" ht="18" customHeight="1">
      <c r="L1299" s="385"/>
      <c r="M1299" s="385"/>
      <c r="N1299" s="385"/>
    </row>
    <row r="1300" spans="12:14" ht="18" customHeight="1">
      <c r="L1300" s="385"/>
      <c r="M1300" s="385"/>
      <c r="N1300" s="385"/>
    </row>
    <row r="1301" spans="12:14" ht="18" customHeight="1">
      <c r="L1301" s="385"/>
      <c r="M1301" s="385"/>
      <c r="N1301" s="385"/>
    </row>
    <row r="1302" spans="12:14" ht="18" customHeight="1">
      <c r="L1302" s="385"/>
      <c r="M1302" s="385"/>
      <c r="N1302" s="385"/>
    </row>
    <row r="1303" spans="12:14" ht="18" customHeight="1">
      <c r="L1303" s="385"/>
      <c r="M1303" s="385"/>
      <c r="N1303" s="385"/>
    </row>
    <row r="1304" spans="12:14" ht="18" customHeight="1">
      <c r="L1304" s="385"/>
      <c r="M1304" s="385"/>
      <c r="N1304" s="385"/>
    </row>
    <row r="1305" spans="12:14" ht="18" customHeight="1">
      <c r="L1305" s="385"/>
      <c r="M1305" s="385"/>
      <c r="N1305" s="385"/>
    </row>
    <row r="1306" spans="12:14" ht="18" customHeight="1">
      <c r="L1306" s="385"/>
      <c r="M1306" s="385"/>
      <c r="N1306" s="385"/>
    </row>
    <row r="1307" spans="12:14" ht="18" customHeight="1">
      <c r="L1307" s="385"/>
      <c r="M1307" s="385"/>
      <c r="N1307" s="385"/>
    </row>
    <row r="1308" spans="12:14" ht="18" customHeight="1">
      <c r="L1308" s="385"/>
      <c r="M1308" s="385"/>
      <c r="N1308" s="385"/>
    </row>
    <row r="1309" spans="12:14" ht="18" customHeight="1">
      <c r="L1309" s="385"/>
      <c r="M1309" s="385"/>
      <c r="N1309" s="385"/>
    </row>
    <row r="1310" spans="12:14" ht="18" customHeight="1">
      <c r="L1310" s="385"/>
      <c r="M1310" s="385"/>
      <c r="N1310" s="385"/>
    </row>
    <row r="1311" spans="12:14" ht="18" customHeight="1">
      <c r="L1311" s="385"/>
      <c r="M1311" s="385"/>
      <c r="N1311" s="385"/>
    </row>
    <row r="1312" spans="12:14" ht="18" customHeight="1">
      <c r="L1312" s="385"/>
      <c r="M1312" s="385"/>
      <c r="N1312" s="385"/>
    </row>
    <row r="1313" spans="12:14" ht="18" customHeight="1">
      <c r="L1313" s="385"/>
      <c r="M1313" s="385"/>
      <c r="N1313" s="385"/>
    </row>
    <row r="1314" spans="12:14" ht="18" customHeight="1">
      <c r="L1314" s="385"/>
      <c r="M1314" s="385"/>
      <c r="N1314" s="385"/>
    </row>
    <row r="1315" spans="12:14" ht="18" customHeight="1">
      <c r="L1315" s="385"/>
      <c r="M1315" s="385"/>
      <c r="N1315" s="385"/>
    </row>
    <row r="1316" spans="12:14" ht="18" customHeight="1">
      <c r="L1316" s="385"/>
      <c r="M1316" s="385"/>
      <c r="N1316" s="385"/>
    </row>
    <row r="1317" spans="12:14" ht="18" customHeight="1">
      <c r="M1317" s="385"/>
      <c r="N1317" s="385"/>
    </row>
  </sheetData>
  <sheetProtection formatCells="0" formatColumns="0" formatRows="0" autoFilter="0"/>
  <mergeCells count="1">
    <mergeCell ref="B1:K1"/>
  </mergeCells>
  <phoneticPr fontId="6" type="noConversion"/>
  <pageMargins left="0.75" right="0.75" top="1" bottom="1" header="0.5" footer="0.5"/>
  <pageSetup paperSize="9" orientation="portrait" r:id="rId1"/>
  <headerFooter alignWithMargins="0"/>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tabColor rgb="FFFF0000"/>
  </sheetPr>
  <dimension ref="A1:AI323"/>
  <sheetViews>
    <sheetView topLeftCell="A141" zoomScaleNormal="100" workbookViewId="0">
      <selection activeCell="G53" sqref="G53"/>
    </sheetView>
  </sheetViews>
  <sheetFormatPr defaultColWidth="9" defaultRowHeight="18" customHeight="1" outlineLevelRow="1"/>
  <cols>
    <col min="1" max="1" width="2.33203125" style="246" customWidth="1"/>
    <col min="2" max="2" width="27.5" style="247" customWidth="1"/>
    <col min="3" max="4" width="9" style="247" customWidth="1"/>
    <col min="5" max="5" width="10.25" style="247" customWidth="1"/>
    <col min="6" max="6" width="9.75" style="247" bestFit="1" customWidth="1"/>
    <col min="7" max="7" width="9.25" style="247" bestFit="1" customWidth="1"/>
    <col min="8" max="8" width="9.58203125" style="247" bestFit="1" customWidth="1"/>
    <col min="9" max="10" width="9.25" style="247" customWidth="1"/>
    <col min="11" max="11" width="9" style="247" customWidth="1"/>
    <col min="12" max="12" width="13.08203125" style="49" customWidth="1"/>
    <col min="13" max="13" width="9" style="49" customWidth="1"/>
    <col min="14" max="14" width="9" style="49"/>
    <col min="15" max="15" width="10.58203125" style="49" customWidth="1"/>
    <col min="16" max="25" width="9" style="49"/>
    <col min="26" max="26" width="10.75" style="247" customWidth="1"/>
    <col min="27" max="16384" width="9" style="247"/>
  </cols>
  <sheetData>
    <row r="1" spans="1:25" s="213" customFormat="1" ht="29.25" customHeight="1">
      <c r="A1" s="84"/>
      <c r="B1" s="765" t="s">
        <v>680</v>
      </c>
      <c r="C1" s="765"/>
      <c r="D1" s="765"/>
      <c r="E1" s="765"/>
      <c r="F1" s="765"/>
      <c r="G1" s="765"/>
      <c r="H1" s="765"/>
      <c r="I1" s="765"/>
      <c r="J1" s="765"/>
      <c r="K1" s="765"/>
      <c r="L1" s="436"/>
      <c r="M1" s="436"/>
      <c r="N1" s="436"/>
      <c r="O1" s="140"/>
      <c r="P1" s="140"/>
      <c r="Q1" s="140"/>
      <c r="R1" s="140"/>
      <c r="S1" s="140"/>
      <c r="T1" s="140"/>
      <c r="U1" s="140"/>
      <c r="V1" s="140"/>
      <c r="W1" s="140"/>
      <c r="X1" s="140"/>
      <c r="Y1" s="140"/>
    </row>
    <row r="2" spans="1:25" s="213" customFormat="1" ht="18" customHeight="1">
      <c r="A2" s="248"/>
      <c r="B2" s="265" t="str">
        <f>'1报表'!B11</f>
        <v>评估基准日：2017/12/31</v>
      </c>
      <c r="D2" s="245"/>
      <c r="F2" s="435"/>
      <c r="L2" s="140"/>
      <c r="M2" s="140"/>
      <c r="N2" s="140"/>
      <c r="O2" s="140"/>
      <c r="P2" s="140"/>
      <c r="Q2" s="140"/>
      <c r="R2" s="140"/>
      <c r="S2" s="140"/>
      <c r="T2" s="140"/>
      <c r="U2" s="140"/>
      <c r="V2" s="140"/>
      <c r="W2" s="140"/>
      <c r="X2" s="140"/>
      <c r="Y2" s="140"/>
    </row>
    <row r="3" spans="1:25" ht="18" customHeight="1">
      <c r="A3" s="44"/>
      <c r="B3" s="141" t="str">
        <f>'1报表'!B12</f>
        <v>被评估单位：JSBD公司</v>
      </c>
      <c r="C3" s="444"/>
      <c r="D3" s="444"/>
      <c r="E3" s="444"/>
      <c r="F3" s="513"/>
      <c r="G3" s="514"/>
      <c r="H3" s="444"/>
      <c r="I3" s="444"/>
      <c r="J3" s="515" t="s">
        <v>52</v>
      </c>
      <c r="K3" s="213"/>
    </row>
    <row r="4" spans="1:25" ht="18" customHeight="1">
      <c r="A4" s="44"/>
      <c r="B4" s="567" t="s">
        <v>747</v>
      </c>
      <c r="C4" s="570">
        <f>'1报表'!C13</f>
        <v>42369</v>
      </c>
      <c r="D4" s="570">
        <f>'1报表'!D13</f>
        <v>42735</v>
      </c>
      <c r="E4" s="570">
        <f>'1报表'!E13</f>
        <v>43100</v>
      </c>
      <c r="F4" s="488">
        <f>EDATE(E4,12)</f>
        <v>43465</v>
      </c>
      <c r="G4" s="488">
        <f t="shared" ref="G4:J4" si="0">EDATE(F4,12)</f>
        <v>43830</v>
      </c>
      <c r="H4" s="488">
        <f t="shared" si="0"/>
        <v>44196</v>
      </c>
      <c r="I4" s="488">
        <f t="shared" si="0"/>
        <v>44561</v>
      </c>
      <c r="J4" s="488">
        <f t="shared" si="0"/>
        <v>44926</v>
      </c>
      <c r="K4" s="213"/>
    </row>
    <row r="5" spans="1:25" ht="18" customHeight="1">
      <c r="A5" s="44"/>
      <c r="B5" s="502" t="s">
        <v>717</v>
      </c>
      <c r="C5" s="46">
        <f>'1报表'!C34-'2报表调整'!K27</f>
        <v>0</v>
      </c>
      <c r="D5" s="46">
        <f>'1报表'!D34-'2报表调整'!L27</f>
        <v>0</v>
      </c>
      <c r="E5" s="46">
        <f>'2报表调整'!G27</f>
        <v>0</v>
      </c>
      <c r="F5" s="576"/>
      <c r="G5" s="576"/>
      <c r="H5" s="576"/>
      <c r="I5" s="576"/>
      <c r="J5" s="576"/>
      <c r="K5" s="213"/>
    </row>
    <row r="6" spans="1:25" ht="18" customHeight="1">
      <c r="A6" s="44"/>
      <c r="B6" s="502" t="s">
        <v>724</v>
      </c>
      <c r="C6" s="46">
        <f>'1报表'!C48-'2报表调整'!K41</f>
        <v>28.328890000000001</v>
      </c>
      <c r="D6" s="46">
        <f>'1报表'!D48-'2报表调整'!L41</f>
        <v>294.36200000000002</v>
      </c>
      <c r="E6" s="46">
        <f>'2报表调整'!G41</f>
        <v>38.180679999999995</v>
      </c>
      <c r="F6" s="576">
        <f t="shared" ref="F6:J6" si="1">E6</f>
        <v>38.180679999999995</v>
      </c>
      <c r="G6" s="576">
        <f t="shared" si="1"/>
        <v>38.180679999999995</v>
      </c>
      <c r="H6" s="576">
        <f t="shared" si="1"/>
        <v>38.180679999999995</v>
      </c>
      <c r="I6" s="576">
        <f t="shared" si="1"/>
        <v>38.180679999999995</v>
      </c>
      <c r="J6" s="576">
        <f t="shared" si="1"/>
        <v>38.180679999999995</v>
      </c>
      <c r="K6" s="213"/>
    </row>
    <row r="7" spans="1:25" ht="18" customHeight="1">
      <c r="A7" s="44"/>
      <c r="B7" s="504" t="s">
        <v>733</v>
      </c>
      <c r="C7" s="566">
        <f>'1报表'!C70-'2报表调整'!K63</f>
        <v>0</v>
      </c>
      <c r="D7" s="566">
        <f>'1报表'!D70-'2报表调整'!L63</f>
        <v>0</v>
      </c>
      <c r="E7" s="566">
        <f>'2报表调整'!G63</f>
        <v>0</v>
      </c>
      <c r="F7" s="240"/>
      <c r="G7" s="240"/>
      <c r="H7" s="240"/>
      <c r="I7" s="240"/>
      <c r="J7" s="240"/>
      <c r="K7" s="213"/>
    </row>
    <row r="8" spans="1:25" ht="18" customHeight="1">
      <c r="A8" s="44"/>
      <c r="B8" s="565" t="s">
        <v>352</v>
      </c>
      <c r="C8" s="566">
        <f>'1报表'!C71-'2报表调整'!K64</f>
        <v>0</v>
      </c>
      <c r="D8" s="566">
        <f>'1报表'!D71-'2报表调整'!L64</f>
        <v>0</v>
      </c>
      <c r="E8" s="566">
        <f>'2报表调整'!G64</f>
        <v>0</v>
      </c>
      <c r="F8" s="240"/>
      <c r="G8" s="240"/>
      <c r="H8" s="240"/>
      <c r="I8" s="240"/>
      <c r="J8" s="240"/>
      <c r="K8" s="213"/>
    </row>
    <row r="9" spans="1:25" ht="18" customHeight="1">
      <c r="A9" s="44"/>
      <c r="B9" s="504" t="s">
        <v>734</v>
      </c>
      <c r="C9" s="566">
        <f>'1报表'!C72-'2报表调整'!K65</f>
        <v>0</v>
      </c>
      <c r="D9" s="566">
        <f>'1报表'!D72-'2报表调整'!L65</f>
        <v>0</v>
      </c>
      <c r="E9" s="566">
        <f>'2报表调整'!G65</f>
        <v>0</v>
      </c>
      <c r="F9" s="240"/>
      <c r="G9" s="240"/>
      <c r="H9" s="240"/>
      <c r="I9" s="240"/>
      <c r="J9" s="240"/>
      <c r="K9" s="213"/>
    </row>
    <row r="10" spans="1:25" ht="18" customHeight="1">
      <c r="A10" s="44"/>
      <c r="B10" s="565" t="s">
        <v>353</v>
      </c>
      <c r="C10" s="566">
        <f>'1报表'!C73-'2报表调整'!K66</f>
        <v>0</v>
      </c>
      <c r="D10" s="566">
        <f>'1报表'!D73-'2报表调整'!L66</f>
        <v>0</v>
      </c>
      <c r="E10" s="566">
        <f>'2报表调整'!G66</f>
        <v>0</v>
      </c>
      <c r="F10" s="240"/>
      <c r="G10" s="240"/>
      <c r="H10" s="240"/>
      <c r="I10" s="240"/>
      <c r="J10" s="240"/>
      <c r="K10" s="213"/>
    </row>
    <row r="11" spans="1:25" ht="18" customHeight="1">
      <c r="A11" s="44"/>
      <c r="B11" s="502" t="s">
        <v>735</v>
      </c>
      <c r="C11" s="580">
        <f>'1报表'!C75-'2报表调整'!K68</f>
        <v>0</v>
      </c>
      <c r="D11" s="580">
        <f>'1报表'!D75-'2报表调整'!L68</f>
        <v>0</v>
      </c>
      <c r="E11" s="580">
        <f>'2报表调整'!G68</f>
        <v>0</v>
      </c>
      <c r="F11" s="240"/>
      <c r="G11" s="240"/>
      <c r="H11" s="240"/>
      <c r="I11" s="240"/>
      <c r="J11" s="240"/>
      <c r="K11" s="213"/>
    </row>
    <row r="12" spans="1:25" ht="18" customHeight="1">
      <c r="A12" s="44"/>
      <c r="B12" s="585" t="s">
        <v>754</v>
      </c>
      <c r="C12" s="74"/>
      <c r="D12" s="74"/>
      <c r="E12" s="74"/>
      <c r="F12" s="583">
        <v>0.5</v>
      </c>
      <c r="G12" s="583">
        <f>F12</f>
        <v>0.5</v>
      </c>
      <c r="H12" s="583">
        <f>G12</f>
        <v>0.5</v>
      </c>
      <c r="I12" s="583">
        <f>H12</f>
        <v>0.5</v>
      </c>
      <c r="J12" s="583">
        <f>I12</f>
        <v>0.5</v>
      </c>
      <c r="K12" s="213"/>
    </row>
    <row r="13" spans="1:25" ht="18" customHeight="1">
      <c r="A13" s="44"/>
      <c r="B13" s="584" t="s">
        <v>756</v>
      </c>
      <c r="C13" s="588"/>
      <c r="D13" s="588"/>
      <c r="E13" s="588"/>
      <c r="F13" s="588"/>
      <c r="G13" s="588"/>
      <c r="H13" s="588"/>
      <c r="I13" s="588"/>
      <c r="J13" s="588"/>
      <c r="K13" s="213"/>
    </row>
    <row r="14" spans="1:25" ht="18" customHeight="1">
      <c r="A14" s="44"/>
      <c r="B14" s="281" t="s">
        <v>903</v>
      </c>
      <c r="C14" s="583"/>
      <c r="D14" s="583"/>
      <c r="E14" s="583"/>
      <c r="F14" s="588"/>
      <c r="G14" s="588"/>
      <c r="H14" s="588"/>
      <c r="I14" s="588"/>
      <c r="J14" s="588"/>
      <c r="K14" s="213"/>
    </row>
    <row r="15" spans="1:25" ht="18" customHeight="1">
      <c r="A15" s="44"/>
      <c r="B15" s="281" t="s">
        <v>360</v>
      </c>
      <c r="C15" s="583"/>
      <c r="D15" s="583"/>
      <c r="E15" s="583"/>
      <c r="F15" s="588"/>
      <c r="G15" s="588"/>
      <c r="H15" s="588"/>
      <c r="I15" s="588"/>
      <c r="J15" s="588"/>
      <c r="K15" s="213"/>
    </row>
    <row r="16" spans="1:25" ht="18" customHeight="1">
      <c r="A16" s="44"/>
      <c r="B16" s="584" t="s">
        <v>748</v>
      </c>
      <c r="C16" s="444"/>
      <c r="D16" s="444"/>
      <c r="E16" s="444"/>
      <c r="F16" s="513"/>
      <c r="G16" s="514"/>
      <c r="H16" s="444"/>
      <c r="I16" s="444"/>
      <c r="J16" s="444"/>
      <c r="K16" s="515"/>
    </row>
    <row r="17" spans="1:29" ht="18" customHeight="1">
      <c r="A17" s="44"/>
      <c r="B17" s="565" t="s">
        <v>614</v>
      </c>
      <c r="C17" s="74"/>
      <c r="D17" s="74"/>
      <c r="E17" s="74"/>
      <c r="F17" s="692">
        <f>'11财务费用'!C8</f>
        <v>5.4100000000000002E-2</v>
      </c>
      <c r="G17" s="514"/>
      <c r="H17" s="444"/>
      <c r="I17" s="444"/>
      <c r="J17" s="444"/>
      <c r="K17" s="515"/>
    </row>
    <row r="18" spans="1:29" ht="18" customHeight="1">
      <c r="A18" s="44"/>
      <c r="B18" s="141"/>
      <c r="C18" s="444"/>
      <c r="D18" s="444"/>
      <c r="E18" s="444"/>
      <c r="F18" s="513"/>
      <c r="G18" s="514"/>
      <c r="H18" s="444"/>
      <c r="I18" s="444"/>
      <c r="J18" s="515"/>
      <c r="K18" s="515"/>
    </row>
    <row r="19" spans="1:29" ht="21" hidden="1" customHeight="1" outlineLevel="1">
      <c r="A19" s="142"/>
      <c r="B19" s="586" t="s">
        <v>450</v>
      </c>
      <c r="C19" s="517" t="str">
        <f>'3收入'!C4</f>
        <v>2015年</v>
      </c>
      <c r="D19" s="517" t="str">
        <f>'3收入'!D4</f>
        <v>2016年</v>
      </c>
      <c r="E19" s="517" t="str">
        <f>'3收入'!E4</f>
        <v>2017年</v>
      </c>
      <c r="F19" s="518" t="str">
        <f>'3收入'!F4</f>
        <v>2018年</v>
      </c>
      <c r="G19" s="518" t="str">
        <f>'3收入'!G4</f>
        <v>2019年</v>
      </c>
      <c r="H19" s="518" t="str">
        <f>'3收入'!H4</f>
        <v>2020年</v>
      </c>
      <c r="I19" s="518" t="str">
        <f>'3收入'!I4</f>
        <v>2021年</v>
      </c>
      <c r="J19" s="518" t="str">
        <f>'3收入'!J4</f>
        <v>2022年</v>
      </c>
      <c r="K19" s="515"/>
    </row>
    <row r="20" spans="1:29" ht="18" hidden="1" customHeight="1" outlineLevel="1">
      <c r="A20" s="92"/>
      <c r="B20" s="433" t="s">
        <v>400</v>
      </c>
      <c r="C20" s="46">
        <f>'3收入'!C5</f>
        <v>5647.5608560000001</v>
      </c>
      <c r="D20" s="46">
        <f>'3收入'!D5</f>
        <v>7304.7745279999999</v>
      </c>
      <c r="E20" s="46">
        <f>'3收入'!E5</f>
        <v>9615.5763319999987</v>
      </c>
      <c r="F20" s="46">
        <f>'3收入'!F5</f>
        <v>11935.47732058755</v>
      </c>
      <c r="G20" s="46">
        <f>'3收入'!G5</f>
        <v>14141.383768720463</v>
      </c>
      <c r="H20" s="46">
        <f>'3收入'!H5</f>
        <v>15896.179912814478</v>
      </c>
      <c r="I20" s="46">
        <f>'3收入'!I5</f>
        <v>16863.122702610581</v>
      </c>
      <c r="J20" s="46">
        <f>'3收入'!J5</f>
        <v>17224.451164859773</v>
      </c>
      <c r="K20" s="515"/>
      <c r="X20" s="14"/>
    </row>
    <row r="21" spans="1:29" ht="18" hidden="1" customHeight="1" outlineLevel="1">
      <c r="A21" s="92"/>
      <c r="B21" s="431" t="s">
        <v>97</v>
      </c>
      <c r="C21" s="46">
        <f>'4成本'!C5</f>
        <v>3450.9961680000001</v>
      </c>
      <c r="D21" s="46">
        <f>'4成本'!D5</f>
        <v>4625.6862350000001</v>
      </c>
      <c r="E21" s="46">
        <f>'4成本'!E5</f>
        <v>5762.985987</v>
      </c>
      <c r="F21" s="46">
        <f>'4成本'!F5</f>
        <v>7161.2863923525301</v>
      </c>
      <c r="G21" s="46">
        <f>'4成本'!G5</f>
        <v>8484.8302612322768</v>
      </c>
      <c r="H21" s="46">
        <f>'4成本'!H5</f>
        <v>9537.7079476886865</v>
      </c>
      <c r="I21" s="46">
        <f>'4成本'!I5</f>
        <v>10117.873621566348</v>
      </c>
      <c r="J21" s="46">
        <f>'4成本'!J5</f>
        <v>10334.670698915863</v>
      </c>
      <c r="K21" s="515"/>
      <c r="X21" s="14"/>
    </row>
    <row r="22" spans="1:29" ht="18" hidden="1" customHeight="1" outlineLevel="1">
      <c r="A22" s="92"/>
      <c r="B22" s="432" t="s">
        <v>175</v>
      </c>
      <c r="C22" s="46">
        <f>'5税金'!C5</f>
        <v>53.873420999999993</v>
      </c>
      <c r="D22" s="46">
        <f>'5税金'!D5</f>
        <v>81.41623100000001</v>
      </c>
      <c r="E22" s="46">
        <f>'5税金'!E5</f>
        <v>113.39455900000002</v>
      </c>
      <c r="F22" s="46">
        <f>'5税金'!F5</f>
        <v>107.26835541722282</v>
      </c>
      <c r="G22" s="46">
        <f>'5税金'!G5</f>
        <v>127.21454394475082</v>
      </c>
      <c r="H22" s="46">
        <f>'5税金'!H5</f>
        <v>142.79594350458177</v>
      </c>
      <c r="I22" s="46">
        <f>'5税金'!I5</f>
        <v>152.48180914883849</v>
      </c>
      <c r="J22" s="46">
        <f>'5税金'!J5</f>
        <v>155.38376810740826</v>
      </c>
      <c r="K22" s="515"/>
      <c r="X22" s="14"/>
    </row>
    <row r="23" spans="1:29" ht="18" hidden="1" customHeight="1" outlineLevel="1">
      <c r="A23" s="92"/>
      <c r="B23" s="432" t="s">
        <v>348</v>
      </c>
      <c r="C23" s="46">
        <f>'6销管'!C5</f>
        <v>481.45909900000004</v>
      </c>
      <c r="D23" s="46">
        <f>'6销管'!D5</f>
        <v>588.55086500000004</v>
      </c>
      <c r="E23" s="46">
        <f>'6销管'!E5</f>
        <v>750.19684400000006</v>
      </c>
      <c r="F23" s="46">
        <f>'6销管'!F5</f>
        <v>950.06399471876898</v>
      </c>
      <c r="G23" s="46">
        <f>'6销管'!G5</f>
        <v>1125.6541479901491</v>
      </c>
      <c r="H23" s="46">
        <f>'6销管'!H5</f>
        <v>1265.3359210600324</v>
      </c>
      <c r="I23" s="46">
        <f>'6销管'!I5</f>
        <v>1342.3045671278023</v>
      </c>
      <c r="J23" s="46">
        <f>'6销管'!J5</f>
        <v>1371.0663127228379</v>
      </c>
      <c r="K23" s="515"/>
      <c r="X23" s="14"/>
    </row>
    <row r="24" spans="1:29" ht="18" hidden="1" customHeight="1" outlineLevel="1">
      <c r="A24" s="92"/>
      <c r="B24" s="432" t="s">
        <v>203</v>
      </c>
      <c r="C24" s="46">
        <f>'6销管'!C6</f>
        <v>694.30697500000019</v>
      </c>
      <c r="D24" s="46">
        <f>'6销管'!D6</f>
        <v>710.43653900000004</v>
      </c>
      <c r="E24" s="46">
        <f>'6销管'!E6</f>
        <v>1052.4467249999998</v>
      </c>
      <c r="F24" s="46">
        <f>'6销管'!F6</f>
        <v>1140.1680865915284</v>
      </c>
      <c r="G24" s="46">
        <f>'6销管'!G6</f>
        <v>1284.8846646328643</v>
      </c>
      <c r="H24" s="46">
        <f>'6销管'!H6</f>
        <v>1341.4960891320359</v>
      </c>
      <c r="I24" s="46">
        <f>'6销管'!I6</f>
        <v>1376.4757945411359</v>
      </c>
      <c r="J24" s="46">
        <f>'6销管'!J6</f>
        <v>1432.4397334915836</v>
      </c>
      <c r="K24" s="515"/>
      <c r="X24" s="14"/>
    </row>
    <row r="25" spans="1:29" ht="18" hidden="1" customHeight="1" outlineLevel="1">
      <c r="A25" s="92"/>
      <c r="B25" s="432" t="s">
        <v>532</v>
      </c>
      <c r="C25" s="46">
        <f>'6销管'!C7</f>
        <v>384.83577599999995</v>
      </c>
      <c r="D25" s="46">
        <f>'6销管'!D7</f>
        <v>369.90656899999999</v>
      </c>
      <c r="E25" s="46">
        <f>'6销管'!E7</f>
        <v>435.36899800000003</v>
      </c>
      <c r="F25" s="46">
        <f>'6销管'!F7</f>
        <v>596.77386602937747</v>
      </c>
      <c r="G25" s="46">
        <f>'6销管'!G7</f>
        <v>707.06918843602318</v>
      </c>
      <c r="H25" s="46">
        <f>'6销管'!H7</f>
        <v>794.80899564072388</v>
      </c>
      <c r="I25" s="46">
        <f>'6销管'!I7</f>
        <v>843.15613513052904</v>
      </c>
      <c r="J25" s="46">
        <f>'6销管'!J7</f>
        <v>861.22255824298873</v>
      </c>
      <c r="K25" s="515"/>
      <c r="X25" s="14"/>
    </row>
    <row r="26" spans="1:29" ht="18" hidden="1" customHeight="1" outlineLevel="1">
      <c r="A26" s="92"/>
      <c r="B26" s="432" t="s">
        <v>443</v>
      </c>
      <c r="C26" s="46">
        <f>'11财务费用'!C20</f>
        <v>-11.157779999999994</v>
      </c>
      <c r="D26" s="46">
        <f>'11财务费用'!D20</f>
        <v>-19.370293000000014</v>
      </c>
      <c r="E26" s="46">
        <f>'11财务费用'!E20</f>
        <v>8.923127000000008</v>
      </c>
      <c r="F26" s="46">
        <f>'11财务费用'!F20</f>
        <v>9</v>
      </c>
      <c r="G26" s="46">
        <f>'11财务费用'!G20</f>
        <v>9</v>
      </c>
      <c r="H26" s="46">
        <f>'11财务费用'!H20</f>
        <v>9</v>
      </c>
      <c r="I26" s="46">
        <f>'11财务费用'!I20</f>
        <v>9</v>
      </c>
      <c r="J26" s="46">
        <f>'11财务费用'!J20</f>
        <v>9</v>
      </c>
      <c r="K26" s="515"/>
      <c r="L26" s="249"/>
      <c r="M26" s="249"/>
      <c r="X26" s="14"/>
    </row>
    <row r="27" spans="1:29" ht="18" hidden="1" customHeight="1" outlineLevel="1">
      <c r="A27" s="92"/>
      <c r="B27" s="606" t="s">
        <v>432</v>
      </c>
      <c r="C27" s="74"/>
      <c r="D27" s="74"/>
      <c r="E27" s="74"/>
      <c r="F27" s="74"/>
      <c r="G27" s="156">
        <f>$F$17*F83</f>
        <v>0</v>
      </c>
      <c r="H27" s="156">
        <f t="shared" ref="H27" si="2">$F$17*G83</f>
        <v>0</v>
      </c>
      <c r="I27" s="156">
        <f>$F$17*H83</f>
        <v>0</v>
      </c>
      <c r="J27" s="156">
        <f>$F$17*I83</f>
        <v>0</v>
      </c>
      <c r="K27" s="515"/>
      <c r="L27" s="247"/>
      <c r="M27" s="247"/>
      <c r="N27" s="140"/>
      <c r="O27" s="140"/>
      <c r="P27" s="140"/>
      <c r="Q27" s="140"/>
      <c r="R27" s="140"/>
      <c r="S27" s="140"/>
      <c r="T27" s="140"/>
      <c r="U27" s="140"/>
      <c r="V27" s="140"/>
      <c r="W27" s="140"/>
      <c r="X27" s="140"/>
      <c r="Y27" s="140"/>
      <c r="Z27" s="213"/>
      <c r="AA27" s="213"/>
      <c r="AB27" s="213"/>
      <c r="AC27" s="213"/>
    </row>
    <row r="28" spans="1:29" ht="18" hidden="1" customHeight="1" outlineLevel="1">
      <c r="A28" s="92"/>
      <c r="B28" s="568" t="s">
        <v>451</v>
      </c>
      <c r="C28" s="156">
        <f>'11财务费用'!C18</f>
        <v>144.025723</v>
      </c>
      <c r="D28" s="156">
        <f>'11财务费用'!D18</f>
        <v>132.215711</v>
      </c>
      <c r="E28" s="156">
        <f>'11财务费用'!E18</f>
        <v>92.333056999999997</v>
      </c>
      <c r="F28" s="156">
        <f>'11财务费用'!F18</f>
        <v>54.1</v>
      </c>
      <c r="G28" s="156">
        <f>'11财务费用'!G18</f>
        <v>71.17894401714311</v>
      </c>
      <c r="H28" s="156">
        <f>'11财务费用'!H18</f>
        <v>54.1</v>
      </c>
      <c r="I28" s="156">
        <f>'11财务费用'!I18</f>
        <v>54.1</v>
      </c>
      <c r="J28" s="156">
        <f>'11财务费用'!J18</f>
        <v>54.1</v>
      </c>
      <c r="K28" s="515"/>
      <c r="L28" s="244"/>
      <c r="M28" s="140"/>
      <c r="N28" s="140"/>
      <c r="O28" s="140"/>
      <c r="P28" s="140"/>
      <c r="Q28" s="140"/>
      <c r="R28" s="140"/>
      <c r="S28" s="140"/>
      <c r="T28" s="140"/>
      <c r="U28" s="140"/>
      <c r="V28" s="140"/>
      <c r="W28" s="140"/>
      <c r="X28" s="140"/>
      <c r="Y28" s="140"/>
      <c r="Z28" s="213"/>
      <c r="AA28" s="213"/>
      <c r="AB28" s="213"/>
      <c r="AC28" s="213"/>
    </row>
    <row r="29" spans="1:29" s="250" customFormat="1" ht="18" hidden="1" customHeight="1" outlineLevel="1">
      <c r="A29" s="92"/>
      <c r="B29" s="568" t="s">
        <v>452</v>
      </c>
      <c r="C29" s="156">
        <f>'11财务费用'!C19</f>
        <v>1.4128499999999999</v>
      </c>
      <c r="D29" s="156">
        <f>'11财务费用'!D19</f>
        <v>1.0284310000000001</v>
      </c>
      <c r="E29" s="156">
        <f>'11财务费用'!E19</f>
        <v>1.2079260000000001</v>
      </c>
      <c r="F29" s="74"/>
      <c r="G29" s="74"/>
      <c r="H29" s="74"/>
      <c r="I29" s="74"/>
      <c r="J29" s="74"/>
      <c r="K29" s="515"/>
      <c r="L29" s="244"/>
      <c r="M29" s="140"/>
      <c r="N29" s="140"/>
      <c r="O29" s="140"/>
      <c r="P29" s="140"/>
      <c r="Q29" s="140"/>
      <c r="R29" s="140"/>
      <c r="S29" s="140"/>
      <c r="T29" s="140"/>
      <c r="U29" s="140"/>
      <c r="V29" s="140"/>
      <c r="W29" s="140"/>
      <c r="X29" s="140"/>
      <c r="Y29" s="140"/>
      <c r="Z29" s="213"/>
      <c r="AA29" s="213"/>
      <c r="AB29" s="213"/>
      <c r="AC29" s="213"/>
    </row>
    <row r="30" spans="1:29" ht="18" hidden="1" customHeight="1" outlineLevel="1">
      <c r="A30" s="92"/>
      <c r="B30" s="519" t="s">
        <v>182</v>
      </c>
      <c r="C30" s="45">
        <f>C20-SUM(C21:C28)+C29</f>
        <v>450.63432399999994</v>
      </c>
      <c r="D30" s="45">
        <f t="shared" ref="D30:I30" si="3">D20-SUM(D21:D28)+D29</f>
        <v>816.96110199999953</v>
      </c>
      <c r="E30" s="45">
        <f t="shared" si="3"/>
        <v>1401.1349609999988</v>
      </c>
      <c r="F30" s="45">
        <f t="shared" si="3"/>
        <v>1916.8166254781227</v>
      </c>
      <c r="G30" s="45">
        <f t="shared" si="3"/>
        <v>2331.552018467255</v>
      </c>
      <c r="H30" s="45">
        <f t="shared" si="3"/>
        <v>2750.9350157884182</v>
      </c>
      <c r="I30" s="45">
        <f t="shared" si="3"/>
        <v>2967.730775095928</v>
      </c>
      <c r="J30" s="45">
        <f>J20-SUM(J21:J28)+J29</f>
        <v>3006.5680933790918</v>
      </c>
      <c r="K30" s="515"/>
      <c r="L30" s="60"/>
    </row>
    <row r="31" spans="1:29" ht="18" hidden="1" customHeight="1" outlineLevel="1">
      <c r="A31" s="92"/>
      <c r="B31" s="520" t="s">
        <v>185</v>
      </c>
      <c r="C31" s="45">
        <f t="shared" ref="C31:J31" si="4">C30</f>
        <v>450.63432399999994</v>
      </c>
      <c r="D31" s="45">
        <f t="shared" si="4"/>
        <v>816.96110199999953</v>
      </c>
      <c r="E31" s="45">
        <f t="shared" si="4"/>
        <v>1401.1349609999988</v>
      </c>
      <c r="F31" s="45">
        <f t="shared" si="4"/>
        <v>1916.8166254781227</v>
      </c>
      <c r="G31" s="45">
        <f t="shared" si="4"/>
        <v>2331.552018467255</v>
      </c>
      <c r="H31" s="45">
        <f t="shared" si="4"/>
        <v>2750.9350157884182</v>
      </c>
      <c r="I31" s="45">
        <f t="shared" si="4"/>
        <v>2967.730775095928</v>
      </c>
      <c r="J31" s="45">
        <f t="shared" si="4"/>
        <v>3006.5680933790918</v>
      </c>
      <c r="K31" s="515"/>
      <c r="L31" s="60"/>
    </row>
    <row r="32" spans="1:29" ht="18" hidden="1" customHeight="1" outlineLevel="1">
      <c r="A32" s="92"/>
      <c r="B32" s="232" t="s">
        <v>708</v>
      </c>
      <c r="C32" s="46">
        <f>'12收益表'!C34</f>
        <v>24.301123800000088</v>
      </c>
      <c r="D32" s="46">
        <f>'12收益表'!D34</f>
        <v>80.929676287499888</v>
      </c>
      <c r="E32" s="46">
        <f>'12收益表'!E34</f>
        <v>161.19123187499969</v>
      </c>
      <c r="F32" s="46">
        <f>'12收益表'!F20</f>
        <v>367.3090564890224</v>
      </c>
      <c r="G32" s="46">
        <f>'12收益表'!G20</f>
        <v>270.18751907103564</v>
      </c>
      <c r="H32" s="46">
        <f>'12收益表'!H20</f>
        <v>353.02957769520845</v>
      </c>
      <c r="I32" s="46">
        <f>'12收益表'!I20</f>
        <v>381.92290612959954</v>
      </c>
      <c r="J32" s="46">
        <f>'12收益表'!J20</f>
        <v>643.9892035643993</v>
      </c>
      <c r="K32" s="515"/>
      <c r="L32" s="60"/>
      <c r="M32" s="218"/>
    </row>
    <row r="33" spans="1:35" ht="18" hidden="1" customHeight="1" outlineLevel="1">
      <c r="A33" s="92"/>
      <c r="B33" s="286" t="s">
        <v>484</v>
      </c>
      <c r="C33" s="45">
        <f t="shared" ref="C33:J33" si="5">C31-C32</f>
        <v>426.33320019999985</v>
      </c>
      <c r="D33" s="45">
        <f t="shared" si="5"/>
        <v>736.03142571249964</v>
      </c>
      <c r="E33" s="45">
        <f t="shared" si="5"/>
        <v>1239.9437291249992</v>
      </c>
      <c r="F33" s="45">
        <f t="shared" si="5"/>
        <v>1549.5075689891003</v>
      </c>
      <c r="G33" s="45">
        <f t="shared" si="5"/>
        <v>2061.3644993962193</v>
      </c>
      <c r="H33" s="45">
        <f t="shared" si="5"/>
        <v>2397.9054380932098</v>
      </c>
      <c r="I33" s="45">
        <f t="shared" si="5"/>
        <v>2585.8078689663284</v>
      </c>
      <c r="J33" s="45">
        <f t="shared" si="5"/>
        <v>2362.5788898146925</v>
      </c>
      <c r="K33" s="515"/>
      <c r="M33" s="218"/>
    </row>
    <row r="34" spans="1:35" ht="18" hidden="1" customHeight="1" outlineLevel="1">
      <c r="A34" s="92"/>
      <c r="B34" s="281" t="s">
        <v>98</v>
      </c>
      <c r="C34" s="46">
        <f>'1报表'!C88</f>
        <v>0</v>
      </c>
      <c r="D34" s="46">
        <f>'1报表'!D88</f>
        <v>0</v>
      </c>
      <c r="E34" s="46">
        <f>'1报表'!E88</f>
        <v>0</v>
      </c>
      <c r="F34" s="46">
        <f>'12收益表'!F22</f>
        <v>0</v>
      </c>
      <c r="G34" s="46">
        <f>'12收益表'!G22</f>
        <v>0</v>
      </c>
      <c r="H34" s="46">
        <f>'12收益表'!H22</f>
        <v>0</v>
      </c>
      <c r="I34" s="46">
        <f>'12收益表'!I22</f>
        <v>0</v>
      </c>
      <c r="J34" s="46">
        <f>'12收益表'!J22</f>
        <v>0</v>
      </c>
      <c r="K34" s="515"/>
      <c r="M34" s="218"/>
    </row>
    <row r="35" spans="1:35" s="213" customFormat="1" ht="18" hidden="1" customHeight="1" outlineLevel="1">
      <c r="A35" s="150"/>
      <c r="B35" s="519" t="s">
        <v>349</v>
      </c>
      <c r="C35" s="155">
        <f t="shared" ref="C35:J35" si="6">C33-C34</f>
        <v>426.33320019999985</v>
      </c>
      <c r="D35" s="155">
        <f t="shared" si="6"/>
        <v>736.03142571249964</v>
      </c>
      <c r="E35" s="155">
        <f t="shared" si="6"/>
        <v>1239.9437291249992</v>
      </c>
      <c r="F35" s="155">
        <f t="shared" si="6"/>
        <v>1549.5075689891003</v>
      </c>
      <c r="G35" s="155">
        <f t="shared" si="6"/>
        <v>2061.3644993962193</v>
      </c>
      <c r="H35" s="155">
        <f t="shared" si="6"/>
        <v>2397.9054380932098</v>
      </c>
      <c r="I35" s="155">
        <f t="shared" si="6"/>
        <v>2585.8078689663284</v>
      </c>
      <c r="J35" s="155">
        <f t="shared" si="6"/>
        <v>2362.5788898146925</v>
      </c>
      <c r="K35" s="515"/>
      <c r="L35" s="83"/>
      <c r="M35" s="140"/>
      <c r="N35" s="140"/>
      <c r="O35" s="140"/>
      <c r="P35" s="140"/>
      <c r="Q35" s="140"/>
      <c r="R35" s="140"/>
      <c r="S35" s="140"/>
      <c r="T35" s="140"/>
      <c r="U35" s="140"/>
      <c r="V35" s="140"/>
      <c r="W35" s="140"/>
      <c r="X35" s="140"/>
      <c r="Y35" s="140"/>
    </row>
    <row r="36" spans="1:35" s="213" customFormat="1" ht="18" hidden="1" customHeight="1" outlineLevel="1">
      <c r="A36" s="150"/>
      <c r="B36" s="534" t="s">
        <v>787</v>
      </c>
      <c r="C36" s="74"/>
      <c r="D36" s="74"/>
      <c r="E36" s="74"/>
      <c r="F36" s="74"/>
      <c r="G36" s="156">
        <f>F41</f>
        <v>1398.6861059899638</v>
      </c>
      <c r="H36" s="156">
        <f>G41</f>
        <v>2012.1053041978248</v>
      </c>
      <c r="I36" s="156">
        <f>H41</f>
        <v>2108.8981026733636</v>
      </c>
      <c r="J36" s="156">
        <f>I41</f>
        <v>2363.699727087509</v>
      </c>
      <c r="K36" s="515"/>
      <c r="L36" s="83"/>
      <c r="M36" s="140"/>
      <c r="N36" s="140"/>
      <c r="O36" s="140"/>
      <c r="P36" s="140"/>
      <c r="Q36" s="140"/>
      <c r="R36" s="140"/>
      <c r="S36" s="140"/>
      <c r="T36" s="140"/>
      <c r="U36" s="140"/>
      <c r="V36" s="140"/>
      <c r="W36" s="140"/>
      <c r="X36" s="140"/>
      <c r="Y36" s="140"/>
    </row>
    <row r="37" spans="1:35" s="213" customFormat="1" ht="18" hidden="1" customHeight="1" outlineLevel="1">
      <c r="A37" s="150"/>
      <c r="B37" s="534" t="s">
        <v>788</v>
      </c>
      <c r="C37" s="74"/>
      <c r="D37" s="74"/>
      <c r="E37" s="74"/>
      <c r="F37" s="156">
        <f>F35-F36</f>
        <v>1549.5075689891003</v>
      </c>
      <c r="G37" s="156">
        <f t="shared" ref="G37:J37" si="7">G35-G36</f>
        <v>662.67839340625551</v>
      </c>
      <c r="H37" s="156">
        <f t="shared" si="7"/>
        <v>385.80013389538499</v>
      </c>
      <c r="I37" s="156">
        <f t="shared" si="7"/>
        <v>476.90976629296483</v>
      </c>
      <c r="J37" s="156">
        <f t="shared" si="7"/>
        <v>-1.1208372728165159</v>
      </c>
      <c r="K37" s="515"/>
      <c r="L37" s="83"/>
      <c r="M37" s="140"/>
      <c r="N37" s="140"/>
      <c r="O37" s="140"/>
      <c r="P37" s="140"/>
      <c r="Q37" s="140"/>
      <c r="R37" s="140"/>
      <c r="S37" s="140"/>
      <c r="T37" s="140"/>
      <c r="U37" s="140"/>
      <c r="V37" s="140"/>
      <c r="W37" s="140"/>
      <c r="X37" s="140"/>
      <c r="Y37" s="140"/>
    </row>
    <row r="38" spans="1:35" ht="18" hidden="1" customHeight="1" outlineLevel="1">
      <c r="A38" s="92"/>
      <c r="B38" s="425"/>
      <c r="C38" s="47"/>
      <c r="D38" s="47"/>
      <c r="E38" s="47"/>
      <c r="F38" s="47"/>
      <c r="G38" s="47"/>
      <c r="H38" s="47"/>
      <c r="I38" s="47"/>
      <c r="J38" s="47"/>
      <c r="K38" s="515"/>
      <c r="L38" s="47"/>
    </row>
    <row r="39" spans="1:35" ht="20.5" hidden="1" customHeight="1" outlineLevel="1">
      <c r="A39" s="144"/>
      <c r="B39" s="569" t="s">
        <v>449</v>
      </c>
      <c r="C39" s="570">
        <f>C4</f>
        <v>42369</v>
      </c>
      <c r="D39" s="570">
        <f t="shared" ref="D39:J39" si="8">D4</f>
        <v>42735</v>
      </c>
      <c r="E39" s="570">
        <f t="shared" si="8"/>
        <v>43100</v>
      </c>
      <c r="F39" s="488">
        <f t="shared" si="8"/>
        <v>43465</v>
      </c>
      <c r="G39" s="488">
        <f t="shared" si="8"/>
        <v>43830</v>
      </c>
      <c r="H39" s="488">
        <f t="shared" si="8"/>
        <v>44196</v>
      </c>
      <c r="I39" s="488">
        <f t="shared" si="8"/>
        <v>44561</v>
      </c>
      <c r="J39" s="488">
        <f t="shared" si="8"/>
        <v>44926</v>
      </c>
      <c r="K39" s="515"/>
    </row>
    <row r="40" spans="1:35" s="213" customFormat="1" ht="18" hidden="1" customHeight="1" outlineLevel="1">
      <c r="A40" s="146"/>
      <c r="B40" s="32" t="s">
        <v>749</v>
      </c>
      <c r="C40" s="571"/>
      <c r="D40" s="571"/>
      <c r="E40" s="571"/>
      <c r="F40" s="464"/>
      <c r="G40" s="464"/>
      <c r="H40" s="464"/>
      <c r="I40" s="464"/>
      <c r="J40" s="464"/>
      <c r="K40" s="515"/>
      <c r="L40" s="140"/>
      <c r="M40" s="140"/>
      <c r="N40" s="140"/>
      <c r="O40" s="140"/>
      <c r="P40" s="140"/>
      <c r="Q40" s="140"/>
      <c r="R40" s="140"/>
      <c r="S40" s="140"/>
      <c r="T40" s="140"/>
      <c r="U40" s="140"/>
      <c r="V40" s="140"/>
      <c r="W40" s="140"/>
      <c r="X40" s="140"/>
      <c r="Y40" s="140"/>
    </row>
    <row r="41" spans="1:35" s="213" customFormat="1" ht="18" hidden="1" customHeight="1" outlineLevel="1">
      <c r="A41" s="146"/>
      <c r="B41" s="572" t="s">
        <v>760</v>
      </c>
      <c r="C41" s="46">
        <f>MAX('1报表'!C15-'10营运'!C5,0)</f>
        <v>0</v>
      </c>
      <c r="D41" s="46">
        <f>MAX('1报表'!D15-'10营运'!D5,0)</f>
        <v>48.190582428206852</v>
      </c>
      <c r="E41" s="46">
        <f>MAX('1报表'!E15-'10营运'!E5,0)</f>
        <v>37.45312775000005</v>
      </c>
      <c r="F41" s="573">
        <f>MAX(F100,0)</f>
        <v>1398.6861059899638</v>
      </c>
      <c r="G41" s="573">
        <f t="shared" ref="G41:J41" si="9">MAX(G100,0)</f>
        <v>2012.1053041978248</v>
      </c>
      <c r="H41" s="573">
        <f t="shared" si="9"/>
        <v>2108.8981026733636</v>
      </c>
      <c r="I41" s="573">
        <f t="shared" si="9"/>
        <v>2363.699727087509</v>
      </c>
      <c r="J41" s="573">
        <f t="shared" si="9"/>
        <v>2367.3705909581495</v>
      </c>
      <c r="K41" s="515"/>
      <c r="L41" s="140"/>
      <c r="M41" s="140"/>
    </row>
    <row r="42" spans="1:35" ht="18" hidden="1" customHeight="1" outlineLevel="1">
      <c r="A42" s="145"/>
      <c r="B42" s="502" t="s">
        <v>907</v>
      </c>
      <c r="C42" s="46">
        <f>MIN('1报表'!C15,'10营运'!C5)</f>
        <v>107.23511499999999</v>
      </c>
      <c r="D42" s="46">
        <f>MIN('1报表'!D15,'10营运'!D5)</f>
        <v>184.07629757179316</v>
      </c>
      <c r="E42" s="46">
        <f>MIN('1报表'!E15,'10营运'!E5)</f>
        <v>239.36138224999993</v>
      </c>
      <c r="F42" s="46">
        <f>'9溢余现金'!F19</f>
        <v>276.46728761863039</v>
      </c>
      <c r="G42" s="46">
        <f>'9溢余现金'!G19</f>
        <v>320.20105314063306</v>
      </c>
      <c r="H42" s="46">
        <f>'9溢余现金'!H19</f>
        <v>351.38538941576172</v>
      </c>
      <c r="I42" s="46">
        <f>'9溢余现金'!I19</f>
        <v>371.36489180416714</v>
      </c>
      <c r="J42" s="46">
        <f>'9溢余现金'!J19</f>
        <v>381.50273068887662</v>
      </c>
      <c r="K42" s="515"/>
    </row>
    <row r="43" spans="1:35" ht="18" hidden="1" customHeight="1" outlineLevel="1">
      <c r="A43" s="145"/>
      <c r="B43" s="8" t="s">
        <v>709</v>
      </c>
      <c r="C43" s="46">
        <f>'10营运'!C8</f>
        <v>2177.8959420000001</v>
      </c>
      <c r="D43" s="46">
        <f>'10营运'!D8</f>
        <v>2618.1401649999998</v>
      </c>
      <c r="E43" s="46">
        <f>'10营运'!E8</f>
        <v>3436.3947279999998</v>
      </c>
      <c r="F43" s="46">
        <f>'10营运'!F8</f>
        <v>4310.0334768788371</v>
      </c>
      <c r="G43" s="46">
        <f>'10营运'!G8</f>
        <v>5106.6108053712778</v>
      </c>
      <c r="H43" s="46">
        <f>'10营运'!H8</f>
        <v>5740.2871907385615</v>
      </c>
      <c r="I43" s="46">
        <f>'10营运'!I8</f>
        <v>6089.4609759427103</v>
      </c>
      <c r="J43" s="46">
        <f>'10营运'!J8</f>
        <v>6219.9406984215848</v>
      </c>
      <c r="K43" s="515"/>
    </row>
    <row r="44" spans="1:35" s="213" customFormat="1" ht="18" hidden="1" customHeight="1" outlineLevel="1">
      <c r="A44" s="146"/>
      <c r="B44" s="502" t="s">
        <v>710</v>
      </c>
      <c r="C44" s="46">
        <f>'10营运'!C11</f>
        <v>163.10339500000001</v>
      </c>
      <c r="D44" s="46">
        <f>'10营运'!D11</f>
        <v>99.846675000000005</v>
      </c>
      <c r="E44" s="46">
        <f>'10营运'!E11</f>
        <v>43.550821999999997</v>
      </c>
      <c r="F44" s="46">
        <f>'10营运'!F11</f>
        <v>198.92462200979253</v>
      </c>
      <c r="G44" s="46">
        <f>'10营运'!G11</f>
        <v>235.68972947867434</v>
      </c>
      <c r="H44" s="46">
        <f>'10营运'!H11</f>
        <v>264.93633188024131</v>
      </c>
      <c r="I44" s="46">
        <f>'10营运'!I11</f>
        <v>281.05204504350968</v>
      </c>
      <c r="J44" s="46">
        <f>'10营运'!J11</f>
        <v>287.07418608099618</v>
      </c>
      <c r="K44" s="515"/>
      <c r="L44" s="140"/>
      <c r="M44" s="183"/>
      <c r="N44" s="140"/>
      <c r="O44" s="140"/>
      <c r="P44" s="140"/>
      <c r="Q44" s="140"/>
      <c r="R44" s="140"/>
      <c r="S44" s="140"/>
      <c r="T44" s="140"/>
      <c r="U44" s="140"/>
      <c r="V44" s="140"/>
      <c r="W44" s="140"/>
      <c r="X44" s="140"/>
      <c r="Y44" s="140"/>
    </row>
    <row r="45" spans="1:35" ht="18" hidden="1" customHeight="1" outlineLevel="1">
      <c r="A45" s="145"/>
      <c r="B45" s="504" t="s">
        <v>711</v>
      </c>
      <c r="C45" s="156">
        <f>'10营运'!C14</f>
        <v>113.81445699999999</v>
      </c>
      <c r="D45" s="156">
        <f>'10营运'!D14</f>
        <v>191.70885300000003</v>
      </c>
      <c r="E45" s="156">
        <f>'10营运'!E14</f>
        <v>22.319492</v>
      </c>
      <c r="F45" s="156">
        <f>'10营运'!F14</f>
        <v>232.07872567809125</v>
      </c>
      <c r="G45" s="156">
        <f>'10营运'!G14</f>
        <v>274.97135105845342</v>
      </c>
      <c r="H45" s="156">
        <f>'10营运'!H14</f>
        <v>309.09238719361485</v>
      </c>
      <c r="I45" s="156">
        <f>'10营运'!I14</f>
        <v>327.89405255076133</v>
      </c>
      <c r="J45" s="156">
        <f>'10营运'!J14</f>
        <v>334.91988376116228</v>
      </c>
      <c r="K45" s="515"/>
      <c r="L45" s="140"/>
      <c r="M45" s="140"/>
    </row>
    <row r="46" spans="1:35" s="250" customFormat="1" ht="18" hidden="1" customHeight="1" outlineLevel="1">
      <c r="A46" s="145"/>
      <c r="B46" s="504" t="s">
        <v>712</v>
      </c>
      <c r="C46" s="46">
        <f>'10营运'!C17</f>
        <v>879.7490130000001</v>
      </c>
      <c r="D46" s="46">
        <f>'10营运'!D17</f>
        <v>1054.9352279999998</v>
      </c>
      <c r="E46" s="46">
        <f>'10营运'!E17</f>
        <v>1331.2815390000001</v>
      </c>
      <c r="F46" s="46">
        <f>'10营运'!F17</f>
        <v>1690.8592870832363</v>
      </c>
      <c r="G46" s="46">
        <f>'10营运'!G17</f>
        <v>2003.362700568732</v>
      </c>
      <c r="H46" s="46">
        <f>'10营运'!H17</f>
        <v>2251.9588209820508</v>
      </c>
      <c r="I46" s="46">
        <f>'10营运'!I17</f>
        <v>2388.9423828698323</v>
      </c>
      <c r="J46" s="46">
        <f>'10营运'!J17</f>
        <v>2440.1305816884678</v>
      </c>
      <c r="K46" s="515"/>
      <c r="L46" s="140"/>
      <c r="M46" s="183"/>
      <c r="N46" s="140"/>
      <c r="O46" s="140"/>
      <c r="P46" s="140"/>
      <c r="Q46" s="140"/>
      <c r="R46" s="140"/>
      <c r="S46" s="140"/>
      <c r="T46" s="140"/>
      <c r="U46" s="140"/>
      <c r="V46" s="140"/>
      <c r="W46" s="140"/>
      <c r="X46" s="140"/>
      <c r="Y46" s="140"/>
      <c r="Z46" s="213"/>
      <c r="AA46" s="213"/>
      <c r="AB46" s="213"/>
      <c r="AC46" s="213"/>
      <c r="AD46" s="213"/>
      <c r="AE46" s="213"/>
      <c r="AF46" s="213"/>
      <c r="AG46" s="213"/>
      <c r="AH46" s="213"/>
      <c r="AI46" s="213"/>
    </row>
    <row r="47" spans="1:35" s="250" customFormat="1" ht="18" hidden="1" customHeight="1" outlineLevel="1">
      <c r="A47" s="145"/>
      <c r="B47" s="504" t="s">
        <v>713</v>
      </c>
      <c r="C47" s="46">
        <f>'10营运'!C18</f>
        <v>0</v>
      </c>
      <c r="D47" s="46">
        <f>'10营运'!D18</f>
        <v>0</v>
      </c>
      <c r="E47" s="46">
        <f>'10营运'!E18</f>
        <v>0</v>
      </c>
      <c r="F47" s="46">
        <f>'10营运'!F18</f>
        <v>0</v>
      </c>
      <c r="G47" s="46">
        <f>'10营运'!G18</f>
        <v>0</v>
      </c>
      <c r="H47" s="46">
        <f>'10营运'!H18</f>
        <v>0</v>
      </c>
      <c r="I47" s="46">
        <f>'10营运'!I18</f>
        <v>0</v>
      </c>
      <c r="J47" s="46">
        <f>'10营运'!J18</f>
        <v>0</v>
      </c>
      <c r="K47" s="515"/>
      <c r="L47" s="140"/>
      <c r="M47" s="183"/>
      <c r="N47" s="140"/>
      <c r="O47" s="140"/>
      <c r="P47" s="140"/>
      <c r="Q47" s="140"/>
      <c r="R47" s="140"/>
      <c r="S47" s="140"/>
      <c r="T47" s="140"/>
      <c r="U47" s="140"/>
      <c r="V47" s="140"/>
      <c r="W47" s="140"/>
      <c r="X47" s="140"/>
      <c r="Y47" s="140"/>
      <c r="Z47" s="213"/>
      <c r="AA47" s="213"/>
      <c r="AB47" s="213"/>
      <c r="AC47" s="213"/>
      <c r="AD47" s="213"/>
      <c r="AE47" s="213"/>
      <c r="AF47" s="213"/>
      <c r="AG47" s="213"/>
      <c r="AH47" s="213"/>
      <c r="AI47" s="213"/>
    </row>
    <row r="48" spans="1:35" ht="18" hidden="1" customHeight="1" outlineLevel="1">
      <c r="A48" s="145"/>
      <c r="B48" s="504" t="s">
        <v>714</v>
      </c>
      <c r="C48" s="46">
        <f>'10营运'!C19</f>
        <v>0</v>
      </c>
      <c r="D48" s="46">
        <f>'10营运'!D19</f>
        <v>0</v>
      </c>
      <c r="E48" s="46">
        <f>'10营运'!E19</f>
        <v>0</v>
      </c>
      <c r="F48" s="46">
        <f>'10营运'!F19</f>
        <v>0</v>
      </c>
      <c r="G48" s="46">
        <f>'10营运'!G19</f>
        <v>0</v>
      </c>
      <c r="H48" s="46">
        <f>'10营运'!H19</f>
        <v>0</v>
      </c>
      <c r="I48" s="46">
        <f>'10营运'!I19</f>
        <v>0</v>
      </c>
      <c r="J48" s="46">
        <f>'10营运'!J19</f>
        <v>0</v>
      </c>
      <c r="K48" s="515"/>
      <c r="L48" s="140"/>
      <c r="M48" s="140"/>
      <c r="N48" s="140"/>
      <c r="O48" s="140"/>
      <c r="P48" s="140"/>
      <c r="Q48" s="140"/>
      <c r="R48" s="140"/>
      <c r="S48" s="140"/>
      <c r="T48" s="140"/>
      <c r="U48" s="140"/>
      <c r="V48" s="140"/>
      <c r="W48" s="140"/>
      <c r="X48" s="140"/>
      <c r="Y48" s="140"/>
      <c r="Z48" s="213"/>
      <c r="AA48" s="213"/>
      <c r="AB48" s="213"/>
      <c r="AC48" s="213"/>
      <c r="AD48" s="213"/>
      <c r="AE48" s="213"/>
      <c r="AF48" s="213"/>
      <c r="AG48" s="213"/>
      <c r="AH48" s="213"/>
      <c r="AI48" s="213"/>
    </row>
    <row r="49" spans="1:35" ht="18" hidden="1" customHeight="1" outlineLevel="1">
      <c r="A49" s="145"/>
      <c r="B49" s="502" t="s">
        <v>715</v>
      </c>
      <c r="C49" s="46">
        <f>'10营运'!C20</f>
        <v>34.793744000000004</v>
      </c>
      <c r="D49" s="46">
        <f>'10营运'!D20</f>
        <v>21.197217999999999</v>
      </c>
      <c r="E49" s="46">
        <f>'10营运'!E20</f>
        <v>85.058660000000017</v>
      </c>
      <c r="F49" s="46">
        <f>'10营运'!F20</f>
        <v>85.058660000000017</v>
      </c>
      <c r="G49" s="46">
        <f>'10营运'!G20</f>
        <v>85.058660000000017</v>
      </c>
      <c r="H49" s="46">
        <f>'10营运'!H20</f>
        <v>85.058660000000017</v>
      </c>
      <c r="I49" s="46">
        <f>'10营运'!I20</f>
        <v>85.058660000000017</v>
      </c>
      <c r="J49" s="46">
        <f>'10营运'!J20</f>
        <v>85.058660000000017</v>
      </c>
      <c r="K49" s="515"/>
      <c r="L49" s="140"/>
      <c r="M49" s="140"/>
      <c r="N49" s="140"/>
      <c r="O49" s="140"/>
      <c r="P49" s="140"/>
      <c r="Q49" s="140"/>
      <c r="R49" s="140"/>
      <c r="S49" s="140"/>
      <c r="T49" s="140"/>
      <c r="U49" s="140"/>
      <c r="V49" s="140"/>
      <c r="W49" s="140"/>
      <c r="X49" s="140"/>
      <c r="Y49" s="140"/>
      <c r="Z49" s="213"/>
      <c r="AA49" s="213"/>
      <c r="AB49" s="213"/>
      <c r="AC49" s="213"/>
      <c r="AD49" s="213"/>
      <c r="AE49" s="213"/>
      <c r="AF49" s="213"/>
      <c r="AG49" s="213"/>
      <c r="AH49" s="213"/>
      <c r="AI49" s="213"/>
    </row>
    <row r="50" spans="1:35" ht="18" hidden="1" customHeight="1" outlineLevel="1">
      <c r="A50" s="145"/>
      <c r="B50" s="574" t="s">
        <v>716</v>
      </c>
      <c r="C50" s="155">
        <f t="shared" ref="C50:E50" si="10">SUM(C41:C49)</f>
        <v>3476.5916660000003</v>
      </c>
      <c r="D50" s="155">
        <f t="shared" si="10"/>
        <v>4218.0950189999994</v>
      </c>
      <c r="E50" s="155">
        <f t="shared" si="10"/>
        <v>5195.4197510000004</v>
      </c>
      <c r="F50" s="155">
        <f>SUM(F41:F49)</f>
        <v>8192.1081652585526</v>
      </c>
      <c r="G50" s="155">
        <f t="shared" ref="G50:I50" si="11">SUM(G41:G49)</f>
        <v>10037.999603815595</v>
      </c>
      <c r="H50" s="155">
        <f>SUM(H41:H49)</f>
        <v>11111.616882883594</v>
      </c>
      <c r="I50" s="155">
        <f t="shared" si="11"/>
        <v>11907.472735298492</v>
      </c>
      <c r="J50" s="155">
        <f>SUM(J41:J49)</f>
        <v>12115.997331599237</v>
      </c>
      <c r="K50" s="515"/>
    </row>
    <row r="51" spans="1:35" s="213" customFormat="1" ht="18" hidden="1" customHeight="1" outlineLevel="1">
      <c r="A51" s="146"/>
      <c r="B51" s="32" t="s">
        <v>750</v>
      </c>
      <c r="C51" s="575"/>
      <c r="D51" s="575"/>
      <c r="E51" s="575"/>
      <c r="F51" s="575"/>
      <c r="G51" s="575"/>
      <c r="H51" s="575"/>
      <c r="I51" s="575"/>
      <c r="J51" s="575"/>
      <c r="K51" s="515"/>
      <c r="L51" s="140"/>
      <c r="M51" s="140"/>
      <c r="N51" s="140"/>
      <c r="O51" s="140"/>
      <c r="P51" s="140"/>
      <c r="Q51" s="140"/>
      <c r="R51" s="140"/>
      <c r="S51" s="140"/>
      <c r="T51" s="140"/>
      <c r="U51" s="140"/>
      <c r="V51" s="140"/>
      <c r="W51" s="140"/>
      <c r="X51" s="140"/>
      <c r="Y51" s="140"/>
    </row>
    <row r="52" spans="1:35" ht="18" hidden="1" customHeight="1" outlineLevel="1">
      <c r="A52" s="145"/>
      <c r="B52" s="502" t="s">
        <v>717</v>
      </c>
      <c r="C52" s="446">
        <f>C5</f>
        <v>0</v>
      </c>
      <c r="D52" s="446">
        <f t="shared" ref="D52:J52" si="12">D5</f>
        <v>0</v>
      </c>
      <c r="E52" s="446">
        <f t="shared" si="12"/>
        <v>0</v>
      </c>
      <c r="F52" s="446">
        <f t="shared" si="12"/>
        <v>0</v>
      </c>
      <c r="G52" s="446">
        <f t="shared" si="12"/>
        <v>0</v>
      </c>
      <c r="H52" s="446">
        <f t="shared" si="12"/>
        <v>0</v>
      </c>
      <c r="I52" s="446">
        <f t="shared" si="12"/>
        <v>0</v>
      </c>
      <c r="J52" s="446">
        <f t="shared" si="12"/>
        <v>0</v>
      </c>
      <c r="K52" s="515"/>
      <c r="L52" s="249"/>
    </row>
    <row r="53" spans="1:35" ht="18" hidden="1" customHeight="1" outlineLevel="1">
      <c r="A53" s="145"/>
      <c r="B53" s="502" t="s">
        <v>718</v>
      </c>
      <c r="C53" s="46">
        <f>'1报表'!C39-'2报表调整'!K32</f>
        <v>2374.1047429999994</v>
      </c>
      <c r="D53" s="46">
        <f>'1报表'!D39-'2报表调整'!L32</f>
        <v>2109.01406</v>
      </c>
      <c r="E53" s="46">
        <f>'2报表调整'!G32</f>
        <v>2328.728333</v>
      </c>
      <c r="F53" s="577">
        <f>'7折旧'!F29+'7折旧'!F44</f>
        <v>2303.2883329999995</v>
      </c>
      <c r="G53" s="577">
        <f>'7折旧'!G29+'7折旧'!G44</f>
        <v>1702.9483329999998</v>
      </c>
      <c r="H53" s="577">
        <f>'7折旧'!H29+'7折旧'!H44</f>
        <v>1412.8607245424998</v>
      </c>
      <c r="I53" s="577">
        <f>'7折旧'!I29+'7折旧'!I44</f>
        <v>1295.6015553899999</v>
      </c>
      <c r="J53" s="577">
        <f>'7折旧'!J29+'7折旧'!J44</f>
        <v>1167.3423862374998</v>
      </c>
      <c r="K53" s="515"/>
      <c r="L53" s="252"/>
      <c r="M53" s="253"/>
    </row>
    <row r="54" spans="1:35" ht="18" hidden="1" customHeight="1" outlineLevel="1">
      <c r="A54" s="145"/>
      <c r="B54" s="504" t="s">
        <v>719</v>
      </c>
      <c r="C54" s="46">
        <f>'1报表'!C40-'2报表调整'!K33</f>
        <v>0</v>
      </c>
      <c r="D54" s="46">
        <f>'1报表'!D40-'2报表调整'!L33</f>
        <v>0</v>
      </c>
      <c r="E54" s="46">
        <f>'2报表调整'!G33</f>
        <v>354.79880100000003</v>
      </c>
      <c r="F54" s="74"/>
      <c r="G54" s="74"/>
      <c r="H54" s="74"/>
      <c r="I54" s="74"/>
      <c r="J54" s="74"/>
      <c r="K54" s="515"/>
      <c r="M54" s="252"/>
    </row>
    <row r="55" spans="1:35" ht="18" hidden="1" customHeight="1" outlineLevel="1">
      <c r="A55" s="145"/>
      <c r="B55" s="504" t="s">
        <v>720</v>
      </c>
      <c r="C55" s="46">
        <f>'1报表'!C41-'2报表调整'!K34</f>
        <v>0</v>
      </c>
      <c r="D55" s="46">
        <f>'1报表'!D41-'2报表调整'!L34</f>
        <v>0</v>
      </c>
      <c r="E55" s="46">
        <f>'2报表调整'!G34</f>
        <v>0</v>
      </c>
      <c r="F55" s="74"/>
      <c r="G55" s="74"/>
      <c r="H55" s="74"/>
      <c r="I55" s="74"/>
      <c r="J55" s="74"/>
      <c r="K55" s="515"/>
    </row>
    <row r="56" spans="1:35" ht="18" hidden="1" customHeight="1" outlineLevel="1">
      <c r="A56" s="145"/>
      <c r="B56" s="504" t="s">
        <v>721</v>
      </c>
      <c r="C56" s="46">
        <f>'1报表'!C42-'2报表调整'!K35</f>
        <v>0</v>
      </c>
      <c r="D56" s="46">
        <f>'1报表'!D42-'2报表调整'!L35</f>
        <v>0</v>
      </c>
      <c r="E56" s="46">
        <f>'2报表调整'!G35</f>
        <v>0</v>
      </c>
      <c r="F56" s="74"/>
      <c r="G56" s="74"/>
      <c r="H56" s="74"/>
      <c r="I56" s="74"/>
      <c r="J56" s="74"/>
      <c r="K56" s="515"/>
    </row>
    <row r="57" spans="1:35" ht="18" hidden="1" customHeight="1" outlineLevel="1">
      <c r="A57" s="145"/>
      <c r="B57" s="504" t="s">
        <v>722</v>
      </c>
      <c r="C57" s="46">
        <f>'1报表'!C43-'2报表调整'!K36</f>
        <v>317.96748400000001</v>
      </c>
      <c r="D57" s="46">
        <f>'1报表'!D43-'2报表调整'!L36</f>
        <v>306.03733099999994</v>
      </c>
      <c r="E57" s="46">
        <f>'2报表调整'!G36</f>
        <v>459.60840899999999</v>
      </c>
      <c r="F57" s="577">
        <f>'8摊销'!F26+'8摊销'!F35</f>
        <v>387.77040266666666</v>
      </c>
      <c r="G57" s="577">
        <f>'8摊销'!G26+'8摊销'!G35</f>
        <v>315.93235133333337</v>
      </c>
      <c r="H57" s="577">
        <f>'8摊销'!H26+'8摊销'!H35</f>
        <v>324.73058800000007</v>
      </c>
      <c r="I57" s="577">
        <f>'8摊销'!I26+'8摊销'!I35</f>
        <v>347.05208400000009</v>
      </c>
      <c r="J57" s="577">
        <f>'8摊销'!J26+'8摊销'!J35</f>
        <v>349.37358000000012</v>
      </c>
      <c r="K57" s="515"/>
      <c r="L57" s="60"/>
    </row>
    <row r="58" spans="1:35" ht="18" hidden="1" customHeight="1" outlineLevel="1">
      <c r="A58" s="145"/>
      <c r="B58" s="504" t="s">
        <v>723</v>
      </c>
      <c r="C58" s="46">
        <f>'1报表'!C44-'2报表调整'!K37</f>
        <v>0</v>
      </c>
      <c r="D58" s="46">
        <f>'1报表'!D44-'2报表调整'!L37</f>
        <v>0</v>
      </c>
      <c r="E58" s="46">
        <f>'2报表调整'!G37</f>
        <v>0</v>
      </c>
      <c r="F58" s="74"/>
      <c r="G58" s="74"/>
      <c r="H58" s="74"/>
      <c r="I58" s="74"/>
      <c r="J58" s="74"/>
      <c r="K58" s="515"/>
      <c r="L58" s="249"/>
    </row>
    <row r="59" spans="1:35" ht="18" hidden="1" customHeight="1" outlineLevel="1">
      <c r="A59" s="145"/>
      <c r="B59" s="565" t="s">
        <v>19</v>
      </c>
      <c r="C59" s="46">
        <f>'1报表'!C45</f>
        <v>0</v>
      </c>
      <c r="D59" s="46">
        <f>'1报表'!D45</f>
        <v>0</v>
      </c>
      <c r="E59" s="46">
        <f>'2报表调整'!G38</f>
        <v>0</v>
      </c>
      <c r="F59" s="156">
        <f t="shared" ref="F59:J59" si="13">E59</f>
        <v>0</v>
      </c>
      <c r="G59" s="156">
        <f t="shared" si="13"/>
        <v>0</v>
      </c>
      <c r="H59" s="156">
        <f t="shared" si="13"/>
        <v>0</v>
      </c>
      <c r="I59" s="156">
        <f t="shared" si="13"/>
        <v>0</v>
      </c>
      <c r="J59" s="156">
        <f t="shared" si="13"/>
        <v>0</v>
      </c>
      <c r="K59" s="515"/>
      <c r="L59" s="254"/>
    </row>
    <row r="60" spans="1:35" ht="18" hidden="1" customHeight="1" outlineLevel="1">
      <c r="A60" s="145"/>
      <c r="B60" s="504" t="s">
        <v>657</v>
      </c>
      <c r="C60" s="46">
        <f>'1报表'!C46-'2报表调整'!K39</f>
        <v>0</v>
      </c>
      <c r="D60" s="46">
        <f>'1报表'!D46-'2报表调整'!L39</f>
        <v>0</v>
      </c>
      <c r="E60" s="46">
        <f>'2报表调整'!G39</f>
        <v>0</v>
      </c>
      <c r="F60" s="578">
        <f>'8摊销'!F52</f>
        <v>0</v>
      </c>
      <c r="G60" s="578">
        <f>'8摊销'!G52</f>
        <v>0</v>
      </c>
      <c r="H60" s="578">
        <f>'8摊销'!H52</f>
        <v>0</v>
      </c>
      <c r="I60" s="578">
        <f>'8摊销'!I52</f>
        <v>0</v>
      </c>
      <c r="J60" s="578">
        <f>'8摊销'!J52</f>
        <v>0</v>
      </c>
      <c r="K60" s="515"/>
      <c r="L60" s="60"/>
    </row>
    <row r="61" spans="1:35" ht="18" hidden="1" customHeight="1" outlineLevel="1">
      <c r="A61" s="145"/>
      <c r="B61" s="502" t="s">
        <v>453</v>
      </c>
      <c r="C61" s="46">
        <f>'1报表'!C47-'2报表调整'!K40</f>
        <v>77.510452999999998</v>
      </c>
      <c r="D61" s="46">
        <f>'1报表'!D47-'2报表调整'!L40</f>
        <v>88.215967000000006</v>
      </c>
      <c r="E61" s="46">
        <f>'2报表调整'!G40</f>
        <v>101.06477</v>
      </c>
      <c r="F61" s="46">
        <f>E61</f>
        <v>101.06477</v>
      </c>
      <c r="G61" s="46">
        <f t="shared" ref="G61:J61" si="14">F61</f>
        <v>101.06477</v>
      </c>
      <c r="H61" s="46">
        <f t="shared" si="14"/>
        <v>101.06477</v>
      </c>
      <c r="I61" s="46">
        <f t="shared" si="14"/>
        <v>101.06477</v>
      </c>
      <c r="J61" s="46">
        <f t="shared" si="14"/>
        <v>101.06477</v>
      </c>
      <c r="K61" s="515"/>
      <c r="L61" s="256"/>
      <c r="M61" s="259"/>
      <c r="N61" s="140"/>
      <c r="O61" s="140"/>
      <c r="P61" s="140"/>
      <c r="Q61" s="140"/>
      <c r="R61" s="140"/>
      <c r="S61" s="140"/>
      <c r="T61" s="140"/>
      <c r="U61" s="140"/>
      <c r="V61" s="140"/>
      <c r="W61" s="140"/>
      <c r="X61" s="140"/>
      <c r="Y61" s="140"/>
      <c r="Z61" s="213"/>
      <c r="AA61" s="213"/>
      <c r="AB61" s="213"/>
      <c r="AC61" s="213"/>
      <c r="AD61" s="213"/>
    </row>
    <row r="62" spans="1:35" s="250" customFormat="1" ht="18" hidden="1" customHeight="1" outlineLevel="1">
      <c r="A62" s="145"/>
      <c r="B62" s="502" t="s">
        <v>724</v>
      </c>
      <c r="C62" s="46">
        <f>C6</f>
        <v>28.328890000000001</v>
      </c>
      <c r="D62" s="46">
        <f t="shared" ref="D62:J62" si="15">D6</f>
        <v>294.36200000000002</v>
      </c>
      <c r="E62" s="46">
        <f t="shared" si="15"/>
        <v>38.180679999999995</v>
      </c>
      <c r="F62" s="46">
        <f t="shared" si="15"/>
        <v>38.180679999999995</v>
      </c>
      <c r="G62" s="46">
        <f t="shared" si="15"/>
        <v>38.180679999999995</v>
      </c>
      <c r="H62" s="46">
        <f t="shared" si="15"/>
        <v>38.180679999999995</v>
      </c>
      <c r="I62" s="46">
        <f t="shared" si="15"/>
        <v>38.180679999999995</v>
      </c>
      <c r="J62" s="46">
        <f t="shared" si="15"/>
        <v>38.180679999999995</v>
      </c>
      <c r="K62" s="515"/>
      <c r="N62" s="140"/>
      <c r="O62" s="140"/>
      <c r="P62" s="140"/>
      <c r="Q62" s="140"/>
      <c r="R62" s="140"/>
      <c r="S62" s="140"/>
      <c r="T62" s="140"/>
      <c r="U62" s="140"/>
      <c r="V62" s="140"/>
      <c r="W62" s="140"/>
      <c r="X62" s="140"/>
      <c r="Y62" s="140"/>
      <c r="Z62" s="213"/>
      <c r="AA62" s="213"/>
      <c r="AB62" s="213"/>
      <c r="AC62" s="213"/>
      <c r="AD62" s="213"/>
    </row>
    <row r="63" spans="1:35" ht="18" hidden="1" customHeight="1" outlineLevel="1">
      <c r="A63" s="145"/>
      <c r="B63" s="574" t="s">
        <v>725</v>
      </c>
      <c r="C63" s="45">
        <f>SUM(C52:C62)</f>
        <v>2797.9115699999993</v>
      </c>
      <c r="D63" s="45">
        <f t="shared" ref="D63:J63" si="16">SUM(D52:D62)</f>
        <v>2797.6293580000001</v>
      </c>
      <c r="E63" s="45">
        <f t="shared" si="16"/>
        <v>3282.3809929999998</v>
      </c>
      <c r="F63" s="45">
        <f>SUM(F52:F62)</f>
        <v>2830.3041856666659</v>
      </c>
      <c r="G63" s="45">
        <f t="shared" si="16"/>
        <v>2158.1261343333331</v>
      </c>
      <c r="H63" s="45">
        <f t="shared" si="16"/>
        <v>1876.8367625424999</v>
      </c>
      <c r="I63" s="45">
        <f t="shared" si="16"/>
        <v>1781.89908939</v>
      </c>
      <c r="J63" s="45">
        <f t="shared" si="16"/>
        <v>1655.9614162374999</v>
      </c>
      <c r="K63" s="515"/>
      <c r="L63" s="182"/>
      <c r="M63" s="140"/>
      <c r="N63" s="140"/>
      <c r="O63" s="140"/>
      <c r="P63" s="140"/>
      <c r="Q63" s="140"/>
      <c r="R63" s="140"/>
      <c r="S63" s="140"/>
      <c r="T63" s="140"/>
      <c r="U63" s="140"/>
      <c r="V63" s="140"/>
      <c r="W63" s="140"/>
      <c r="X63" s="140"/>
      <c r="Y63" s="140"/>
      <c r="Z63" s="213"/>
      <c r="AA63" s="213"/>
      <c r="AB63" s="213"/>
      <c r="AC63" s="213"/>
      <c r="AD63" s="213"/>
    </row>
    <row r="64" spans="1:35" ht="18" hidden="1" customHeight="1" outlineLevel="1">
      <c r="A64" s="145"/>
      <c r="B64" s="567" t="s">
        <v>726</v>
      </c>
      <c r="C64" s="45">
        <f>C50+C63</f>
        <v>6274.5032359999996</v>
      </c>
      <c r="D64" s="45">
        <f t="shared" ref="D64:J64" si="17">D50+D63</f>
        <v>7015.7243769999995</v>
      </c>
      <c r="E64" s="45">
        <f t="shared" si="17"/>
        <v>8477.8007440000001</v>
      </c>
      <c r="F64" s="45">
        <f t="shared" si="17"/>
        <v>11022.412350925219</v>
      </c>
      <c r="G64" s="45">
        <f t="shared" si="17"/>
        <v>12196.125738148929</v>
      </c>
      <c r="H64" s="45">
        <f t="shared" si="17"/>
        <v>12988.453645426094</v>
      </c>
      <c r="I64" s="45">
        <f t="shared" si="17"/>
        <v>13689.371824688493</v>
      </c>
      <c r="J64" s="45">
        <f t="shared" si="17"/>
        <v>13771.958747836738</v>
      </c>
      <c r="K64" s="515"/>
      <c r="L64" s="182"/>
      <c r="M64" s="140"/>
      <c r="N64" s="140"/>
      <c r="O64" s="140"/>
      <c r="P64" s="140"/>
      <c r="Q64" s="140"/>
      <c r="R64" s="140"/>
      <c r="S64" s="140"/>
      <c r="T64" s="140"/>
      <c r="U64" s="140"/>
      <c r="V64" s="140"/>
      <c r="W64" s="140"/>
      <c r="X64" s="140"/>
      <c r="Y64" s="140"/>
      <c r="Z64" s="213"/>
      <c r="AA64" s="213"/>
      <c r="AB64" s="213"/>
      <c r="AC64" s="213"/>
      <c r="AD64" s="213"/>
    </row>
    <row r="65" spans="1:25" s="213" customFormat="1" ht="18" hidden="1" customHeight="1" outlineLevel="1">
      <c r="A65" s="146"/>
      <c r="B65" s="32" t="s">
        <v>751</v>
      </c>
      <c r="C65" s="575"/>
      <c r="D65" s="575"/>
      <c r="E65" s="575"/>
      <c r="F65" s="575"/>
      <c r="G65" s="575"/>
      <c r="H65" s="575"/>
      <c r="I65" s="575"/>
      <c r="J65" s="575"/>
      <c r="K65" s="515"/>
      <c r="L65" s="140"/>
      <c r="M65" s="140"/>
      <c r="N65" s="140"/>
      <c r="O65" s="140"/>
      <c r="P65" s="140"/>
      <c r="Q65" s="140"/>
      <c r="R65" s="140"/>
      <c r="S65" s="140"/>
      <c r="T65" s="140"/>
      <c r="U65" s="140"/>
      <c r="V65" s="140"/>
      <c r="W65" s="140"/>
      <c r="X65" s="140"/>
      <c r="Y65" s="140"/>
    </row>
    <row r="66" spans="1:25" s="213" customFormat="1" ht="18" hidden="1" customHeight="1" outlineLevel="1">
      <c r="A66" s="146"/>
      <c r="B66" s="8" t="s">
        <v>727</v>
      </c>
      <c r="C66" s="46">
        <f>'10营运'!C25</f>
        <v>417.61031500000001</v>
      </c>
      <c r="D66" s="46">
        <f>'10营运'!D25</f>
        <v>1037.9280119999999</v>
      </c>
      <c r="E66" s="46">
        <f>'10营运'!E25</f>
        <v>1257.6973660000001</v>
      </c>
      <c r="F66" s="46">
        <f>'10营运'!F25</f>
        <v>1392.4723540685477</v>
      </c>
      <c r="G66" s="46">
        <f>'10营运'!G25</f>
        <v>1649.8281063507204</v>
      </c>
      <c r="H66" s="46">
        <f>'10营运'!H25</f>
        <v>1854.5543231616889</v>
      </c>
      <c r="I66" s="46">
        <f>'10营运'!I25</f>
        <v>1967.364315304568</v>
      </c>
      <c r="J66" s="46">
        <f>'10营运'!J25</f>
        <v>2009.5193025669732</v>
      </c>
      <c r="K66" s="515"/>
      <c r="L66" s="182"/>
      <c r="M66" s="183"/>
      <c r="N66" s="140"/>
      <c r="O66" s="140"/>
      <c r="P66" s="140"/>
      <c r="Q66" s="140"/>
      <c r="R66" s="140"/>
      <c r="S66" s="140"/>
      <c r="T66" s="140"/>
      <c r="U66" s="140"/>
      <c r="V66" s="140"/>
      <c r="W66" s="140"/>
      <c r="X66" s="140"/>
      <c r="Y66" s="140"/>
    </row>
    <row r="67" spans="1:25" s="213" customFormat="1" ht="18" hidden="1" customHeight="1" outlineLevel="1">
      <c r="A67" s="146"/>
      <c r="B67" s="502" t="s">
        <v>728</v>
      </c>
      <c r="C67" s="46">
        <f>'10营运'!C28</f>
        <v>131.76531799999998</v>
      </c>
      <c r="D67" s="46">
        <f>'10营运'!D28</f>
        <v>195.99938799999998</v>
      </c>
      <c r="E67" s="46">
        <f>'10营运'!E28</f>
        <v>351.096362</v>
      </c>
      <c r="F67" s="46">
        <f>'10营运'!F28</f>
        <v>298.38693301468874</v>
      </c>
      <c r="G67" s="46">
        <f>'10营运'!G28</f>
        <v>353.53459421801159</v>
      </c>
      <c r="H67" s="46">
        <f>'10营运'!H28</f>
        <v>397.40449782036188</v>
      </c>
      <c r="I67" s="46">
        <f>'10营运'!I28</f>
        <v>421.57806756526458</v>
      </c>
      <c r="J67" s="46">
        <f>'10营运'!J28</f>
        <v>430.61127912149436</v>
      </c>
      <c r="K67" s="515"/>
      <c r="L67" s="182"/>
      <c r="M67" s="140"/>
      <c r="N67" s="140"/>
      <c r="O67" s="140"/>
      <c r="P67" s="140"/>
      <c r="Q67" s="140"/>
      <c r="R67" s="140"/>
      <c r="S67" s="140"/>
      <c r="T67" s="140"/>
      <c r="U67" s="140"/>
      <c r="V67" s="140"/>
      <c r="W67" s="140"/>
      <c r="X67" s="140"/>
      <c r="Y67" s="140"/>
    </row>
    <row r="68" spans="1:25" s="213" customFormat="1" ht="18" hidden="1" customHeight="1" outlineLevel="1">
      <c r="A68" s="146"/>
      <c r="B68" s="502" t="s">
        <v>729</v>
      </c>
      <c r="C68" s="46">
        <f>'10营运'!C29</f>
        <v>0</v>
      </c>
      <c r="D68" s="46">
        <f>'10营运'!D29</f>
        <v>0</v>
      </c>
      <c r="E68" s="46">
        <f>'10营运'!E29</f>
        <v>0</v>
      </c>
      <c r="F68" s="46">
        <f>'10营运'!F29</f>
        <v>0</v>
      </c>
      <c r="G68" s="46">
        <f>'10营运'!G29</f>
        <v>0</v>
      </c>
      <c r="H68" s="46">
        <f>'10营运'!H29</f>
        <v>0</v>
      </c>
      <c r="I68" s="46">
        <f>'10营运'!I29</f>
        <v>0</v>
      </c>
      <c r="J68" s="46">
        <f>'10营运'!J29</f>
        <v>0</v>
      </c>
      <c r="K68" s="515"/>
      <c r="L68" s="182"/>
      <c r="M68" s="140"/>
      <c r="N68" s="140"/>
      <c r="O68" s="140"/>
      <c r="P68" s="140"/>
      <c r="Q68" s="140"/>
      <c r="R68" s="140"/>
      <c r="S68" s="140"/>
      <c r="T68" s="140"/>
      <c r="U68" s="140"/>
      <c r="V68" s="140"/>
      <c r="W68" s="140"/>
      <c r="X68" s="140"/>
      <c r="Y68" s="140"/>
    </row>
    <row r="69" spans="1:25" s="213" customFormat="1" ht="18" hidden="1" customHeight="1" outlineLevel="1">
      <c r="A69" s="146"/>
      <c r="B69" s="579" t="s">
        <v>29</v>
      </c>
      <c r="C69" s="46">
        <f>'10营运'!C30</f>
        <v>132.57766899999999</v>
      </c>
      <c r="D69" s="46">
        <f>'10营运'!D30</f>
        <v>163.35175100000001</v>
      </c>
      <c r="E69" s="46">
        <f>'10营运'!E30</f>
        <v>345.76284399999997</v>
      </c>
      <c r="F69" s="46">
        <f>'10营运'!F30</f>
        <v>345.76284399999997</v>
      </c>
      <c r="G69" s="46">
        <f>'10营运'!G30</f>
        <v>345.76284399999997</v>
      </c>
      <c r="H69" s="46">
        <f>'10营运'!H30</f>
        <v>345.76284399999997</v>
      </c>
      <c r="I69" s="46">
        <f>'10营运'!I30</f>
        <v>345.76284399999997</v>
      </c>
      <c r="J69" s="46">
        <f>'10营运'!J30</f>
        <v>345.76284399999997</v>
      </c>
      <c r="K69" s="515"/>
      <c r="L69" s="256"/>
      <c r="M69" s="140"/>
      <c r="N69" s="140"/>
      <c r="O69" s="140"/>
      <c r="P69" s="140"/>
      <c r="Q69" s="140"/>
      <c r="R69" s="140"/>
      <c r="S69" s="140"/>
      <c r="T69" s="140"/>
      <c r="U69" s="140"/>
      <c r="V69" s="140"/>
      <c r="W69" s="140"/>
      <c r="X69" s="140"/>
      <c r="Y69" s="140"/>
    </row>
    <row r="70" spans="1:25" s="213" customFormat="1" ht="18" hidden="1" customHeight="1" outlineLevel="1">
      <c r="A70" s="146"/>
      <c r="B70" s="579" t="s">
        <v>30</v>
      </c>
      <c r="C70" s="46">
        <f>'10营运'!C31</f>
        <v>104.37590400000001</v>
      </c>
      <c r="D70" s="46">
        <f>'10营运'!D31</f>
        <v>117.084018</v>
      </c>
      <c r="E70" s="46">
        <f>'10营运'!E31</f>
        <v>225.30200400000001</v>
      </c>
      <c r="F70" s="46">
        <f>'10营运'!F31</f>
        <v>225.30200400000001</v>
      </c>
      <c r="G70" s="46">
        <f>'10营运'!G31</f>
        <v>225.30200400000001</v>
      </c>
      <c r="H70" s="46">
        <f>'10营运'!H31</f>
        <v>225.30200400000001</v>
      </c>
      <c r="I70" s="46">
        <f>'10营运'!I31</f>
        <v>225.30200400000001</v>
      </c>
      <c r="J70" s="46">
        <f>'10营运'!J31</f>
        <v>225.30200400000001</v>
      </c>
      <c r="K70" s="515"/>
      <c r="L70" s="256"/>
      <c r="M70" s="257"/>
      <c r="N70" s="183"/>
      <c r="O70" s="140"/>
      <c r="P70" s="140"/>
      <c r="Q70" s="140"/>
      <c r="R70" s="140"/>
      <c r="S70" s="140"/>
      <c r="T70" s="140"/>
      <c r="U70" s="140"/>
      <c r="V70" s="140"/>
      <c r="W70" s="140"/>
      <c r="X70" s="140"/>
      <c r="Y70" s="140"/>
    </row>
    <row r="71" spans="1:25" s="213" customFormat="1" ht="18" hidden="1" customHeight="1" outlineLevel="1">
      <c r="A71" s="146"/>
      <c r="B71" s="502" t="s">
        <v>730</v>
      </c>
      <c r="C71" s="156">
        <f>'10营运'!C34</f>
        <v>1493.8280970000001</v>
      </c>
      <c r="D71" s="156">
        <f>'10营运'!D34</f>
        <v>1824.9312690000002</v>
      </c>
      <c r="E71" s="156">
        <f>'10营运'!E34</f>
        <v>161.15447999999992</v>
      </c>
      <c r="F71" s="156">
        <f>'10营运'!F34</f>
        <v>1074.1929588528794</v>
      </c>
      <c r="G71" s="156">
        <f>'10营运'!G34</f>
        <v>1272.7245391848414</v>
      </c>
      <c r="H71" s="156">
        <f>'10营运'!H34</f>
        <v>1430.656192153303</v>
      </c>
      <c r="I71" s="156">
        <f>'10营运'!I34</f>
        <v>1517.6810432349523</v>
      </c>
      <c r="J71" s="156">
        <f>'10营运'!J34</f>
        <v>1550.2006048373794</v>
      </c>
      <c r="K71" s="515"/>
      <c r="L71" s="182"/>
      <c r="M71" s="140"/>
      <c r="N71" s="140"/>
      <c r="O71" s="140"/>
      <c r="P71" s="140"/>
      <c r="Q71" s="140"/>
      <c r="R71" s="140"/>
      <c r="S71" s="140"/>
      <c r="T71" s="140"/>
      <c r="U71" s="140"/>
      <c r="V71" s="140"/>
      <c r="W71" s="140"/>
      <c r="X71" s="140"/>
      <c r="Y71" s="140"/>
    </row>
    <row r="72" spans="1:25" s="213" customFormat="1" ht="18" hidden="1" customHeight="1" outlineLevel="1">
      <c r="A72" s="146"/>
      <c r="B72" s="502" t="s">
        <v>731</v>
      </c>
      <c r="C72" s="46">
        <f>'10营运'!C37</f>
        <v>0</v>
      </c>
      <c r="D72" s="46">
        <f>'10营运'!D37</f>
        <v>0</v>
      </c>
      <c r="E72" s="46">
        <f>'10营运'!E37</f>
        <v>0</v>
      </c>
      <c r="F72" s="46">
        <f>'10营运'!F37</f>
        <v>0</v>
      </c>
      <c r="G72" s="46">
        <f>'10营运'!G37</f>
        <v>0</v>
      </c>
      <c r="H72" s="46">
        <f>'10营运'!H37</f>
        <v>0</v>
      </c>
      <c r="I72" s="46">
        <f>'10营运'!I37</f>
        <v>0</v>
      </c>
      <c r="J72" s="46">
        <f>'10营运'!J37</f>
        <v>0</v>
      </c>
      <c r="K72" s="515"/>
      <c r="L72" s="182"/>
      <c r="M72" s="183"/>
      <c r="N72" s="140"/>
      <c r="O72" s="140"/>
      <c r="P72" s="140"/>
      <c r="Q72" s="140"/>
      <c r="R72" s="140"/>
      <c r="S72" s="140"/>
      <c r="T72" s="140"/>
      <c r="U72" s="140"/>
      <c r="V72" s="140"/>
      <c r="W72" s="140"/>
      <c r="X72" s="140"/>
      <c r="Y72" s="140"/>
    </row>
    <row r="73" spans="1:25" s="213" customFormat="1" ht="18" hidden="1" customHeight="1" outlineLevel="1">
      <c r="A73" s="146"/>
      <c r="B73" s="574" t="s">
        <v>732</v>
      </c>
      <c r="C73" s="155">
        <f>SUM(C66:C72)</f>
        <v>2280.157303</v>
      </c>
      <c r="D73" s="155">
        <f t="shared" ref="D73:J73" si="18">SUM(D66:D72)</f>
        <v>3339.2944379999999</v>
      </c>
      <c r="E73" s="155">
        <f t="shared" si="18"/>
        <v>2341.0130559999998</v>
      </c>
      <c r="F73" s="155">
        <f t="shared" si="18"/>
        <v>3336.1170939361164</v>
      </c>
      <c r="G73" s="155">
        <f t="shared" si="18"/>
        <v>3847.1520877535736</v>
      </c>
      <c r="H73" s="155">
        <f t="shared" si="18"/>
        <v>4253.6798611353533</v>
      </c>
      <c r="I73" s="155">
        <f t="shared" si="18"/>
        <v>4477.6882741047848</v>
      </c>
      <c r="J73" s="155">
        <f t="shared" si="18"/>
        <v>4561.3960345258474</v>
      </c>
      <c r="K73" s="515"/>
      <c r="L73" s="182"/>
      <c r="M73" s="140"/>
      <c r="N73" s="140"/>
      <c r="O73" s="140"/>
      <c r="P73" s="140"/>
      <c r="Q73" s="140"/>
      <c r="R73" s="140"/>
      <c r="S73" s="140"/>
      <c r="T73" s="140"/>
      <c r="U73" s="140"/>
      <c r="V73" s="140"/>
      <c r="W73" s="140"/>
      <c r="X73" s="140"/>
      <c r="Y73" s="140"/>
    </row>
    <row r="74" spans="1:25" s="213" customFormat="1" ht="18" hidden="1" customHeight="1" outlineLevel="1">
      <c r="A74" s="146"/>
      <c r="B74" s="32" t="s">
        <v>752</v>
      </c>
      <c r="C74" s="575"/>
      <c r="D74" s="575"/>
      <c r="E74" s="575"/>
      <c r="F74" s="575"/>
      <c r="G74" s="575"/>
      <c r="H74" s="575"/>
      <c r="I74" s="575"/>
      <c r="J74" s="575"/>
      <c r="K74" s="515"/>
      <c r="L74" s="140"/>
      <c r="M74" s="140"/>
      <c r="N74" s="140"/>
      <c r="O74" s="140"/>
      <c r="P74" s="140"/>
      <c r="Q74" s="140"/>
      <c r="R74" s="140"/>
      <c r="S74" s="140"/>
      <c r="T74" s="140"/>
      <c r="U74" s="140"/>
      <c r="V74" s="140"/>
      <c r="W74" s="140"/>
      <c r="X74" s="140"/>
      <c r="Y74" s="140"/>
    </row>
    <row r="75" spans="1:25" ht="18" hidden="1" customHeight="1" outlineLevel="1">
      <c r="A75" s="145"/>
      <c r="B75" s="504" t="s">
        <v>733</v>
      </c>
      <c r="C75" s="580">
        <f>C7</f>
        <v>0</v>
      </c>
      <c r="D75" s="580">
        <f t="shared" ref="D75:J75" si="19">D7</f>
        <v>0</v>
      </c>
      <c r="E75" s="580">
        <f t="shared" si="19"/>
        <v>0</v>
      </c>
      <c r="F75" s="580">
        <f t="shared" si="19"/>
        <v>0</v>
      </c>
      <c r="G75" s="580">
        <f t="shared" si="19"/>
        <v>0</v>
      </c>
      <c r="H75" s="580">
        <f t="shared" si="19"/>
        <v>0</v>
      </c>
      <c r="I75" s="580">
        <f t="shared" si="19"/>
        <v>0</v>
      </c>
      <c r="J75" s="580">
        <f t="shared" si="19"/>
        <v>0</v>
      </c>
      <c r="K75" s="515"/>
      <c r="L75" s="247"/>
      <c r="N75" s="258"/>
    </row>
    <row r="76" spans="1:25" ht="18" hidden="1" customHeight="1" outlineLevel="1">
      <c r="A76" s="145"/>
      <c r="B76" s="565" t="s">
        <v>352</v>
      </c>
      <c r="C76" s="580">
        <f>C8</f>
        <v>0</v>
      </c>
      <c r="D76" s="580">
        <f t="shared" ref="D76:J78" si="20">D8</f>
        <v>0</v>
      </c>
      <c r="E76" s="580">
        <f t="shared" si="20"/>
        <v>0</v>
      </c>
      <c r="F76" s="580">
        <f t="shared" si="20"/>
        <v>0</v>
      </c>
      <c r="G76" s="580">
        <f t="shared" si="20"/>
        <v>0</v>
      </c>
      <c r="H76" s="580">
        <f t="shared" si="20"/>
        <v>0</v>
      </c>
      <c r="I76" s="580">
        <f t="shared" si="20"/>
        <v>0</v>
      </c>
      <c r="J76" s="580">
        <f t="shared" si="20"/>
        <v>0</v>
      </c>
      <c r="K76" s="515"/>
      <c r="L76" s="247"/>
      <c r="N76" s="258"/>
    </row>
    <row r="77" spans="1:25" ht="18" hidden="1" customHeight="1" outlineLevel="1">
      <c r="A77" s="145"/>
      <c r="B77" s="504" t="s">
        <v>734</v>
      </c>
      <c r="C77" s="580">
        <f>C9</f>
        <v>0</v>
      </c>
      <c r="D77" s="580">
        <f t="shared" si="20"/>
        <v>0</v>
      </c>
      <c r="E77" s="580">
        <f t="shared" si="20"/>
        <v>0</v>
      </c>
      <c r="F77" s="580">
        <f t="shared" si="20"/>
        <v>0</v>
      </c>
      <c r="G77" s="580">
        <f t="shared" si="20"/>
        <v>0</v>
      </c>
      <c r="H77" s="580">
        <f t="shared" si="20"/>
        <v>0</v>
      </c>
      <c r="I77" s="580">
        <f t="shared" si="20"/>
        <v>0</v>
      </c>
      <c r="J77" s="580">
        <f t="shared" si="20"/>
        <v>0</v>
      </c>
      <c r="K77" s="515"/>
    </row>
    <row r="78" spans="1:25" ht="18" hidden="1" customHeight="1" outlineLevel="1">
      <c r="A78" s="145"/>
      <c r="B78" s="565" t="s">
        <v>353</v>
      </c>
      <c r="C78" s="580">
        <f>C10</f>
        <v>0</v>
      </c>
      <c r="D78" s="580">
        <f t="shared" si="20"/>
        <v>0</v>
      </c>
      <c r="E78" s="580">
        <f t="shared" si="20"/>
        <v>0</v>
      </c>
      <c r="F78" s="580">
        <f t="shared" si="20"/>
        <v>0</v>
      </c>
      <c r="G78" s="580">
        <f t="shared" si="20"/>
        <v>0</v>
      </c>
      <c r="H78" s="580">
        <f t="shared" si="20"/>
        <v>0</v>
      </c>
      <c r="I78" s="580">
        <f t="shared" si="20"/>
        <v>0</v>
      </c>
      <c r="J78" s="580">
        <f t="shared" si="20"/>
        <v>0</v>
      </c>
      <c r="K78" s="515"/>
    </row>
    <row r="79" spans="1:25" s="213" customFormat="1" ht="18" hidden="1" customHeight="1" outlineLevel="1">
      <c r="A79" s="146"/>
      <c r="B79" s="565" t="s">
        <v>42</v>
      </c>
      <c r="C79" s="580">
        <f>'1报表'!C74-'2报表调整'!K67</f>
        <v>0</v>
      </c>
      <c r="D79" s="580">
        <f>'1报表'!D74-'2报表调整'!L67</f>
        <v>0</v>
      </c>
      <c r="E79" s="580">
        <f>'2报表调整'!G67</f>
        <v>0</v>
      </c>
      <c r="F79" s="46">
        <f>E79</f>
        <v>0</v>
      </c>
      <c r="G79" s="46">
        <f>F79</f>
        <v>0</v>
      </c>
      <c r="H79" s="46">
        <f t="shared" ref="H79:J79" si="21">G79</f>
        <v>0</v>
      </c>
      <c r="I79" s="46">
        <f t="shared" si="21"/>
        <v>0</v>
      </c>
      <c r="J79" s="46">
        <f t="shared" si="21"/>
        <v>0</v>
      </c>
      <c r="K79" s="515"/>
      <c r="L79" s="260"/>
      <c r="M79" s="261"/>
      <c r="N79" s="259"/>
      <c r="O79" s="140"/>
      <c r="P79" s="140"/>
      <c r="Q79" s="140"/>
      <c r="R79" s="140"/>
      <c r="S79" s="140"/>
      <c r="T79" s="140"/>
      <c r="U79" s="140"/>
      <c r="V79" s="140"/>
      <c r="W79" s="140"/>
      <c r="X79" s="140"/>
      <c r="Y79" s="140"/>
    </row>
    <row r="80" spans="1:25" s="213" customFormat="1" ht="18" hidden="1" customHeight="1" outlineLevel="1">
      <c r="A80" s="146"/>
      <c r="B80" s="502" t="s">
        <v>735</v>
      </c>
      <c r="C80" s="580">
        <f>C11</f>
        <v>0</v>
      </c>
      <c r="D80" s="580">
        <f t="shared" ref="D80:J80" si="22">D11</f>
        <v>0</v>
      </c>
      <c r="E80" s="580">
        <f t="shared" si="22"/>
        <v>0</v>
      </c>
      <c r="F80" s="580">
        <f t="shared" si="22"/>
        <v>0</v>
      </c>
      <c r="G80" s="580">
        <f t="shared" si="22"/>
        <v>0</v>
      </c>
      <c r="H80" s="580">
        <f t="shared" si="22"/>
        <v>0</v>
      </c>
      <c r="I80" s="580">
        <f t="shared" si="22"/>
        <v>0</v>
      </c>
      <c r="J80" s="580">
        <f t="shared" si="22"/>
        <v>0</v>
      </c>
      <c r="K80" s="515"/>
      <c r="L80" s="140"/>
      <c r="M80" s="140"/>
      <c r="N80" s="140"/>
      <c r="O80" s="140"/>
      <c r="P80" s="140"/>
      <c r="Q80" s="140"/>
      <c r="R80" s="140"/>
      <c r="S80" s="140"/>
      <c r="T80" s="140"/>
      <c r="U80" s="140"/>
      <c r="V80" s="140"/>
      <c r="W80" s="140"/>
      <c r="X80" s="140"/>
      <c r="Y80" s="140"/>
    </row>
    <row r="81" spans="1:29" ht="18" hidden="1" customHeight="1" outlineLevel="1">
      <c r="A81" s="145"/>
      <c r="B81" s="567" t="s">
        <v>736</v>
      </c>
      <c r="C81" s="45">
        <f>SUM(C75:C80)</f>
        <v>0</v>
      </c>
      <c r="D81" s="45">
        <f t="shared" ref="D81:J81" si="23">SUM(D75:D80)</f>
        <v>0</v>
      </c>
      <c r="E81" s="45">
        <f t="shared" si="23"/>
        <v>0</v>
      </c>
      <c r="F81" s="45">
        <f t="shared" si="23"/>
        <v>0</v>
      </c>
      <c r="G81" s="45">
        <f t="shared" si="23"/>
        <v>0</v>
      </c>
      <c r="H81" s="45">
        <f t="shared" si="23"/>
        <v>0</v>
      </c>
      <c r="I81" s="45">
        <f t="shared" si="23"/>
        <v>0</v>
      </c>
      <c r="J81" s="45">
        <f t="shared" si="23"/>
        <v>0</v>
      </c>
      <c r="K81" s="515"/>
      <c r="L81" s="255"/>
    </row>
    <row r="82" spans="1:29" s="213" customFormat="1" ht="18" hidden="1" customHeight="1" outlineLevel="1">
      <c r="A82" s="146"/>
      <c r="B82" s="32" t="s">
        <v>753</v>
      </c>
      <c r="C82" s="575"/>
      <c r="D82" s="575"/>
      <c r="E82" s="575"/>
      <c r="F82" s="575"/>
      <c r="G82" s="575"/>
      <c r="H82" s="575"/>
      <c r="I82" s="575"/>
      <c r="J82" s="575"/>
      <c r="K82" s="515"/>
      <c r="N82" s="140"/>
      <c r="O82" s="140"/>
      <c r="P82" s="140"/>
      <c r="Q82" s="140"/>
      <c r="R82" s="140"/>
      <c r="S82" s="140"/>
      <c r="T82" s="140"/>
      <c r="U82" s="140"/>
      <c r="V82" s="140"/>
      <c r="W82" s="140"/>
      <c r="X82" s="140"/>
      <c r="Y82" s="140"/>
    </row>
    <row r="83" spans="1:29" ht="17.25" hidden="1" customHeight="1" outlineLevel="1">
      <c r="A83" s="145"/>
      <c r="B83" s="581" t="s">
        <v>354</v>
      </c>
      <c r="C83" s="74"/>
      <c r="D83" s="74"/>
      <c r="E83" s="74"/>
      <c r="F83" s="582">
        <f>-MIN(F100,0)</f>
        <v>0</v>
      </c>
      <c r="G83" s="582">
        <f t="shared" ref="G83:J83" si="24">-MIN(G100,0)</f>
        <v>0</v>
      </c>
      <c r="H83" s="582">
        <f t="shared" si="24"/>
        <v>0</v>
      </c>
      <c r="I83" s="582">
        <f t="shared" si="24"/>
        <v>0</v>
      </c>
      <c r="J83" s="582">
        <f t="shared" si="24"/>
        <v>0</v>
      </c>
      <c r="K83" s="515"/>
      <c r="L83" s="65"/>
      <c r="T83" s="262"/>
      <c r="U83" s="262"/>
      <c r="V83" s="262"/>
      <c r="W83" s="262"/>
      <c r="X83" s="262"/>
      <c r="Y83" s="262"/>
      <c r="Z83" s="262"/>
      <c r="AA83" s="262"/>
      <c r="AB83" s="262"/>
      <c r="AC83" s="262"/>
    </row>
    <row r="84" spans="1:29" ht="17.25" hidden="1" customHeight="1" outlineLevel="1">
      <c r="A84" s="145"/>
      <c r="B84" s="565" t="s">
        <v>26</v>
      </c>
      <c r="C84" s="46">
        <f>'1报表'!C52</f>
        <v>900</v>
      </c>
      <c r="D84" s="46">
        <f>'1报表'!D52</f>
        <v>1100</v>
      </c>
      <c r="E84" s="46">
        <f>'1报表'!E52</f>
        <v>1000</v>
      </c>
      <c r="F84" s="46">
        <f>'11财务费用'!F5</f>
        <v>1000</v>
      </c>
      <c r="G84" s="46">
        <f>'11财务费用'!G5</f>
        <v>1000</v>
      </c>
      <c r="H84" s="46">
        <f>'11财务费用'!H5</f>
        <v>1000</v>
      </c>
      <c r="I84" s="46">
        <f>'11财务费用'!I5</f>
        <v>1000</v>
      </c>
      <c r="J84" s="46">
        <f>'11财务费用'!J5</f>
        <v>1000</v>
      </c>
      <c r="K84" s="515"/>
      <c r="L84" s="65"/>
      <c r="T84" s="138"/>
      <c r="U84" s="138"/>
      <c r="V84" s="138"/>
      <c r="W84" s="138"/>
      <c r="X84" s="138"/>
      <c r="Y84" s="138"/>
      <c r="Z84" s="138"/>
      <c r="AA84" s="138"/>
      <c r="AB84" s="138"/>
      <c r="AC84" s="138"/>
    </row>
    <row r="85" spans="1:29" ht="18" hidden="1" customHeight="1" outlineLevel="1">
      <c r="A85" s="145"/>
      <c r="B85" s="504" t="s">
        <v>117</v>
      </c>
      <c r="C85" s="46">
        <f>'1报表'!C64</f>
        <v>1150</v>
      </c>
      <c r="D85" s="46">
        <f>'1报表'!D64</f>
        <v>0</v>
      </c>
      <c r="E85" s="46">
        <f>'1报表'!E64</f>
        <v>0</v>
      </c>
      <c r="F85" s="46">
        <f>'11财务费用'!F6</f>
        <v>0</v>
      </c>
      <c r="G85" s="46">
        <f>'11财务费用'!G6</f>
        <v>0</v>
      </c>
      <c r="H85" s="46">
        <f>'11财务费用'!H6</f>
        <v>0</v>
      </c>
      <c r="I85" s="46">
        <f>'11财务费用'!I6</f>
        <v>0</v>
      </c>
      <c r="J85" s="46">
        <f>'11财务费用'!J6</f>
        <v>0</v>
      </c>
      <c r="K85" s="515"/>
      <c r="L85" s="65"/>
      <c r="T85" s="14"/>
      <c r="U85" s="14"/>
      <c r="V85" s="14"/>
      <c r="W85" s="14"/>
      <c r="X85" s="14"/>
      <c r="Y85" s="14"/>
      <c r="Z85" s="14"/>
      <c r="AA85" s="14"/>
      <c r="AB85" s="14"/>
      <c r="AC85" s="14"/>
    </row>
    <row r="86" spans="1:29" ht="18" hidden="1" customHeight="1" outlineLevel="1">
      <c r="A86" s="145"/>
      <c r="B86" s="565" t="s">
        <v>38</v>
      </c>
      <c r="C86" s="46">
        <f>'1报表'!C68</f>
        <v>0</v>
      </c>
      <c r="D86" s="46">
        <f>'1报表'!D68</f>
        <v>0</v>
      </c>
      <c r="E86" s="46">
        <f>'1报表'!E68</f>
        <v>0</v>
      </c>
      <c r="F86" s="46">
        <f>'11财务费用'!F7</f>
        <v>0</v>
      </c>
      <c r="G86" s="46">
        <f>'11财务费用'!G7</f>
        <v>0</v>
      </c>
      <c r="H86" s="46">
        <f>'11财务费用'!H7</f>
        <v>0</v>
      </c>
      <c r="I86" s="46">
        <f>'11财务费用'!I7</f>
        <v>0</v>
      </c>
      <c r="J86" s="46">
        <f>'11财务费用'!J7</f>
        <v>0</v>
      </c>
      <c r="K86" s="515"/>
      <c r="L86" s="65"/>
      <c r="T86" s="14"/>
      <c r="U86" s="14"/>
      <c r="V86" s="14"/>
      <c r="W86" s="14"/>
      <c r="X86" s="14"/>
      <c r="Y86" s="14"/>
      <c r="Z86" s="14"/>
      <c r="AA86" s="14"/>
      <c r="AB86" s="14"/>
      <c r="AC86" s="14"/>
    </row>
    <row r="87" spans="1:29" ht="18" hidden="1" customHeight="1" outlineLevel="1">
      <c r="A87" s="145"/>
      <c r="B87" s="565" t="s">
        <v>39</v>
      </c>
      <c r="C87" s="46">
        <f>'1报表'!C69</f>
        <v>0</v>
      </c>
      <c r="D87" s="46">
        <f>'1报表'!D69</f>
        <v>0</v>
      </c>
      <c r="E87" s="46">
        <f>'1报表'!E69</f>
        <v>0</v>
      </c>
      <c r="F87" s="46">
        <f>'11财务费用'!F9</f>
        <v>0</v>
      </c>
      <c r="G87" s="46">
        <f>'11财务费用'!G9</f>
        <v>0</v>
      </c>
      <c r="H87" s="46">
        <f>'11财务费用'!H9</f>
        <v>0</v>
      </c>
      <c r="I87" s="46">
        <f>'11财务费用'!I9</f>
        <v>0</v>
      </c>
      <c r="J87" s="46">
        <f>'11财务费用'!J9</f>
        <v>0</v>
      </c>
      <c r="K87" s="515"/>
      <c r="L87" s="65"/>
      <c r="T87" s="14"/>
      <c r="U87" s="14"/>
      <c r="V87" s="14"/>
      <c r="W87" s="14"/>
      <c r="X87" s="14"/>
      <c r="Y87" s="14"/>
      <c r="Z87" s="14"/>
      <c r="AA87" s="14"/>
      <c r="AB87" s="14"/>
      <c r="AC87" s="14"/>
    </row>
    <row r="88" spans="1:29" ht="18" hidden="1" customHeight="1" outlineLevel="1">
      <c r="A88" s="145"/>
      <c r="B88" s="567" t="s">
        <v>96</v>
      </c>
      <c r="C88" s="45">
        <f>SUM(C83:C87)</f>
        <v>2050</v>
      </c>
      <c r="D88" s="45">
        <f t="shared" ref="D88:I88" si="25">SUM(D83:D87)</f>
        <v>1100</v>
      </c>
      <c r="E88" s="45">
        <f t="shared" si="25"/>
        <v>1000</v>
      </c>
      <c r="F88" s="45">
        <f t="shared" si="25"/>
        <v>1000</v>
      </c>
      <c r="G88" s="45">
        <f>SUM(G83:G87)</f>
        <v>1000</v>
      </c>
      <c r="H88" s="45">
        <f t="shared" si="25"/>
        <v>1000</v>
      </c>
      <c r="I88" s="45">
        <f t="shared" si="25"/>
        <v>1000</v>
      </c>
      <c r="J88" s="45">
        <f>SUM(J83:J87)</f>
        <v>1000</v>
      </c>
      <c r="K88" s="515"/>
      <c r="L88" s="65"/>
      <c r="T88" s="14"/>
      <c r="U88" s="14"/>
      <c r="V88" s="14"/>
      <c r="W88" s="14"/>
      <c r="X88" s="14"/>
      <c r="Y88" s="14"/>
      <c r="Z88" s="14"/>
      <c r="AA88" s="14"/>
      <c r="AB88" s="14"/>
      <c r="AC88" s="14"/>
    </row>
    <row r="89" spans="1:29" ht="18" hidden="1" customHeight="1" outlineLevel="1">
      <c r="A89" s="145"/>
      <c r="B89" s="567" t="s">
        <v>758</v>
      </c>
      <c r="C89" s="45">
        <f t="shared" ref="C89:J89" si="26">C73+C81+C88</f>
        <v>4330.157303</v>
      </c>
      <c r="D89" s="45">
        <f t="shared" si="26"/>
        <v>4439.2944379999999</v>
      </c>
      <c r="E89" s="45">
        <f t="shared" si="26"/>
        <v>3341.0130559999998</v>
      </c>
      <c r="F89" s="45">
        <f t="shared" si="26"/>
        <v>4336.1170939361164</v>
      </c>
      <c r="G89" s="45">
        <f t="shared" si="26"/>
        <v>4847.1520877535731</v>
      </c>
      <c r="H89" s="45">
        <f t="shared" si="26"/>
        <v>5253.6798611353533</v>
      </c>
      <c r="I89" s="45">
        <f t="shared" si="26"/>
        <v>5477.6882741047848</v>
      </c>
      <c r="J89" s="45">
        <f t="shared" si="26"/>
        <v>5561.3960345258474</v>
      </c>
      <c r="K89" s="515"/>
      <c r="L89" s="65"/>
      <c r="T89" s="14"/>
      <c r="U89" s="14"/>
      <c r="V89" s="14"/>
      <c r="W89" s="14"/>
      <c r="X89" s="14"/>
      <c r="Y89" s="14"/>
      <c r="Z89" s="14"/>
      <c r="AA89" s="14"/>
      <c r="AB89" s="14"/>
      <c r="AC89" s="14"/>
    </row>
    <row r="90" spans="1:29" s="213" customFormat="1" ht="18" hidden="1" customHeight="1" outlineLevel="1">
      <c r="A90" s="145"/>
      <c r="B90" s="32" t="s">
        <v>757</v>
      </c>
      <c r="C90" s="575"/>
      <c r="D90" s="575"/>
      <c r="E90" s="575"/>
      <c r="F90" s="575"/>
      <c r="G90" s="575"/>
      <c r="H90" s="575"/>
      <c r="I90" s="575"/>
      <c r="J90" s="575"/>
      <c r="K90" s="515"/>
      <c r="L90" s="65"/>
      <c r="M90" s="49"/>
      <c r="N90" s="140"/>
      <c r="O90" s="140"/>
      <c r="P90" s="140"/>
      <c r="Q90" s="140"/>
      <c r="R90" s="140"/>
      <c r="S90" s="140"/>
      <c r="T90" s="83"/>
      <c r="U90" s="83"/>
      <c r="V90" s="83"/>
      <c r="W90" s="83"/>
      <c r="X90" s="83"/>
      <c r="Y90" s="83"/>
      <c r="Z90" s="83"/>
      <c r="AA90" s="83"/>
      <c r="AB90" s="83"/>
      <c r="AC90" s="83"/>
    </row>
    <row r="91" spans="1:29" s="4" customFormat="1" ht="18" hidden="1" customHeight="1" outlineLevel="1">
      <c r="A91" s="145"/>
      <c r="B91" s="504" t="s">
        <v>737</v>
      </c>
      <c r="C91" s="46">
        <f>'1报表'!C87-'2报表调整'!K43+'2报表调整'!K70</f>
        <v>1944.3459330000001</v>
      </c>
      <c r="D91" s="46">
        <f>'1报表'!D87-'2报表调整'!L43+'2报表调整'!L70</f>
        <v>2576.4299389999996</v>
      </c>
      <c r="E91" s="46">
        <f>'1报表'!E87-'2报表调整'!M43+'2报表调整'!M70</f>
        <v>5136.7876879999994</v>
      </c>
      <c r="F91" s="156">
        <f>E91+F37+F34*F12</f>
        <v>6686.2952569890995</v>
      </c>
      <c r="G91" s="156">
        <f t="shared" ref="G91:I91" si="27">F91+G37+G34*G12</f>
        <v>7348.9736503953554</v>
      </c>
      <c r="H91" s="156">
        <f>G91+H37+H34*H12</f>
        <v>7734.7737842907409</v>
      </c>
      <c r="I91" s="156">
        <f t="shared" si="27"/>
        <v>8211.6835505837062</v>
      </c>
      <c r="J91" s="156">
        <f>I91+J37+J34*J12</f>
        <v>8210.5627133108901</v>
      </c>
      <c r="K91" s="515"/>
      <c r="L91" s="14"/>
      <c r="M91" s="14"/>
      <c r="N91" s="14"/>
      <c r="O91" s="14"/>
      <c r="P91" s="14"/>
      <c r="Q91" s="14"/>
      <c r="R91" s="14"/>
      <c r="S91" s="14"/>
      <c r="T91" s="14"/>
      <c r="U91" s="14"/>
      <c r="V91" s="14"/>
      <c r="W91" s="14"/>
    </row>
    <row r="92" spans="1:29" ht="18" hidden="1" customHeight="1" outlineLevel="1">
      <c r="A92" s="145"/>
      <c r="B92" s="565" t="s">
        <v>55</v>
      </c>
      <c r="C92" s="46">
        <f>'1报表'!C88</f>
        <v>0</v>
      </c>
      <c r="D92" s="46">
        <f>'1报表'!D88</f>
        <v>0</v>
      </c>
      <c r="E92" s="46">
        <f>'1报表'!E88</f>
        <v>0</v>
      </c>
      <c r="F92" s="46">
        <f t="shared" ref="F92:I92" si="28">E92+(1-F12)*F34</f>
        <v>0</v>
      </c>
      <c r="G92" s="46">
        <f t="shared" si="28"/>
        <v>0</v>
      </c>
      <c r="H92" s="46">
        <f t="shared" si="28"/>
        <v>0</v>
      </c>
      <c r="I92" s="46">
        <f t="shared" si="28"/>
        <v>0</v>
      </c>
      <c r="J92" s="46">
        <f>I92+(1-J12)*J34</f>
        <v>0</v>
      </c>
      <c r="K92" s="515"/>
      <c r="L92" s="14"/>
      <c r="M92" s="14"/>
      <c r="N92" s="247"/>
      <c r="O92" s="247"/>
      <c r="P92" s="247"/>
      <c r="Q92" s="247"/>
      <c r="R92" s="247"/>
      <c r="S92" s="247"/>
      <c r="T92" s="247"/>
      <c r="U92" s="247"/>
      <c r="V92" s="247"/>
      <c r="W92" s="247"/>
      <c r="X92" s="247"/>
      <c r="Y92" s="247"/>
    </row>
    <row r="93" spans="1:29" ht="18" hidden="1" customHeight="1" outlineLevel="1">
      <c r="A93" s="145"/>
      <c r="B93" s="567" t="s">
        <v>738</v>
      </c>
      <c r="C93" s="45">
        <f>C91+C92</f>
        <v>1944.3459330000001</v>
      </c>
      <c r="D93" s="45">
        <f>D91+D92</f>
        <v>2576.4299389999996</v>
      </c>
      <c r="E93" s="45">
        <f t="shared" ref="E93:I93" si="29">E91+E92</f>
        <v>5136.7876879999994</v>
      </c>
      <c r="F93" s="45">
        <f t="shared" si="29"/>
        <v>6686.2952569890995</v>
      </c>
      <c r="G93" s="45">
        <f t="shared" si="29"/>
        <v>7348.9736503953554</v>
      </c>
      <c r="H93" s="45">
        <f t="shared" si="29"/>
        <v>7734.7737842907409</v>
      </c>
      <c r="I93" s="45">
        <f t="shared" si="29"/>
        <v>8211.6835505837062</v>
      </c>
      <c r="J93" s="45">
        <f>J91+J92</f>
        <v>8210.5627133108901</v>
      </c>
      <c r="K93" s="515"/>
      <c r="L93" s="255"/>
      <c r="M93" s="247"/>
      <c r="N93" s="247"/>
      <c r="O93" s="247"/>
      <c r="P93" s="247"/>
      <c r="Q93" s="247"/>
      <c r="R93" s="247"/>
      <c r="S93" s="247"/>
      <c r="T93" s="247"/>
      <c r="U93" s="247"/>
      <c r="V93" s="247"/>
      <c r="W93" s="247"/>
      <c r="X93" s="247"/>
      <c r="Y93" s="247"/>
    </row>
    <row r="94" spans="1:29" ht="18" hidden="1" customHeight="1" outlineLevel="1">
      <c r="A94" s="145"/>
      <c r="B94" s="567" t="s">
        <v>739</v>
      </c>
      <c r="C94" s="45">
        <f>C89+C93</f>
        <v>6274.5032360000005</v>
      </c>
      <c r="D94" s="45">
        <f t="shared" ref="D94:J94" si="30">D89+D93</f>
        <v>7015.7243769999995</v>
      </c>
      <c r="E94" s="45">
        <f t="shared" si="30"/>
        <v>8477.8007440000001</v>
      </c>
      <c r="F94" s="45">
        <f t="shared" si="30"/>
        <v>11022.412350925217</v>
      </c>
      <c r="G94" s="45">
        <f t="shared" si="30"/>
        <v>12196.125738148929</v>
      </c>
      <c r="H94" s="45">
        <f t="shared" si="30"/>
        <v>12988.453645426094</v>
      </c>
      <c r="I94" s="45">
        <f t="shared" si="30"/>
        <v>13689.371824688491</v>
      </c>
      <c r="J94" s="45">
        <f t="shared" si="30"/>
        <v>13771.958747836738</v>
      </c>
      <c r="K94" s="515"/>
      <c r="L94" s="255"/>
      <c r="M94" s="247"/>
      <c r="N94" s="247"/>
      <c r="O94" s="247"/>
      <c r="P94" s="247"/>
      <c r="Q94" s="247"/>
      <c r="R94" s="247"/>
      <c r="S94" s="247"/>
      <c r="T94" s="247"/>
      <c r="U94" s="247"/>
      <c r="V94" s="247"/>
      <c r="W94" s="247"/>
      <c r="X94" s="247"/>
      <c r="Y94" s="247"/>
    </row>
    <row r="95" spans="1:29" s="4" customFormat="1" ht="18" hidden="1" customHeight="1" outlineLevel="1">
      <c r="B95" s="2" t="s">
        <v>908</v>
      </c>
      <c r="C95" s="711">
        <f>C64-C94</f>
        <v>0</v>
      </c>
      <c r="D95" s="711">
        <f t="shared" ref="D95:J95" si="31">D64-D94</f>
        <v>0</v>
      </c>
      <c r="E95" s="711">
        <f t="shared" si="31"/>
        <v>0</v>
      </c>
      <c r="F95" s="711">
        <f t="shared" si="31"/>
        <v>0</v>
      </c>
      <c r="G95" s="711">
        <f t="shared" si="31"/>
        <v>0</v>
      </c>
      <c r="H95" s="711">
        <f t="shared" si="31"/>
        <v>0</v>
      </c>
      <c r="I95" s="711">
        <f t="shared" si="31"/>
        <v>0</v>
      </c>
      <c r="J95" s="711">
        <f t="shared" si="31"/>
        <v>0</v>
      </c>
      <c r="K95" s="14"/>
      <c r="L95" s="14"/>
      <c r="M95" s="14"/>
      <c r="N95" s="14"/>
      <c r="O95" s="14"/>
      <c r="P95" s="14"/>
      <c r="Q95" s="14"/>
      <c r="R95" s="14"/>
      <c r="S95" s="14"/>
      <c r="T95" s="14"/>
      <c r="U95" s="14"/>
      <c r="V95" s="14"/>
    </row>
    <row r="96" spans="1:29" s="4" customFormat="1" ht="18" hidden="1" customHeight="1" outlineLevel="1">
      <c r="B96" s="2" t="s">
        <v>103</v>
      </c>
      <c r="C96" s="52" t="str">
        <f>IF(ROUND(C95,0),"需要检查","OK")</f>
        <v>OK</v>
      </c>
      <c r="D96" s="52" t="str">
        <f t="shared" ref="D96:J96" si="32">IF(ROUND(D95,0),"需要检查","OK")</f>
        <v>OK</v>
      </c>
      <c r="E96" s="52" t="str">
        <f t="shared" si="32"/>
        <v>OK</v>
      </c>
      <c r="F96" s="52" t="str">
        <f t="shared" si="32"/>
        <v>OK</v>
      </c>
      <c r="G96" s="52" t="str">
        <f t="shared" si="32"/>
        <v>OK</v>
      </c>
      <c r="H96" s="52" t="str">
        <f t="shared" si="32"/>
        <v>OK</v>
      </c>
      <c r="I96" s="52" t="str">
        <f t="shared" si="32"/>
        <v>OK</v>
      </c>
      <c r="J96" s="52" t="str">
        <f t="shared" si="32"/>
        <v>OK</v>
      </c>
      <c r="K96" s="515"/>
      <c r="L96" s="14"/>
      <c r="M96" s="14"/>
      <c r="N96" s="14"/>
      <c r="O96" s="14"/>
      <c r="P96" s="14"/>
      <c r="Q96" s="14"/>
      <c r="R96" s="14"/>
      <c r="S96" s="14"/>
      <c r="T96" s="14"/>
      <c r="U96" s="14"/>
      <c r="V96" s="14"/>
      <c r="W96" s="14"/>
    </row>
    <row r="97" spans="1:25" ht="18" hidden="1" customHeight="1" outlineLevel="1">
      <c r="A97" s="263"/>
      <c r="B97" s="564" t="s">
        <v>888</v>
      </c>
      <c r="C97" s="49"/>
      <c r="D97" s="49"/>
      <c r="E97" s="49"/>
      <c r="F97" s="49"/>
      <c r="G97" s="49"/>
      <c r="H97" s="49"/>
      <c r="I97" s="49"/>
      <c r="J97" s="49"/>
      <c r="K97" s="515"/>
      <c r="T97" s="247"/>
      <c r="U97" s="247"/>
      <c r="V97" s="247"/>
      <c r="W97" s="247"/>
      <c r="X97" s="247"/>
      <c r="Y97" s="247"/>
    </row>
    <row r="98" spans="1:25" s="49" customFormat="1" ht="18" hidden="1" customHeight="1" outlineLevel="1">
      <c r="A98" s="263"/>
      <c r="B98" s="693" t="s">
        <v>102</v>
      </c>
      <c r="C98" s="74"/>
      <c r="D98" s="74"/>
      <c r="E98" s="74"/>
      <c r="F98" s="46">
        <f t="shared" ref="F98:J98" si="33">SUM(F42:F49)+F63</f>
        <v>9623.7262449352529</v>
      </c>
      <c r="G98" s="46">
        <f t="shared" si="33"/>
        <v>10184.020433951104</v>
      </c>
      <c r="H98" s="46">
        <f t="shared" si="33"/>
        <v>10879.555542752731</v>
      </c>
      <c r="I98" s="46">
        <f t="shared" si="33"/>
        <v>11325.672097600982</v>
      </c>
      <c r="J98" s="46">
        <f t="shared" si="33"/>
        <v>11404.588156878588</v>
      </c>
      <c r="K98" s="515"/>
    </row>
    <row r="99" spans="1:25" s="49" customFormat="1" ht="18" hidden="1" customHeight="1" outlineLevel="1">
      <c r="A99" s="263"/>
      <c r="B99" s="504" t="s">
        <v>553</v>
      </c>
      <c r="C99" s="74"/>
      <c r="D99" s="74"/>
      <c r="E99" s="74"/>
      <c r="F99" s="46">
        <f>F73+F81+SUM(F84:F87)+F93</f>
        <v>11022.412350925217</v>
      </c>
      <c r="G99" s="46">
        <f t="shared" ref="G99:J99" si="34">G73+G81+SUM(G84:G87)+G93</f>
        <v>12196.125738148929</v>
      </c>
      <c r="H99" s="46">
        <f t="shared" si="34"/>
        <v>12988.453645426094</v>
      </c>
      <c r="I99" s="46">
        <f t="shared" si="34"/>
        <v>13689.371824688491</v>
      </c>
      <c r="J99" s="46">
        <f t="shared" si="34"/>
        <v>13771.958747836738</v>
      </c>
      <c r="K99" s="515"/>
    </row>
    <row r="100" spans="1:25" s="49" customFormat="1" ht="18" hidden="1" customHeight="1" outlineLevel="1">
      <c r="A100" s="263"/>
      <c r="B100" s="504" t="s">
        <v>355</v>
      </c>
      <c r="C100" s="74"/>
      <c r="D100" s="74"/>
      <c r="E100" s="74"/>
      <c r="F100" s="46">
        <f>IF(ISERROR(F99-F98),0,F99-F98)</f>
        <v>1398.6861059899638</v>
      </c>
      <c r="G100" s="46">
        <f t="shared" ref="G100:J100" si="35">IF(ISERROR(G99-G98),0,G99-G98)</f>
        <v>2012.1053041978248</v>
      </c>
      <c r="H100" s="46">
        <f t="shared" si="35"/>
        <v>2108.8981026733636</v>
      </c>
      <c r="I100" s="46">
        <f t="shared" si="35"/>
        <v>2363.699727087509</v>
      </c>
      <c r="J100" s="46">
        <f t="shared" si="35"/>
        <v>2367.3705909581495</v>
      </c>
      <c r="K100" s="515"/>
    </row>
    <row r="101" spans="1:25" s="49" customFormat="1" ht="18" hidden="1" customHeight="1" outlineLevel="1">
      <c r="A101" s="263"/>
      <c r="B101" s="610"/>
      <c r="C101" s="47"/>
      <c r="D101" s="47"/>
      <c r="E101" s="47"/>
      <c r="F101" s="47"/>
      <c r="G101" s="47"/>
      <c r="H101" s="47"/>
      <c r="I101" s="47"/>
      <c r="J101" s="47"/>
      <c r="K101" s="515"/>
    </row>
    <row r="102" spans="1:25" s="49" customFormat="1" ht="18" hidden="1" customHeight="1" outlineLevel="1">
      <c r="A102" s="29"/>
      <c r="B102" s="564" t="s">
        <v>889</v>
      </c>
      <c r="C102" s="100"/>
      <c r="D102" s="1"/>
      <c r="E102" s="1"/>
      <c r="F102" s="1"/>
      <c r="G102" s="1"/>
      <c r="H102" s="1"/>
      <c r="I102" s="1"/>
      <c r="J102" s="19" t="s">
        <v>52</v>
      </c>
    </row>
    <row r="103" spans="1:25" s="49" customFormat="1" ht="18" hidden="1" customHeight="1" outlineLevel="1">
      <c r="A103" s="29"/>
      <c r="B103" s="7" t="s">
        <v>63</v>
      </c>
      <c r="C103" s="282" t="str">
        <f t="shared" ref="C103:J103" si="36">C19</f>
        <v>2015年</v>
      </c>
      <c r="D103" s="282" t="str">
        <f t="shared" si="36"/>
        <v>2016年</v>
      </c>
      <c r="E103" s="282" t="str">
        <f t="shared" si="36"/>
        <v>2017年</v>
      </c>
      <c r="F103" s="283" t="str">
        <f t="shared" si="36"/>
        <v>2018年</v>
      </c>
      <c r="G103" s="283" t="str">
        <f t="shared" si="36"/>
        <v>2019年</v>
      </c>
      <c r="H103" s="283" t="str">
        <f t="shared" si="36"/>
        <v>2020年</v>
      </c>
      <c r="I103" s="283" t="str">
        <f t="shared" si="36"/>
        <v>2021年</v>
      </c>
      <c r="J103" s="283" t="str">
        <f t="shared" si="36"/>
        <v>2022年</v>
      </c>
    </row>
    <row r="104" spans="1:25" s="49" customFormat="1" ht="18" hidden="1" customHeight="1" outlineLevel="1">
      <c r="A104" s="29"/>
      <c r="B104" s="32" t="s">
        <v>133</v>
      </c>
      <c r="C104" s="70"/>
      <c r="D104" s="70"/>
      <c r="E104" s="11"/>
      <c r="F104" s="11"/>
      <c r="G104" s="11"/>
      <c r="H104" s="11"/>
      <c r="I104" s="11"/>
      <c r="J104" s="11"/>
    </row>
    <row r="105" spans="1:25" s="49" customFormat="1" ht="18" hidden="1" customHeight="1" outlineLevel="1">
      <c r="A105" s="29"/>
      <c r="B105" s="285" t="s">
        <v>740</v>
      </c>
      <c r="C105" s="46">
        <f t="shared" ref="C105:J105" si="37">C50</f>
        <v>3476.5916660000003</v>
      </c>
      <c r="D105" s="46">
        <f t="shared" si="37"/>
        <v>4218.0950189999994</v>
      </c>
      <c r="E105" s="46">
        <f t="shared" si="37"/>
        <v>5195.4197510000004</v>
      </c>
      <c r="F105" s="46">
        <f t="shared" si="37"/>
        <v>8192.1081652585526</v>
      </c>
      <c r="G105" s="46">
        <f t="shared" si="37"/>
        <v>10037.999603815595</v>
      </c>
      <c r="H105" s="46">
        <f t="shared" si="37"/>
        <v>11111.616882883594</v>
      </c>
      <c r="I105" s="46">
        <f t="shared" si="37"/>
        <v>11907.472735298492</v>
      </c>
      <c r="J105" s="46">
        <f t="shared" si="37"/>
        <v>12115.997331599237</v>
      </c>
      <c r="L105" s="140"/>
    </row>
    <row r="106" spans="1:25" s="49" customFormat="1" ht="18" hidden="1" customHeight="1" outlineLevel="1">
      <c r="A106" s="29"/>
      <c r="B106" s="285" t="s">
        <v>741</v>
      </c>
      <c r="C106" s="46">
        <f t="shared" ref="C106:J106" si="38">C73</f>
        <v>2280.157303</v>
      </c>
      <c r="D106" s="46">
        <f t="shared" si="38"/>
        <v>3339.2944379999999</v>
      </c>
      <c r="E106" s="46">
        <f t="shared" si="38"/>
        <v>2341.0130559999998</v>
      </c>
      <c r="F106" s="46">
        <f t="shared" si="38"/>
        <v>3336.1170939361164</v>
      </c>
      <c r="G106" s="46">
        <f t="shared" si="38"/>
        <v>3847.1520877535736</v>
      </c>
      <c r="H106" s="46">
        <f t="shared" si="38"/>
        <v>4253.6798611353533</v>
      </c>
      <c r="I106" s="46">
        <f t="shared" si="38"/>
        <v>4477.6882741047848</v>
      </c>
      <c r="J106" s="46">
        <f t="shared" si="38"/>
        <v>4561.3960345258474</v>
      </c>
      <c r="L106" s="140"/>
    </row>
    <row r="107" spans="1:25" s="49" customFormat="1" ht="18" hidden="1" customHeight="1" outlineLevel="1">
      <c r="A107" s="29"/>
      <c r="B107" s="735" t="s">
        <v>973</v>
      </c>
      <c r="C107" s="46">
        <f>C63-C61</f>
        <v>2720.4011169999994</v>
      </c>
      <c r="D107" s="46">
        <f t="shared" ref="D107:J107" si="39">D63-D61</f>
        <v>2709.413391</v>
      </c>
      <c r="E107" s="46">
        <f t="shared" si="39"/>
        <v>3181.3162229999998</v>
      </c>
      <c r="F107" s="46">
        <f t="shared" si="39"/>
        <v>2729.239415666666</v>
      </c>
      <c r="G107" s="46">
        <f t="shared" si="39"/>
        <v>2057.0613643333331</v>
      </c>
      <c r="H107" s="46">
        <f t="shared" si="39"/>
        <v>1775.7719925424999</v>
      </c>
      <c r="I107" s="46">
        <f t="shared" si="39"/>
        <v>1680.83431939</v>
      </c>
      <c r="J107" s="46">
        <f t="shared" si="39"/>
        <v>1554.8966462374999</v>
      </c>
      <c r="L107" s="140"/>
    </row>
    <row r="108" spans="1:25" s="49" customFormat="1" ht="18" hidden="1" customHeight="1" outlineLevel="1">
      <c r="A108" s="29"/>
      <c r="B108" s="281" t="s">
        <v>902</v>
      </c>
      <c r="C108" s="46">
        <f>C14</f>
        <v>0</v>
      </c>
      <c r="D108" s="46">
        <f>D14</f>
        <v>0</v>
      </c>
      <c r="E108" s="46">
        <f>E14</f>
        <v>0</v>
      </c>
      <c r="F108" s="46">
        <f>E108</f>
        <v>0</v>
      </c>
      <c r="G108" s="46">
        <f t="shared" ref="G108:I108" si="40">F108</f>
        <v>0</v>
      </c>
      <c r="H108" s="46">
        <f t="shared" si="40"/>
        <v>0</v>
      </c>
      <c r="I108" s="46">
        <f t="shared" si="40"/>
        <v>0</v>
      </c>
      <c r="J108" s="46">
        <f>I108</f>
        <v>0</v>
      </c>
      <c r="L108" s="140"/>
    </row>
    <row r="109" spans="1:25" s="49" customFormat="1" ht="18" hidden="1" customHeight="1" outlineLevel="1">
      <c r="A109" s="29"/>
      <c r="B109" s="281" t="s">
        <v>132</v>
      </c>
      <c r="C109" s="46">
        <f t="shared" ref="C109:J109" si="41">C59</f>
        <v>0</v>
      </c>
      <c r="D109" s="46">
        <f t="shared" si="41"/>
        <v>0</v>
      </c>
      <c r="E109" s="46">
        <f t="shared" si="41"/>
        <v>0</v>
      </c>
      <c r="F109" s="46">
        <f t="shared" si="41"/>
        <v>0</v>
      </c>
      <c r="G109" s="46">
        <f t="shared" si="41"/>
        <v>0</v>
      </c>
      <c r="H109" s="46">
        <f t="shared" si="41"/>
        <v>0</v>
      </c>
      <c r="I109" s="46">
        <f t="shared" si="41"/>
        <v>0</v>
      </c>
      <c r="J109" s="46">
        <f t="shared" si="41"/>
        <v>0</v>
      </c>
      <c r="L109" s="140"/>
    </row>
    <row r="110" spans="1:25" s="49" customFormat="1" ht="18" hidden="1" customHeight="1" outlineLevel="1">
      <c r="A110" s="29"/>
      <c r="B110" s="286" t="s">
        <v>742</v>
      </c>
      <c r="C110" s="45">
        <f>C105-C106+C107+C108-C109</f>
        <v>3916.8354799999997</v>
      </c>
      <c r="D110" s="45">
        <f t="shared" ref="D110:I110" si="42">D105-D106+D107+D108-D109</f>
        <v>3588.2139719999996</v>
      </c>
      <c r="E110" s="45">
        <f t="shared" si="42"/>
        <v>6035.7229180000004</v>
      </c>
      <c r="F110" s="45">
        <f t="shared" si="42"/>
        <v>7585.2304869891022</v>
      </c>
      <c r="G110" s="45">
        <f t="shared" si="42"/>
        <v>8247.9088803953546</v>
      </c>
      <c r="H110" s="45">
        <f t="shared" si="42"/>
        <v>8633.70901429074</v>
      </c>
      <c r="I110" s="45">
        <f t="shared" si="42"/>
        <v>9110.6187805837071</v>
      </c>
      <c r="J110" s="45">
        <f>J105-J106+J107+J108-J109</f>
        <v>9109.4979433108892</v>
      </c>
      <c r="L110" s="140"/>
    </row>
    <row r="111" spans="1:25" s="49" customFormat="1" ht="18" hidden="1" customHeight="1" outlineLevel="1">
      <c r="A111" s="29"/>
      <c r="B111" s="281" t="s">
        <v>136</v>
      </c>
      <c r="C111" s="46">
        <f>C109</f>
        <v>0</v>
      </c>
      <c r="D111" s="46">
        <f t="shared" ref="D111:J111" si="43">D109</f>
        <v>0</v>
      </c>
      <c r="E111" s="46">
        <f t="shared" si="43"/>
        <v>0</v>
      </c>
      <c r="F111" s="46">
        <f t="shared" si="43"/>
        <v>0</v>
      </c>
      <c r="G111" s="46">
        <f t="shared" si="43"/>
        <v>0</v>
      </c>
      <c r="H111" s="46">
        <f t="shared" si="43"/>
        <v>0</v>
      </c>
      <c r="I111" s="46">
        <f t="shared" si="43"/>
        <v>0</v>
      </c>
      <c r="J111" s="46">
        <f t="shared" si="43"/>
        <v>0</v>
      </c>
      <c r="L111" s="140"/>
    </row>
    <row r="112" spans="1:25" s="49" customFormat="1" ht="18" hidden="1" customHeight="1" outlineLevel="1">
      <c r="A112" s="29"/>
      <c r="B112" s="281" t="s">
        <v>360</v>
      </c>
      <c r="C112" s="589">
        <f>C15</f>
        <v>0</v>
      </c>
      <c r="D112" s="589">
        <f>D15</f>
        <v>0</v>
      </c>
      <c r="E112" s="589">
        <f>E15</f>
        <v>0</v>
      </c>
      <c r="F112" s="589">
        <f>E112</f>
        <v>0</v>
      </c>
      <c r="G112" s="589">
        <f t="shared" ref="G112:I112" si="44">F112</f>
        <v>0</v>
      </c>
      <c r="H112" s="589">
        <f t="shared" si="44"/>
        <v>0</v>
      </c>
      <c r="I112" s="589">
        <f t="shared" si="44"/>
        <v>0</v>
      </c>
      <c r="J112" s="589">
        <f>I112</f>
        <v>0</v>
      </c>
      <c r="L112" s="152"/>
    </row>
    <row r="113" spans="1:12" s="49" customFormat="1" ht="18" hidden="1" customHeight="1" outlineLevel="1">
      <c r="A113" s="29"/>
      <c r="B113" s="286" t="s">
        <v>743</v>
      </c>
      <c r="C113" s="45">
        <f>SUM(C110:C112)</f>
        <v>3916.8354799999997</v>
      </c>
      <c r="D113" s="45">
        <f t="shared" ref="D113:I113" si="45">SUM(D110:D112)</f>
        <v>3588.2139719999996</v>
      </c>
      <c r="E113" s="45">
        <f t="shared" si="45"/>
        <v>6035.7229180000004</v>
      </c>
      <c r="F113" s="45">
        <f t="shared" si="45"/>
        <v>7585.2304869891022</v>
      </c>
      <c r="G113" s="45">
        <f t="shared" si="45"/>
        <v>8247.9088803953546</v>
      </c>
      <c r="H113" s="45">
        <f t="shared" si="45"/>
        <v>8633.70901429074</v>
      </c>
      <c r="I113" s="45">
        <f t="shared" si="45"/>
        <v>9110.6187805837071</v>
      </c>
      <c r="J113" s="45">
        <f>SUM(J110:J112)</f>
        <v>9109.4979433108892</v>
      </c>
      <c r="L113" s="140"/>
    </row>
    <row r="114" spans="1:12" s="49" customFormat="1" ht="18" hidden="1" customHeight="1" outlineLevel="1">
      <c r="A114" s="29"/>
      <c r="B114" s="287" t="s">
        <v>134</v>
      </c>
      <c r="C114" s="717" t="s">
        <v>910</v>
      </c>
      <c r="D114" s="46"/>
      <c r="E114" s="46"/>
      <c r="F114" s="46"/>
      <c r="G114" s="46"/>
      <c r="H114" s="46"/>
      <c r="I114" s="46"/>
      <c r="J114" s="46"/>
      <c r="L114" s="140"/>
    </row>
    <row r="115" spans="1:12" s="49" customFormat="1" ht="18" hidden="1" customHeight="1" outlineLevel="1">
      <c r="A115" s="29"/>
      <c r="B115" s="736" t="s">
        <v>974</v>
      </c>
      <c r="C115" s="46">
        <f>C81-C79</f>
        <v>0</v>
      </c>
      <c r="D115" s="46">
        <f t="shared" ref="D115:J115" si="46">D81-D79</f>
        <v>0</v>
      </c>
      <c r="E115" s="46">
        <f t="shared" si="46"/>
        <v>0</v>
      </c>
      <c r="F115" s="46">
        <f t="shared" si="46"/>
        <v>0</v>
      </c>
      <c r="G115" s="46">
        <f t="shared" si="46"/>
        <v>0</v>
      </c>
      <c r="H115" s="46">
        <f t="shared" si="46"/>
        <v>0</v>
      </c>
      <c r="I115" s="46">
        <f t="shared" si="46"/>
        <v>0</v>
      </c>
      <c r="J115" s="46">
        <f t="shared" si="46"/>
        <v>0</v>
      </c>
      <c r="L115" s="140"/>
    </row>
    <row r="116" spans="1:12" s="49" customFormat="1" ht="18" hidden="1" customHeight="1" outlineLevel="1">
      <c r="A116" s="29"/>
      <c r="B116" s="281" t="s">
        <v>95</v>
      </c>
      <c r="C116" s="46">
        <f>C88</f>
        <v>2050</v>
      </c>
      <c r="D116" s="46">
        <f t="shared" ref="D116:J116" si="47">D88</f>
        <v>1100</v>
      </c>
      <c r="E116" s="46">
        <f t="shared" si="47"/>
        <v>1000</v>
      </c>
      <c r="F116" s="46">
        <f t="shared" si="47"/>
        <v>1000</v>
      </c>
      <c r="G116" s="46">
        <f t="shared" si="47"/>
        <v>1000</v>
      </c>
      <c r="H116" s="46">
        <f t="shared" si="47"/>
        <v>1000</v>
      </c>
      <c r="I116" s="46">
        <f t="shared" si="47"/>
        <v>1000</v>
      </c>
      <c r="J116" s="46">
        <f t="shared" si="47"/>
        <v>1000</v>
      </c>
      <c r="K116" s="140"/>
      <c r="L116" s="140"/>
    </row>
    <row r="117" spans="1:12" s="49" customFormat="1" ht="18" hidden="1" customHeight="1" outlineLevel="1">
      <c r="A117" s="29"/>
      <c r="B117" s="716" t="s">
        <v>45</v>
      </c>
      <c r="C117" s="45">
        <f>C115+C116</f>
        <v>2050</v>
      </c>
      <c r="D117" s="45">
        <f t="shared" ref="D117:J117" si="48">D115+D116</f>
        <v>1100</v>
      </c>
      <c r="E117" s="45">
        <f t="shared" si="48"/>
        <v>1000</v>
      </c>
      <c r="F117" s="45">
        <f t="shared" si="48"/>
        <v>1000</v>
      </c>
      <c r="G117" s="45">
        <f t="shared" si="48"/>
        <v>1000</v>
      </c>
      <c r="H117" s="45">
        <f t="shared" si="48"/>
        <v>1000</v>
      </c>
      <c r="I117" s="45">
        <f t="shared" si="48"/>
        <v>1000</v>
      </c>
      <c r="J117" s="45">
        <f t="shared" si="48"/>
        <v>1000</v>
      </c>
      <c r="K117" s="140"/>
      <c r="L117" s="140"/>
    </row>
    <row r="118" spans="1:12" s="49" customFormat="1" ht="18" hidden="1" customHeight="1" outlineLevel="1">
      <c r="A118" s="29"/>
      <c r="B118" s="287" t="s">
        <v>83</v>
      </c>
      <c r="C118" s="46"/>
      <c r="D118" s="46"/>
      <c r="E118" s="46"/>
      <c r="F118" s="46"/>
      <c r="G118" s="46"/>
      <c r="H118" s="46"/>
      <c r="I118" s="46"/>
      <c r="J118" s="46"/>
      <c r="K118" s="140"/>
      <c r="L118" s="140"/>
    </row>
    <row r="119" spans="1:12" s="140" customFormat="1" ht="18" hidden="1" customHeight="1" outlineLevel="1">
      <c r="A119" s="710"/>
      <c r="B119" s="534" t="s">
        <v>909</v>
      </c>
      <c r="C119" s="156">
        <f>C79</f>
        <v>0</v>
      </c>
      <c r="D119" s="156">
        <f t="shared" ref="D119:J119" si="49">D79</f>
        <v>0</v>
      </c>
      <c r="E119" s="156">
        <f t="shared" si="49"/>
        <v>0</v>
      </c>
      <c r="F119" s="156">
        <f t="shared" si="49"/>
        <v>0</v>
      </c>
      <c r="G119" s="156">
        <f t="shared" si="49"/>
        <v>0</v>
      </c>
      <c r="H119" s="156">
        <f t="shared" si="49"/>
        <v>0</v>
      </c>
      <c r="I119" s="156">
        <f t="shared" si="49"/>
        <v>0</v>
      </c>
      <c r="J119" s="156">
        <f t="shared" si="49"/>
        <v>0</v>
      </c>
    </row>
    <row r="120" spans="1:12" s="140" customFormat="1" ht="18" hidden="1" customHeight="1" outlineLevel="1">
      <c r="A120" s="710"/>
      <c r="B120" s="534" t="s">
        <v>135</v>
      </c>
      <c r="C120" s="156">
        <f t="shared" ref="C120:J120" si="50">C61</f>
        <v>77.510452999999998</v>
      </c>
      <c r="D120" s="156">
        <f t="shared" si="50"/>
        <v>88.215967000000006</v>
      </c>
      <c r="E120" s="156">
        <f t="shared" si="50"/>
        <v>101.06477</v>
      </c>
      <c r="F120" s="156">
        <f t="shared" si="50"/>
        <v>101.06477</v>
      </c>
      <c r="G120" s="156">
        <f t="shared" si="50"/>
        <v>101.06477</v>
      </c>
      <c r="H120" s="156">
        <f t="shared" si="50"/>
        <v>101.06477</v>
      </c>
      <c r="I120" s="156">
        <f t="shared" si="50"/>
        <v>101.06477</v>
      </c>
      <c r="J120" s="156">
        <f t="shared" si="50"/>
        <v>101.06477</v>
      </c>
    </row>
    <row r="121" spans="1:12" s="49" customFormat="1" ht="18" hidden="1" customHeight="1" outlineLevel="1">
      <c r="A121" s="29"/>
      <c r="B121" s="281" t="s">
        <v>902</v>
      </c>
      <c r="C121" s="46">
        <f t="shared" ref="C121:J121" si="51">C108</f>
        <v>0</v>
      </c>
      <c r="D121" s="46">
        <f t="shared" si="51"/>
        <v>0</v>
      </c>
      <c r="E121" s="46">
        <f t="shared" si="51"/>
        <v>0</v>
      </c>
      <c r="F121" s="46">
        <f t="shared" si="51"/>
        <v>0</v>
      </c>
      <c r="G121" s="46">
        <f t="shared" si="51"/>
        <v>0</v>
      </c>
      <c r="H121" s="46">
        <f t="shared" si="51"/>
        <v>0</v>
      </c>
      <c r="I121" s="46">
        <f t="shared" si="51"/>
        <v>0</v>
      </c>
      <c r="J121" s="46">
        <f t="shared" si="51"/>
        <v>0</v>
      </c>
      <c r="K121" s="140"/>
      <c r="L121" s="140"/>
    </row>
    <row r="122" spans="1:12" s="49" customFormat="1" ht="18" hidden="1" customHeight="1" outlineLevel="1">
      <c r="A122" s="29"/>
      <c r="B122" s="281" t="s">
        <v>360</v>
      </c>
      <c r="C122" s="46">
        <f t="shared" ref="C122:J122" si="52">C112</f>
        <v>0</v>
      </c>
      <c r="D122" s="46">
        <f t="shared" si="52"/>
        <v>0</v>
      </c>
      <c r="E122" s="46">
        <f t="shared" si="52"/>
        <v>0</v>
      </c>
      <c r="F122" s="46">
        <f t="shared" si="52"/>
        <v>0</v>
      </c>
      <c r="G122" s="46">
        <f t="shared" si="52"/>
        <v>0</v>
      </c>
      <c r="H122" s="46">
        <f t="shared" si="52"/>
        <v>0</v>
      </c>
      <c r="I122" s="46">
        <f t="shared" si="52"/>
        <v>0</v>
      </c>
      <c r="J122" s="46">
        <f t="shared" si="52"/>
        <v>0</v>
      </c>
      <c r="K122" s="140"/>
      <c r="L122" s="140"/>
    </row>
    <row r="123" spans="1:12" s="49" customFormat="1" ht="18" hidden="1" customHeight="1" outlineLevel="1">
      <c r="A123" s="29"/>
      <c r="B123" s="286" t="s">
        <v>81</v>
      </c>
      <c r="C123" s="45">
        <f>C119-C120+C121+C122</f>
        <v>-77.510452999999998</v>
      </c>
      <c r="D123" s="45">
        <f t="shared" ref="D123:J123" si="53">D119-D120+D121+D122</f>
        <v>-88.215967000000006</v>
      </c>
      <c r="E123" s="45">
        <f t="shared" si="53"/>
        <v>-101.06477</v>
      </c>
      <c r="F123" s="45">
        <f t="shared" si="53"/>
        <v>-101.06477</v>
      </c>
      <c r="G123" s="45">
        <f t="shared" si="53"/>
        <v>-101.06477</v>
      </c>
      <c r="H123" s="45">
        <f t="shared" si="53"/>
        <v>-101.06477</v>
      </c>
      <c r="I123" s="45">
        <f t="shared" si="53"/>
        <v>-101.06477</v>
      </c>
      <c r="J123" s="45">
        <f t="shared" si="53"/>
        <v>-101.06477</v>
      </c>
      <c r="K123" s="140"/>
      <c r="L123" s="140"/>
    </row>
    <row r="124" spans="1:12" s="49" customFormat="1" ht="18" hidden="1" customHeight="1" outlineLevel="1">
      <c r="A124" s="29"/>
      <c r="B124" s="287" t="s">
        <v>85</v>
      </c>
      <c r="C124" s="46"/>
      <c r="D124" s="46"/>
      <c r="E124" s="46"/>
      <c r="F124" s="46"/>
      <c r="G124" s="46"/>
      <c r="H124" s="46"/>
      <c r="I124" s="46"/>
      <c r="J124" s="46"/>
      <c r="K124" s="140"/>
      <c r="L124" s="140"/>
    </row>
    <row r="125" spans="1:12" s="49" customFormat="1" ht="18" hidden="1" customHeight="1" outlineLevel="1">
      <c r="A125" s="29"/>
      <c r="B125" s="281" t="s">
        <v>615</v>
      </c>
      <c r="C125" s="46">
        <f t="shared" ref="C125:J125" si="54">C93</f>
        <v>1944.3459330000001</v>
      </c>
      <c r="D125" s="46">
        <f t="shared" si="54"/>
        <v>2576.4299389999996</v>
      </c>
      <c r="E125" s="46">
        <f t="shared" si="54"/>
        <v>5136.7876879999994</v>
      </c>
      <c r="F125" s="46">
        <f t="shared" si="54"/>
        <v>6686.2952569890995</v>
      </c>
      <c r="G125" s="46">
        <f t="shared" si="54"/>
        <v>7348.9736503953554</v>
      </c>
      <c r="H125" s="46">
        <f t="shared" si="54"/>
        <v>7734.7737842907409</v>
      </c>
      <c r="I125" s="46">
        <f t="shared" si="54"/>
        <v>8211.6835505837062</v>
      </c>
      <c r="J125" s="46">
        <f t="shared" si="54"/>
        <v>8210.5627133108901</v>
      </c>
      <c r="K125" s="140"/>
      <c r="L125" s="140"/>
    </row>
    <row r="126" spans="1:12" s="49" customFormat="1" ht="18" hidden="1" customHeight="1" outlineLevel="1">
      <c r="A126" s="29"/>
      <c r="B126" s="286" t="s">
        <v>743</v>
      </c>
      <c r="C126" s="45">
        <f>C117+C123+C125</f>
        <v>3916.8354799999997</v>
      </c>
      <c r="D126" s="45">
        <f t="shared" ref="D126:J126" si="55">D117+D123+D125</f>
        <v>3588.2139719999996</v>
      </c>
      <c r="E126" s="45">
        <f t="shared" si="55"/>
        <v>6035.7229179999995</v>
      </c>
      <c r="F126" s="45">
        <f t="shared" si="55"/>
        <v>7585.2304869890995</v>
      </c>
      <c r="G126" s="45">
        <f t="shared" si="55"/>
        <v>8247.9088803953564</v>
      </c>
      <c r="H126" s="45">
        <f t="shared" si="55"/>
        <v>8633.70901429074</v>
      </c>
      <c r="I126" s="45">
        <f t="shared" si="55"/>
        <v>9110.6187805837071</v>
      </c>
      <c r="J126" s="45">
        <f t="shared" si="55"/>
        <v>9109.4979433108892</v>
      </c>
      <c r="K126" s="140"/>
      <c r="L126" s="140"/>
    </row>
    <row r="127" spans="1:12" s="49" customFormat="1" ht="18" hidden="1" customHeight="1" outlineLevel="1">
      <c r="A127" s="29"/>
      <c r="B127" s="2" t="s">
        <v>51</v>
      </c>
      <c r="C127" s="711">
        <f t="shared" ref="C127:J127" si="56">C113-C126</f>
        <v>0</v>
      </c>
      <c r="D127" s="711">
        <f t="shared" si="56"/>
        <v>0</v>
      </c>
      <c r="E127" s="711">
        <f t="shared" si="56"/>
        <v>0</v>
      </c>
      <c r="F127" s="711">
        <f t="shared" si="56"/>
        <v>0</v>
      </c>
      <c r="G127" s="711">
        <f t="shared" si="56"/>
        <v>0</v>
      </c>
      <c r="H127" s="711">
        <f t="shared" si="56"/>
        <v>0</v>
      </c>
      <c r="I127" s="711">
        <f t="shared" si="56"/>
        <v>0</v>
      </c>
      <c r="J127" s="711">
        <f t="shared" si="56"/>
        <v>0</v>
      </c>
      <c r="K127" s="140"/>
      <c r="L127" s="140"/>
    </row>
    <row r="128" spans="1:12" s="49" customFormat="1" ht="18" hidden="1" customHeight="1" outlineLevel="1">
      <c r="A128" s="17"/>
      <c r="B128" s="34" t="s">
        <v>361</v>
      </c>
      <c r="C128" s="52" t="str">
        <f>IF(ROUND(C127,0)=0,"OK","需要检查")</f>
        <v>OK</v>
      </c>
      <c r="D128" s="52" t="str">
        <f t="shared" ref="D128:J128" si="57">IF(ROUND(D127,0)=0,"OK","需要检查")</f>
        <v>OK</v>
      </c>
      <c r="E128" s="52" t="str">
        <f t="shared" si="57"/>
        <v>OK</v>
      </c>
      <c r="F128" s="52" t="str">
        <f t="shared" si="57"/>
        <v>OK</v>
      </c>
      <c r="G128" s="52" t="str">
        <f t="shared" si="57"/>
        <v>OK</v>
      </c>
      <c r="H128" s="52" t="str">
        <f t="shared" si="57"/>
        <v>OK</v>
      </c>
      <c r="I128" s="52" t="str">
        <f t="shared" si="57"/>
        <v>OK</v>
      </c>
      <c r="J128" s="52" t="str">
        <f t="shared" si="57"/>
        <v>OK</v>
      </c>
      <c r="K128" s="140"/>
      <c r="L128" s="140"/>
    </row>
    <row r="129" spans="1:12" s="49" customFormat="1" ht="18" customHeight="1" collapsed="1">
      <c r="A129" s="17"/>
      <c r="B129" s="34"/>
      <c r="C129" s="52"/>
      <c r="D129" s="52"/>
      <c r="E129" s="52"/>
      <c r="F129" s="52"/>
      <c r="G129" s="52"/>
      <c r="H129" s="52"/>
      <c r="I129" s="52"/>
      <c r="J129" s="52"/>
      <c r="K129" s="140"/>
      <c r="L129" s="140"/>
    </row>
    <row r="130" spans="1:12" s="49" customFormat="1" ht="24.75" customHeight="1">
      <c r="A130" s="48"/>
      <c r="B130" s="426" t="s">
        <v>454</v>
      </c>
      <c r="E130" s="48"/>
      <c r="F130" s="48"/>
      <c r="G130" s="48"/>
      <c r="H130" s="48"/>
      <c r="I130" s="48"/>
    </row>
    <row r="131" spans="1:12" s="49" customFormat="1" ht="18" customHeight="1">
      <c r="A131" s="48"/>
      <c r="B131" s="15" t="s">
        <v>65</v>
      </c>
      <c r="C131" s="61" t="str">
        <f t="shared" ref="C131:J131" si="58">C19</f>
        <v>2015年</v>
      </c>
      <c r="D131" s="61" t="str">
        <f t="shared" si="58"/>
        <v>2016年</v>
      </c>
      <c r="E131" s="61" t="str">
        <f t="shared" si="58"/>
        <v>2017年</v>
      </c>
      <c r="F131" s="30" t="str">
        <f t="shared" si="58"/>
        <v>2018年</v>
      </c>
      <c r="G131" s="30" t="str">
        <f t="shared" si="58"/>
        <v>2019年</v>
      </c>
      <c r="H131" s="30" t="str">
        <f t="shared" si="58"/>
        <v>2020年</v>
      </c>
      <c r="I131" s="30" t="str">
        <f t="shared" si="58"/>
        <v>2021年</v>
      </c>
      <c r="J131" s="30" t="str">
        <f t="shared" si="58"/>
        <v>2022年</v>
      </c>
    </row>
    <row r="132" spans="1:12" s="49" customFormat="1" ht="18" customHeight="1">
      <c r="A132" s="48"/>
      <c r="B132" s="280" t="s">
        <v>153</v>
      </c>
      <c r="C132" s="61"/>
      <c r="D132" s="61"/>
      <c r="E132" s="30"/>
      <c r="F132" s="30"/>
      <c r="G132" s="30"/>
      <c r="H132" s="30"/>
      <c r="I132" s="30"/>
      <c r="J132" s="30"/>
    </row>
    <row r="133" spans="1:12" s="49" customFormat="1" ht="18" customHeight="1">
      <c r="A133" s="48"/>
      <c r="B133" s="281" t="s">
        <v>150</v>
      </c>
      <c r="C133" s="161"/>
      <c r="D133" s="161">
        <f t="shared" ref="D133:J133" si="59">IF(C20,D20/C20-1,"na")</f>
        <v>0.29343883390638759</v>
      </c>
      <c r="E133" s="161">
        <f t="shared" si="59"/>
        <v>0.31634129091082031</v>
      </c>
      <c r="F133" s="161">
        <f t="shared" si="59"/>
        <v>0.24126489234629389</v>
      </c>
      <c r="G133" s="161">
        <f t="shared" si="59"/>
        <v>0.18481929032933908</v>
      </c>
      <c r="H133" s="161">
        <f t="shared" si="59"/>
        <v>0.12408942242098497</v>
      </c>
      <c r="I133" s="161">
        <f t="shared" si="59"/>
        <v>6.0828626443553135E-2</v>
      </c>
      <c r="J133" s="161">
        <f t="shared" si="59"/>
        <v>2.1427138295877723E-2</v>
      </c>
    </row>
    <row r="134" spans="1:12" s="49" customFormat="1" ht="18" customHeight="1">
      <c r="A134" s="48"/>
      <c r="B134" s="281" t="s">
        <v>565</v>
      </c>
      <c r="C134" s="161"/>
      <c r="D134" s="161">
        <f t="shared" ref="D134:J134" si="60">IF(C93,D93/C93-1,"na")</f>
        <v>0.32508824446930329</v>
      </c>
      <c r="E134" s="161">
        <f t="shared" si="60"/>
        <v>0.99376183696800302</v>
      </c>
      <c r="F134" s="161">
        <f t="shared" si="60"/>
        <v>0.3016491362118956</v>
      </c>
      <c r="G134" s="161">
        <f t="shared" si="60"/>
        <v>9.9109950718010431E-2</v>
      </c>
      <c r="H134" s="161">
        <f t="shared" si="60"/>
        <v>5.2497144805333518E-2</v>
      </c>
      <c r="I134" s="161">
        <f t="shared" si="60"/>
        <v>6.1657881612719567E-2</v>
      </c>
      <c r="J134" s="161">
        <f t="shared" si="60"/>
        <v>-1.3649299390461334E-4</v>
      </c>
    </row>
    <row r="135" spans="1:12" s="49" customFormat="1" ht="18" customHeight="1">
      <c r="A135" s="48"/>
      <c r="B135" s="280" t="s">
        <v>357</v>
      </c>
      <c r="C135" s="12"/>
      <c r="D135" s="12"/>
      <c r="E135" s="12"/>
      <c r="F135" s="12"/>
      <c r="G135" s="12"/>
      <c r="H135" s="12"/>
      <c r="I135" s="12"/>
      <c r="J135" s="12"/>
    </row>
    <row r="136" spans="1:12" s="49" customFormat="1" ht="18" customHeight="1">
      <c r="A136" s="48"/>
      <c r="B136" s="232" t="s">
        <v>186</v>
      </c>
      <c r="C136" s="162">
        <f t="shared" ref="C136:J136" si="61">IF(C20,C22/C20,"na")</f>
        <v>9.5392369154844205E-3</v>
      </c>
      <c r="D136" s="162">
        <f t="shared" si="61"/>
        <v>1.1145618620796945E-2</v>
      </c>
      <c r="E136" s="162">
        <f t="shared" si="61"/>
        <v>1.1792799004946845E-2</v>
      </c>
      <c r="F136" s="162">
        <f t="shared" si="61"/>
        <v>8.9873536295188815E-3</v>
      </c>
      <c r="G136" s="162">
        <f t="shared" si="61"/>
        <v>8.9959049287763864E-3</v>
      </c>
      <c r="H136" s="162">
        <f t="shared" si="61"/>
        <v>8.9830351875590485E-3</v>
      </c>
      <c r="I136" s="162">
        <f t="shared" si="61"/>
        <v>9.0423234081806678E-3</v>
      </c>
      <c r="J136" s="162">
        <f t="shared" si="61"/>
        <v>9.0211157743250656E-3</v>
      </c>
    </row>
    <row r="137" spans="1:12" s="49" customFormat="1" ht="18" customHeight="1">
      <c r="A137" s="48"/>
      <c r="B137" s="232" t="s">
        <v>568</v>
      </c>
      <c r="C137" s="161">
        <f t="shared" ref="C137:J137" si="62">IF(C20,(C23+C24+C25)/C20,"na")</f>
        <v>0.27633201125084078</v>
      </c>
      <c r="D137" s="161">
        <f t="shared" si="62"/>
        <v>0.22846618558902082</v>
      </c>
      <c r="E137" s="161">
        <f t="shared" si="62"/>
        <v>0.23274866630219998</v>
      </c>
      <c r="F137" s="161">
        <f t="shared" si="62"/>
        <v>0.22512764887122264</v>
      </c>
      <c r="G137" s="161">
        <f t="shared" si="62"/>
        <v>0.2204598964321243</v>
      </c>
      <c r="H137" s="161">
        <f t="shared" si="62"/>
        <v>0.21399109877276917</v>
      </c>
      <c r="I137" s="161">
        <f t="shared" si="62"/>
        <v>0.21122638787702372</v>
      </c>
      <c r="J137" s="161">
        <f t="shared" si="62"/>
        <v>0.21276315682754268</v>
      </c>
    </row>
    <row r="138" spans="1:12" s="49" customFormat="1" ht="18" customHeight="1">
      <c r="A138" s="48"/>
      <c r="B138" s="281" t="s">
        <v>80</v>
      </c>
      <c r="C138" s="161">
        <f t="shared" ref="C138:J138" si="63">IF(C20,(C20-C21)/C20,"na")</f>
        <v>0.38894041941422508</v>
      </c>
      <c r="D138" s="161">
        <f t="shared" si="63"/>
        <v>0.3667585197504401</v>
      </c>
      <c r="E138" s="161">
        <f t="shared" si="63"/>
        <v>0.40066140728131233</v>
      </c>
      <c r="F138" s="161">
        <f t="shared" si="63"/>
        <v>0.39999999999999997</v>
      </c>
      <c r="G138" s="161">
        <f t="shared" si="63"/>
        <v>0.40000000000000008</v>
      </c>
      <c r="H138" s="161">
        <f t="shared" si="63"/>
        <v>0.4</v>
      </c>
      <c r="I138" s="161">
        <f t="shared" si="63"/>
        <v>0.4</v>
      </c>
      <c r="J138" s="161">
        <f t="shared" si="63"/>
        <v>0.4</v>
      </c>
    </row>
    <row r="139" spans="1:12" s="49" customFormat="1" ht="18" customHeight="1">
      <c r="A139" s="48"/>
      <c r="B139" s="281" t="s">
        <v>570</v>
      </c>
      <c r="C139" s="161">
        <f t="shared" ref="C139:J139" si="64">IF(C20,C30/C20,"na")</f>
        <v>7.9792734507897076E-2</v>
      </c>
      <c r="D139" s="161">
        <f t="shared" si="64"/>
        <v>0.11183933177793487</v>
      </c>
      <c r="E139" s="161">
        <f t="shared" si="64"/>
        <v>0.14571513059878843</v>
      </c>
      <c r="F139" s="161">
        <f t="shared" si="64"/>
        <v>0.1605982378410454</v>
      </c>
      <c r="G139" s="161">
        <f t="shared" si="64"/>
        <v>0.16487438970608023</v>
      </c>
      <c r="H139" s="161">
        <f t="shared" si="64"/>
        <v>0.17305635887844925</v>
      </c>
      <c r="I139" s="161">
        <f t="shared" si="64"/>
        <v>0.17598939576217953</v>
      </c>
      <c r="J139" s="161">
        <f t="shared" si="64"/>
        <v>0.17455233055627922</v>
      </c>
    </row>
    <row r="140" spans="1:12" s="49" customFormat="1" ht="18" customHeight="1">
      <c r="A140" s="48"/>
      <c r="B140" s="281" t="s">
        <v>571</v>
      </c>
      <c r="C140" s="161">
        <f t="shared" ref="C140:J140" si="65">IF(C20,C33/C20,"na")</f>
        <v>7.5489793039956551E-2</v>
      </c>
      <c r="D140" s="161">
        <f t="shared" si="65"/>
        <v>0.10076032092314563</v>
      </c>
      <c r="E140" s="161">
        <f t="shared" si="65"/>
        <v>0.12895157672437677</v>
      </c>
      <c r="F140" s="161">
        <f t="shared" si="65"/>
        <v>0.12982367838078404</v>
      </c>
      <c r="G140" s="161">
        <f t="shared" si="65"/>
        <v>0.14576823125016819</v>
      </c>
      <c r="H140" s="161">
        <f t="shared" si="65"/>
        <v>0.15084790504668186</v>
      </c>
      <c r="I140" s="161">
        <f t="shared" si="65"/>
        <v>0.1533409863978526</v>
      </c>
      <c r="J140" s="161">
        <f t="shared" si="65"/>
        <v>0.13716424791720944</v>
      </c>
    </row>
    <row r="141" spans="1:12" s="49" customFormat="1" ht="18" customHeight="1">
      <c r="A141" s="48"/>
      <c r="B141" s="280" t="s">
        <v>358</v>
      </c>
      <c r="C141" s="12"/>
      <c r="D141" s="12"/>
      <c r="E141" s="12"/>
      <c r="F141" s="12"/>
      <c r="G141" s="12"/>
      <c r="H141" s="12"/>
      <c r="I141" s="12"/>
      <c r="J141" s="12"/>
    </row>
    <row r="142" spans="1:12" s="49" customFormat="1" ht="18" customHeight="1">
      <c r="A142" s="48"/>
      <c r="B142" s="232" t="s">
        <v>573</v>
      </c>
      <c r="C142" s="279">
        <f t="shared" ref="C142:J142" si="66">IF(C73+C83+C84+C85,C50/(C73+C83+C84+C85),"na")</f>
        <v>0.80287883851040787</v>
      </c>
      <c r="D142" s="279">
        <f t="shared" si="66"/>
        <v>0.95017239291303779</v>
      </c>
      <c r="E142" s="279">
        <f t="shared" si="66"/>
        <v>1.5550432350660053</v>
      </c>
      <c r="F142" s="279">
        <f t="shared" si="66"/>
        <v>1.8892728189270727</v>
      </c>
      <c r="G142" s="279">
        <f t="shared" si="66"/>
        <v>2.0709066730496866</v>
      </c>
      <c r="H142" s="279">
        <f t="shared" si="66"/>
        <v>2.1150159843356544</v>
      </c>
      <c r="I142" s="279">
        <f t="shared" si="66"/>
        <v>2.1738135029680059</v>
      </c>
      <c r="J142" s="279">
        <f t="shared" si="66"/>
        <v>2.1785891988956729</v>
      </c>
    </row>
    <row r="143" spans="1:12" s="49" customFormat="1" ht="18" customHeight="1">
      <c r="A143" s="48"/>
      <c r="B143" s="232" t="s">
        <v>574</v>
      </c>
      <c r="C143" s="279">
        <f t="shared" ref="C143:J143" si="67">IF(C73+C83+C84+C85,(C50-C46)/(C73+C83+C84+C85),"na")</f>
        <v>0.59971092763786371</v>
      </c>
      <c r="D143" s="279">
        <f t="shared" si="67"/>
        <v>0.71253660580014888</v>
      </c>
      <c r="E143" s="279">
        <f t="shared" si="67"/>
        <v>1.1565768068641755</v>
      </c>
      <c r="F143" s="279">
        <f t="shared" si="67"/>
        <v>1.4993250268234335</v>
      </c>
      <c r="G143" s="279">
        <f t="shared" si="67"/>
        <v>1.6575995053975165</v>
      </c>
      <c r="H143" s="279">
        <f t="shared" si="67"/>
        <v>1.6863718947630959</v>
      </c>
      <c r="I143" s="279">
        <f t="shared" si="67"/>
        <v>1.7376911346756523</v>
      </c>
      <c r="J143" s="279">
        <f t="shared" si="67"/>
        <v>1.7398269588861806</v>
      </c>
    </row>
    <row r="144" spans="1:12" s="49" customFormat="1" ht="18" customHeight="1">
      <c r="A144" s="48"/>
      <c r="B144" s="232" t="s">
        <v>575</v>
      </c>
      <c r="C144" s="161">
        <f t="shared" ref="C144:J144" si="68">IF(C64,C89/C64,"na")</f>
        <v>0.69011954255688268</v>
      </c>
      <c r="D144" s="161">
        <f t="shared" si="68"/>
        <v>0.63276351798448083</v>
      </c>
      <c r="E144" s="161">
        <f t="shared" si="68"/>
        <v>0.39408959432840379</v>
      </c>
      <c r="F144" s="161">
        <f t="shared" si="68"/>
        <v>0.39339093438762013</v>
      </c>
      <c r="G144" s="161">
        <f t="shared" si="68"/>
        <v>0.39743375821322513</v>
      </c>
      <c r="H144" s="161">
        <f t="shared" si="68"/>
        <v>0.40448847911817781</v>
      </c>
      <c r="I144" s="161">
        <f t="shared" si="68"/>
        <v>0.40014168248581644</v>
      </c>
      <c r="J144" s="161">
        <f t="shared" si="68"/>
        <v>0.40382026524726677</v>
      </c>
    </row>
    <row r="145" spans="1:12" s="49" customFormat="1" ht="18" customHeight="1">
      <c r="A145" s="48"/>
      <c r="B145" s="280" t="s">
        <v>359</v>
      </c>
      <c r="C145" s="75"/>
      <c r="D145" s="75"/>
      <c r="E145" s="75"/>
      <c r="F145" s="75"/>
      <c r="G145" s="75"/>
      <c r="H145" s="75"/>
      <c r="I145" s="75"/>
      <c r="J145" s="75"/>
    </row>
    <row r="146" spans="1:12" s="49" customFormat="1" ht="18" customHeight="1">
      <c r="A146" s="48"/>
      <c r="B146" s="232" t="s">
        <v>151</v>
      </c>
      <c r="C146" s="279">
        <f t="shared" ref="C146:J146" si="69">IF(C43,C20/C43,"na")</f>
        <v>2.5931270393082904</v>
      </c>
      <c r="D146" s="279">
        <f t="shared" si="69"/>
        <v>2.7900624365540798</v>
      </c>
      <c r="E146" s="279">
        <f t="shared" si="69"/>
        <v>2.7981582714149709</v>
      </c>
      <c r="F146" s="279">
        <f t="shared" si="69"/>
        <v>2.7692307692307696</v>
      </c>
      <c r="G146" s="279">
        <f t="shared" si="69"/>
        <v>2.7692307692307696</v>
      </c>
      <c r="H146" s="279">
        <f t="shared" si="69"/>
        <v>2.7692307692307692</v>
      </c>
      <c r="I146" s="279">
        <f t="shared" si="69"/>
        <v>2.7692307692307692</v>
      </c>
      <c r="J146" s="279">
        <f t="shared" si="69"/>
        <v>2.7692307692307692</v>
      </c>
    </row>
    <row r="147" spans="1:12" s="49" customFormat="1" ht="18" customHeight="1">
      <c r="A147" s="48"/>
      <c r="B147" s="232" t="s">
        <v>152</v>
      </c>
      <c r="C147" s="279">
        <f t="shared" ref="C147:J147" si="70">IF(C46,C21/C46,"na")</f>
        <v>3.9227053591477001</v>
      </c>
      <c r="D147" s="279">
        <f t="shared" si="70"/>
        <v>4.3848059219423474</v>
      </c>
      <c r="E147" s="279">
        <f t="shared" si="70"/>
        <v>4.328901001157802</v>
      </c>
      <c r="F147" s="279">
        <f t="shared" si="70"/>
        <v>4.2352941176470589</v>
      </c>
      <c r="G147" s="279">
        <f t="shared" si="70"/>
        <v>4.2352941176470589</v>
      </c>
      <c r="H147" s="279">
        <f t="shared" si="70"/>
        <v>4.2352941176470589</v>
      </c>
      <c r="I147" s="279">
        <f t="shared" si="70"/>
        <v>4.2352941176470589</v>
      </c>
      <c r="J147" s="279">
        <f t="shared" si="70"/>
        <v>4.2352941176470589</v>
      </c>
    </row>
    <row r="148" spans="1:12" s="49" customFormat="1" ht="18" customHeight="1">
      <c r="A148" s="48"/>
      <c r="B148" s="281" t="s">
        <v>578</v>
      </c>
      <c r="C148" s="279">
        <f t="shared" ref="C148:J148" si="71">IF(C64,C20/C64,"na")</f>
        <v>0.90008095359598927</v>
      </c>
      <c r="D148" s="279">
        <f t="shared" si="71"/>
        <v>1.0412003287853793</v>
      </c>
      <c r="E148" s="279">
        <f t="shared" si="71"/>
        <v>1.1342064554660873</v>
      </c>
      <c r="F148" s="279">
        <f t="shared" si="71"/>
        <v>1.0828371268096941</v>
      </c>
      <c r="G148" s="279">
        <f t="shared" si="71"/>
        <v>1.1594980301397562</v>
      </c>
      <c r="H148" s="279">
        <f t="shared" si="71"/>
        <v>1.223870088523767</v>
      </c>
      <c r="I148" s="279">
        <f t="shared" si="71"/>
        <v>1.2318405050696553</v>
      </c>
      <c r="J148" s="279">
        <f t="shared" si="71"/>
        <v>1.2506900057020098</v>
      </c>
    </row>
    <row r="149" spans="1:12" s="49" customFormat="1" ht="18" customHeight="1">
      <c r="A149" s="48"/>
    </row>
    <row r="150" spans="1:12" s="49" customFormat="1" ht="18" customHeight="1">
      <c r="A150" s="17"/>
      <c r="B150" s="15" t="s">
        <v>65</v>
      </c>
      <c r="C150" s="61" t="str">
        <f t="shared" ref="C150:J150" si="72">C19</f>
        <v>2015年</v>
      </c>
      <c r="D150" s="61" t="str">
        <f t="shared" si="72"/>
        <v>2016年</v>
      </c>
      <c r="E150" s="61" t="str">
        <f t="shared" si="72"/>
        <v>2017年</v>
      </c>
      <c r="F150" s="30" t="str">
        <f t="shared" si="72"/>
        <v>2018年</v>
      </c>
      <c r="G150" s="30" t="str">
        <f t="shared" si="72"/>
        <v>2019年</v>
      </c>
      <c r="H150" s="30" t="str">
        <f t="shared" si="72"/>
        <v>2020年</v>
      </c>
      <c r="I150" s="30" t="str">
        <f t="shared" si="72"/>
        <v>2021年</v>
      </c>
      <c r="J150" s="30" t="str">
        <f t="shared" si="72"/>
        <v>2022年</v>
      </c>
      <c r="L150" s="140"/>
    </row>
    <row r="151" spans="1:12" s="49" customFormat="1" ht="18" hidden="1" customHeight="1" outlineLevel="1">
      <c r="A151" s="17"/>
      <c r="B151" s="3" t="s">
        <v>142</v>
      </c>
      <c r="C151" s="13">
        <f>'12收益表'!C33</f>
        <v>0.15</v>
      </c>
      <c r="D151" s="13">
        <f>'12收益表'!D33</f>
        <v>0.15</v>
      </c>
      <c r="E151" s="13">
        <f>'12收益表'!E33</f>
        <v>0.15</v>
      </c>
      <c r="F151" s="13">
        <f>'12收益表'!F19</f>
        <v>0.25</v>
      </c>
      <c r="G151" s="13">
        <f>'12收益表'!G19</f>
        <v>0.15</v>
      </c>
      <c r="H151" s="13">
        <f>'12收益表'!H19</f>
        <v>0.15</v>
      </c>
      <c r="I151" s="13">
        <f>'12收益表'!I19</f>
        <v>0.15</v>
      </c>
      <c r="J151" s="13">
        <f>'12收益表'!J19</f>
        <v>0.25</v>
      </c>
      <c r="L151" s="140"/>
    </row>
    <row r="152" spans="1:12" s="49" customFormat="1" ht="18" hidden="1" customHeight="1" outlineLevel="1">
      <c r="A152" s="17"/>
      <c r="B152" s="3" t="s">
        <v>183</v>
      </c>
      <c r="C152" s="3">
        <f t="shared" ref="C152:J152" si="73">C33</f>
        <v>426.33320019999985</v>
      </c>
      <c r="D152" s="3">
        <f t="shared" si="73"/>
        <v>736.03142571249964</v>
      </c>
      <c r="E152" s="3">
        <f t="shared" si="73"/>
        <v>1239.9437291249992</v>
      </c>
      <c r="F152" s="3">
        <f t="shared" si="73"/>
        <v>1549.5075689891003</v>
      </c>
      <c r="G152" s="3">
        <f t="shared" si="73"/>
        <v>2061.3644993962193</v>
      </c>
      <c r="H152" s="3">
        <f t="shared" si="73"/>
        <v>2397.9054380932098</v>
      </c>
      <c r="I152" s="3">
        <f t="shared" si="73"/>
        <v>2585.8078689663284</v>
      </c>
      <c r="J152" s="3">
        <f t="shared" si="73"/>
        <v>2362.5788898146925</v>
      </c>
      <c r="L152" s="140"/>
    </row>
    <row r="153" spans="1:12" s="49" customFormat="1" ht="18" hidden="1" customHeight="1" outlineLevel="1">
      <c r="A153" s="17"/>
      <c r="B153" s="8" t="s">
        <v>184</v>
      </c>
      <c r="C153" s="3">
        <f t="shared" ref="C153:J153" si="74">(C27+C28-C29)*(1-C151)</f>
        <v>121.22094205</v>
      </c>
      <c r="D153" s="3">
        <f t="shared" si="74"/>
        <v>111.50918799999998</v>
      </c>
      <c r="E153" s="3">
        <f t="shared" si="74"/>
        <v>77.456361349999995</v>
      </c>
      <c r="F153" s="3">
        <f t="shared" si="74"/>
        <v>40.575000000000003</v>
      </c>
      <c r="G153" s="3">
        <f t="shared" si="74"/>
        <v>60.502102414571638</v>
      </c>
      <c r="H153" s="3">
        <f t="shared" si="74"/>
        <v>45.984999999999999</v>
      </c>
      <c r="I153" s="3">
        <f t="shared" si="74"/>
        <v>45.984999999999999</v>
      </c>
      <c r="J153" s="3">
        <f t="shared" si="74"/>
        <v>40.575000000000003</v>
      </c>
      <c r="L153" s="140"/>
    </row>
    <row r="154" spans="1:12" s="49" customFormat="1" ht="18" hidden="1" customHeight="1" outlineLevel="1">
      <c r="A154" s="17"/>
      <c r="B154" s="3" t="s">
        <v>697</v>
      </c>
      <c r="C154" s="3">
        <f>C152+C153</f>
        <v>547.55414224999981</v>
      </c>
      <c r="D154" s="3">
        <f t="shared" ref="D154:J154" si="75">D152+D153</f>
        <v>847.54061371249963</v>
      </c>
      <c r="E154" s="3">
        <f t="shared" si="75"/>
        <v>1317.4000904749992</v>
      </c>
      <c r="F154" s="3">
        <f t="shared" si="75"/>
        <v>1590.0825689891003</v>
      </c>
      <c r="G154" s="3">
        <f t="shared" si="75"/>
        <v>2121.8666018107911</v>
      </c>
      <c r="H154" s="3">
        <f t="shared" si="75"/>
        <v>2443.8904380932099</v>
      </c>
      <c r="I154" s="3">
        <f t="shared" si="75"/>
        <v>2631.7928689663286</v>
      </c>
      <c r="J154" s="3">
        <f t="shared" si="75"/>
        <v>2403.1538898146923</v>
      </c>
      <c r="L154" s="140"/>
    </row>
    <row r="155" spans="1:12" s="49" customFormat="1" ht="18" customHeight="1" collapsed="1">
      <c r="A155" s="17"/>
      <c r="B155" s="32" t="s">
        <v>695</v>
      </c>
      <c r="C155" s="68"/>
      <c r="D155" s="68"/>
      <c r="E155" s="7"/>
      <c r="F155" s="7"/>
      <c r="G155" s="7"/>
      <c r="H155" s="7"/>
      <c r="I155" s="7"/>
      <c r="J155" s="7"/>
      <c r="L155" s="140"/>
    </row>
    <row r="156" spans="1:12" s="49" customFormat="1" ht="18" customHeight="1">
      <c r="A156" s="17"/>
      <c r="B156" s="3" t="s">
        <v>744</v>
      </c>
      <c r="C156" s="162">
        <f>IF(C110,C154/C110,"na")</f>
        <v>0.13979503225139286</v>
      </c>
      <c r="D156" s="162">
        <f t="shared" ref="D156:J156" si="76">IF(C110,D154/C110,"na")</f>
        <v>0.21638402175434229</v>
      </c>
      <c r="E156" s="162">
        <f t="shared" si="76"/>
        <v>0.36714646917800903</v>
      </c>
      <c r="F156" s="162">
        <f t="shared" si="76"/>
        <v>0.26344525595220508</v>
      </c>
      <c r="G156" s="162">
        <f t="shared" si="76"/>
        <v>0.27973660199916345</v>
      </c>
      <c r="H156" s="162">
        <f t="shared" si="76"/>
        <v>0.29630424796546306</v>
      </c>
      <c r="I156" s="162">
        <f t="shared" si="76"/>
        <v>0.30482760822841221</v>
      </c>
      <c r="J156" s="162">
        <f t="shared" si="76"/>
        <v>0.26377504620610687</v>
      </c>
      <c r="L156" s="284"/>
    </row>
    <row r="157" spans="1:12" s="49" customFormat="1" ht="18" customHeight="1">
      <c r="A157" s="17"/>
      <c r="B157" s="3" t="s">
        <v>745</v>
      </c>
      <c r="C157" s="162"/>
      <c r="D157" s="162">
        <f t="shared" ref="D157:J157" si="77">IF(C110+D110,IF(C110,D154*2/(D110+C110),D154/D110),"na")</f>
        <v>0.22585876858856432</v>
      </c>
      <c r="E157" s="162">
        <f t="shared" si="77"/>
        <v>0.27377571269069262</v>
      </c>
      <c r="F157" s="162">
        <f t="shared" si="77"/>
        <v>0.23347595747690944</v>
      </c>
      <c r="G157" s="162">
        <f t="shared" si="77"/>
        <v>0.26802853844408636</v>
      </c>
      <c r="H157" s="162">
        <f t="shared" si="77"/>
        <v>0.28953272764957966</v>
      </c>
      <c r="I157" s="162">
        <f t="shared" si="77"/>
        <v>0.29663483445414451</v>
      </c>
      <c r="J157" s="162">
        <f t="shared" si="77"/>
        <v>0.26379127271595348</v>
      </c>
      <c r="L157" s="80"/>
    </row>
    <row r="158" spans="1:12" s="49" customFormat="1" ht="18" customHeight="1">
      <c r="A158" s="17"/>
      <c r="B158" s="32" t="s">
        <v>696</v>
      </c>
      <c r="C158" s="13"/>
      <c r="D158" s="13"/>
      <c r="E158" s="13"/>
      <c r="F158" s="13"/>
      <c r="G158" s="13"/>
      <c r="H158" s="13"/>
      <c r="I158" s="13"/>
      <c r="J158" s="13"/>
      <c r="L158" s="80"/>
    </row>
    <row r="159" spans="1:12" s="49" customFormat="1" ht="18" customHeight="1">
      <c r="A159" s="17"/>
      <c r="B159" s="3" t="s">
        <v>744</v>
      </c>
      <c r="C159" s="162">
        <f>IF(C113,C154/C113,"na")</f>
        <v>0.13979503225139286</v>
      </c>
      <c r="D159" s="162">
        <f t="shared" ref="D159:J159" si="78">IF(C113,D154/C113,"na")</f>
        <v>0.21638402175434229</v>
      </c>
      <c r="E159" s="162">
        <f t="shared" si="78"/>
        <v>0.36714646917800903</v>
      </c>
      <c r="F159" s="162">
        <f t="shared" si="78"/>
        <v>0.26344525595220508</v>
      </c>
      <c r="G159" s="162">
        <f t="shared" si="78"/>
        <v>0.27973660199916345</v>
      </c>
      <c r="H159" s="162">
        <f t="shared" si="78"/>
        <v>0.29630424796546306</v>
      </c>
      <c r="I159" s="162">
        <f t="shared" si="78"/>
        <v>0.30482760822841221</v>
      </c>
      <c r="J159" s="162">
        <f t="shared" si="78"/>
        <v>0.26377504620610687</v>
      </c>
      <c r="L159" s="80"/>
    </row>
    <row r="160" spans="1:12" s="49" customFormat="1" ht="18" customHeight="1">
      <c r="A160" s="17"/>
      <c r="B160" s="3" t="s">
        <v>745</v>
      </c>
      <c r="C160" s="162"/>
      <c r="D160" s="162">
        <f t="shared" ref="D160:J160" si="79">IF(C113+D113,IF(C113,D154*2/(D113+C113),D154/D113),"na")</f>
        <v>0.22585876858856432</v>
      </c>
      <c r="E160" s="162">
        <f t="shared" si="79"/>
        <v>0.27377571269069262</v>
      </c>
      <c r="F160" s="162">
        <f t="shared" si="79"/>
        <v>0.23347595747690944</v>
      </c>
      <c r="G160" s="162">
        <f t="shared" si="79"/>
        <v>0.26802853844408636</v>
      </c>
      <c r="H160" s="162">
        <f t="shared" si="79"/>
        <v>0.28953272764957966</v>
      </c>
      <c r="I160" s="162">
        <f t="shared" si="79"/>
        <v>0.29663483445414451</v>
      </c>
      <c r="J160" s="162">
        <f t="shared" si="79"/>
        <v>0.26379127271595348</v>
      </c>
      <c r="L160" s="80"/>
    </row>
    <row r="161" spans="1:12" s="49" customFormat="1" ht="18" customHeight="1">
      <c r="A161" s="48"/>
      <c r="L161" s="140"/>
    </row>
    <row r="162" spans="1:12" s="49" customFormat="1" ht="18" customHeight="1">
      <c r="A162" s="48"/>
      <c r="L162" s="140"/>
    </row>
    <row r="163" spans="1:12" s="49" customFormat="1" ht="18" customHeight="1">
      <c r="A163" s="48"/>
      <c r="L163" s="140"/>
    </row>
    <row r="164" spans="1:12" s="49" customFormat="1" ht="18" customHeight="1">
      <c r="A164" s="48"/>
      <c r="L164" s="140"/>
    </row>
    <row r="165" spans="1:12" s="49" customFormat="1" ht="18" customHeight="1">
      <c r="A165" s="48"/>
      <c r="K165" s="140"/>
      <c r="L165" s="140"/>
    </row>
    <row r="166" spans="1:12" s="49" customFormat="1" ht="18" customHeight="1">
      <c r="A166" s="48"/>
      <c r="K166" s="140"/>
      <c r="L166" s="140"/>
    </row>
    <row r="167" spans="1:12" s="49" customFormat="1" ht="18" customHeight="1">
      <c r="A167" s="48"/>
      <c r="K167" s="140"/>
      <c r="L167" s="140"/>
    </row>
    <row r="168" spans="1:12" s="49" customFormat="1" ht="18" customHeight="1">
      <c r="A168" s="48"/>
      <c r="K168" s="140"/>
      <c r="L168" s="140"/>
    </row>
    <row r="169" spans="1:12" s="49" customFormat="1" ht="18" customHeight="1">
      <c r="A169" s="48"/>
      <c r="K169" s="140"/>
      <c r="L169" s="140"/>
    </row>
    <row r="170" spans="1:12" s="49" customFormat="1" ht="18" customHeight="1">
      <c r="A170" s="48"/>
      <c r="K170" s="140"/>
      <c r="L170" s="140"/>
    </row>
    <row r="171" spans="1:12" s="49" customFormat="1" ht="18" customHeight="1">
      <c r="A171" s="48"/>
      <c r="K171" s="140"/>
      <c r="L171" s="140"/>
    </row>
    <row r="172" spans="1:12" s="49" customFormat="1" ht="18" customHeight="1">
      <c r="A172" s="48"/>
      <c r="K172" s="140"/>
      <c r="L172" s="140"/>
    </row>
    <row r="173" spans="1:12" s="49" customFormat="1" ht="18" customHeight="1">
      <c r="A173" s="48"/>
      <c r="K173" s="140"/>
      <c r="L173" s="140"/>
    </row>
    <row r="174" spans="1:12" s="49" customFormat="1" ht="18" customHeight="1">
      <c r="A174" s="48"/>
      <c r="K174" s="140"/>
      <c r="L174" s="140"/>
    </row>
    <row r="175" spans="1:12" s="49" customFormat="1" ht="18" customHeight="1">
      <c r="A175" s="48"/>
      <c r="K175" s="140"/>
      <c r="L175" s="140"/>
    </row>
    <row r="176" spans="1:12" s="49" customFormat="1" ht="18" customHeight="1">
      <c r="A176" s="48"/>
      <c r="K176" s="140"/>
      <c r="L176" s="140"/>
    </row>
    <row r="177" spans="1:12" s="49" customFormat="1" ht="18" customHeight="1">
      <c r="A177" s="48"/>
      <c r="K177" s="140"/>
      <c r="L177" s="140"/>
    </row>
    <row r="178" spans="1:12" s="49" customFormat="1" ht="18" customHeight="1">
      <c r="A178" s="48"/>
      <c r="K178" s="140"/>
      <c r="L178" s="140"/>
    </row>
    <row r="179" spans="1:12" s="49" customFormat="1" ht="18" customHeight="1">
      <c r="A179" s="48"/>
      <c r="K179" s="140"/>
      <c r="L179" s="140"/>
    </row>
    <row r="180" spans="1:12" s="49" customFormat="1" ht="18" customHeight="1">
      <c r="A180" s="48"/>
      <c r="K180" s="140"/>
      <c r="L180" s="140"/>
    </row>
    <row r="181" spans="1:12" s="49" customFormat="1" ht="18" customHeight="1">
      <c r="A181" s="48"/>
      <c r="K181" s="140"/>
      <c r="L181" s="140"/>
    </row>
    <row r="182" spans="1:12" s="49" customFormat="1" ht="18" customHeight="1">
      <c r="A182" s="48"/>
    </row>
    <row r="183" spans="1:12" s="49" customFormat="1" ht="18" customHeight="1">
      <c r="A183" s="48"/>
    </row>
    <row r="184" spans="1:12" s="49" customFormat="1" ht="18" customHeight="1">
      <c r="A184" s="48"/>
    </row>
    <row r="185" spans="1:12" s="49" customFormat="1" ht="18" customHeight="1">
      <c r="A185" s="48"/>
    </row>
    <row r="186" spans="1:12" s="49" customFormat="1" ht="18" customHeight="1">
      <c r="A186" s="48"/>
    </row>
    <row r="187" spans="1:12" s="49" customFormat="1" ht="18" customHeight="1">
      <c r="A187" s="48"/>
    </row>
    <row r="188" spans="1:12" s="49" customFormat="1" ht="18" customHeight="1">
      <c r="A188" s="48"/>
    </row>
    <row r="189" spans="1:12" s="49" customFormat="1" ht="18" customHeight="1">
      <c r="A189" s="48"/>
    </row>
    <row r="190" spans="1:12" s="49" customFormat="1" ht="18" customHeight="1">
      <c r="A190" s="48"/>
    </row>
    <row r="191" spans="1:12" s="49" customFormat="1" ht="18" customHeight="1">
      <c r="A191" s="48"/>
    </row>
    <row r="192" spans="1:12" s="49" customFormat="1" ht="18" customHeight="1">
      <c r="A192" s="48"/>
    </row>
    <row r="193" spans="1:1" s="49" customFormat="1" ht="18" customHeight="1">
      <c r="A193" s="48"/>
    </row>
    <row r="194" spans="1:1" s="49" customFormat="1" ht="18" customHeight="1">
      <c r="A194" s="48"/>
    </row>
    <row r="195" spans="1:1" s="49" customFormat="1" ht="18" customHeight="1">
      <c r="A195" s="48"/>
    </row>
    <row r="196" spans="1:1" s="49" customFormat="1" ht="18" customHeight="1">
      <c r="A196" s="48"/>
    </row>
    <row r="197" spans="1:1" s="49" customFormat="1" ht="18" customHeight="1">
      <c r="A197" s="48"/>
    </row>
    <row r="198" spans="1:1" s="49" customFormat="1" ht="18" customHeight="1">
      <c r="A198" s="48"/>
    </row>
    <row r="199" spans="1:1" s="49" customFormat="1" ht="18" customHeight="1">
      <c r="A199" s="48"/>
    </row>
    <row r="200" spans="1:1" s="49" customFormat="1" ht="18" customHeight="1">
      <c r="A200" s="48"/>
    </row>
    <row r="201" spans="1:1" s="49" customFormat="1" ht="18" customHeight="1">
      <c r="A201" s="48"/>
    </row>
    <row r="202" spans="1:1" s="49" customFormat="1" ht="18" customHeight="1">
      <c r="A202" s="48"/>
    </row>
    <row r="203" spans="1:1" s="49" customFormat="1" ht="18" customHeight="1">
      <c r="A203" s="48"/>
    </row>
    <row r="204" spans="1:1" s="49" customFormat="1" ht="18" customHeight="1">
      <c r="A204" s="48"/>
    </row>
    <row r="205" spans="1:1" s="49" customFormat="1" ht="18" customHeight="1">
      <c r="A205" s="48"/>
    </row>
    <row r="206" spans="1:1" s="49" customFormat="1" ht="18" customHeight="1">
      <c r="A206" s="48"/>
    </row>
    <row r="207" spans="1:1" s="49" customFormat="1" ht="18" customHeight="1">
      <c r="A207" s="48"/>
    </row>
    <row r="208" spans="1:1" s="49" customFormat="1" ht="18" customHeight="1">
      <c r="A208" s="48"/>
    </row>
    <row r="209" spans="1:1" s="49" customFormat="1" ht="18" customHeight="1">
      <c r="A209" s="48"/>
    </row>
    <row r="210" spans="1:1" s="49" customFormat="1" ht="18" customHeight="1">
      <c r="A210" s="48"/>
    </row>
    <row r="211" spans="1:1" s="49" customFormat="1" ht="18" customHeight="1">
      <c r="A211" s="48"/>
    </row>
    <row r="212" spans="1:1" s="49" customFormat="1" ht="18" customHeight="1">
      <c r="A212" s="48"/>
    </row>
    <row r="213" spans="1:1" s="49" customFormat="1" ht="18" customHeight="1">
      <c r="A213" s="48"/>
    </row>
    <row r="214" spans="1:1" s="49" customFormat="1" ht="18" customHeight="1">
      <c r="A214" s="48"/>
    </row>
    <row r="215" spans="1:1" s="49" customFormat="1" ht="18" customHeight="1">
      <c r="A215" s="48"/>
    </row>
    <row r="216" spans="1:1" s="49" customFormat="1" ht="18" customHeight="1">
      <c r="A216" s="48"/>
    </row>
    <row r="217" spans="1:1" s="49" customFormat="1" ht="18" customHeight="1">
      <c r="A217" s="48"/>
    </row>
    <row r="218" spans="1:1" s="49" customFormat="1" ht="18" customHeight="1">
      <c r="A218" s="48"/>
    </row>
    <row r="219" spans="1:1" s="49" customFormat="1" ht="18" customHeight="1">
      <c r="A219" s="48"/>
    </row>
    <row r="220" spans="1:1" s="49" customFormat="1" ht="18" customHeight="1">
      <c r="A220" s="48"/>
    </row>
    <row r="221" spans="1:1" s="49" customFormat="1" ht="18" customHeight="1">
      <c r="A221" s="48"/>
    </row>
    <row r="222" spans="1:1" s="49" customFormat="1" ht="18" customHeight="1">
      <c r="A222" s="48"/>
    </row>
    <row r="223" spans="1:1" s="49" customFormat="1" ht="18" customHeight="1">
      <c r="A223" s="48"/>
    </row>
    <row r="224" spans="1:1" s="49" customFormat="1" ht="18" customHeight="1">
      <c r="A224" s="48"/>
    </row>
    <row r="225" spans="1:1" s="49" customFormat="1" ht="18" customHeight="1">
      <c r="A225" s="48"/>
    </row>
    <row r="226" spans="1:1" s="49" customFormat="1" ht="18" customHeight="1">
      <c r="A226" s="48"/>
    </row>
    <row r="227" spans="1:1" s="49" customFormat="1" ht="18" customHeight="1">
      <c r="A227" s="48"/>
    </row>
    <row r="228" spans="1:1" s="49" customFormat="1" ht="18" customHeight="1">
      <c r="A228" s="48"/>
    </row>
    <row r="229" spans="1:1" s="49" customFormat="1" ht="18" customHeight="1">
      <c r="A229" s="48"/>
    </row>
    <row r="230" spans="1:1" s="49" customFormat="1" ht="18" customHeight="1">
      <c r="A230" s="48"/>
    </row>
    <row r="231" spans="1:1" s="49" customFormat="1" ht="18" customHeight="1">
      <c r="A231" s="48"/>
    </row>
    <row r="232" spans="1:1" s="49" customFormat="1" ht="18" customHeight="1">
      <c r="A232" s="48"/>
    </row>
    <row r="233" spans="1:1" s="49" customFormat="1" ht="18" customHeight="1">
      <c r="A233" s="48"/>
    </row>
    <row r="234" spans="1:1" s="49" customFormat="1" ht="18" customHeight="1">
      <c r="A234" s="48"/>
    </row>
    <row r="235" spans="1:1" s="49" customFormat="1" ht="18" customHeight="1">
      <c r="A235" s="48"/>
    </row>
    <row r="236" spans="1:1" s="49" customFormat="1" ht="18" customHeight="1">
      <c r="A236" s="48"/>
    </row>
    <row r="237" spans="1:1" s="49" customFormat="1" ht="18" customHeight="1">
      <c r="A237" s="48"/>
    </row>
    <row r="238" spans="1:1" s="49" customFormat="1" ht="18" customHeight="1">
      <c r="A238" s="48"/>
    </row>
    <row r="239" spans="1:1" s="49" customFormat="1" ht="18" customHeight="1">
      <c r="A239" s="48"/>
    </row>
    <row r="240" spans="1:1" s="49" customFormat="1" ht="18" customHeight="1">
      <c r="A240" s="48"/>
    </row>
    <row r="241" spans="1:1" s="49" customFormat="1" ht="18" customHeight="1">
      <c r="A241" s="48"/>
    </row>
    <row r="242" spans="1:1" s="49" customFormat="1" ht="18" customHeight="1">
      <c r="A242" s="48"/>
    </row>
    <row r="243" spans="1:1" s="49" customFormat="1" ht="18" customHeight="1">
      <c r="A243" s="48"/>
    </row>
    <row r="244" spans="1:1" s="49" customFormat="1" ht="18" customHeight="1">
      <c r="A244" s="48"/>
    </row>
    <row r="245" spans="1:1" s="49" customFormat="1" ht="18" customHeight="1">
      <c r="A245" s="48"/>
    </row>
    <row r="246" spans="1:1" s="49" customFormat="1" ht="18" customHeight="1">
      <c r="A246" s="48"/>
    </row>
    <row r="247" spans="1:1" s="49" customFormat="1" ht="18" customHeight="1">
      <c r="A247" s="48"/>
    </row>
    <row r="248" spans="1:1" s="49" customFormat="1" ht="18" customHeight="1">
      <c r="A248" s="48"/>
    </row>
    <row r="249" spans="1:1" s="49" customFormat="1" ht="18" customHeight="1">
      <c r="A249" s="48"/>
    </row>
    <row r="250" spans="1:1" s="49" customFormat="1" ht="18" customHeight="1">
      <c r="A250" s="48"/>
    </row>
    <row r="251" spans="1:1" s="49" customFormat="1" ht="18" customHeight="1">
      <c r="A251" s="48"/>
    </row>
    <row r="252" spans="1:1" s="49" customFormat="1" ht="18" customHeight="1">
      <c r="A252" s="48"/>
    </row>
    <row r="253" spans="1:1" s="49" customFormat="1" ht="18" customHeight="1">
      <c r="A253" s="48"/>
    </row>
    <row r="254" spans="1:1" s="49" customFormat="1" ht="18" customHeight="1">
      <c r="A254" s="48"/>
    </row>
    <row r="255" spans="1:1" s="49" customFormat="1" ht="18" customHeight="1">
      <c r="A255" s="48"/>
    </row>
    <row r="256" spans="1:1" s="49" customFormat="1" ht="18" customHeight="1">
      <c r="A256" s="48"/>
    </row>
    <row r="257" spans="1:1" s="49" customFormat="1" ht="18" customHeight="1">
      <c r="A257" s="48"/>
    </row>
    <row r="258" spans="1:1" s="49" customFormat="1" ht="18" customHeight="1">
      <c r="A258" s="48"/>
    </row>
    <row r="259" spans="1:1" s="49" customFormat="1" ht="18" customHeight="1">
      <c r="A259" s="48"/>
    </row>
    <row r="260" spans="1:1" s="49" customFormat="1" ht="18" customHeight="1">
      <c r="A260" s="48"/>
    </row>
    <row r="261" spans="1:1" s="49" customFormat="1" ht="18" customHeight="1">
      <c r="A261" s="48"/>
    </row>
    <row r="262" spans="1:1" s="49" customFormat="1" ht="18" customHeight="1">
      <c r="A262" s="48"/>
    </row>
    <row r="263" spans="1:1" s="49" customFormat="1" ht="18" customHeight="1">
      <c r="A263" s="48"/>
    </row>
    <row r="264" spans="1:1" s="49" customFormat="1" ht="18" customHeight="1">
      <c r="A264" s="48"/>
    </row>
    <row r="265" spans="1:1" s="49" customFormat="1" ht="18" customHeight="1">
      <c r="A265" s="48"/>
    </row>
    <row r="266" spans="1:1" s="49" customFormat="1" ht="18" customHeight="1">
      <c r="A266" s="48"/>
    </row>
    <row r="267" spans="1:1" s="49" customFormat="1" ht="18" customHeight="1">
      <c r="A267" s="48"/>
    </row>
    <row r="268" spans="1:1" s="49" customFormat="1" ht="18" customHeight="1">
      <c r="A268" s="48"/>
    </row>
    <row r="269" spans="1:1" s="49" customFormat="1" ht="18" customHeight="1">
      <c r="A269" s="48"/>
    </row>
    <row r="270" spans="1:1" s="49" customFormat="1" ht="18" customHeight="1">
      <c r="A270" s="48"/>
    </row>
    <row r="271" spans="1:1" s="49" customFormat="1" ht="18" customHeight="1">
      <c r="A271" s="48"/>
    </row>
    <row r="272" spans="1:1" s="49" customFormat="1" ht="18" customHeight="1">
      <c r="A272" s="48"/>
    </row>
    <row r="273" spans="1:1" s="49" customFormat="1" ht="18" customHeight="1">
      <c r="A273" s="48"/>
    </row>
    <row r="274" spans="1:1" s="49" customFormat="1" ht="18" customHeight="1">
      <c r="A274" s="48"/>
    </row>
    <row r="275" spans="1:1" s="49" customFormat="1" ht="18" customHeight="1">
      <c r="A275" s="48"/>
    </row>
    <row r="276" spans="1:1" s="49" customFormat="1" ht="18" customHeight="1">
      <c r="A276" s="48"/>
    </row>
    <row r="277" spans="1:1" s="49" customFormat="1" ht="18" customHeight="1">
      <c r="A277" s="48"/>
    </row>
    <row r="278" spans="1:1" s="49" customFormat="1" ht="18" customHeight="1">
      <c r="A278" s="48"/>
    </row>
    <row r="279" spans="1:1" s="49" customFormat="1" ht="18" customHeight="1">
      <c r="A279" s="48"/>
    </row>
    <row r="280" spans="1:1" s="49" customFormat="1" ht="18" customHeight="1">
      <c r="A280" s="48"/>
    </row>
    <row r="281" spans="1:1" s="49" customFormat="1" ht="18" customHeight="1">
      <c r="A281" s="48"/>
    </row>
    <row r="282" spans="1:1" s="49" customFormat="1" ht="18" customHeight="1">
      <c r="A282" s="48"/>
    </row>
    <row r="283" spans="1:1" s="49" customFormat="1" ht="18" customHeight="1">
      <c r="A283" s="48"/>
    </row>
    <row r="284" spans="1:1" s="49" customFormat="1" ht="18" customHeight="1">
      <c r="A284" s="48"/>
    </row>
    <row r="285" spans="1:1" s="49" customFormat="1" ht="18" customHeight="1">
      <c r="A285" s="48"/>
    </row>
    <row r="286" spans="1:1" s="49" customFormat="1" ht="18" customHeight="1">
      <c r="A286" s="48"/>
    </row>
    <row r="287" spans="1:1" s="49" customFormat="1" ht="18" customHeight="1">
      <c r="A287" s="48"/>
    </row>
    <row r="288" spans="1:1" s="49" customFormat="1" ht="18" customHeight="1">
      <c r="A288" s="48"/>
    </row>
    <row r="289" spans="1:1" s="49" customFormat="1" ht="18" customHeight="1">
      <c r="A289" s="48"/>
    </row>
    <row r="290" spans="1:1" s="49" customFormat="1" ht="18" customHeight="1">
      <c r="A290" s="48"/>
    </row>
    <row r="291" spans="1:1" s="49" customFormat="1" ht="18" customHeight="1">
      <c r="A291" s="48"/>
    </row>
    <row r="292" spans="1:1" s="49" customFormat="1" ht="18" customHeight="1">
      <c r="A292" s="48"/>
    </row>
    <row r="293" spans="1:1" s="49" customFormat="1" ht="18" customHeight="1">
      <c r="A293" s="48"/>
    </row>
    <row r="294" spans="1:1" s="49" customFormat="1" ht="18" customHeight="1">
      <c r="A294" s="48"/>
    </row>
    <row r="295" spans="1:1" s="49" customFormat="1" ht="18" customHeight="1">
      <c r="A295" s="48"/>
    </row>
    <row r="296" spans="1:1" s="49" customFormat="1" ht="18" customHeight="1">
      <c r="A296" s="48"/>
    </row>
    <row r="297" spans="1:1" s="49" customFormat="1" ht="18" customHeight="1">
      <c r="A297" s="48"/>
    </row>
    <row r="298" spans="1:1" s="49" customFormat="1" ht="18" customHeight="1">
      <c r="A298" s="48"/>
    </row>
    <row r="299" spans="1:1" s="49" customFormat="1" ht="18" customHeight="1">
      <c r="A299" s="48"/>
    </row>
    <row r="300" spans="1:1" s="49" customFormat="1" ht="18" customHeight="1">
      <c r="A300" s="48"/>
    </row>
    <row r="301" spans="1:1" s="49" customFormat="1" ht="18" customHeight="1">
      <c r="A301" s="48"/>
    </row>
    <row r="302" spans="1:1" s="49" customFormat="1" ht="18" customHeight="1">
      <c r="A302" s="48"/>
    </row>
    <row r="303" spans="1:1" s="49" customFormat="1" ht="18" customHeight="1">
      <c r="A303" s="48"/>
    </row>
    <row r="304" spans="1:1" s="49" customFormat="1" ht="18" customHeight="1">
      <c r="A304" s="48"/>
    </row>
    <row r="305" spans="1:1" s="49" customFormat="1" ht="18" customHeight="1">
      <c r="A305" s="48"/>
    </row>
    <row r="306" spans="1:1" s="49" customFormat="1" ht="18" customHeight="1">
      <c r="A306" s="48"/>
    </row>
    <row r="307" spans="1:1" s="49" customFormat="1" ht="18" customHeight="1">
      <c r="A307" s="48"/>
    </row>
    <row r="308" spans="1:1" s="49" customFormat="1" ht="18" customHeight="1">
      <c r="A308" s="48"/>
    </row>
    <row r="309" spans="1:1" s="49" customFormat="1" ht="18" customHeight="1">
      <c r="A309" s="48"/>
    </row>
    <row r="310" spans="1:1" s="49" customFormat="1" ht="18" customHeight="1">
      <c r="A310" s="48"/>
    </row>
    <row r="311" spans="1:1" s="49" customFormat="1" ht="18" customHeight="1">
      <c r="A311" s="48"/>
    </row>
    <row r="312" spans="1:1" s="49" customFormat="1" ht="18" customHeight="1">
      <c r="A312" s="48"/>
    </row>
    <row r="313" spans="1:1" s="49" customFormat="1" ht="18" customHeight="1">
      <c r="A313" s="48"/>
    </row>
    <row r="314" spans="1:1" s="49" customFormat="1" ht="18" customHeight="1">
      <c r="A314" s="48"/>
    </row>
    <row r="315" spans="1:1" s="49" customFormat="1" ht="18" customHeight="1">
      <c r="A315" s="48"/>
    </row>
    <row r="316" spans="1:1" s="49" customFormat="1" ht="18" customHeight="1">
      <c r="A316" s="48"/>
    </row>
    <row r="317" spans="1:1" s="49" customFormat="1" ht="18" customHeight="1">
      <c r="A317" s="48"/>
    </row>
    <row r="318" spans="1:1" s="49" customFormat="1" ht="18" customHeight="1">
      <c r="A318" s="48"/>
    </row>
    <row r="319" spans="1:1" s="49" customFormat="1" ht="18" customHeight="1">
      <c r="A319" s="48"/>
    </row>
    <row r="320" spans="1:1" s="49" customFormat="1" ht="18" customHeight="1">
      <c r="A320" s="48"/>
    </row>
    <row r="321" spans="1:1" s="49" customFormat="1" ht="18" customHeight="1">
      <c r="A321" s="48"/>
    </row>
    <row r="322" spans="1:1" s="49" customFormat="1" ht="18" customHeight="1">
      <c r="A322" s="48"/>
    </row>
    <row r="323" spans="1:1" s="49" customFormat="1" ht="18" customHeight="1">
      <c r="A323" s="48"/>
    </row>
  </sheetData>
  <mergeCells count="1">
    <mergeCell ref="B1:K1"/>
  </mergeCells>
  <phoneticPr fontId="6" type="noConversion"/>
  <pageMargins left="0.75" right="0.75" top="1" bottom="1" header="0.5" footer="0.5"/>
  <pageSetup paperSize="9" orientation="landscape" r:id="rId1"/>
  <headerFooter alignWithMargins="0"/>
  <ignoredErrors>
    <ignoredError sqref="C34:J34 H36:J36" formula="1"/>
  </ignoredError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17</vt:i4>
      </vt:variant>
      <vt:variant>
        <vt:lpstr>命名范围</vt:lpstr>
      </vt:variant>
      <vt:variant>
        <vt:i4>6</vt:i4>
      </vt:variant>
    </vt:vector>
  </HeadingPairs>
  <TitlesOfParts>
    <vt:vector size="23" baseType="lpstr">
      <vt:lpstr>记事</vt:lpstr>
      <vt:lpstr>步骤</vt:lpstr>
      <vt:lpstr>1报表</vt:lpstr>
      <vt:lpstr>2报表调整</vt:lpstr>
      <vt:lpstr>3收入</vt:lpstr>
      <vt:lpstr>4成本</vt:lpstr>
      <vt:lpstr>5税金</vt:lpstr>
      <vt:lpstr>6销管</vt:lpstr>
      <vt:lpstr>7折旧</vt:lpstr>
      <vt:lpstr>8摊销</vt:lpstr>
      <vt:lpstr>9溢余现金</vt:lpstr>
      <vt:lpstr>10营运</vt:lpstr>
      <vt:lpstr>11财务费用</vt:lpstr>
      <vt:lpstr>12收益表</vt:lpstr>
      <vt:lpstr>13FCFF</vt:lpstr>
      <vt:lpstr>14FCFE</vt:lpstr>
      <vt:lpstr>预测财报</vt:lpstr>
      <vt:lpstr>'4成本'!Print_Area</vt:lpstr>
      <vt:lpstr>步骤!Print_Area</vt:lpstr>
      <vt:lpstr>'4成本'!Print_Titles</vt:lpstr>
      <vt:lpstr>'7折旧'!Print_Titles</vt:lpstr>
      <vt:lpstr>'8摊销'!Print_Titles</vt:lpstr>
      <vt:lpstr>步骤!Print_Titles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周鹰飞</dc:creator>
  <cp:lastModifiedBy>Windows 用户</cp:lastModifiedBy>
  <cp:lastPrinted>2019-10-20T14:07:58Z</cp:lastPrinted>
  <dcterms:created xsi:type="dcterms:W3CDTF">1996-12-17T01:32:42Z</dcterms:created>
  <dcterms:modified xsi:type="dcterms:W3CDTF">2020-07-13T06:16:11Z</dcterms:modified>
</cp:coreProperties>
</file>