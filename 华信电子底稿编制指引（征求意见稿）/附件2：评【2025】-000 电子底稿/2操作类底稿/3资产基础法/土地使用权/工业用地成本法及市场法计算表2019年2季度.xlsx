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许一灵\房地产评估标准底稿4月1日后差异部分\房地产评估标准底稿（2019年1季度）\2、土地评估计算表\"/>
    </mc:Choice>
  </mc:AlternateContent>
  <xr:revisionPtr revIDLastSave="0" documentId="13_ncr:1_{049A7416-BBA7-4442-8FE0-978A57F126CE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工业用地成本逼近法" sheetId="1" r:id="rId1"/>
    <sheet name=" 工业用地市场法案例" sheetId="4" r:id="rId2"/>
    <sheet name="工业用地市场法" sheetId="3" r:id="rId3"/>
  </sheets>
  <externalReferences>
    <externalReference r:id="rId4"/>
  </externalReference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 l="1"/>
  <c r="D2" i="3"/>
  <c r="E35" i="3"/>
  <c r="F35" i="3"/>
  <c r="D35" i="3"/>
  <c r="H189" i="4" l="1"/>
  <c r="H174" i="4"/>
  <c r="H154" i="4"/>
  <c r="H136" i="4"/>
  <c r="H122" i="4"/>
  <c r="H105" i="4"/>
  <c r="H89" i="4"/>
  <c r="H73" i="4"/>
  <c r="H54" i="4"/>
  <c r="H38" i="4"/>
  <c r="H25" i="4"/>
  <c r="H9" i="4"/>
  <c r="B45" i="3"/>
  <c r="C47" i="3" s="1"/>
  <c r="C38" i="3" s="1"/>
  <c r="C36" i="3"/>
  <c r="C12" i="1"/>
  <c r="E11" i="1"/>
  <c r="E10" i="1"/>
  <c r="E9" i="1"/>
  <c r="E8" i="1"/>
  <c r="E7" i="1"/>
  <c r="E6" i="1"/>
  <c r="E5" i="1"/>
  <c r="E12" i="1" l="1"/>
  <c r="E18" i="1" s="1"/>
  <c r="C39" i="3"/>
  <c r="C42" i="3" s="1"/>
  <c r="E20" i="1" l="1"/>
  <c r="E22" i="1" s="1"/>
  <c r="E24" i="1" s="1"/>
  <c r="E26" i="1" s="1"/>
  <c r="E28" i="1" s="1"/>
  <c r="E30" i="1" s="1"/>
  <c r="D50" i="3"/>
  <c r="E50" i="3" s="1"/>
</calcChain>
</file>

<file path=xl/sharedStrings.xml><?xml version="1.0" encoding="utf-8"?>
<sst xmlns="http://schemas.openxmlformats.org/spreadsheetml/2006/main" count="505" uniqueCount="228">
  <si>
    <t>成本逼近法（工业用地）</t>
    <phoneticPr fontId="3" type="noConversion"/>
  </si>
  <si>
    <t>一、</t>
    <phoneticPr fontId="3" type="noConversion"/>
  </si>
  <si>
    <t>土地取得费和税费</t>
    <phoneticPr fontId="3" type="noConversion"/>
  </si>
  <si>
    <t>备注1</t>
    <phoneticPr fontId="3" type="noConversion"/>
  </si>
  <si>
    <t>备注2</t>
    <phoneticPr fontId="3" type="noConversion"/>
  </si>
  <si>
    <t>青苗补偿费</t>
    <phoneticPr fontId="3" type="noConversion"/>
  </si>
  <si>
    <t>元/亩</t>
  </si>
  <si>
    <r>
      <t>元/m</t>
    </r>
    <r>
      <rPr>
        <vertAlign val="superscript"/>
        <sz val="10.5"/>
        <rFont val="仿宋_GB2312"/>
        <family val="3"/>
        <charset val="134"/>
      </rPr>
      <t>2</t>
    </r>
  </si>
  <si>
    <t>土地补偿费</t>
    <phoneticPr fontId="3" type="noConversion"/>
  </si>
  <si>
    <r>
      <t>元/m</t>
    </r>
    <r>
      <rPr>
        <vertAlign val="superscript"/>
        <sz val="10.5"/>
        <rFont val="仿宋_GB2312"/>
        <family val="3"/>
        <charset val="134"/>
      </rPr>
      <t>3</t>
    </r>
    <r>
      <rPr>
        <sz val="12"/>
        <rFont val="宋体"/>
        <family val="3"/>
        <charset val="134"/>
      </rPr>
      <t/>
    </r>
  </si>
  <si>
    <t>地面附着物补偿费</t>
    <phoneticPr fontId="3" type="noConversion"/>
  </si>
  <si>
    <r>
      <t>元/m</t>
    </r>
    <r>
      <rPr>
        <vertAlign val="superscript"/>
        <sz val="10.5"/>
        <rFont val="仿宋_GB2312"/>
        <family val="3"/>
        <charset val="134"/>
      </rPr>
      <t>4</t>
    </r>
    <r>
      <rPr>
        <sz val="12"/>
        <rFont val="宋体"/>
        <family val="3"/>
        <charset val="134"/>
      </rPr>
      <t/>
    </r>
  </si>
  <si>
    <t>安置补助费</t>
    <phoneticPr fontId="3" type="noConversion"/>
  </si>
  <si>
    <r>
      <t>元/m</t>
    </r>
    <r>
      <rPr>
        <vertAlign val="superscript"/>
        <sz val="10.5"/>
        <rFont val="仿宋_GB2312"/>
        <family val="3"/>
        <charset val="134"/>
      </rPr>
      <t>5</t>
    </r>
    <r>
      <rPr>
        <sz val="12"/>
        <rFont val="宋体"/>
        <family val="3"/>
        <charset val="134"/>
      </rPr>
      <t/>
    </r>
  </si>
  <si>
    <t>农业重点开发建设资金</t>
    <phoneticPr fontId="3" type="noConversion"/>
  </si>
  <si>
    <r>
      <t>元/m</t>
    </r>
    <r>
      <rPr>
        <vertAlign val="superscript"/>
        <sz val="10.5"/>
        <rFont val="仿宋_GB2312"/>
        <family val="3"/>
        <charset val="134"/>
      </rPr>
      <t>6</t>
    </r>
    <r>
      <rPr>
        <sz val="12"/>
        <rFont val="宋体"/>
        <family val="3"/>
        <charset val="134"/>
      </rPr>
      <t/>
    </r>
  </si>
  <si>
    <t>耕地开垦费</t>
    <phoneticPr fontId="3" type="noConversion"/>
  </si>
  <si>
    <r>
      <t>元/m</t>
    </r>
    <r>
      <rPr>
        <vertAlign val="superscript"/>
        <sz val="10.5"/>
        <rFont val="仿宋_GB2312"/>
        <family val="3"/>
        <charset val="134"/>
      </rPr>
      <t>7</t>
    </r>
    <r>
      <rPr>
        <sz val="12"/>
        <rFont val="宋体"/>
        <family val="3"/>
        <charset val="134"/>
      </rPr>
      <t/>
    </r>
  </si>
  <si>
    <t xml:space="preserve">征收标准：苏北（徐、淮、盐、连、宿）9元/平方米,苏中（扬、通、泰、）11元/平方米,苏南（宁、镇、苏、锡、常）13元/平方米
</t>
    <phoneticPr fontId="3" type="noConversion"/>
  </si>
  <si>
    <t>苏政办发[2006]32号</t>
    <phoneticPr fontId="3" type="noConversion"/>
  </si>
  <si>
    <t>耕地占用税</t>
    <phoneticPr fontId="3" type="noConversion"/>
  </si>
  <si>
    <r>
      <t>元/m</t>
    </r>
    <r>
      <rPr>
        <vertAlign val="superscript"/>
        <sz val="10.5"/>
        <rFont val="仿宋_GB2312"/>
        <family val="3"/>
        <charset val="134"/>
      </rPr>
      <t>8</t>
    </r>
    <r>
      <rPr>
        <sz val="12"/>
        <rFont val="宋体"/>
        <family val="3"/>
        <charset val="134"/>
      </rPr>
      <t/>
    </r>
  </si>
  <si>
    <r>
      <t>南京市等苏南城市耕地占用税按所属区、县级市、县等级进行划分，分别为</t>
    </r>
    <r>
      <rPr>
        <sz val="8"/>
        <rFont val="Times New Roman"/>
        <family val="1"/>
      </rPr>
      <t>45</t>
    </r>
    <r>
      <rPr>
        <sz val="8"/>
        <rFont val="仿宋_GB2312"/>
        <family val="3"/>
        <charset val="134"/>
      </rPr>
      <t>元</t>
    </r>
    <r>
      <rPr>
        <sz val="8"/>
        <rFont val="Times New Roman"/>
        <family val="1"/>
      </rPr>
      <t>/</t>
    </r>
    <r>
      <rPr>
        <sz val="8"/>
        <rFont val="仿宋_GB2312"/>
        <family val="3"/>
        <charset val="134"/>
      </rPr>
      <t>㎡，</t>
    </r>
    <r>
      <rPr>
        <sz val="8"/>
        <rFont val="Times New Roman"/>
        <family val="1"/>
      </rPr>
      <t>40</t>
    </r>
    <r>
      <rPr>
        <sz val="8"/>
        <rFont val="仿宋_GB2312"/>
        <family val="3"/>
        <charset val="134"/>
      </rPr>
      <t>元</t>
    </r>
    <r>
      <rPr>
        <sz val="8"/>
        <rFont val="Times New Roman"/>
        <family val="1"/>
      </rPr>
      <t>/</t>
    </r>
    <r>
      <rPr>
        <sz val="8"/>
        <rFont val="仿宋_GB2312"/>
        <family val="3"/>
        <charset val="134"/>
      </rPr>
      <t>㎡、</t>
    </r>
    <r>
      <rPr>
        <sz val="8"/>
        <rFont val="Times New Roman"/>
        <family val="1"/>
      </rPr>
      <t>30</t>
    </r>
    <r>
      <rPr>
        <sz val="8"/>
        <rFont val="仿宋_GB2312"/>
        <family val="3"/>
        <charset val="134"/>
      </rPr>
      <t>元</t>
    </r>
    <r>
      <rPr>
        <sz val="8"/>
        <rFont val="Times New Roman"/>
        <family val="1"/>
      </rPr>
      <t>/</t>
    </r>
    <r>
      <rPr>
        <sz val="8"/>
        <rFont val="仿宋_GB2312"/>
        <family val="3"/>
        <charset val="134"/>
      </rPr>
      <t>㎡</t>
    </r>
    <phoneticPr fontId="3" type="noConversion"/>
  </si>
  <si>
    <r>
      <t>苏财基层〔</t>
    </r>
    <r>
      <rPr>
        <sz val="8"/>
        <rFont val="Times New Roman"/>
        <family val="1"/>
      </rPr>
      <t>2008</t>
    </r>
    <r>
      <rPr>
        <sz val="8"/>
        <rFont val="仿宋_GB2312"/>
        <family val="3"/>
        <charset val="134"/>
      </rPr>
      <t>〕</t>
    </r>
    <r>
      <rPr>
        <sz val="8"/>
        <rFont val="Times New Roman"/>
        <family val="1"/>
      </rPr>
      <t>11</t>
    </r>
    <r>
      <rPr>
        <sz val="8"/>
        <rFont val="仿宋_GB2312"/>
        <family val="3"/>
        <charset val="134"/>
      </rPr>
      <t>号</t>
    </r>
  </si>
  <si>
    <t>合计</t>
    <phoneticPr fontId="3" type="noConversion"/>
  </si>
  <si>
    <r>
      <t>元/m</t>
    </r>
    <r>
      <rPr>
        <vertAlign val="superscript"/>
        <sz val="10.5"/>
        <rFont val="仿宋_GB2312"/>
        <family val="3"/>
        <charset val="134"/>
      </rPr>
      <t>9</t>
    </r>
    <r>
      <rPr>
        <sz val="12"/>
        <rFont val="宋体"/>
        <family val="3"/>
        <charset val="134"/>
      </rPr>
      <t/>
    </r>
  </si>
  <si>
    <t>扬州市等苏中城市耕地占用税按所属区、县级市、县等级进行划分，分别为40元/㎡，30元/㎡、25元/㎡。徐州市等苏北城市耕地占用税按所属区、县级市、县等级进行划分，分别为30元/㎡，25元/㎡、20元/㎡</t>
    <phoneticPr fontId="3" type="noConversion"/>
  </si>
  <si>
    <t>二、</t>
    <phoneticPr fontId="3" type="noConversion"/>
  </si>
  <si>
    <t>土地开发费</t>
    <phoneticPr fontId="3" type="noConversion"/>
  </si>
  <si>
    <t>宗地外开发费</t>
    <phoneticPr fontId="3" type="noConversion"/>
  </si>
  <si>
    <t>宗地内开发费</t>
    <phoneticPr fontId="3" type="noConversion"/>
  </si>
  <si>
    <t>三、</t>
    <phoneticPr fontId="3" type="noConversion"/>
  </si>
  <si>
    <t>利息</t>
    <phoneticPr fontId="3" type="noConversion"/>
  </si>
  <si>
    <t>一年期贷款利率</t>
    <phoneticPr fontId="3" type="noConversion"/>
  </si>
  <si>
    <t>四、</t>
    <phoneticPr fontId="3" type="noConversion"/>
  </si>
  <si>
    <t>利润</t>
  </si>
  <si>
    <t>投资利润率</t>
    <phoneticPr fontId="3" type="noConversion"/>
  </si>
  <si>
    <t>五、</t>
    <phoneticPr fontId="3" type="noConversion"/>
  </si>
  <si>
    <t>土地增值收益</t>
    <phoneticPr fontId="3" type="noConversion"/>
  </si>
  <si>
    <t>增值收益率</t>
    <phoneticPr fontId="3" type="noConversion"/>
  </si>
  <si>
    <t>六、</t>
    <phoneticPr fontId="3" type="noConversion"/>
  </si>
  <si>
    <t>无限使用年期地价</t>
    <phoneticPr fontId="3" type="noConversion"/>
  </si>
  <si>
    <t>七、</t>
    <phoneticPr fontId="3" type="noConversion"/>
  </si>
  <si>
    <t>年期修正系数</t>
    <phoneticPr fontId="3" type="noConversion"/>
  </si>
  <si>
    <t>修正系数</t>
    <phoneticPr fontId="3" type="noConversion"/>
  </si>
  <si>
    <t>八、</t>
    <phoneticPr fontId="3" type="noConversion"/>
  </si>
  <si>
    <t>区位修正</t>
    <phoneticPr fontId="3" type="noConversion"/>
  </si>
  <si>
    <t>九、</t>
    <phoneticPr fontId="3" type="noConversion"/>
  </si>
  <si>
    <t>最终地价</t>
    <phoneticPr fontId="3" type="noConversion"/>
  </si>
  <si>
    <t>市场比较法（工业用地）</t>
    <phoneticPr fontId="3" type="noConversion"/>
  </si>
  <si>
    <t>影响因素</t>
  </si>
  <si>
    <t>待估宗地</t>
  </si>
  <si>
    <r>
      <t>实例</t>
    </r>
    <r>
      <rPr>
        <sz val="10.5"/>
        <rFont val="Times"/>
        <family val="1"/>
      </rPr>
      <t>A</t>
    </r>
  </si>
  <si>
    <r>
      <t>实例</t>
    </r>
    <r>
      <rPr>
        <sz val="10.5"/>
        <rFont val="Times"/>
        <family val="1"/>
      </rPr>
      <t>B</t>
    </r>
  </si>
  <si>
    <r>
      <t>实例</t>
    </r>
    <r>
      <rPr>
        <sz val="10.5"/>
        <rFont val="Times"/>
        <family val="1"/>
      </rPr>
      <t>C</t>
    </r>
  </si>
  <si>
    <t>交易时间</t>
  </si>
  <si>
    <t>2017.10</t>
    <phoneticPr fontId="3" type="noConversion"/>
  </si>
  <si>
    <t>交易情况</t>
  </si>
  <si>
    <t>正常</t>
  </si>
  <si>
    <t>交易方式</t>
  </si>
  <si>
    <t>－－</t>
  </si>
  <si>
    <t>出让</t>
  </si>
  <si>
    <r>
      <t>交易价格（元</t>
    </r>
    <r>
      <rPr>
        <sz val="10.5"/>
        <rFont val="Times"/>
        <family val="1"/>
      </rPr>
      <t>/m</t>
    </r>
    <r>
      <rPr>
        <vertAlign val="superscript"/>
        <sz val="10.5"/>
        <rFont val="Times"/>
        <family val="1"/>
      </rPr>
      <t>2</t>
    </r>
    <r>
      <rPr>
        <sz val="10.5"/>
        <rFont val="仿宋_GB2312"/>
        <family val="3"/>
        <charset val="134"/>
      </rPr>
      <t>）</t>
    </r>
  </si>
  <si>
    <t>待评估</t>
  </si>
  <si>
    <t>区域因素</t>
  </si>
  <si>
    <t>交通状况</t>
    <phoneticPr fontId="3" type="noConversion"/>
  </si>
  <si>
    <t>区域内交通便捷，靠交通型主干道</t>
  </si>
  <si>
    <t>基础设施状况</t>
  </si>
  <si>
    <t>供水、供电保障率高、排水通畅、通讯状况好</t>
  </si>
  <si>
    <t>环境状况</t>
    <phoneticPr fontId="3" type="noConversion"/>
  </si>
  <si>
    <t>基本无工业污染，环境较好</t>
  </si>
  <si>
    <t>位于非工业区，成熟度一般</t>
    <phoneticPr fontId="3" type="noConversion"/>
  </si>
  <si>
    <t>行政因素</t>
    <phoneticPr fontId="3" type="noConversion"/>
  </si>
  <si>
    <t>招商引资有优惠政策</t>
  </si>
  <si>
    <t>个别因素</t>
    <phoneticPr fontId="3" type="noConversion"/>
  </si>
  <si>
    <t>宗地位置</t>
  </si>
  <si>
    <t>武进区武宜南路112号，位于区中心，宗地位置好</t>
    <phoneticPr fontId="3" type="noConversion"/>
  </si>
  <si>
    <t>礼嘉镇金球路以西、前时路以北地块，靠近区中心，宗地位置较好</t>
    <phoneticPr fontId="3" type="noConversion"/>
  </si>
  <si>
    <t>湟里镇东安村兴旺路以南、凯达路以北，处于区内边缘乡镇，宗地位置较好</t>
    <phoneticPr fontId="3" type="noConversion"/>
  </si>
  <si>
    <t>湟里镇香泉村，处于区内边缘乡镇，宗地位置较好</t>
    <phoneticPr fontId="3" type="noConversion"/>
  </si>
  <si>
    <t>邻接道路等级及通达度</t>
  </si>
  <si>
    <t>临路状况好</t>
    <phoneticPr fontId="3" type="noConversion"/>
  </si>
  <si>
    <t>临路状况好</t>
  </si>
  <si>
    <t>宗地面积</t>
  </si>
  <si>
    <r>
      <t>5496.7m2</t>
    </r>
    <r>
      <rPr>
        <sz val="9"/>
        <rFont val="宋体"/>
        <family val="3"/>
        <charset val="134"/>
      </rPr>
      <t>，面积中等，对土地利用无影响</t>
    </r>
    <phoneticPr fontId="3" type="noConversion"/>
  </si>
  <si>
    <r>
      <t>24135.32m2</t>
    </r>
    <r>
      <rPr>
        <sz val="9"/>
        <rFont val="宋体"/>
        <family val="3"/>
        <charset val="134"/>
      </rPr>
      <t>，面积大，对土地利用有利</t>
    </r>
    <phoneticPr fontId="3" type="noConversion"/>
  </si>
  <si>
    <r>
      <t>11083.22m2</t>
    </r>
    <r>
      <rPr>
        <sz val="9"/>
        <rFont val="宋体"/>
        <family val="3"/>
        <charset val="134"/>
      </rPr>
      <t>，面积大，对土地利用有利</t>
    </r>
    <phoneticPr fontId="3" type="noConversion"/>
  </si>
  <si>
    <r>
      <t>11421.69m2</t>
    </r>
    <r>
      <rPr>
        <sz val="9"/>
        <rFont val="宋体"/>
        <family val="3"/>
        <charset val="134"/>
      </rPr>
      <t>，面积大，对土地利用有利</t>
    </r>
    <phoneticPr fontId="3" type="noConversion"/>
  </si>
  <si>
    <t>宗地形状</t>
  </si>
  <si>
    <t>较规则</t>
  </si>
  <si>
    <t>土地使用限制</t>
    <phoneticPr fontId="3" type="noConversion"/>
  </si>
  <si>
    <t>土地使用达到开发区土地投资强度限制</t>
  </si>
  <si>
    <t>修正指数</t>
    <phoneticPr fontId="3" type="noConversion"/>
  </si>
  <si>
    <t>比准地价</t>
    <phoneticPr fontId="3" type="noConversion"/>
  </si>
  <si>
    <t>平均地价</t>
    <phoneticPr fontId="3" type="noConversion"/>
  </si>
  <si>
    <t>开发程度修正</t>
    <phoneticPr fontId="3" type="noConversion"/>
  </si>
  <si>
    <t>最终单价</t>
    <phoneticPr fontId="3" type="noConversion"/>
  </si>
  <si>
    <t>土地面积</t>
    <phoneticPr fontId="3" type="noConversion"/>
  </si>
  <si>
    <t>基准日</t>
    <phoneticPr fontId="3" type="noConversion"/>
  </si>
  <si>
    <t>到期日</t>
    <phoneticPr fontId="3" type="noConversion"/>
  </si>
  <si>
    <t>剩余年限</t>
    <phoneticPr fontId="3" type="noConversion"/>
  </si>
  <si>
    <r>
      <t>K=[</t>
    </r>
    <r>
      <rPr>
        <sz val="12"/>
        <rFont val="仿宋_GB2312"/>
        <family val="3"/>
        <charset val="134"/>
      </rPr>
      <t>1－1/（1＋r）</t>
    </r>
    <r>
      <rPr>
        <vertAlign val="superscript"/>
        <sz val="12"/>
        <rFont val="仿宋_GB2312"/>
        <family val="3"/>
        <charset val="134"/>
      </rPr>
      <t>m</t>
    </r>
    <r>
      <rPr>
        <sz val="12"/>
        <rFont val="仿宋_GB2312"/>
        <family val="3"/>
        <charset val="134"/>
      </rPr>
      <t>]/</t>
    </r>
    <r>
      <rPr>
        <sz val="12"/>
        <rFont val="Times New Roman"/>
        <family val="1"/>
      </rPr>
      <t xml:space="preserve"> [</t>
    </r>
    <r>
      <rPr>
        <sz val="12"/>
        <rFont val="仿宋_GB2312"/>
        <family val="3"/>
        <charset val="134"/>
      </rPr>
      <t>1－1/（1＋r）</t>
    </r>
    <r>
      <rPr>
        <vertAlign val="superscript"/>
        <sz val="12"/>
        <rFont val="仿宋_GB2312"/>
        <family val="3"/>
        <charset val="134"/>
      </rPr>
      <t>n</t>
    </r>
  </si>
  <si>
    <t>还原利率</t>
    <phoneticPr fontId="3" type="noConversion"/>
  </si>
  <si>
    <t>证号</t>
    <phoneticPr fontId="3" type="noConversion"/>
  </si>
  <si>
    <t>面积</t>
    <phoneticPr fontId="3" type="noConversion"/>
  </si>
  <si>
    <t>单价</t>
    <phoneticPr fontId="3" type="noConversion"/>
  </si>
  <si>
    <t>总价</t>
    <phoneticPr fontId="3" type="noConversion"/>
  </si>
  <si>
    <t>武集用（2003）字第1203706号</t>
  </si>
  <si>
    <t>http://www.jsmlr.gov.cn/gtapp/nrglIndex.action?catalogID=2c9082b55bf0223a015bf03b15830065&amp;type=2&amp;messageID=2c9082b56131164b016150543e3303b8</t>
  </si>
  <si>
    <t>武进区集体经营性建设用地协议出让成交公示</t>
  </si>
  <si>
    <t>地块编号</t>
  </si>
  <si>
    <r>
      <t>武集</t>
    </r>
    <r>
      <rPr>
        <sz val="9"/>
        <color indexed="63"/>
        <rFont val="微软雅黑"/>
        <family val="2"/>
        <charset val="134"/>
      </rPr>
      <t>XYG2017WJ014</t>
    </r>
  </si>
  <si>
    <t>公告编号</t>
  </si>
  <si>
    <r>
      <t>武进区集体经营性建设用地协议出让公告信息</t>
    </r>
    <r>
      <rPr>
        <sz val="9"/>
        <color indexed="8"/>
        <rFont val="微软雅黑"/>
        <family val="2"/>
        <charset val="134"/>
      </rPr>
      <t xml:space="preserve"> JTXY201714</t>
    </r>
    <r>
      <rPr>
        <sz val="9"/>
        <color indexed="8"/>
        <rFont val="宋体"/>
        <family val="3"/>
        <charset val="134"/>
      </rPr>
      <t>号</t>
    </r>
  </si>
  <si>
    <t>土地位置</t>
  </si>
  <si>
    <r>
      <t>武进区雪堰镇城西村</t>
    </r>
    <r>
      <rPr>
        <sz val="9"/>
        <color indexed="63"/>
        <rFont val="微软雅黑"/>
        <family val="2"/>
        <charset val="134"/>
      </rPr>
      <t>232</t>
    </r>
    <r>
      <rPr>
        <sz val="9"/>
        <color indexed="63"/>
        <rFont val="宋体"/>
        <family val="3"/>
        <charset val="134"/>
      </rPr>
      <t>省道西侧地块</t>
    </r>
  </si>
  <si>
    <t>公示开始时间</t>
  </si>
  <si>
    <t>公示截止时间</t>
  </si>
  <si>
    <t>所属行政区</t>
  </si>
  <si>
    <t>武进区</t>
  </si>
  <si>
    <t>出让面积（平方米）</t>
  </si>
  <si>
    <t>协议出让</t>
  </si>
  <si>
    <t>规划用途</t>
  </si>
  <si>
    <t>工业</t>
  </si>
  <si>
    <t>容积率</t>
  </si>
  <si>
    <t>/</t>
  </si>
  <si>
    <t>出让年限（年）</t>
  </si>
  <si>
    <t>协议出让价格（万元）</t>
  </si>
  <si>
    <t>受让人</t>
  </si>
  <si>
    <t>常州市劲克玛机械有限公司</t>
  </si>
  <si>
    <t>合同签订时间</t>
  </si>
  <si>
    <t>土地交付条件</t>
  </si>
  <si>
    <t>现状土地使用条件</t>
  </si>
  <si>
    <r>
      <t>武集</t>
    </r>
    <r>
      <rPr>
        <sz val="9"/>
        <color indexed="63"/>
        <rFont val="微软雅黑"/>
        <family val="2"/>
        <charset val="134"/>
      </rPr>
      <t>XYG2017WJ013</t>
    </r>
  </si>
  <si>
    <r>
      <t>武进区集体经营性建设用地协议出让公告信息</t>
    </r>
    <r>
      <rPr>
        <sz val="9"/>
        <color indexed="8"/>
        <rFont val="微软雅黑"/>
        <family val="2"/>
        <charset val="134"/>
      </rPr>
      <t xml:space="preserve"> JTXY201713</t>
    </r>
    <r>
      <rPr>
        <sz val="9"/>
        <color indexed="8"/>
        <rFont val="宋体"/>
        <family val="3"/>
        <charset val="134"/>
      </rPr>
      <t>号</t>
    </r>
  </si>
  <si>
    <t>龙江南路以东、人民西路以南</t>
  </si>
  <si>
    <t>武进区牛塘富凯电机厂</t>
  </si>
  <si>
    <r>
      <t>武集</t>
    </r>
    <r>
      <rPr>
        <sz val="9"/>
        <color indexed="63"/>
        <rFont val="微软雅黑"/>
        <family val="2"/>
        <charset val="134"/>
      </rPr>
      <t>XYG2017WJ012</t>
    </r>
  </si>
  <si>
    <r>
      <t>武进区集体经营性建设用地协议出让公告信息</t>
    </r>
    <r>
      <rPr>
        <sz val="9"/>
        <color indexed="8"/>
        <rFont val="微软雅黑"/>
        <family val="2"/>
        <charset val="134"/>
      </rPr>
      <t xml:space="preserve"> JTXY201712</t>
    </r>
    <r>
      <rPr>
        <sz val="9"/>
        <color indexed="8"/>
        <rFont val="宋体"/>
        <family val="3"/>
        <charset val="134"/>
      </rPr>
      <t>号</t>
    </r>
  </si>
  <si>
    <r>
      <t>嘉泽镇夏溪北路地块</t>
    </r>
    <r>
      <rPr>
        <sz val="9"/>
        <color indexed="63"/>
        <rFont val="微软雅黑"/>
        <family val="2"/>
        <charset val="134"/>
      </rPr>
      <t>2#</t>
    </r>
  </si>
  <si>
    <r>
      <t>32.04（净收益：</t>
    </r>
    <r>
      <rPr>
        <sz val="9"/>
        <color indexed="63"/>
        <rFont val="微软雅黑"/>
        <family val="2"/>
        <charset val="134"/>
      </rPr>
      <t>16.02</t>
    </r>
    <r>
      <rPr>
        <sz val="9"/>
        <color indexed="63"/>
        <rFont val="宋体"/>
        <family val="3"/>
        <charset val="134"/>
      </rPr>
      <t>）</t>
    </r>
  </si>
  <si>
    <t>三鑫重工机械有限公司</t>
  </si>
  <si>
    <t>JTGWJ20171301</t>
  </si>
  <si>
    <t>武进区集体经营性建设用地使用权挂牌出让公告</t>
  </si>
  <si>
    <t>JTGWJ201713号</t>
  </si>
  <si>
    <t>洛阳镇戴洛路东侧跃进河南侧</t>
  </si>
  <si>
    <t>建筑面积（平方米）</t>
  </si>
  <si>
    <t>挂牌</t>
  </si>
  <si>
    <t>起始价（万元）</t>
  </si>
  <si>
    <t>竞得价（万元）</t>
  </si>
  <si>
    <t>竞得单位</t>
  </si>
  <si>
    <t>常州市阳光铸造有限公司</t>
  </si>
  <si>
    <t>成交时间</t>
  </si>
  <si>
    <t>保留现状建筑面积建筑物及附属设施</t>
  </si>
  <si>
    <t>武进区集体经营性建设用地挂牌出让成交公示</t>
  </si>
  <si>
    <t xml:space="preserve">地块编号 </t>
  </si>
  <si>
    <t>JTGWJ20171201</t>
  </si>
  <si>
    <t xml:space="preserve">公告编号 </t>
  </si>
  <si>
    <t>JTGWJ201712号</t>
  </si>
  <si>
    <t xml:space="preserve">土地位置 </t>
  </si>
  <si>
    <r>
      <t>武进区湟里镇成湟河东侧、</t>
    </r>
    <r>
      <rPr>
        <sz val="12"/>
        <color indexed="63"/>
        <rFont val="微软雅黑"/>
        <family val="2"/>
        <charset val="134"/>
      </rPr>
      <t>239</t>
    </r>
    <r>
      <rPr>
        <sz val="12"/>
        <color indexed="63"/>
        <rFont val="宋体"/>
        <family val="3"/>
        <charset val="134"/>
      </rPr>
      <t>省道西侧</t>
    </r>
  </si>
  <si>
    <t xml:space="preserve">公示开始时间 </t>
  </si>
  <si>
    <t xml:space="preserve">公示截止时间 </t>
  </si>
  <si>
    <t xml:space="preserve">所属行政区 </t>
  </si>
  <si>
    <t xml:space="preserve">武进区 </t>
  </si>
  <si>
    <t xml:space="preserve">出让面积（平方米） </t>
  </si>
  <si>
    <t xml:space="preserve">建筑面积（平方米） </t>
  </si>
  <si>
    <t xml:space="preserve">规划用途 </t>
  </si>
  <si>
    <t xml:space="preserve">工业 </t>
  </si>
  <si>
    <t xml:space="preserve">出让年限（年） </t>
  </si>
  <si>
    <t xml:space="preserve">交易方式 </t>
  </si>
  <si>
    <t xml:space="preserve">挂牌 </t>
  </si>
  <si>
    <t xml:space="preserve">起始价（万元） </t>
  </si>
  <si>
    <t xml:space="preserve">竞得价（万元） </t>
  </si>
  <si>
    <t xml:space="preserve">竞得单位 </t>
  </si>
  <si>
    <t>常州市杰鼎新型复合洁具有限公司</t>
  </si>
  <si>
    <t xml:space="preserve">成交时间 </t>
  </si>
  <si>
    <t xml:space="preserve">土地交付条件 </t>
  </si>
  <si>
    <r>
      <t>武集</t>
    </r>
    <r>
      <rPr>
        <sz val="9"/>
        <color indexed="63"/>
        <rFont val="微软雅黑"/>
        <family val="2"/>
        <charset val="134"/>
      </rPr>
      <t>XYG2017WJ011</t>
    </r>
  </si>
  <si>
    <r>
      <t>武进区集体经营性建设用地协议出让公告信息</t>
    </r>
    <r>
      <rPr>
        <sz val="9"/>
        <color indexed="8"/>
        <rFont val="微软雅黑"/>
        <family val="2"/>
        <charset val="134"/>
      </rPr>
      <t xml:space="preserve"> JTXY201711</t>
    </r>
    <r>
      <rPr>
        <sz val="9"/>
        <color indexed="8"/>
        <rFont val="宋体"/>
        <family val="3"/>
        <charset val="134"/>
      </rPr>
      <t>号</t>
    </r>
  </si>
  <si>
    <t>前黄镇运村村太滆运河以南、环镇东路以西</t>
  </si>
  <si>
    <t>0.7-2.5</t>
  </si>
  <si>
    <t>江苏迪宝新型环保建材有限公司</t>
  </si>
  <si>
    <r>
      <t>武集</t>
    </r>
    <r>
      <rPr>
        <sz val="9"/>
        <color indexed="63"/>
        <rFont val="微软雅黑"/>
        <family val="2"/>
        <charset val="134"/>
      </rPr>
      <t>XYG2017WJ010</t>
    </r>
  </si>
  <si>
    <r>
      <t>武进区集体经营性建设用地协议出让公告信息</t>
    </r>
    <r>
      <rPr>
        <sz val="9"/>
        <color indexed="8"/>
        <rFont val="微软雅黑"/>
        <family val="2"/>
        <charset val="134"/>
      </rPr>
      <t xml:space="preserve"> JTXY201710</t>
    </r>
    <r>
      <rPr>
        <sz val="9"/>
        <color indexed="8"/>
        <rFont val="宋体"/>
        <family val="3"/>
        <charset val="134"/>
      </rPr>
      <t>号</t>
    </r>
  </si>
  <si>
    <r>
      <t>礼嘉镇礼坂路以东木虎坝浜以南</t>
    </r>
    <r>
      <rPr>
        <sz val="9"/>
        <color indexed="63"/>
        <rFont val="微软雅黑"/>
        <family val="2"/>
        <charset val="134"/>
      </rPr>
      <t>1</t>
    </r>
    <r>
      <rPr>
        <sz val="9"/>
        <color indexed="63"/>
        <rFont val="宋体"/>
        <family val="3"/>
        <charset val="134"/>
      </rPr>
      <t>号</t>
    </r>
  </si>
  <si>
    <r>
      <t>162.36（净收益</t>
    </r>
    <r>
      <rPr>
        <sz val="9"/>
        <color indexed="63"/>
        <rFont val="微软雅黑"/>
        <family val="2"/>
        <charset val="134"/>
      </rPr>
      <t>81.18</t>
    </r>
    <r>
      <rPr>
        <sz val="9"/>
        <color indexed="63"/>
        <rFont val="宋体"/>
        <family val="3"/>
        <charset val="134"/>
      </rPr>
      <t>万元）</t>
    </r>
  </si>
  <si>
    <t>常州市武进礼嘉江南金属制品厂</t>
  </si>
  <si>
    <r>
      <t>武集</t>
    </r>
    <r>
      <rPr>
        <sz val="9"/>
        <color indexed="63"/>
        <rFont val="微软雅黑"/>
        <family val="2"/>
        <charset val="134"/>
      </rPr>
      <t>XYG2017WJ009</t>
    </r>
  </si>
  <si>
    <r>
      <t>武进区集体经营性建设用地协议出让公告信息</t>
    </r>
    <r>
      <rPr>
        <sz val="9"/>
        <color indexed="8"/>
        <rFont val="微软雅黑"/>
        <family val="2"/>
        <charset val="134"/>
      </rPr>
      <t xml:space="preserve"> JTXY201709</t>
    </r>
    <r>
      <rPr>
        <sz val="9"/>
        <color indexed="8"/>
        <rFont val="宋体"/>
        <family val="3"/>
        <charset val="134"/>
      </rPr>
      <t>号</t>
    </r>
  </si>
  <si>
    <t>武进区洛阳镇东都西路南侧、永友路西侧</t>
  </si>
  <si>
    <t>常州新亚电机有限公司（巴西）</t>
  </si>
  <si>
    <t>JTGWJ20170501</t>
  </si>
  <si>
    <t>JTGWJ201705号</t>
  </si>
  <si>
    <t>礼嘉镇金球路以西、前时路以北地块</t>
    <phoneticPr fontId="3" type="noConversion"/>
  </si>
  <si>
    <t>A</t>
    <phoneticPr fontId="3" type="noConversion"/>
  </si>
  <si>
    <t>江苏汉鼎机械有限公司</t>
    <phoneticPr fontId="3" type="noConversion"/>
  </si>
  <si>
    <t>净地</t>
  </si>
  <si>
    <r>
      <t>武集</t>
    </r>
    <r>
      <rPr>
        <sz val="9"/>
        <color indexed="63"/>
        <rFont val="微软雅黑"/>
        <family val="2"/>
        <charset val="134"/>
      </rPr>
      <t>XYG2017WJ008</t>
    </r>
  </si>
  <si>
    <r>
      <t>武进区集体经营性建设用地协议出让公告信息</t>
    </r>
    <r>
      <rPr>
        <sz val="9"/>
        <color indexed="8"/>
        <rFont val="微软雅黑"/>
        <family val="2"/>
        <charset val="134"/>
      </rPr>
      <t xml:space="preserve"> JTXY201708</t>
    </r>
    <r>
      <rPr>
        <sz val="9"/>
        <color indexed="8"/>
        <rFont val="宋体"/>
        <family val="3"/>
        <charset val="134"/>
      </rPr>
      <t>号</t>
    </r>
  </si>
  <si>
    <t>礼嘉镇武南路北侧建中路南侧</t>
  </si>
  <si>
    <t>常州市礼坂建材有限公司</t>
  </si>
  <si>
    <t>JTGWJ20170901</t>
  </si>
  <si>
    <t>JTGWJ201709号</t>
  </si>
  <si>
    <t>湟里镇东安村兴旺路以南、凯达路以北</t>
    <phoneticPr fontId="3" type="noConversion"/>
  </si>
  <si>
    <t>B</t>
    <phoneticPr fontId="3" type="noConversion"/>
  </si>
  <si>
    <t>常州凯达重工科技有限公司</t>
    <phoneticPr fontId="3" type="noConversion"/>
  </si>
  <si>
    <t>JTGWJ20170801</t>
  </si>
  <si>
    <t>JTGWJ201708号</t>
  </si>
  <si>
    <t>湟里镇香泉村</t>
    <phoneticPr fontId="3" type="noConversion"/>
  </si>
  <si>
    <t>C</t>
    <phoneticPr fontId="3" type="noConversion"/>
  </si>
  <si>
    <t>江苏利辉电力设备有限公司</t>
    <phoneticPr fontId="3" type="noConversion"/>
  </si>
  <si>
    <t>工业区产业集聚度</t>
    <phoneticPr fontId="3" type="noConversion"/>
  </si>
  <si>
    <t>基础设施状况</t>
    <phoneticPr fontId="3" type="noConversion"/>
  </si>
  <si>
    <t>宗地位置</t>
    <phoneticPr fontId="3" type="noConversion"/>
  </si>
  <si>
    <t>邻接道路等级及通达度</t>
    <phoneticPr fontId="3" type="noConversion"/>
  </si>
  <si>
    <t>宗地面积</t>
    <phoneticPr fontId="3" type="noConversion"/>
  </si>
  <si>
    <t>宗地形状</t>
    <phoneticPr fontId="3" type="noConversion"/>
  </si>
  <si>
    <t>被评估单位：</t>
    <phoneticPr fontId="3" type="noConversion"/>
  </si>
  <si>
    <t>评估人员：</t>
    <phoneticPr fontId="3" type="noConversion"/>
  </si>
  <si>
    <t>索引号：</t>
    <phoneticPr fontId="3" type="noConversion"/>
  </si>
  <si>
    <t>C4-12-1/3</t>
    <phoneticPr fontId="3" type="noConversion"/>
  </si>
  <si>
    <t>评估基准日：</t>
    <phoneticPr fontId="3" type="noConversion"/>
  </si>
  <si>
    <t>复核人员：</t>
    <phoneticPr fontId="3" type="noConversion"/>
  </si>
  <si>
    <t>页  次：</t>
    <phoneticPr fontId="3" type="noConversion"/>
  </si>
  <si>
    <t>张家港市****</t>
    <phoneticPr fontId="3" type="noConversion"/>
  </si>
  <si>
    <t>契税税率</t>
    <phoneticPr fontId="3" type="noConversion"/>
  </si>
  <si>
    <t>含税评估总价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</si>
</sst>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.0000_ "/>
    <numFmt numFmtId="179" formatCode="0_ "/>
  </numFmts>
  <fonts count="38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20"/>
      <name val="仿宋_GB2312"/>
      <family val="3"/>
      <charset val="134"/>
    </font>
    <font>
      <sz val="9"/>
      <name val="宋体"/>
      <family val="3"/>
      <charset val="134"/>
    </font>
    <font>
      <sz val="12"/>
      <name val="仿宋_GB2312"/>
      <family val="3"/>
      <charset val="134"/>
    </font>
    <font>
      <sz val="10.5"/>
      <name val="仿宋_GB2312"/>
      <family val="3"/>
      <charset val="134"/>
    </font>
    <font>
      <vertAlign val="superscript"/>
      <sz val="10.5"/>
      <name val="仿宋_GB2312"/>
      <family val="3"/>
      <charset val="134"/>
    </font>
    <font>
      <sz val="8"/>
      <name val="宋体"/>
      <family val="3"/>
      <charset val="134"/>
    </font>
    <font>
      <sz val="8"/>
      <name val="仿宋_GB2312"/>
      <family val="3"/>
      <charset val="134"/>
    </font>
    <font>
      <sz val="8"/>
      <name val="Times New Roman"/>
      <family val="1"/>
    </font>
    <font>
      <sz val="8"/>
      <color indexed="10"/>
      <name val="仿宋_GB2312"/>
      <family val="3"/>
      <charset val="134"/>
    </font>
    <font>
      <b/>
      <sz val="18"/>
      <name val="宋体"/>
      <family val="3"/>
      <charset val="134"/>
    </font>
    <font>
      <sz val="10.5"/>
      <name val="Times"/>
      <family val="1"/>
    </font>
    <font>
      <sz val="11"/>
      <name val="Cambria"/>
      <family val="1"/>
    </font>
    <font>
      <vertAlign val="superscript"/>
      <sz val="10.5"/>
      <name val="Times"/>
      <family val="1"/>
    </font>
    <font>
      <sz val="9"/>
      <name val="仿宋_GB2312"/>
      <family val="3"/>
      <charset val="134"/>
    </font>
    <font>
      <sz val="9"/>
      <name val="Cambria"/>
      <family val="1"/>
    </font>
    <font>
      <sz val="10.5"/>
      <name val="Times New Roman"/>
      <family val="1"/>
    </font>
    <font>
      <sz val="10"/>
      <name val="宋体"/>
      <family val="3"/>
      <charset val="134"/>
    </font>
    <font>
      <sz val="11"/>
      <name val="Times New Roman"/>
      <family val="1"/>
    </font>
    <font>
      <sz val="12"/>
      <name val="Times New Roman"/>
      <family val="1"/>
    </font>
    <font>
      <vertAlign val="superscript"/>
      <sz val="12"/>
      <name val="仿宋_GB2312"/>
      <family val="3"/>
      <charset val="134"/>
    </font>
    <font>
      <b/>
      <sz val="17"/>
      <color rgb="FF262626"/>
      <name val="等线"/>
      <family val="3"/>
      <charset val="134"/>
      <scheme val="minor"/>
    </font>
    <font>
      <sz val="9"/>
      <color rgb="FF383838"/>
      <name val="宋体"/>
      <family val="3"/>
      <charset val="134"/>
    </font>
    <font>
      <sz val="9"/>
      <color indexed="63"/>
      <name val="微软雅黑"/>
      <family val="2"/>
      <charset val="134"/>
    </font>
    <font>
      <sz val="9"/>
      <color theme="1"/>
      <name val="宋体"/>
      <family val="3"/>
      <charset val="134"/>
    </font>
    <font>
      <sz val="9"/>
      <color indexed="8"/>
      <name val="微软雅黑"/>
      <family val="2"/>
      <charset val="134"/>
    </font>
    <font>
      <sz val="9"/>
      <color indexed="8"/>
      <name val="宋体"/>
      <family val="3"/>
      <charset val="134"/>
    </font>
    <font>
      <sz val="9"/>
      <color indexed="63"/>
      <name val="宋体"/>
      <family val="3"/>
      <charset val="134"/>
    </font>
    <font>
      <sz val="12"/>
      <color rgb="FF383838"/>
      <name val="宋体"/>
      <family val="3"/>
      <charset val="134"/>
    </font>
    <font>
      <sz val="12"/>
      <color rgb="FF38383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indexed="63"/>
      <name val="微软雅黑"/>
      <family val="2"/>
      <charset val="134"/>
    </font>
    <font>
      <sz val="12"/>
      <color indexed="63"/>
      <name val="宋体"/>
      <family val="3"/>
      <charset val="134"/>
    </font>
    <font>
      <sz val="10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indexed="8"/>
      <name val="Times New Roman"/>
      <family val="1"/>
    </font>
    <font>
      <b/>
      <sz val="16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35" fillId="0" borderId="0">
      <alignment vertical="center"/>
    </xf>
  </cellStyleXfs>
  <cellXfs count="104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77" fontId="19" fillId="0" borderId="1" xfId="0" applyNumberFormat="1" applyFont="1" applyBorder="1" applyAlignment="1">
      <alignment horizontal="center" vertical="center"/>
    </xf>
    <xf numFmtId="177" fontId="19" fillId="0" borderId="7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31" fontId="0" fillId="0" borderId="0" xfId="0" applyNumberFormat="1" applyAlignment="1">
      <alignment vertical="center"/>
    </xf>
    <xf numFmtId="0" fontId="20" fillId="0" borderId="0" xfId="1" applyFont="1" applyFill="1" applyAlignment="1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0" fontId="23" fillId="2" borderId="11" xfId="0" applyFont="1" applyFill="1" applyBorder="1" applyAlignment="1">
      <alignment horizontal="left" vertical="center" wrapText="1"/>
    </xf>
    <xf numFmtId="31" fontId="23" fillId="2" borderId="11" xfId="0" applyNumberFormat="1" applyFont="1" applyFill="1" applyBorder="1" applyAlignment="1">
      <alignment horizontal="left" vertical="center" wrapText="1"/>
    </xf>
    <xf numFmtId="14" fontId="23" fillId="2" borderId="11" xfId="0" applyNumberFormat="1" applyFont="1" applyFill="1" applyBorder="1" applyAlignment="1">
      <alignment horizontal="left" vertical="center" wrapText="1"/>
    </xf>
    <xf numFmtId="0" fontId="29" fillId="2" borderId="11" xfId="0" applyFont="1" applyFill="1" applyBorder="1" applyAlignment="1">
      <alignment horizontal="left" vertical="center" wrapText="1"/>
    </xf>
    <xf numFmtId="31" fontId="29" fillId="2" borderId="11" xfId="0" applyNumberFormat="1" applyFont="1" applyFill="1" applyBorder="1" applyAlignment="1">
      <alignment horizontal="left" vertical="center" wrapText="1"/>
    </xf>
    <xf numFmtId="0" fontId="31" fillId="2" borderId="11" xfId="0" applyFont="1" applyFill="1" applyBorder="1" applyAlignment="1">
      <alignment vertical="center" wrapText="1"/>
    </xf>
    <xf numFmtId="14" fontId="29" fillId="2" borderId="11" xfId="0" applyNumberFormat="1" applyFont="1" applyFill="1" applyBorder="1" applyAlignment="1">
      <alignment horizontal="left" vertical="center" wrapText="1"/>
    </xf>
    <xf numFmtId="17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6" fillId="3" borderId="1" xfId="0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vertical="center"/>
    </xf>
    <xf numFmtId="0" fontId="34" fillId="0" borderId="0" xfId="3" applyFont="1" applyFill="1" applyBorder="1" applyAlignment="1">
      <alignment vertical="center"/>
    </xf>
    <xf numFmtId="0" fontId="18" fillId="0" borderId="0" xfId="3" applyFont="1" applyFill="1" applyBorder="1" applyAlignment="1">
      <alignment vertical="center"/>
    </xf>
    <xf numFmtId="0" fontId="35" fillId="0" borderId="0" xfId="4" applyFill="1">
      <alignment vertical="center"/>
    </xf>
    <xf numFmtId="0" fontId="18" fillId="0" borderId="0" xfId="3" applyFont="1" applyFill="1" applyBorder="1" applyAlignment="1">
      <alignment horizontal="center" vertical="center"/>
    </xf>
    <xf numFmtId="0" fontId="34" fillId="0" borderId="0" xfId="3" applyFont="1" applyFill="1" applyBorder="1" applyAlignment="1">
      <alignment horizontal="center" vertical="center"/>
    </xf>
    <xf numFmtId="0" fontId="36" fillId="0" borderId="0" xfId="4" applyFont="1" applyFill="1">
      <alignment vertical="center"/>
    </xf>
    <xf numFmtId="31" fontId="18" fillId="0" borderId="0" xfId="3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3" fillId="2" borderId="12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3" fillId="2" borderId="13" xfId="0" applyFont="1" applyFill="1" applyBorder="1" applyAlignment="1">
      <alignment horizontal="left" vertical="center" wrapText="1"/>
    </xf>
    <xf numFmtId="0" fontId="25" fillId="2" borderId="12" xfId="0" applyFont="1" applyFill="1" applyBorder="1" applyAlignment="1">
      <alignment horizontal="left" vertical="center" wrapText="1"/>
    </xf>
    <xf numFmtId="0" fontId="25" fillId="2" borderId="13" xfId="0" applyFont="1" applyFill="1" applyBorder="1" applyAlignment="1">
      <alignment horizontal="left" vertical="center" wrapText="1"/>
    </xf>
    <xf numFmtId="0" fontId="25" fillId="2" borderId="14" xfId="0" applyFont="1" applyFill="1" applyBorder="1" applyAlignment="1">
      <alignment horizontal="left" vertical="center" wrapText="1"/>
    </xf>
    <xf numFmtId="0" fontId="29" fillId="2" borderId="12" xfId="0" applyFont="1" applyFill="1" applyBorder="1" applyAlignment="1">
      <alignment horizontal="left" vertical="center" wrapText="1"/>
    </xf>
    <xf numFmtId="0" fontId="29" fillId="2" borderId="13" xfId="0" applyFont="1" applyFill="1" applyBorder="1" applyAlignment="1">
      <alignment horizontal="left" vertical="center" wrapText="1"/>
    </xf>
    <xf numFmtId="0" fontId="29" fillId="2" borderId="14" xfId="0" applyFont="1" applyFill="1" applyBorder="1" applyAlignment="1">
      <alignment horizontal="left" vertical="center" wrapText="1"/>
    </xf>
    <xf numFmtId="0" fontId="29" fillId="2" borderId="15" xfId="0" applyFont="1" applyFill="1" applyBorder="1" applyAlignment="1">
      <alignment horizontal="left" vertical="center" wrapText="1"/>
    </xf>
    <xf numFmtId="0" fontId="29" fillId="2" borderId="19" xfId="0" applyFont="1" applyFill="1" applyBorder="1" applyAlignment="1">
      <alignment horizontal="left" vertical="center" wrapText="1"/>
    </xf>
    <xf numFmtId="0" fontId="29" fillId="2" borderId="16" xfId="0" applyFont="1" applyFill="1" applyBorder="1" applyAlignment="1">
      <alignment horizontal="left" vertical="center" wrapText="1"/>
    </xf>
    <xf numFmtId="0" fontId="29" fillId="2" borderId="17" xfId="0" applyFont="1" applyFill="1" applyBorder="1" applyAlignment="1">
      <alignment horizontal="left" vertical="center" wrapText="1"/>
    </xf>
    <xf numFmtId="0" fontId="29" fillId="2" borderId="18" xfId="0" applyFont="1" applyFill="1" applyBorder="1" applyAlignment="1">
      <alignment horizontal="left" vertical="center" wrapText="1"/>
    </xf>
    <xf numFmtId="0" fontId="30" fillId="2" borderId="20" xfId="0" applyFont="1" applyFill="1" applyBorder="1" applyAlignment="1">
      <alignment horizontal="left" vertical="center" wrapText="1"/>
    </xf>
    <xf numFmtId="0" fontId="30" fillId="2" borderId="21" xfId="0" applyFont="1" applyFill="1" applyBorder="1" applyAlignment="1">
      <alignment horizontal="left" vertical="center" wrapText="1"/>
    </xf>
    <xf numFmtId="0" fontId="30" fillId="2" borderId="2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19" fillId="0" borderId="2" xfId="0" applyNumberFormat="1" applyFont="1" applyBorder="1" applyAlignment="1">
      <alignment horizontal="center" vertical="center"/>
    </xf>
    <xf numFmtId="176" fontId="19" fillId="0" borderId="5" xfId="0" applyNumberFormat="1" applyFont="1" applyBorder="1" applyAlignment="1">
      <alignment horizontal="center" vertical="center"/>
    </xf>
    <xf numFmtId="176" fontId="19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8" fontId="19" fillId="0" borderId="2" xfId="0" applyNumberFormat="1" applyFont="1" applyBorder="1" applyAlignment="1">
      <alignment horizontal="center" vertical="center"/>
    </xf>
    <xf numFmtId="178" fontId="19" fillId="0" borderId="5" xfId="0" applyNumberFormat="1" applyFont="1" applyBorder="1" applyAlignment="1">
      <alignment horizontal="center" vertical="center"/>
    </xf>
    <xf numFmtId="178" fontId="19" fillId="0" borderId="3" xfId="0" applyNumberFormat="1" applyFont="1" applyBorder="1" applyAlignment="1">
      <alignment horizontal="center" vertical="center"/>
    </xf>
    <xf numFmtId="9" fontId="19" fillId="0" borderId="2" xfId="2" applyFont="1" applyBorder="1" applyAlignment="1">
      <alignment horizontal="center" vertical="center"/>
    </xf>
    <xf numFmtId="9" fontId="19" fillId="0" borderId="5" xfId="2" applyFont="1" applyBorder="1" applyAlignment="1">
      <alignment horizontal="center" vertical="center"/>
    </xf>
    <xf numFmtId="9" fontId="19" fillId="0" borderId="3" xfId="2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">
    <cellStyle name="0,0_x000d__x000a_NA_x000d__x000a_" xfId="1" xr:uid="{00000000-0005-0000-0000-000000000000}"/>
    <cellStyle name="百分比" xfId="2" builtinId="5"/>
    <cellStyle name="常规" xfId="0" builtinId="0"/>
    <cellStyle name="常规 23" xfId="4" xr:uid="{00000000-0005-0000-0000-000003000000}"/>
    <cellStyle name="常规_审计工作底稿-资产类（夏）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2016-347&#21495;&#27743;&#33487;&#30465;&#27888;&#20852;&#34425;&#26725;&#24037;&#19994;&#22253;&#21306;&#31649;&#22996;&#20250;&#22303;&#22320;&#21450;&#23736;&#32447;&#35780;&#20272;&#25253;&#21578;&#25490;&#29256;/2&#22303;&#22320;&#24213;&#312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步骤复核表"/>
      <sheetName val="_formula_"/>
      <sheetName val="4-12-1无形-土地"/>
      <sheetName val="土地使用权核实表"/>
      <sheetName val="土地状况、评估结果汇总"/>
      <sheetName val="宗地利用状况一览表"/>
      <sheetName val="宗地情况调查表"/>
      <sheetName val="土地使用权—居住用地价格调查表"/>
      <sheetName val="基准地价法-工业"/>
      <sheetName val="成本法"/>
      <sheetName val="市场法-地价案例"/>
      <sheetName val="市场法-工业"/>
      <sheetName val="Sheet2"/>
      <sheetName val="Sheet4"/>
      <sheetName val="市场法-住宅"/>
      <sheetName val="Sheet3"/>
      <sheetName val="市场法-工业 (2)"/>
    </sheetNames>
    <sheetDataSet>
      <sheetData sheetId="0">
        <row r="5">
          <cell r="B5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B9" sqref="B9"/>
    </sheetView>
  </sheetViews>
  <sheetFormatPr defaultColWidth="9" defaultRowHeight="15.6" x14ac:dyDescent="0.25"/>
  <cols>
    <col min="1" max="1" width="9" style="1"/>
    <col min="2" max="2" width="22" style="1" customWidth="1"/>
    <col min="3" max="3" width="14.59765625" style="1" customWidth="1"/>
    <col min="4" max="4" width="9" style="1"/>
    <col min="5" max="5" width="9" style="14"/>
    <col min="6" max="6" width="9" style="1"/>
    <col min="7" max="7" width="20.59765625" style="1" customWidth="1"/>
    <col min="8" max="8" width="15.5" style="1" customWidth="1"/>
    <col min="9" max="257" width="9" style="1"/>
    <col min="258" max="258" width="22" style="1" customWidth="1"/>
    <col min="259" max="259" width="14.59765625" style="1" customWidth="1"/>
    <col min="260" max="262" width="9" style="1"/>
    <col min="263" max="263" width="36.09765625" style="1" customWidth="1"/>
    <col min="264" max="264" width="15.5" style="1" customWidth="1"/>
    <col min="265" max="513" width="9" style="1"/>
    <col min="514" max="514" width="22" style="1" customWidth="1"/>
    <col min="515" max="515" width="14.59765625" style="1" customWidth="1"/>
    <col min="516" max="518" width="9" style="1"/>
    <col min="519" max="519" width="36.09765625" style="1" customWidth="1"/>
    <col min="520" max="520" width="15.5" style="1" customWidth="1"/>
    <col min="521" max="769" width="9" style="1"/>
    <col min="770" max="770" width="22" style="1" customWidth="1"/>
    <col min="771" max="771" width="14.59765625" style="1" customWidth="1"/>
    <col min="772" max="774" width="9" style="1"/>
    <col min="775" max="775" width="36.09765625" style="1" customWidth="1"/>
    <col min="776" max="776" width="15.5" style="1" customWidth="1"/>
    <col min="777" max="1025" width="9" style="1"/>
    <col min="1026" max="1026" width="22" style="1" customWidth="1"/>
    <col min="1027" max="1027" width="14.59765625" style="1" customWidth="1"/>
    <col min="1028" max="1030" width="9" style="1"/>
    <col min="1031" max="1031" width="36.09765625" style="1" customWidth="1"/>
    <col min="1032" max="1032" width="15.5" style="1" customWidth="1"/>
    <col min="1033" max="1281" width="9" style="1"/>
    <col min="1282" max="1282" width="22" style="1" customWidth="1"/>
    <col min="1283" max="1283" width="14.59765625" style="1" customWidth="1"/>
    <col min="1284" max="1286" width="9" style="1"/>
    <col min="1287" max="1287" width="36.09765625" style="1" customWidth="1"/>
    <col min="1288" max="1288" width="15.5" style="1" customWidth="1"/>
    <col min="1289" max="1537" width="9" style="1"/>
    <col min="1538" max="1538" width="22" style="1" customWidth="1"/>
    <col min="1539" max="1539" width="14.59765625" style="1" customWidth="1"/>
    <col min="1540" max="1542" width="9" style="1"/>
    <col min="1543" max="1543" width="36.09765625" style="1" customWidth="1"/>
    <col min="1544" max="1544" width="15.5" style="1" customWidth="1"/>
    <col min="1545" max="1793" width="9" style="1"/>
    <col min="1794" max="1794" width="22" style="1" customWidth="1"/>
    <col min="1795" max="1795" width="14.59765625" style="1" customWidth="1"/>
    <col min="1796" max="1798" width="9" style="1"/>
    <col min="1799" max="1799" width="36.09765625" style="1" customWidth="1"/>
    <col min="1800" max="1800" width="15.5" style="1" customWidth="1"/>
    <col min="1801" max="2049" width="9" style="1"/>
    <col min="2050" max="2050" width="22" style="1" customWidth="1"/>
    <col min="2051" max="2051" width="14.59765625" style="1" customWidth="1"/>
    <col min="2052" max="2054" width="9" style="1"/>
    <col min="2055" max="2055" width="36.09765625" style="1" customWidth="1"/>
    <col min="2056" max="2056" width="15.5" style="1" customWidth="1"/>
    <col min="2057" max="2305" width="9" style="1"/>
    <col min="2306" max="2306" width="22" style="1" customWidth="1"/>
    <col min="2307" max="2307" width="14.59765625" style="1" customWidth="1"/>
    <col min="2308" max="2310" width="9" style="1"/>
    <col min="2311" max="2311" width="36.09765625" style="1" customWidth="1"/>
    <col min="2312" max="2312" width="15.5" style="1" customWidth="1"/>
    <col min="2313" max="2561" width="9" style="1"/>
    <col min="2562" max="2562" width="22" style="1" customWidth="1"/>
    <col min="2563" max="2563" width="14.59765625" style="1" customWidth="1"/>
    <col min="2564" max="2566" width="9" style="1"/>
    <col min="2567" max="2567" width="36.09765625" style="1" customWidth="1"/>
    <col min="2568" max="2568" width="15.5" style="1" customWidth="1"/>
    <col min="2569" max="2817" width="9" style="1"/>
    <col min="2818" max="2818" width="22" style="1" customWidth="1"/>
    <col min="2819" max="2819" width="14.59765625" style="1" customWidth="1"/>
    <col min="2820" max="2822" width="9" style="1"/>
    <col min="2823" max="2823" width="36.09765625" style="1" customWidth="1"/>
    <col min="2824" max="2824" width="15.5" style="1" customWidth="1"/>
    <col min="2825" max="3073" width="9" style="1"/>
    <col min="3074" max="3074" width="22" style="1" customWidth="1"/>
    <col min="3075" max="3075" width="14.59765625" style="1" customWidth="1"/>
    <col min="3076" max="3078" width="9" style="1"/>
    <col min="3079" max="3079" width="36.09765625" style="1" customWidth="1"/>
    <col min="3080" max="3080" width="15.5" style="1" customWidth="1"/>
    <col min="3081" max="3329" width="9" style="1"/>
    <col min="3330" max="3330" width="22" style="1" customWidth="1"/>
    <col min="3331" max="3331" width="14.59765625" style="1" customWidth="1"/>
    <col min="3332" max="3334" width="9" style="1"/>
    <col min="3335" max="3335" width="36.09765625" style="1" customWidth="1"/>
    <col min="3336" max="3336" width="15.5" style="1" customWidth="1"/>
    <col min="3337" max="3585" width="9" style="1"/>
    <col min="3586" max="3586" width="22" style="1" customWidth="1"/>
    <col min="3587" max="3587" width="14.59765625" style="1" customWidth="1"/>
    <col min="3588" max="3590" width="9" style="1"/>
    <col min="3591" max="3591" width="36.09765625" style="1" customWidth="1"/>
    <col min="3592" max="3592" width="15.5" style="1" customWidth="1"/>
    <col min="3593" max="3841" width="9" style="1"/>
    <col min="3842" max="3842" width="22" style="1" customWidth="1"/>
    <col min="3843" max="3843" width="14.59765625" style="1" customWidth="1"/>
    <col min="3844" max="3846" width="9" style="1"/>
    <col min="3847" max="3847" width="36.09765625" style="1" customWidth="1"/>
    <col min="3848" max="3848" width="15.5" style="1" customWidth="1"/>
    <col min="3849" max="4097" width="9" style="1"/>
    <col min="4098" max="4098" width="22" style="1" customWidth="1"/>
    <col min="4099" max="4099" width="14.59765625" style="1" customWidth="1"/>
    <col min="4100" max="4102" width="9" style="1"/>
    <col min="4103" max="4103" width="36.09765625" style="1" customWidth="1"/>
    <col min="4104" max="4104" width="15.5" style="1" customWidth="1"/>
    <col min="4105" max="4353" width="9" style="1"/>
    <col min="4354" max="4354" width="22" style="1" customWidth="1"/>
    <col min="4355" max="4355" width="14.59765625" style="1" customWidth="1"/>
    <col min="4356" max="4358" width="9" style="1"/>
    <col min="4359" max="4359" width="36.09765625" style="1" customWidth="1"/>
    <col min="4360" max="4360" width="15.5" style="1" customWidth="1"/>
    <col min="4361" max="4609" width="9" style="1"/>
    <col min="4610" max="4610" width="22" style="1" customWidth="1"/>
    <col min="4611" max="4611" width="14.59765625" style="1" customWidth="1"/>
    <col min="4612" max="4614" width="9" style="1"/>
    <col min="4615" max="4615" width="36.09765625" style="1" customWidth="1"/>
    <col min="4616" max="4616" width="15.5" style="1" customWidth="1"/>
    <col min="4617" max="4865" width="9" style="1"/>
    <col min="4866" max="4866" width="22" style="1" customWidth="1"/>
    <col min="4867" max="4867" width="14.59765625" style="1" customWidth="1"/>
    <col min="4868" max="4870" width="9" style="1"/>
    <col min="4871" max="4871" width="36.09765625" style="1" customWidth="1"/>
    <col min="4872" max="4872" width="15.5" style="1" customWidth="1"/>
    <col min="4873" max="5121" width="9" style="1"/>
    <col min="5122" max="5122" width="22" style="1" customWidth="1"/>
    <col min="5123" max="5123" width="14.59765625" style="1" customWidth="1"/>
    <col min="5124" max="5126" width="9" style="1"/>
    <col min="5127" max="5127" width="36.09765625" style="1" customWidth="1"/>
    <col min="5128" max="5128" width="15.5" style="1" customWidth="1"/>
    <col min="5129" max="5377" width="9" style="1"/>
    <col min="5378" max="5378" width="22" style="1" customWidth="1"/>
    <col min="5379" max="5379" width="14.59765625" style="1" customWidth="1"/>
    <col min="5380" max="5382" width="9" style="1"/>
    <col min="5383" max="5383" width="36.09765625" style="1" customWidth="1"/>
    <col min="5384" max="5384" width="15.5" style="1" customWidth="1"/>
    <col min="5385" max="5633" width="9" style="1"/>
    <col min="5634" max="5634" width="22" style="1" customWidth="1"/>
    <col min="5635" max="5635" width="14.59765625" style="1" customWidth="1"/>
    <col min="5636" max="5638" width="9" style="1"/>
    <col min="5639" max="5639" width="36.09765625" style="1" customWidth="1"/>
    <col min="5640" max="5640" width="15.5" style="1" customWidth="1"/>
    <col min="5641" max="5889" width="9" style="1"/>
    <col min="5890" max="5890" width="22" style="1" customWidth="1"/>
    <col min="5891" max="5891" width="14.59765625" style="1" customWidth="1"/>
    <col min="5892" max="5894" width="9" style="1"/>
    <col min="5895" max="5895" width="36.09765625" style="1" customWidth="1"/>
    <col min="5896" max="5896" width="15.5" style="1" customWidth="1"/>
    <col min="5897" max="6145" width="9" style="1"/>
    <col min="6146" max="6146" width="22" style="1" customWidth="1"/>
    <col min="6147" max="6147" width="14.59765625" style="1" customWidth="1"/>
    <col min="6148" max="6150" width="9" style="1"/>
    <col min="6151" max="6151" width="36.09765625" style="1" customWidth="1"/>
    <col min="6152" max="6152" width="15.5" style="1" customWidth="1"/>
    <col min="6153" max="6401" width="9" style="1"/>
    <col min="6402" max="6402" width="22" style="1" customWidth="1"/>
    <col min="6403" max="6403" width="14.59765625" style="1" customWidth="1"/>
    <col min="6404" max="6406" width="9" style="1"/>
    <col min="6407" max="6407" width="36.09765625" style="1" customWidth="1"/>
    <col min="6408" max="6408" width="15.5" style="1" customWidth="1"/>
    <col min="6409" max="6657" width="9" style="1"/>
    <col min="6658" max="6658" width="22" style="1" customWidth="1"/>
    <col min="6659" max="6659" width="14.59765625" style="1" customWidth="1"/>
    <col min="6660" max="6662" width="9" style="1"/>
    <col min="6663" max="6663" width="36.09765625" style="1" customWidth="1"/>
    <col min="6664" max="6664" width="15.5" style="1" customWidth="1"/>
    <col min="6665" max="6913" width="9" style="1"/>
    <col min="6914" max="6914" width="22" style="1" customWidth="1"/>
    <col min="6915" max="6915" width="14.59765625" style="1" customWidth="1"/>
    <col min="6916" max="6918" width="9" style="1"/>
    <col min="6919" max="6919" width="36.09765625" style="1" customWidth="1"/>
    <col min="6920" max="6920" width="15.5" style="1" customWidth="1"/>
    <col min="6921" max="7169" width="9" style="1"/>
    <col min="7170" max="7170" width="22" style="1" customWidth="1"/>
    <col min="7171" max="7171" width="14.59765625" style="1" customWidth="1"/>
    <col min="7172" max="7174" width="9" style="1"/>
    <col min="7175" max="7175" width="36.09765625" style="1" customWidth="1"/>
    <col min="7176" max="7176" width="15.5" style="1" customWidth="1"/>
    <col min="7177" max="7425" width="9" style="1"/>
    <col min="7426" max="7426" width="22" style="1" customWidth="1"/>
    <col min="7427" max="7427" width="14.59765625" style="1" customWidth="1"/>
    <col min="7428" max="7430" width="9" style="1"/>
    <col min="7431" max="7431" width="36.09765625" style="1" customWidth="1"/>
    <col min="7432" max="7432" width="15.5" style="1" customWidth="1"/>
    <col min="7433" max="7681" width="9" style="1"/>
    <col min="7682" max="7682" width="22" style="1" customWidth="1"/>
    <col min="7683" max="7683" width="14.59765625" style="1" customWidth="1"/>
    <col min="7684" max="7686" width="9" style="1"/>
    <col min="7687" max="7687" width="36.09765625" style="1" customWidth="1"/>
    <col min="7688" max="7688" width="15.5" style="1" customWidth="1"/>
    <col min="7689" max="7937" width="9" style="1"/>
    <col min="7938" max="7938" width="22" style="1" customWidth="1"/>
    <col min="7939" max="7939" width="14.59765625" style="1" customWidth="1"/>
    <col min="7940" max="7942" width="9" style="1"/>
    <col min="7943" max="7943" width="36.09765625" style="1" customWidth="1"/>
    <col min="7944" max="7944" width="15.5" style="1" customWidth="1"/>
    <col min="7945" max="8193" width="9" style="1"/>
    <col min="8194" max="8194" width="22" style="1" customWidth="1"/>
    <col min="8195" max="8195" width="14.59765625" style="1" customWidth="1"/>
    <col min="8196" max="8198" width="9" style="1"/>
    <col min="8199" max="8199" width="36.09765625" style="1" customWidth="1"/>
    <col min="8200" max="8200" width="15.5" style="1" customWidth="1"/>
    <col min="8201" max="8449" width="9" style="1"/>
    <col min="8450" max="8450" width="22" style="1" customWidth="1"/>
    <col min="8451" max="8451" width="14.59765625" style="1" customWidth="1"/>
    <col min="8452" max="8454" width="9" style="1"/>
    <col min="8455" max="8455" width="36.09765625" style="1" customWidth="1"/>
    <col min="8456" max="8456" width="15.5" style="1" customWidth="1"/>
    <col min="8457" max="8705" width="9" style="1"/>
    <col min="8706" max="8706" width="22" style="1" customWidth="1"/>
    <col min="8707" max="8707" width="14.59765625" style="1" customWidth="1"/>
    <col min="8708" max="8710" width="9" style="1"/>
    <col min="8711" max="8711" width="36.09765625" style="1" customWidth="1"/>
    <col min="8712" max="8712" width="15.5" style="1" customWidth="1"/>
    <col min="8713" max="8961" width="9" style="1"/>
    <col min="8962" max="8962" width="22" style="1" customWidth="1"/>
    <col min="8963" max="8963" width="14.59765625" style="1" customWidth="1"/>
    <col min="8964" max="8966" width="9" style="1"/>
    <col min="8967" max="8967" width="36.09765625" style="1" customWidth="1"/>
    <col min="8968" max="8968" width="15.5" style="1" customWidth="1"/>
    <col min="8969" max="9217" width="9" style="1"/>
    <col min="9218" max="9218" width="22" style="1" customWidth="1"/>
    <col min="9219" max="9219" width="14.59765625" style="1" customWidth="1"/>
    <col min="9220" max="9222" width="9" style="1"/>
    <col min="9223" max="9223" width="36.09765625" style="1" customWidth="1"/>
    <col min="9224" max="9224" width="15.5" style="1" customWidth="1"/>
    <col min="9225" max="9473" width="9" style="1"/>
    <col min="9474" max="9474" width="22" style="1" customWidth="1"/>
    <col min="9475" max="9475" width="14.59765625" style="1" customWidth="1"/>
    <col min="9476" max="9478" width="9" style="1"/>
    <col min="9479" max="9479" width="36.09765625" style="1" customWidth="1"/>
    <col min="9480" max="9480" width="15.5" style="1" customWidth="1"/>
    <col min="9481" max="9729" width="9" style="1"/>
    <col min="9730" max="9730" width="22" style="1" customWidth="1"/>
    <col min="9731" max="9731" width="14.59765625" style="1" customWidth="1"/>
    <col min="9732" max="9734" width="9" style="1"/>
    <col min="9735" max="9735" width="36.09765625" style="1" customWidth="1"/>
    <col min="9736" max="9736" width="15.5" style="1" customWidth="1"/>
    <col min="9737" max="9985" width="9" style="1"/>
    <col min="9986" max="9986" width="22" style="1" customWidth="1"/>
    <col min="9987" max="9987" width="14.59765625" style="1" customWidth="1"/>
    <col min="9988" max="9990" width="9" style="1"/>
    <col min="9991" max="9991" width="36.09765625" style="1" customWidth="1"/>
    <col min="9992" max="9992" width="15.5" style="1" customWidth="1"/>
    <col min="9993" max="10241" width="9" style="1"/>
    <col min="10242" max="10242" width="22" style="1" customWidth="1"/>
    <col min="10243" max="10243" width="14.59765625" style="1" customWidth="1"/>
    <col min="10244" max="10246" width="9" style="1"/>
    <col min="10247" max="10247" width="36.09765625" style="1" customWidth="1"/>
    <col min="10248" max="10248" width="15.5" style="1" customWidth="1"/>
    <col min="10249" max="10497" width="9" style="1"/>
    <col min="10498" max="10498" width="22" style="1" customWidth="1"/>
    <col min="10499" max="10499" width="14.59765625" style="1" customWidth="1"/>
    <col min="10500" max="10502" width="9" style="1"/>
    <col min="10503" max="10503" width="36.09765625" style="1" customWidth="1"/>
    <col min="10504" max="10504" width="15.5" style="1" customWidth="1"/>
    <col min="10505" max="10753" width="9" style="1"/>
    <col min="10754" max="10754" width="22" style="1" customWidth="1"/>
    <col min="10755" max="10755" width="14.59765625" style="1" customWidth="1"/>
    <col min="10756" max="10758" width="9" style="1"/>
    <col min="10759" max="10759" width="36.09765625" style="1" customWidth="1"/>
    <col min="10760" max="10760" width="15.5" style="1" customWidth="1"/>
    <col min="10761" max="11009" width="9" style="1"/>
    <col min="11010" max="11010" width="22" style="1" customWidth="1"/>
    <col min="11011" max="11011" width="14.59765625" style="1" customWidth="1"/>
    <col min="11012" max="11014" width="9" style="1"/>
    <col min="11015" max="11015" width="36.09765625" style="1" customWidth="1"/>
    <col min="11016" max="11016" width="15.5" style="1" customWidth="1"/>
    <col min="11017" max="11265" width="9" style="1"/>
    <col min="11266" max="11266" width="22" style="1" customWidth="1"/>
    <col min="11267" max="11267" width="14.59765625" style="1" customWidth="1"/>
    <col min="11268" max="11270" width="9" style="1"/>
    <col min="11271" max="11271" width="36.09765625" style="1" customWidth="1"/>
    <col min="11272" max="11272" width="15.5" style="1" customWidth="1"/>
    <col min="11273" max="11521" width="9" style="1"/>
    <col min="11522" max="11522" width="22" style="1" customWidth="1"/>
    <col min="11523" max="11523" width="14.59765625" style="1" customWidth="1"/>
    <col min="11524" max="11526" width="9" style="1"/>
    <col min="11527" max="11527" width="36.09765625" style="1" customWidth="1"/>
    <col min="11528" max="11528" width="15.5" style="1" customWidth="1"/>
    <col min="11529" max="11777" width="9" style="1"/>
    <col min="11778" max="11778" width="22" style="1" customWidth="1"/>
    <col min="11779" max="11779" width="14.59765625" style="1" customWidth="1"/>
    <col min="11780" max="11782" width="9" style="1"/>
    <col min="11783" max="11783" width="36.09765625" style="1" customWidth="1"/>
    <col min="11784" max="11784" width="15.5" style="1" customWidth="1"/>
    <col min="11785" max="12033" width="9" style="1"/>
    <col min="12034" max="12034" width="22" style="1" customWidth="1"/>
    <col min="12035" max="12035" width="14.59765625" style="1" customWidth="1"/>
    <col min="12036" max="12038" width="9" style="1"/>
    <col min="12039" max="12039" width="36.09765625" style="1" customWidth="1"/>
    <col min="12040" max="12040" width="15.5" style="1" customWidth="1"/>
    <col min="12041" max="12289" width="9" style="1"/>
    <col min="12290" max="12290" width="22" style="1" customWidth="1"/>
    <col min="12291" max="12291" width="14.59765625" style="1" customWidth="1"/>
    <col min="12292" max="12294" width="9" style="1"/>
    <col min="12295" max="12295" width="36.09765625" style="1" customWidth="1"/>
    <col min="12296" max="12296" width="15.5" style="1" customWidth="1"/>
    <col min="12297" max="12545" width="9" style="1"/>
    <col min="12546" max="12546" width="22" style="1" customWidth="1"/>
    <col min="12547" max="12547" width="14.59765625" style="1" customWidth="1"/>
    <col min="12548" max="12550" width="9" style="1"/>
    <col min="12551" max="12551" width="36.09765625" style="1" customWidth="1"/>
    <col min="12552" max="12552" width="15.5" style="1" customWidth="1"/>
    <col min="12553" max="12801" width="9" style="1"/>
    <col min="12802" max="12802" width="22" style="1" customWidth="1"/>
    <col min="12803" max="12803" width="14.59765625" style="1" customWidth="1"/>
    <col min="12804" max="12806" width="9" style="1"/>
    <col min="12807" max="12807" width="36.09765625" style="1" customWidth="1"/>
    <col min="12808" max="12808" width="15.5" style="1" customWidth="1"/>
    <col min="12809" max="13057" width="9" style="1"/>
    <col min="13058" max="13058" width="22" style="1" customWidth="1"/>
    <col min="13059" max="13059" width="14.59765625" style="1" customWidth="1"/>
    <col min="13060" max="13062" width="9" style="1"/>
    <col min="13063" max="13063" width="36.09765625" style="1" customWidth="1"/>
    <col min="13064" max="13064" width="15.5" style="1" customWidth="1"/>
    <col min="13065" max="13313" width="9" style="1"/>
    <col min="13314" max="13314" width="22" style="1" customWidth="1"/>
    <col min="13315" max="13315" width="14.59765625" style="1" customWidth="1"/>
    <col min="13316" max="13318" width="9" style="1"/>
    <col min="13319" max="13319" width="36.09765625" style="1" customWidth="1"/>
    <col min="13320" max="13320" width="15.5" style="1" customWidth="1"/>
    <col min="13321" max="13569" width="9" style="1"/>
    <col min="13570" max="13570" width="22" style="1" customWidth="1"/>
    <col min="13571" max="13571" width="14.59765625" style="1" customWidth="1"/>
    <col min="13572" max="13574" width="9" style="1"/>
    <col min="13575" max="13575" width="36.09765625" style="1" customWidth="1"/>
    <col min="13576" max="13576" width="15.5" style="1" customWidth="1"/>
    <col min="13577" max="13825" width="9" style="1"/>
    <col min="13826" max="13826" width="22" style="1" customWidth="1"/>
    <col min="13827" max="13827" width="14.59765625" style="1" customWidth="1"/>
    <col min="13828" max="13830" width="9" style="1"/>
    <col min="13831" max="13831" width="36.09765625" style="1" customWidth="1"/>
    <col min="13832" max="13832" width="15.5" style="1" customWidth="1"/>
    <col min="13833" max="14081" width="9" style="1"/>
    <col min="14082" max="14082" width="22" style="1" customWidth="1"/>
    <col min="14083" max="14083" width="14.59765625" style="1" customWidth="1"/>
    <col min="14084" max="14086" width="9" style="1"/>
    <col min="14087" max="14087" width="36.09765625" style="1" customWidth="1"/>
    <col min="14088" max="14088" width="15.5" style="1" customWidth="1"/>
    <col min="14089" max="14337" width="9" style="1"/>
    <col min="14338" max="14338" width="22" style="1" customWidth="1"/>
    <col min="14339" max="14339" width="14.59765625" style="1" customWidth="1"/>
    <col min="14340" max="14342" width="9" style="1"/>
    <col min="14343" max="14343" width="36.09765625" style="1" customWidth="1"/>
    <col min="14344" max="14344" width="15.5" style="1" customWidth="1"/>
    <col min="14345" max="14593" width="9" style="1"/>
    <col min="14594" max="14594" width="22" style="1" customWidth="1"/>
    <col min="14595" max="14595" width="14.59765625" style="1" customWidth="1"/>
    <col min="14596" max="14598" width="9" style="1"/>
    <col min="14599" max="14599" width="36.09765625" style="1" customWidth="1"/>
    <col min="14600" max="14600" width="15.5" style="1" customWidth="1"/>
    <col min="14601" max="14849" width="9" style="1"/>
    <col min="14850" max="14850" width="22" style="1" customWidth="1"/>
    <col min="14851" max="14851" width="14.59765625" style="1" customWidth="1"/>
    <col min="14852" max="14854" width="9" style="1"/>
    <col min="14855" max="14855" width="36.09765625" style="1" customWidth="1"/>
    <col min="14856" max="14856" width="15.5" style="1" customWidth="1"/>
    <col min="14857" max="15105" width="9" style="1"/>
    <col min="15106" max="15106" width="22" style="1" customWidth="1"/>
    <col min="15107" max="15107" width="14.59765625" style="1" customWidth="1"/>
    <col min="15108" max="15110" width="9" style="1"/>
    <col min="15111" max="15111" width="36.09765625" style="1" customWidth="1"/>
    <col min="15112" max="15112" width="15.5" style="1" customWidth="1"/>
    <col min="15113" max="15361" width="9" style="1"/>
    <col min="15362" max="15362" width="22" style="1" customWidth="1"/>
    <col min="15363" max="15363" width="14.59765625" style="1" customWidth="1"/>
    <col min="15364" max="15366" width="9" style="1"/>
    <col min="15367" max="15367" width="36.09765625" style="1" customWidth="1"/>
    <col min="15368" max="15368" width="15.5" style="1" customWidth="1"/>
    <col min="15369" max="15617" width="9" style="1"/>
    <col min="15618" max="15618" width="22" style="1" customWidth="1"/>
    <col min="15619" max="15619" width="14.59765625" style="1" customWidth="1"/>
    <col min="15620" max="15622" width="9" style="1"/>
    <col min="15623" max="15623" width="36.09765625" style="1" customWidth="1"/>
    <col min="15624" max="15624" width="15.5" style="1" customWidth="1"/>
    <col min="15625" max="15873" width="9" style="1"/>
    <col min="15874" max="15874" width="22" style="1" customWidth="1"/>
    <col min="15875" max="15875" width="14.59765625" style="1" customWidth="1"/>
    <col min="15876" max="15878" width="9" style="1"/>
    <col min="15879" max="15879" width="36.09765625" style="1" customWidth="1"/>
    <col min="15880" max="15880" width="15.5" style="1" customWidth="1"/>
    <col min="15881" max="16129" width="9" style="1"/>
    <col min="16130" max="16130" width="22" style="1" customWidth="1"/>
    <col min="16131" max="16131" width="14.59765625" style="1" customWidth="1"/>
    <col min="16132" max="16134" width="9" style="1"/>
    <col min="16135" max="16135" width="36.09765625" style="1" customWidth="1"/>
    <col min="16136" max="16136" width="15.5" style="1" customWidth="1"/>
    <col min="16137" max="16384" width="9" style="1"/>
  </cols>
  <sheetData>
    <row r="1" spans="1:15" s="53" customFormat="1" ht="24.6" customHeight="1" x14ac:dyDescent="0.25">
      <c r="A1" s="52" t="s">
        <v>218</v>
      </c>
      <c r="B1" s="52" t="s">
        <v>225</v>
      </c>
      <c r="C1" s="52" t="s">
        <v>219</v>
      </c>
      <c r="D1" s="54"/>
      <c r="E1" s="51" t="s">
        <v>220</v>
      </c>
      <c r="F1" s="55" t="s">
        <v>221</v>
      </c>
      <c r="G1" s="56"/>
      <c r="H1" s="56"/>
      <c r="I1" s="56"/>
      <c r="J1" s="56"/>
      <c r="K1" s="56"/>
      <c r="L1" s="56"/>
      <c r="M1" s="56"/>
      <c r="N1" s="56"/>
      <c r="O1" s="56"/>
    </row>
    <row r="2" spans="1:15" s="53" customFormat="1" ht="29.4" customHeight="1" x14ac:dyDescent="0.25">
      <c r="A2" s="52" t="s">
        <v>222</v>
      </c>
      <c r="B2" s="57">
        <v>43167</v>
      </c>
      <c r="C2" s="52" t="s">
        <v>223</v>
      </c>
      <c r="D2" s="54" t="str">
        <f>[1]步骤复核表!B5</f>
        <v/>
      </c>
      <c r="E2" s="51" t="s">
        <v>224</v>
      </c>
      <c r="F2" s="55"/>
      <c r="G2" s="56"/>
      <c r="H2" s="56"/>
      <c r="I2" s="56"/>
      <c r="J2" s="56"/>
      <c r="K2" s="56"/>
      <c r="L2" s="56"/>
      <c r="M2" s="56"/>
      <c r="N2" s="56"/>
      <c r="O2" s="56"/>
    </row>
    <row r="3" spans="1:15" ht="26.4" customHeight="1" x14ac:dyDescent="0.25">
      <c r="A3" s="58" t="s">
        <v>0</v>
      </c>
      <c r="B3" s="58"/>
      <c r="C3" s="58"/>
      <c r="D3" s="58"/>
      <c r="E3" s="58"/>
      <c r="F3" s="58"/>
      <c r="G3" s="58"/>
      <c r="H3" s="58"/>
    </row>
    <row r="4" spans="1:15" ht="20.100000000000001" customHeight="1" x14ac:dyDescent="0.25">
      <c r="A4" s="2" t="s">
        <v>1</v>
      </c>
      <c r="B4" s="2" t="s">
        <v>2</v>
      </c>
      <c r="C4" s="2"/>
      <c r="D4" s="2"/>
      <c r="E4" s="3"/>
      <c r="F4" s="2"/>
      <c r="G4" s="2" t="s">
        <v>3</v>
      </c>
      <c r="H4" s="2" t="s">
        <v>4</v>
      </c>
    </row>
    <row r="5" spans="1:15" ht="20.100000000000001" customHeight="1" x14ac:dyDescent="0.25">
      <c r="A5" s="2">
        <v>1</v>
      </c>
      <c r="B5" s="2" t="s">
        <v>5</v>
      </c>
      <c r="C5" s="4">
        <v>900</v>
      </c>
      <c r="D5" s="2" t="s">
        <v>6</v>
      </c>
      <c r="E5" s="3">
        <f>C5/666.67</f>
        <v>1.35</v>
      </c>
      <c r="F5" s="5" t="s">
        <v>7</v>
      </c>
      <c r="G5" s="2"/>
      <c r="H5" s="2"/>
    </row>
    <row r="6" spans="1:15" ht="20.100000000000001" customHeight="1" x14ac:dyDescent="0.25">
      <c r="A6" s="2">
        <v>2</v>
      </c>
      <c r="B6" s="2" t="s">
        <v>8</v>
      </c>
      <c r="C6" s="4">
        <v>18000</v>
      </c>
      <c r="D6" s="2" t="s">
        <v>6</v>
      </c>
      <c r="E6" s="3">
        <f t="shared" ref="E6:E11" si="0">C6/666.67</f>
        <v>27</v>
      </c>
      <c r="F6" s="5" t="s">
        <v>9</v>
      </c>
      <c r="G6" s="2"/>
      <c r="H6" s="2"/>
    </row>
    <row r="7" spans="1:15" ht="20.100000000000001" customHeight="1" x14ac:dyDescent="0.25">
      <c r="A7" s="2">
        <v>3</v>
      </c>
      <c r="B7" s="2" t="s">
        <v>10</v>
      </c>
      <c r="C7" s="4">
        <v>8000</v>
      </c>
      <c r="D7" s="2" t="s">
        <v>6</v>
      </c>
      <c r="E7" s="3">
        <f t="shared" si="0"/>
        <v>12</v>
      </c>
      <c r="F7" s="5" t="s">
        <v>11</v>
      </c>
      <c r="G7" s="2"/>
      <c r="H7" s="2"/>
    </row>
    <row r="8" spans="1:15" ht="20.100000000000001" customHeight="1" x14ac:dyDescent="0.25">
      <c r="A8" s="2">
        <v>4</v>
      </c>
      <c r="B8" s="2" t="s">
        <v>12</v>
      </c>
      <c r="C8" s="4">
        <v>18000</v>
      </c>
      <c r="D8" s="2" t="s">
        <v>6</v>
      </c>
      <c r="E8" s="3">
        <f t="shared" si="0"/>
        <v>27</v>
      </c>
      <c r="F8" s="5" t="s">
        <v>13</v>
      </c>
      <c r="G8" s="2"/>
      <c r="H8" s="2"/>
    </row>
    <row r="9" spans="1:15" ht="20.100000000000001" customHeight="1" x14ac:dyDescent="0.25">
      <c r="A9" s="2">
        <v>5</v>
      </c>
      <c r="B9" s="2" t="s">
        <v>14</v>
      </c>
      <c r="C9" s="4">
        <v>2400</v>
      </c>
      <c r="D9" s="2" t="s">
        <v>6</v>
      </c>
      <c r="E9" s="3">
        <f t="shared" si="0"/>
        <v>3.6</v>
      </c>
      <c r="F9" s="5" t="s">
        <v>15</v>
      </c>
      <c r="G9" s="2"/>
      <c r="H9" s="2"/>
    </row>
    <row r="10" spans="1:15" ht="55.95" customHeight="1" x14ac:dyDescent="0.25">
      <c r="A10" s="2">
        <v>6</v>
      </c>
      <c r="B10" s="2" t="s">
        <v>16</v>
      </c>
      <c r="C10" s="4">
        <v>8666.67</v>
      </c>
      <c r="D10" s="2" t="s">
        <v>6</v>
      </c>
      <c r="E10" s="3">
        <f t="shared" si="0"/>
        <v>13</v>
      </c>
      <c r="F10" s="5" t="s">
        <v>17</v>
      </c>
      <c r="G10" s="6" t="s">
        <v>18</v>
      </c>
      <c r="H10" s="7" t="s">
        <v>19</v>
      </c>
    </row>
    <row r="11" spans="1:15" ht="45.6" customHeight="1" x14ac:dyDescent="0.25">
      <c r="A11" s="2">
        <v>7</v>
      </c>
      <c r="B11" s="2" t="s">
        <v>20</v>
      </c>
      <c r="C11" s="4">
        <v>20000</v>
      </c>
      <c r="D11" s="2" t="s">
        <v>6</v>
      </c>
      <c r="E11" s="3">
        <f t="shared" si="0"/>
        <v>30</v>
      </c>
      <c r="F11" s="5" t="s">
        <v>21</v>
      </c>
      <c r="G11" s="8" t="s">
        <v>22</v>
      </c>
      <c r="H11" s="9" t="s">
        <v>23</v>
      </c>
    </row>
    <row r="12" spans="1:15" ht="78.599999999999994" customHeight="1" x14ac:dyDescent="0.25">
      <c r="A12" s="2"/>
      <c r="B12" s="2" t="s">
        <v>24</v>
      </c>
      <c r="C12" s="4">
        <f>SUM(C5:C11)</f>
        <v>75966.67</v>
      </c>
      <c r="D12" s="2" t="s">
        <v>6</v>
      </c>
      <c r="E12" s="3">
        <f>SUM(E5:E11)</f>
        <v>113.95</v>
      </c>
      <c r="F12" s="5" t="s">
        <v>25</v>
      </c>
      <c r="G12" s="10" t="s">
        <v>26</v>
      </c>
      <c r="H12" s="2"/>
    </row>
    <row r="13" spans="1:15" ht="20.100000000000001" customHeight="1" x14ac:dyDescent="0.25">
      <c r="A13" s="2"/>
      <c r="B13" s="2"/>
      <c r="C13" s="2"/>
      <c r="D13" s="2"/>
      <c r="E13" s="3"/>
      <c r="F13" s="2"/>
      <c r="G13" s="11"/>
      <c r="H13" s="2"/>
    </row>
    <row r="14" spans="1:15" ht="20.100000000000001" customHeight="1" x14ac:dyDescent="0.25">
      <c r="A14" s="2" t="s">
        <v>27</v>
      </c>
      <c r="B14" s="2" t="s">
        <v>28</v>
      </c>
      <c r="C14" s="2"/>
      <c r="D14" s="2"/>
      <c r="E14" s="3"/>
      <c r="F14" s="2"/>
      <c r="G14" s="2"/>
      <c r="H14" s="2"/>
    </row>
    <row r="15" spans="1:15" ht="20.100000000000001" customHeight="1" x14ac:dyDescent="0.25">
      <c r="A15" s="2">
        <v>1</v>
      </c>
      <c r="B15" s="2" t="s">
        <v>29</v>
      </c>
      <c r="C15" s="2"/>
      <c r="D15" s="2"/>
      <c r="E15" s="3">
        <v>105</v>
      </c>
      <c r="F15" s="5" t="s">
        <v>17</v>
      </c>
      <c r="G15" s="2"/>
      <c r="H15" s="2"/>
    </row>
    <row r="16" spans="1:15" ht="20.100000000000001" customHeight="1" x14ac:dyDescent="0.25">
      <c r="A16" s="2">
        <v>2</v>
      </c>
      <c r="B16" s="2" t="s">
        <v>30</v>
      </c>
      <c r="C16" s="2"/>
      <c r="D16" s="2"/>
      <c r="E16" s="3">
        <v>10</v>
      </c>
      <c r="F16" s="5" t="s">
        <v>17</v>
      </c>
      <c r="G16" s="2"/>
      <c r="H16" s="2"/>
    </row>
    <row r="17" spans="1:8" ht="20.100000000000001" customHeight="1" x14ac:dyDescent="0.25">
      <c r="A17" s="2"/>
      <c r="B17" s="2"/>
      <c r="C17" s="2"/>
      <c r="D17" s="2"/>
      <c r="E17" s="3"/>
      <c r="F17" s="2"/>
      <c r="G17" s="2"/>
      <c r="H17" s="2"/>
    </row>
    <row r="18" spans="1:8" ht="20.100000000000001" customHeight="1" x14ac:dyDescent="0.25">
      <c r="A18" s="2" t="s">
        <v>31</v>
      </c>
      <c r="B18" s="2" t="s">
        <v>32</v>
      </c>
      <c r="C18" s="2" t="s">
        <v>33</v>
      </c>
      <c r="D18" s="12">
        <v>5.3100000000000001E-2</v>
      </c>
      <c r="E18" s="3">
        <f>(E12+E15)*D18+E16*D18*0.5</f>
        <v>11.89</v>
      </c>
      <c r="F18" s="5" t="s">
        <v>17</v>
      </c>
      <c r="G18" s="2"/>
      <c r="H18" s="2"/>
    </row>
    <row r="19" spans="1:8" ht="20.100000000000001" customHeight="1" x14ac:dyDescent="0.25">
      <c r="A19" s="2"/>
      <c r="B19" s="2"/>
      <c r="C19" s="2"/>
      <c r="D19" s="2"/>
      <c r="E19" s="3"/>
      <c r="F19" s="2"/>
      <c r="G19" s="2"/>
      <c r="H19" s="2"/>
    </row>
    <row r="20" spans="1:8" ht="20.100000000000001" customHeight="1" x14ac:dyDescent="0.25">
      <c r="A20" s="2" t="s">
        <v>34</v>
      </c>
      <c r="B20" s="2" t="s">
        <v>35</v>
      </c>
      <c r="C20" s="2" t="s">
        <v>36</v>
      </c>
      <c r="D20" s="13">
        <v>0.1</v>
      </c>
      <c r="E20" s="3">
        <f>(E12+E15+E16)*D20</f>
        <v>22.9</v>
      </c>
      <c r="F20" s="5" t="s">
        <v>17</v>
      </c>
      <c r="G20" s="2"/>
      <c r="H20" s="2"/>
    </row>
    <row r="21" spans="1:8" ht="20.100000000000001" customHeight="1" x14ac:dyDescent="0.25">
      <c r="A21" s="2"/>
      <c r="B21" s="2"/>
      <c r="C21" s="2"/>
      <c r="D21" s="2"/>
      <c r="E21" s="3"/>
      <c r="F21" s="2"/>
      <c r="G21" s="2"/>
      <c r="H21" s="2"/>
    </row>
    <row r="22" spans="1:8" ht="20.100000000000001" customHeight="1" x14ac:dyDescent="0.25">
      <c r="A22" s="2" t="s">
        <v>37</v>
      </c>
      <c r="B22" s="2" t="s">
        <v>38</v>
      </c>
      <c r="C22" s="2" t="s">
        <v>39</v>
      </c>
      <c r="D22" s="13">
        <v>0.15</v>
      </c>
      <c r="E22" s="3">
        <f>(E12+E15+E16+E18+E20)*D22</f>
        <v>39.56</v>
      </c>
      <c r="F22" s="5" t="s">
        <v>21</v>
      </c>
      <c r="G22" s="2"/>
      <c r="H22" s="2"/>
    </row>
    <row r="23" spans="1:8" ht="20.100000000000001" customHeight="1" x14ac:dyDescent="0.25">
      <c r="A23" s="2"/>
      <c r="B23" s="2"/>
      <c r="C23" s="2"/>
      <c r="D23" s="2"/>
      <c r="E23" s="3"/>
      <c r="F23" s="2"/>
      <c r="G23" s="2"/>
      <c r="H23" s="2"/>
    </row>
    <row r="24" spans="1:8" ht="20.100000000000001" customHeight="1" x14ac:dyDescent="0.25">
      <c r="A24" s="2" t="s">
        <v>40</v>
      </c>
      <c r="B24" s="2" t="s">
        <v>41</v>
      </c>
      <c r="C24" s="2"/>
      <c r="D24" s="2"/>
      <c r="E24" s="3">
        <f>E12+E15+E16+E18+E20+E22</f>
        <v>303.3</v>
      </c>
      <c r="F24" s="5" t="s">
        <v>17</v>
      </c>
      <c r="G24" s="2"/>
      <c r="H24" s="2"/>
    </row>
    <row r="25" spans="1:8" ht="20.100000000000001" customHeight="1" x14ac:dyDescent="0.25">
      <c r="A25" s="2"/>
      <c r="B25" s="2"/>
      <c r="C25" s="2"/>
      <c r="D25" s="2"/>
      <c r="E25" s="3"/>
      <c r="F25" s="2"/>
      <c r="G25" s="2"/>
      <c r="H25" s="2"/>
    </row>
    <row r="26" spans="1:8" ht="20.100000000000001" customHeight="1" x14ac:dyDescent="0.25">
      <c r="A26" s="2" t="s">
        <v>42</v>
      </c>
      <c r="B26" s="2" t="s">
        <v>43</v>
      </c>
      <c r="C26" s="2" t="s">
        <v>44</v>
      </c>
      <c r="D26" s="2">
        <v>0.9798</v>
      </c>
      <c r="E26" s="3">
        <f>E24*D26</f>
        <v>297.17</v>
      </c>
      <c r="F26" s="5" t="s">
        <v>17</v>
      </c>
      <c r="G26" s="2"/>
      <c r="H26" s="2"/>
    </row>
    <row r="27" spans="1:8" ht="20.100000000000001" customHeight="1" x14ac:dyDescent="0.25">
      <c r="A27" s="2"/>
      <c r="B27" s="2"/>
      <c r="C27" s="2"/>
      <c r="D27" s="2"/>
      <c r="E27" s="3"/>
      <c r="F27" s="2"/>
      <c r="G27" s="2"/>
      <c r="H27" s="2"/>
    </row>
    <row r="28" spans="1:8" ht="20.100000000000001" customHeight="1" x14ac:dyDescent="0.25">
      <c r="A28" s="2" t="s">
        <v>45</v>
      </c>
      <c r="B28" s="2" t="s">
        <v>46</v>
      </c>
      <c r="C28" s="2" t="s">
        <v>44</v>
      </c>
      <c r="D28" s="2">
        <v>0.1</v>
      </c>
      <c r="E28" s="3">
        <f>E26*(1+D28)</f>
        <v>326.89</v>
      </c>
      <c r="F28" s="5" t="s">
        <v>17</v>
      </c>
      <c r="G28" s="2"/>
      <c r="H28" s="2"/>
    </row>
    <row r="29" spans="1:8" ht="20.100000000000001" customHeight="1" x14ac:dyDescent="0.25">
      <c r="A29" s="2"/>
      <c r="B29" s="2"/>
      <c r="C29" s="2"/>
      <c r="D29" s="2"/>
      <c r="E29" s="3"/>
      <c r="F29" s="2"/>
      <c r="G29" s="2"/>
      <c r="H29" s="2"/>
    </row>
    <row r="30" spans="1:8" ht="20.100000000000001" customHeight="1" x14ac:dyDescent="0.25">
      <c r="A30" s="2" t="s">
        <v>47</v>
      </c>
      <c r="B30" s="2" t="s">
        <v>48</v>
      </c>
      <c r="C30" s="2"/>
      <c r="D30" s="2"/>
      <c r="E30" s="3">
        <f>E28</f>
        <v>326.89</v>
      </c>
      <c r="F30" s="5" t="s">
        <v>17</v>
      </c>
      <c r="G30" s="2"/>
      <c r="H30" s="2"/>
    </row>
  </sheetData>
  <mergeCells count="1">
    <mergeCell ref="A3:H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4"/>
  <sheetViews>
    <sheetView topLeftCell="A137" workbookViewId="0">
      <selection activeCell="H130" sqref="H130"/>
    </sheetView>
  </sheetViews>
  <sheetFormatPr defaultRowHeight="15.6" x14ac:dyDescent="0.25"/>
  <cols>
    <col min="1" max="2" width="8.69921875" style="15"/>
    <col min="3" max="3" width="14.09765625" style="15" customWidth="1"/>
    <col min="4" max="4" width="16.09765625" style="15" customWidth="1"/>
    <col min="5" max="5" width="16.59765625" style="15" customWidth="1"/>
    <col min="6" max="6" width="19" style="15" customWidth="1"/>
    <col min="7" max="258" width="8.69921875" style="15"/>
    <col min="259" max="259" width="14.09765625" style="15" customWidth="1"/>
    <col min="260" max="260" width="16.09765625" style="15" customWidth="1"/>
    <col min="261" max="261" width="16.59765625" style="15" customWidth="1"/>
    <col min="262" max="262" width="19" style="15" customWidth="1"/>
    <col min="263" max="514" width="8.69921875" style="15"/>
    <col min="515" max="515" width="14.09765625" style="15" customWidth="1"/>
    <col min="516" max="516" width="16.09765625" style="15" customWidth="1"/>
    <col min="517" max="517" width="16.59765625" style="15" customWidth="1"/>
    <col min="518" max="518" width="19" style="15" customWidth="1"/>
    <col min="519" max="770" width="8.69921875" style="15"/>
    <col min="771" max="771" width="14.09765625" style="15" customWidth="1"/>
    <col min="772" max="772" width="16.09765625" style="15" customWidth="1"/>
    <col min="773" max="773" width="16.59765625" style="15" customWidth="1"/>
    <col min="774" max="774" width="19" style="15" customWidth="1"/>
    <col min="775" max="1026" width="8.69921875" style="15"/>
    <col min="1027" max="1027" width="14.09765625" style="15" customWidth="1"/>
    <col min="1028" max="1028" width="16.09765625" style="15" customWidth="1"/>
    <col min="1029" max="1029" width="16.59765625" style="15" customWidth="1"/>
    <col min="1030" max="1030" width="19" style="15" customWidth="1"/>
    <col min="1031" max="1282" width="8.69921875" style="15"/>
    <col min="1283" max="1283" width="14.09765625" style="15" customWidth="1"/>
    <col min="1284" max="1284" width="16.09765625" style="15" customWidth="1"/>
    <col min="1285" max="1285" width="16.59765625" style="15" customWidth="1"/>
    <col min="1286" max="1286" width="19" style="15" customWidth="1"/>
    <col min="1287" max="1538" width="8.69921875" style="15"/>
    <col min="1539" max="1539" width="14.09765625" style="15" customWidth="1"/>
    <col min="1540" max="1540" width="16.09765625" style="15" customWidth="1"/>
    <col min="1541" max="1541" width="16.59765625" style="15" customWidth="1"/>
    <col min="1542" max="1542" width="19" style="15" customWidth="1"/>
    <col min="1543" max="1794" width="8.69921875" style="15"/>
    <col min="1795" max="1795" width="14.09765625" style="15" customWidth="1"/>
    <col min="1796" max="1796" width="16.09765625" style="15" customWidth="1"/>
    <col min="1797" max="1797" width="16.59765625" style="15" customWidth="1"/>
    <col min="1798" max="1798" width="19" style="15" customWidth="1"/>
    <col min="1799" max="2050" width="8.69921875" style="15"/>
    <col min="2051" max="2051" width="14.09765625" style="15" customWidth="1"/>
    <col min="2052" max="2052" width="16.09765625" style="15" customWidth="1"/>
    <col min="2053" max="2053" width="16.59765625" style="15" customWidth="1"/>
    <col min="2054" max="2054" width="19" style="15" customWidth="1"/>
    <col min="2055" max="2306" width="8.69921875" style="15"/>
    <col min="2307" max="2307" width="14.09765625" style="15" customWidth="1"/>
    <col min="2308" max="2308" width="16.09765625" style="15" customWidth="1"/>
    <col min="2309" max="2309" width="16.59765625" style="15" customWidth="1"/>
    <col min="2310" max="2310" width="19" style="15" customWidth="1"/>
    <col min="2311" max="2562" width="8.69921875" style="15"/>
    <col min="2563" max="2563" width="14.09765625" style="15" customWidth="1"/>
    <col min="2564" max="2564" width="16.09765625" style="15" customWidth="1"/>
    <col min="2565" max="2565" width="16.59765625" style="15" customWidth="1"/>
    <col min="2566" max="2566" width="19" style="15" customWidth="1"/>
    <col min="2567" max="2818" width="8.69921875" style="15"/>
    <col min="2819" max="2819" width="14.09765625" style="15" customWidth="1"/>
    <col min="2820" max="2820" width="16.09765625" style="15" customWidth="1"/>
    <col min="2821" max="2821" width="16.59765625" style="15" customWidth="1"/>
    <col min="2822" max="2822" width="19" style="15" customWidth="1"/>
    <col min="2823" max="3074" width="8.69921875" style="15"/>
    <col min="3075" max="3075" width="14.09765625" style="15" customWidth="1"/>
    <col min="3076" max="3076" width="16.09765625" style="15" customWidth="1"/>
    <col min="3077" max="3077" width="16.59765625" style="15" customWidth="1"/>
    <col min="3078" max="3078" width="19" style="15" customWidth="1"/>
    <col min="3079" max="3330" width="8.69921875" style="15"/>
    <col min="3331" max="3331" width="14.09765625" style="15" customWidth="1"/>
    <col min="3332" max="3332" width="16.09765625" style="15" customWidth="1"/>
    <col min="3333" max="3333" width="16.59765625" style="15" customWidth="1"/>
    <col min="3334" max="3334" width="19" style="15" customWidth="1"/>
    <col min="3335" max="3586" width="8.69921875" style="15"/>
    <col min="3587" max="3587" width="14.09765625" style="15" customWidth="1"/>
    <col min="3588" max="3588" width="16.09765625" style="15" customWidth="1"/>
    <col min="3589" max="3589" width="16.59765625" style="15" customWidth="1"/>
    <col min="3590" max="3590" width="19" style="15" customWidth="1"/>
    <col min="3591" max="3842" width="8.69921875" style="15"/>
    <col min="3843" max="3843" width="14.09765625" style="15" customWidth="1"/>
    <col min="3844" max="3844" width="16.09765625" style="15" customWidth="1"/>
    <col min="3845" max="3845" width="16.59765625" style="15" customWidth="1"/>
    <col min="3846" max="3846" width="19" style="15" customWidth="1"/>
    <col min="3847" max="4098" width="8.69921875" style="15"/>
    <col min="4099" max="4099" width="14.09765625" style="15" customWidth="1"/>
    <col min="4100" max="4100" width="16.09765625" style="15" customWidth="1"/>
    <col min="4101" max="4101" width="16.59765625" style="15" customWidth="1"/>
    <col min="4102" max="4102" width="19" style="15" customWidth="1"/>
    <col min="4103" max="4354" width="8.69921875" style="15"/>
    <col min="4355" max="4355" width="14.09765625" style="15" customWidth="1"/>
    <col min="4356" max="4356" width="16.09765625" style="15" customWidth="1"/>
    <col min="4357" max="4357" width="16.59765625" style="15" customWidth="1"/>
    <col min="4358" max="4358" width="19" style="15" customWidth="1"/>
    <col min="4359" max="4610" width="8.69921875" style="15"/>
    <col min="4611" max="4611" width="14.09765625" style="15" customWidth="1"/>
    <col min="4612" max="4612" width="16.09765625" style="15" customWidth="1"/>
    <col min="4613" max="4613" width="16.59765625" style="15" customWidth="1"/>
    <col min="4614" max="4614" width="19" style="15" customWidth="1"/>
    <col min="4615" max="4866" width="8.69921875" style="15"/>
    <col min="4867" max="4867" width="14.09765625" style="15" customWidth="1"/>
    <col min="4868" max="4868" width="16.09765625" style="15" customWidth="1"/>
    <col min="4869" max="4869" width="16.59765625" style="15" customWidth="1"/>
    <col min="4870" max="4870" width="19" style="15" customWidth="1"/>
    <col min="4871" max="5122" width="8.69921875" style="15"/>
    <col min="5123" max="5123" width="14.09765625" style="15" customWidth="1"/>
    <col min="5124" max="5124" width="16.09765625" style="15" customWidth="1"/>
    <col min="5125" max="5125" width="16.59765625" style="15" customWidth="1"/>
    <col min="5126" max="5126" width="19" style="15" customWidth="1"/>
    <col min="5127" max="5378" width="8.69921875" style="15"/>
    <col min="5379" max="5379" width="14.09765625" style="15" customWidth="1"/>
    <col min="5380" max="5380" width="16.09765625" style="15" customWidth="1"/>
    <col min="5381" max="5381" width="16.59765625" style="15" customWidth="1"/>
    <col min="5382" max="5382" width="19" style="15" customWidth="1"/>
    <col min="5383" max="5634" width="8.69921875" style="15"/>
    <col min="5635" max="5635" width="14.09765625" style="15" customWidth="1"/>
    <col min="5636" max="5636" width="16.09765625" style="15" customWidth="1"/>
    <col min="5637" max="5637" width="16.59765625" style="15" customWidth="1"/>
    <col min="5638" max="5638" width="19" style="15" customWidth="1"/>
    <col min="5639" max="5890" width="8.69921875" style="15"/>
    <col min="5891" max="5891" width="14.09765625" style="15" customWidth="1"/>
    <col min="5892" max="5892" width="16.09765625" style="15" customWidth="1"/>
    <col min="5893" max="5893" width="16.59765625" style="15" customWidth="1"/>
    <col min="5894" max="5894" width="19" style="15" customWidth="1"/>
    <col min="5895" max="6146" width="8.69921875" style="15"/>
    <col min="6147" max="6147" width="14.09765625" style="15" customWidth="1"/>
    <col min="6148" max="6148" width="16.09765625" style="15" customWidth="1"/>
    <col min="6149" max="6149" width="16.59765625" style="15" customWidth="1"/>
    <col min="6150" max="6150" width="19" style="15" customWidth="1"/>
    <col min="6151" max="6402" width="8.69921875" style="15"/>
    <col min="6403" max="6403" width="14.09765625" style="15" customWidth="1"/>
    <col min="6404" max="6404" width="16.09765625" style="15" customWidth="1"/>
    <col min="6405" max="6405" width="16.59765625" style="15" customWidth="1"/>
    <col min="6406" max="6406" width="19" style="15" customWidth="1"/>
    <col min="6407" max="6658" width="8.69921875" style="15"/>
    <col min="6659" max="6659" width="14.09765625" style="15" customWidth="1"/>
    <col min="6660" max="6660" width="16.09765625" style="15" customWidth="1"/>
    <col min="6661" max="6661" width="16.59765625" style="15" customWidth="1"/>
    <col min="6662" max="6662" width="19" style="15" customWidth="1"/>
    <col min="6663" max="6914" width="8.69921875" style="15"/>
    <col min="6915" max="6915" width="14.09765625" style="15" customWidth="1"/>
    <col min="6916" max="6916" width="16.09765625" style="15" customWidth="1"/>
    <col min="6917" max="6917" width="16.59765625" style="15" customWidth="1"/>
    <col min="6918" max="6918" width="19" style="15" customWidth="1"/>
    <col min="6919" max="7170" width="8.69921875" style="15"/>
    <col min="7171" max="7171" width="14.09765625" style="15" customWidth="1"/>
    <col min="7172" max="7172" width="16.09765625" style="15" customWidth="1"/>
    <col min="7173" max="7173" width="16.59765625" style="15" customWidth="1"/>
    <col min="7174" max="7174" width="19" style="15" customWidth="1"/>
    <col min="7175" max="7426" width="8.69921875" style="15"/>
    <col min="7427" max="7427" width="14.09765625" style="15" customWidth="1"/>
    <col min="7428" max="7428" width="16.09765625" style="15" customWidth="1"/>
    <col min="7429" max="7429" width="16.59765625" style="15" customWidth="1"/>
    <col min="7430" max="7430" width="19" style="15" customWidth="1"/>
    <col min="7431" max="7682" width="8.69921875" style="15"/>
    <col min="7683" max="7683" width="14.09765625" style="15" customWidth="1"/>
    <col min="7684" max="7684" width="16.09765625" style="15" customWidth="1"/>
    <col min="7685" max="7685" width="16.59765625" style="15" customWidth="1"/>
    <col min="7686" max="7686" width="19" style="15" customWidth="1"/>
    <col min="7687" max="7938" width="8.69921875" style="15"/>
    <col min="7939" max="7939" width="14.09765625" style="15" customWidth="1"/>
    <col min="7940" max="7940" width="16.09765625" style="15" customWidth="1"/>
    <col min="7941" max="7941" width="16.59765625" style="15" customWidth="1"/>
    <col min="7942" max="7942" width="19" style="15" customWidth="1"/>
    <col min="7943" max="8194" width="8.69921875" style="15"/>
    <col min="8195" max="8195" width="14.09765625" style="15" customWidth="1"/>
    <col min="8196" max="8196" width="16.09765625" style="15" customWidth="1"/>
    <col min="8197" max="8197" width="16.59765625" style="15" customWidth="1"/>
    <col min="8198" max="8198" width="19" style="15" customWidth="1"/>
    <col min="8199" max="8450" width="8.69921875" style="15"/>
    <col min="8451" max="8451" width="14.09765625" style="15" customWidth="1"/>
    <col min="8452" max="8452" width="16.09765625" style="15" customWidth="1"/>
    <col min="8453" max="8453" width="16.59765625" style="15" customWidth="1"/>
    <col min="8454" max="8454" width="19" style="15" customWidth="1"/>
    <col min="8455" max="8706" width="8.69921875" style="15"/>
    <col min="8707" max="8707" width="14.09765625" style="15" customWidth="1"/>
    <col min="8708" max="8708" width="16.09765625" style="15" customWidth="1"/>
    <col min="8709" max="8709" width="16.59765625" style="15" customWidth="1"/>
    <col min="8710" max="8710" width="19" style="15" customWidth="1"/>
    <col min="8711" max="8962" width="8.69921875" style="15"/>
    <col min="8963" max="8963" width="14.09765625" style="15" customWidth="1"/>
    <col min="8964" max="8964" width="16.09765625" style="15" customWidth="1"/>
    <col min="8965" max="8965" width="16.59765625" style="15" customWidth="1"/>
    <col min="8966" max="8966" width="19" style="15" customWidth="1"/>
    <col min="8967" max="9218" width="8.69921875" style="15"/>
    <col min="9219" max="9219" width="14.09765625" style="15" customWidth="1"/>
    <col min="9220" max="9220" width="16.09765625" style="15" customWidth="1"/>
    <col min="9221" max="9221" width="16.59765625" style="15" customWidth="1"/>
    <col min="9222" max="9222" width="19" style="15" customWidth="1"/>
    <col min="9223" max="9474" width="8.69921875" style="15"/>
    <col min="9475" max="9475" width="14.09765625" style="15" customWidth="1"/>
    <col min="9476" max="9476" width="16.09765625" style="15" customWidth="1"/>
    <col min="9477" max="9477" width="16.59765625" style="15" customWidth="1"/>
    <col min="9478" max="9478" width="19" style="15" customWidth="1"/>
    <col min="9479" max="9730" width="8.69921875" style="15"/>
    <col min="9731" max="9731" width="14.09765625" style="15" customWidth="1"/>
    <col min="9732" max="9732" width="16.09765625" style="15" customWidth="1"/>
    <col min="9733" max="9733" width="16.59765625" style="15" customWidth="1"/>
    <col min="9734" max="9734" width="19" style="15" customWidth="1"/>
    <col min="9735" max="9986" width="8.69921875" style="15"/>
    <col min="9987" max="9987" width="14.09765625" style="15" customWidth="1"/>
    <col min="9988" max="9988" width="16.09765625" style="15" customWidth="1"/>
    <col min="9989" max="9989" width="16.59765625" style="15" customWidth="1"/>
    <col min="9990" max="9990" width="19" style="15" customWidth="1"/>
    <col min="9991" max="10242" width="8.69921875" style="15"/>
    <col min="10243" max="10243" width="14.09765625" style="15" customWidth="1"/>
    <col min="10244" max="10244" width="16.09765625" style="15" customWidth="1"/>
    <col min="10245" max="10245" width="16.59765625" style="15" customWidth="1"/>
    <col min="10246" max="10246" width="19" style="15" customWidth="1"/>
    <col min="10247" max="10498" width="8.69921875" style="15"/>
    <col min="10499" max="10499" width="14.09765625" style="15" customWidth="1"/>
    <col min="10500" max="10500" width="16.09765625" style="15" customWidth="1"/>
    <col min="10501" max="10501" width="16.59765625" style="15" customWidth="1"/>
    <col min="10502" max="10502" width="19" style="15" customWidth="1"/>
    <col min="10503" max="10754" width="8.69921875" style="15"/>
    <col min="10755" max="10755" width="14.09765625" style="15" customWidth="1"/>
    <col min="10756" max="10756" width="16.09765625" style="15" customWidth="1"/>
    <col min="10757" max="10757" width="16.59765625" style="15" customWidth="1"/>
    <col min="10758" max="10758" width="19" style="15" customWidth="1"/>
    <col min="10759" max="11010" width="8.69921875" style="15"/>
    <col min="11011" max="11011" width="14.09765625" style="15" customWidth="1"/>
    <col min="11012" max="11012" width="16.09765625" style="15" customWidth="1"/>
    <col min="11013" max="11013" width="16.59765625" style="15" customWidth="1"/>
    <col min="11014" max="11014" width="19" style="15" customWidth="1"/>
    <col min="11015" max="11266" width="8.69921875" style="15"/>
    <col min="11267" max="11267" width="14.09765625" style="15" customWidth="1"/>
    <col min="11268" max="11268" width="16.09765625" style="15" customWidth="1"/>
    <col min="11269" max="11269" width="16.59765625" style="15" customWidth="1"/>
    <col min="11270" max="11270" width="19" style="15" customWidth="1"/>
    <col min="11271" max="11522" width="8.69921875" style="15"/>
    <col min="11523" max="11523" width="14.09765625" style="15" customWidth="1"/>
    <col min="11524" max="11524" width="16.09765625" style="15" customWidth="1"/>
    <col min="11525" max="11525" width="16.59765625" style="15" customWidth="1"/>
    <col min="11526" max="11526" width="19" style="15" customWidth="1"/>
    <col min="11527" max="11778" width="8.69921875" style="15"/>
    <col min="11779" max="11779" width="14.09765625" style="15" customWidth="1"/>
    <col min="11780" max="11780" width="16.09765625" style="15" customWidth="1"/>
    <col min="11781" max="11781" width="16.59765625" style="15" customWidth="1"/>
    <col min="11782" max="11782" width="19" style="15" customWidth="1"/>
    <col min="11783" max="12034" width="8.69921875" style="15"/>
    <col min="12035" max="12035" width="14.09765625" style="15" customWidth="1"/>
    <col min="12036" max="12036" width="16.09765625" style="15" customWidth="1"/>
    <col min="12037" max="12037" width="16.59765625" style="15" customWidth="1"/>
    <col min="12038" max="12038" width="19" style="15" customWidth="1"/>
    <col min="12039" max="12290" width="8.69921875" style="15"/>
    <col min="12291" max="12291" width="14.09765625" style="15" customWidth="1"/>
    <col min="12292" max="12292" width="16.09765625" style="15" customWidth="1"/>
    <col min="12293" max="12293" width="16.59765625" style="15" customWidth="1"/>
    <col min="12294" max="12294" width="19" style="15" customWidth="1"/>
    <col min="12295" max="12546" width="8.69921875" style="15"/>
    <col min="12547" max="12547" width="14.09765625" style="15" customWidth="1"/>
    <col min="12548" max="12548" width="16.09765625" style="15" customWidth="1"/>
    <col min="12549" max="12549" width="16.59765625" style="15" customWidth="1"/>
    <col min="12550" max="12550" width="19" style="15" customWidth="1"/>
    <col min="12551" max="12802" width="8.69921875" style="15"/>
    <col min="12803" max="12803" width="14.09765625" style="15" customWidth="1"/>
    <col min="12804" max="12804" width="16.09765625" style="15" customWidth="1"/>
    <col min="12805" max="12805" width="16.59765625" style="15" customWidth="1"/>
    <col min="12806" max="12806" width="19" style="15" customWidth="1"/>
    <col min="12807" max="13058" width="8.69921875" style="15"/>
    <col min="13059" max="13059" width="14.09765625" style="15" customWidth="1"/>
    <col min="13060" max="13060" width="16.09765625" style="15" customWidth="1"/>
    <col min="13061" max="13061" width="16.59765625" style="15" customWidth="1"/>
    <col min="13062" max="13062" width="19" style="15" customWidth="1"/>
    <col min="13063" max="13314" width="8.69921875" style="15"/>
    <col min="13315" max="13315" width="14.09765625" style="15" customWidth="1"/>
    <col min="13316" max="13316" width="16.09765625" style="15" customWidth="1"/>
    <col min="13317" max="13317" width="16.59765625" style="15" customWidth="1"/>
    <col min="13318" max="13318" width="19" style="15" customWidth="1"/>
    <col min="13319" max="13570" width="8.69921875" style="15"/>
    <col min="13571" max="13571" width="14.09765625" style="15" customWidth="1"/>
    <col min="13572" max="13572" width="16.09765625" style="15" customWidth="1"/>
    <col min="13573" max="13573" width="16.59765625" style="15" customWidth="1"/>
    <col min="13574" max="13574" width="19" style="15" customWidth="1"/>
    <col min="13575" max="13826" width="8.69921875" style="15"/>
    <col min="13827" max="13827" width="14.09765625" style="15" customWidth="1"/>
    <col min="13828" max="13828" width="16.09765625" style="15" customWidth="1"/>
    <col min="13829" max="13829" width="16.59765625" style="15" customWidth="1"/>
    <col min="13830" max="13830" width="19" style="15" customWidth="1"/>
    <col min="13831" max="14082" width="8.69921875" style="15"/>
    <col min="14083" max="14083" width="14.09765625" style="15" customWidth="1"/>
    <col min="14084" max="14084" width="16.09765625" style="15" customWidth="1"/>
    <col min="14085" max="14085" width="16.59765625" style="15" customWidth="1"/>
    <col min="14086" max="14086" width="19" style="15" customWidth="1"/>
    <col min="14087" max="14338" width="8.69921875" style="15"/>
    <col min="14339" max="14339" width="14.09765625" style="15" customWidth="1"/>
    <col min="14340" max="14340" width="16.09765625" style="15" customWidth="1"/>
    <col min="14341" max="14341" width="16.59765625" style="15" customWidth="1"/>
    <col min="14342" max="14342" width="19" style="15" customWidth="1"/>
    <col min="14343" max="14594" width="8.69921875" style="15"/>
    <col min="14595" max="14595" width="14.09765625" style="15" customWidth="1"/>
    <col min="14596" max="14596" width="16.09765625" style="15" customWidth="1"/>
    <col min="14597" max="14597" width="16.59765625" style="15" customWidth="1"/>
    <col min="14598" max="14598" width="19" style="15" customWidth="1"/>
    <col min="14599" max="14850" width="8.69921875" style="15"/>
    <col min="14851" max="14851" width="14.09765625" style="15" customWidth="1"/>
    <col min="14852" max="14852" width="16.09765625" style="15" customWidth="1"/>
    <col min="14853" max="14853" width="16.59765625" style="15" customWidth="1"/>
    <col min="14854" max="14854" width="19" style="15" customWidth="1"/>
    <col min="14855" max="15106" width="8.69921875" style="15"/>
    <col min="15107" max="15107" width="14.09765625" style="15" customWidth="1"/>
    <col min="15108" max="15108" width="16.09765625" style="15" customWidth="1"/>
    <col min="15109" max="15109" width="16.59765625" style="15" customWidth="1"/>
    <col min="15110" max="15110" width="19" style="15" customWidth="1"/>
    <col min="15111" max="15362" width="8.69921875" style="15"/>
    <col min="15363" max="15363" width="14.09765625" style="15" customWidth="1"/>
    <col min="15364" max="15364" width="16.09765625" style="15" customWidth="1"/>
    <col min="15365" max="15365" width="16.59765625" style="15" customWidth="1"/>
    <col min="15366" max="15366" width="19" style="15" customWidth="1"/>
    <col min="15367" max="15618" width="8.69921875" style="15"/>
    <col min="15619" max="15619" width="14.09765625" style="15" customWidth="1"/>
    <col min="15620" max="15620" width="16.09765625" style="15" customWidth="1"/>
    <col min="15621" max="15621" width="16.59765625" style="15" customWidth="1"/>
    <col min="15622" max="15622" width="19" style="15" customWidth="1"/>
    <col min="15623" max="15874" width="8.69921875" style="15"/>
    <col min="15875" max="15875" width="14.09765625" style="15" customWidth="1"/>
    <col min="15876" max="15876" width="16.09765625" style="15" customWidth="1"/>
    <col min="15877" max="15877" width="16.59765625" style="15" customWidth="1"/>
    <col min="15878" max="15878" width="19" style="15" customWidth="1"/>
    <col min="15879" max="16130" width="8.69921875" style="15"/>
    <col min="16131" max="16131" width="14.09765625" style="15" customWidth="1"/>
    <col min="16132" max="16132" width="16.09765625" style="15" customWidth="1"/>
    <col min="16133" max="16133" width="16.59765625" style="15" customWidth="1"/>
    <col min="16134" max="16134" width="19" style="15" customWidth="1"/>
    <col min="16135" max="16384" width="8.69921875" style="15"/>
  </cols>
  <sheetData>
    <row r="1" spans="3:8" ht="42" customHeight="1" x14ac:dyDescent="0.25">
      <c r="C1" s="15" t="s">
        <v>108</v>
      </c>
    </row>
    <row r="3" spans="3:8" ht="43.5" hidden="1" customHeight="1" x14ac:dyDescent="0.25">
      <c r="C3" s="61" t="s">
        <v>109</v>
      </c>
      <c r="D3" s="61"/>
      <c r="E3" s="61"/>
      <c r="F3" s="61"/>
    </row>
    <row r="4" spans="3:8" hidden="1" x14ac:dyDescent="0.25">
      <c r="C4" s="62"/>
      <c r="D4" s="62"/>
      <c r="E4" s="62"/>
      <c r="F4" s="62"/>
    </row>
    <row r="5" spans="3:8" ht="14.25" hidden="1" customHeight="1" x14ac:dyDescent="0.25">
      <c r="C5" s="40" t="s">
        <v>110</v>
      </c>
      <c r="D5" s="59" t="s">
        <v>111</v>
      </c>
      <c r="E5" s="63"/>
      <c r="F5" s="60"/>
    </row>
    <row r="6" spans="3:8" ht="25.5" hidden="1" customHeight="1" x14ac:dyDescent="0.25">
      <c r="C6" s="40" t="s">
        <v>112</v>
      </c>
      <c r="D6" s="64" t="s">
        <v>113</v>
      </c>
      <c r="E6" s="65"/>
      <c r="F6" s="66"/>
    </row>
    <row r="7" spans="3:8" ht="14.25" hidden="1" customHeight="1" x14ac:dyDescent="0.25">
      <c r="C7" s="40" t="s">
        <v>114</v>
      </c>
      <c r="D7" s="59" t="s">
        <v>115</v>
      </c>
      <c r="E7" s="63"/>
      <c r="F7" s="60"/>
    </row>
    <row r="8" spans="3:8" ht="16.2" hidden="1" thickBot="1" x14ac:dyDescent="0.3">
      <c r="C8" s="40" t="s">
        <v>116</v>
      </c>
      <c r="D8" s="41">
        <v>43101</v>
      </c>
      <c r="E8" s="40" t="s">
        <v>117</v>
      </c>
      <c r="F8" s="41">
        <v>43105</v>
      </c>
    </row>
    <row r="9" spans="3:8" ht="16.2" hidden="1" thickBot="1" x14ac:dyDescent="0.3">
      <c r="C9" s="40" t="s">
        <v>118</v>
      </c>
      <c r="D9" s="40" t="s">
        <v>119</v>
      </c>
      <c r="E9" s="40" t="s">
        <v>120</v>
      </c>
      <c r="F9" s="40">
        <v>3859</v>
      </c>
      <c r="H9" s="15">
        <f>1736550/3859</f>
        <v>450</v>
      </c>
    </row>
    <row r="10" spans="3:8" ht="16.2" hidden="1" thickBot="1" x14ac:dyDescent="0.3">
      <c r="C10" s="40" t="s">
        <v>59</v>
      </c>
      <c r="D10" s="40" t="s">
        <v>121</v>
      </c>
      <c r="E10" s="40" t="s">
        <v>122</v>
      </c>
      <c r="F10" s="40" t="s">
        <v>123</v>
      </c>
    </row>
    <row r="11" spans="3:8" ht="16.2" hidden="1" thickBot="1" x14ac:dyDescent="0.3">
      <c r="C11" s="40" t="s">
        <v>124</v>
      </c>
      <c r="D11" s="40" t="s">
        <v>125</v>
      </c>
      <c r="E11" s="40" t="s">
        <v>126</v>
      </c>
      <c r="F11" s="40">
        <v>50</v>
      </c>
    </row>
    <row r="12" spans="3:8" ht="16.2" hidden="1" thickBot="1" x14ac:dyDescent="0.3">
      <c r="C12" s="59" t="s">
        <v>127</v>
      </c>
      <c r="D12" s="60"/>
      <c r="E12" s="59">
        <v>173.655</v>
      </c>
      <c r="F12" s="60"/>
    </row>
    <row r="13" spans="3:8" ht="22.2" hidden="1" thickBot="1" x14ac:dyDescent="0.3">
      <c r="C13" s="40" t="s">
        <v>128</v>
      </c>
      <c r="D13" s="40" t="s">
        <v>129</v>
      </c>
      <c r="E13" s="40" t="s">
        <v>130</v>
      </c>
      <c r="F13" s="42">
        <v>43101</v>
      </c>
    </row>
    <row r="14" spans="3:8" ht="16.2" hidden="1" thickBot="1" x14ac:dyDescent="0.3">
      <c r="C14" s="40" t="s">
        <v>131</v>
      </c>
      <c r="D14" s="59" t="s">
        <v>132</v>
      </c>
      <c r="E14" s="63"/>
      <c r="F14" s="60"/>
    </row>
    <row r="15" spans="3:8" hidden="1" x14ac:dyDescent="0.25"/>
    <row r="16" spans="3:8" hidden="1" x14ac:dyDescent="0.25"/>
    <row r="17" spans="3:8" hidden="1" x14ac:dyDescent="0.25"/>
    <row r="18" spans="3:8" hidden="1" x14ac:dyDescent="0.25"/>
    <row r="19" spans="3:8" ht="43.5" hidden="1" customHeight="1" x14ac:dyDescent="0.25">
      <c r="C19" s="61" t="s">
        <v>109</v>
      </c>
      <c r="D19" s="61"/>
      <c r="E19" s="61"/>
      <c r="F19" s="61"/>
    </row>
    <row r="20" spans="3:8" hidden="1" x14ac:dyDescent="0.25">
      <c r="C20" s="62"/>
      <c r="D20" s="62"/>
      <c r="E20" s="62"/>
      <c r="F20" s="62"/>
    </row>
    <row r="21" spans="3:8" ht="14.25" hidden="1" customHeight="1" x14ac:dyDescent="0.25">
      <c r="C21" s="40" t="s">
        <v>110</v>
      </c>
      <c r="D21" s="59" t="s">
        <v>133</v>
      </c>
      <c r="E21" s="63"/>
      <c r="F21" s="60"/>
    </row>
    <row r="22" spans="3:8" ht="25.5" hidden="1" customHeight="1" x14ac:dyDescent="0.25">
      <c r="C22" s="40" t="s">
        <v>112</v>
      </c>
      <c r="D22" s="64" t="s">
        <v>134</v>
      </c>
      <c r="E22" s="65"/>
      <c r="F22" s="66"/>
    </row>
    <row r="23" spans="3:8" ht="16.2" hidden="1" thickBot="1" x14ac:dyDescent="0.3">
      <c r="C23" s="40" t="s">
        <v>114</v>
      </c>
      <c r="D23" s="59" t="s">
        <v>135</v>
      </c>
      <c r="E23" s="63"/>
      <c r="F23" s="60"/>
    </row>
    <row r="24" spans="3:8" ht="16.2" hidden="1" thickBot="1" x14ac:dyDescent="0.3">
      <c r="C24" s="40" t="s">
        <v>116</v>
      </c>
      <c r="D24" s="41">
        <v>43101</v>
      </c>
      <c r="E24" s="40" t="s">
        <v>117</v>
      </c>
      <c r="F24" s="41">
        <v>43105</v>
      </c>
    </row>
    <row r="25" spans="3:8" ht="16.2" hidden="1" thickBot="1" x14ac:dyDescent="0.3">
      <c r="C25" s="40" t="s">
        <v>118</v>
      </c>
      <c r="D25" s="40" t="s">
        <v>119</v>
      </c>
      <c r="E25" s="40" t="s">
        <v>120</v>
      </c>
      <c r="F25" s="40">
        <v>4382</v>
      </c>
      <c r="H25" s="15">
        <f>2300550/4382</f>
        <v>525</v>
      </c>
    </row>
    <row r="26" spans="3:8" ht="16.2" hidden="1" thickBot="1" x14ac:dyDescent="0.3">
      <c r="C26" s="40" t="s">
        <v>59</v>
      </c>
      <c r="D26" s="40" t="s">
        <v>121</v>
      </c>
      <c r="E26" s="40" t="s">
        <v>122</v>
      </c>
      <c r="F26" s="40" t="s">
        <v>123</v>
      </c>
    </row>
    <row r="27" spans="3:8" ht="16.2" hidden="1" thickBot="1" x14ac:dyDescent="0.3">
      <c r="C27" s="40" t="s">
        <v>124</v>
      </c>
      <c r="D27" s="40" t="s">
        <v>125</v>
      </c>
      <c r="E27" s="40" t="s">
        <v>126</v>
      </c>
      <c r="F27" s="40">
        <v>50</v>
      </c>
    </row>
    <row r="28" spans="3:8" ht="16.2" hidden="1" thickBot="1" x14ac:dyDescent="0.3">
      <c r="C28" s="59" t="s">
        <v>127</v>
      </c>
      <c r="D28" s="60"/>
      <c r="E28" s="59">
        <v>230.05500000000001</v>
      </c>
      <c r="F28" s="60"/>
    </row>
    <row r="29" spans="3:8" ht="16.2" hidden="1" thickBot="1" x14ac:dyDescent="0.3">
      <c r="C29" s="40" t="s">
        <v>128</v>
      </c>
      <c r="D29" s="40" t="s">
        <v>136</v>
      </c>
      <c r="E29" s="40" t="s">
        <v>130</v>
      </c>
      <c r="F29" s="42">
        <v>43101</v>
      </c>
    </row>
    <row r="30" spans="3:8" ht="16.2" hidden="1" thickBot="1" x14ac:dyDescent="0.3">
      <c r="C30" s="40" t="s">
        <v>131</v>
      </c>
      <c r="D30" s="59" t="s">
        <v>132</v>
      </c>
      <c r="E30" s="63"/>
      <c r="F30" s="60"/>
    </row>
    <row r="31" spans="3:8" hidden="1" x14ac:dyDescent="0.25"/>
    <row r="32" spans="3:8" ht="43.5" hidden="1" customHeight="1" x14ac:dyDescent="0.25">
      <c r="C32" s="61" t="s">
        <v>109</v>
      </c>
      <c r="D32" s="61"/>
      <c r="E32" s="61"/>
      <c r="F32" s="61"/>
    </row>
    <row r="33" spans="3:8" hidden="1" x14ac:dyDescent="0.25">
      <c r="C33" s="62"/>
      <c r="D33" s="62"/>
      <c r="E33" s="62"/>
      <c r="F33" s="62"/>
    </row>
    <row r="34" spans="3:8" ht="14.25" hidden="1" customHeight="1" x14ac:dyDescent="0.25">
      <c r="C34" s="40" t="s">
        <v>110</v>
      </c>
      <c r="D34" s="59" t="s">
        <v>137</v>
      </c>
      <c r="E34" s="63"/>
      <c r="F34" s="60"/>
    </row>
    <row r="35" spans="3:8" ht="25.5" hidden="1" customHeight="1" x14ac:dyDescent="0.25">
      <c r="C35" s="40" t="s">
        <v>112</v>
      </c>
      <c r="D35" s="64" t="s">
        <v>138</v>
      </c>
      <c r="E35" s="65"/>
      <c r="F35" s="66"/>
    </row>
    <row r="36" spans="3:8" ht="14.25" hidden="1" customHeight="1" x14ac:dyDescent="0.25">
      <c r="C36" s="40" t="s">
        <v>114</v>
      </c>
      <c r="D36" s="59" t="s">
        <v>139</v>
      </c>
      <c r="E36" s="63"/>
      <c r="F36" s="60"/>
    </row>
    <row r="37" spans="3:8" ht="16.2" hidden="1" thickBot="1" x14ac:dyDescent="0.3">
      <c r="C37" s="40" t="s">
        <v>116</v>
      </c>
      <c r="D37" s="41">
        <v>43085</v>
      </c>
      <c r="E37" s="40" t="s">
        <v>117</v>
      </c>
      <c r="F37" s="41">
        <v>43089</v>
      </c>
    </row>
    <row r="38" spans="3:8" ht="16.2" hidden="1" thickBot="1" x14ac:dyDescent="0.3">
      <c r="C38" s="40" t="s">
        <v>118</v>
      </c>
      <c r="D38" s="40" t="s">
        <v>119</v>
      </c>
      <c r="E38" s="40" t="s">
        <v>120</v>
      </c>
      <c r="F38" s="40">
        <v>712</v>
      </c>
      <c r="H38" s="15">
        <f>320400/712</f>
        <v>450</v>
      </c>
    </row>
    <row r="39" spans="3:8" ht="16.2" hidden="1" thickBot="1" x14ac:dyDescent="0.3">
      <c r="C39" s="40" t="s">
        <v>59</v>
      </c>
      <c r="D39" s="40" t="s">
        <v>121</v>
      </c>
      <c r="E39" s="40" t="s">
        <v>122</v>
      </c>
      <c r="F39" s="40" t="s">
        <v>123</v>
      </c>
    </row>
    <row r="40" spans="3:8" ht="16.2" hidden="1" thickBot="1" x14ac:dyDescent="0.3">
      <c r="C40" s="40" t="s">
        <v>124</v>
      </c>
      <c r="D40" s="40" t="s">
        <v>125</v>
      </c>
      <c r="E40" s="40" t="s">
        <v>126</v>
      </c>
      <c r="F40" s="40">
        <v>50</v>
      </c>
    </row>
    <row r="41" spans="3:8" ht="14.25" hidden="1" customHeight="1" x14ac:dyDescent="0.25">
      <c r="C41" s="59" t="s">
        <v>127</v>
      </c>
      <c r="D41" s="60"/>
      <c r="E41" s="59" t="s">
        <v>140</v>
      </c>
      <c r="F41" s="60"/>
    </row>
    <row r="42" spans="3:8" ht="16.2" hidden="1" thickBot="1" x14ac:dyDescent="0.3">
      <c r="C42" s="40" t="s">
        <v>128</v>
      </c>
      <c r="D42" s="40" t="s">
        <v>141</v>
      </c>
      <c r="E42" s="40" t="s">
        <v>130</v>
      </c>
      <c r="F42" s="42">
        <v>43085</v>
      </c>
    </row>
    <row r="43" spans="3:8" ht="16.2" hidden="1" thickBot="1" x14ac:dyDescent="0.3">
      <c r="C43" s="40" t="s">
        <v>131</v>
      </c>
      <c r="D43" s="59" t="s">
        <v>132</v>
      </c>
      <c r="E43" s="63"/>
      <c r="F43" s="60"/>
    </row>
    <row r="44" spans="3:8" hidden="1" x14ac:dyDescent="0.25"/>
    <row r="45" spans="3:8" hidden="1" x14ac:dyDescent="0.25"/>
    <row r="47" spans="3:8" ht="43.5" hidden="1" customHeight="1" x14ac:dyDescent="0.25">
      <c r="C47" s="61"/>
      <c r="D47" s="61"/>
      <c r="E47" s="61"/>
      <c r="F47" s="61"/>
    </row>
    <row r="48" spans="3:8" x14ac:dyDescent="0.25">
      <c r="C48" s="62"/>
      <c r="D48" s="62"/>
      <c r="E48" s="62"/>
      <c r="F48" s="62"/>
    </row>
    <row r="49" spans="3:8" ht="16.2" hidden="1" thickBot="1" x14ac:dyDescent="0.3">
      <c r="C49" s="43" t="s">
        <v>110</v>
      </c>
      <c r="D49" s="67" t="s">
        <v>142</v>
      </c>
      <c r="E49" s="68"/>
      <c r="F49" s="69"/>
    </row>
    <row r="50" spans="3:8" ht="28.5" hidden="1" customHeight="1" x14ac:dyDescent="0.25">
      <c r="C50" s="70" t="s">
        <v>112</v>
      </c>
      <c r="D50" s="72" t="s">
        <v>143</v>
      </c>
      <c r="E50" s="73"/>
      <c r="F50" s="74"/>
    </row>
    <row r="51" spans="3:8" ht="18" hidden="1" thickBot="1" x14ac:dyDescent="0.3">
      <c r="C51" s="71"/>
      <c r="D51" s="75" t="s">
        <v>144</v>
      </c>
      <c r="E51" s="76"/>
      <c r="F51" s="77"/>
    </row>
    <row r="52" spans="3:8" ht="16.2" hidden="1" thickBot="1" x14ac:dyDescent="0.3">
      <c r="C52" s="43" t="s">
        <v>114</v>
      </c>
      <c r="D52" s="67" t="s">
        <v>145</v>
      </c>
      <c r="E52" s="68"/>
      <c r="F52" s="69"/>
    </row>
    <row r="53" spans="3:8" ht="16.2" hidden="1" thickBot="1" x14ac:dyDescent="0.3">
      <c r="C53" s="43" t="s">
        <v>116</v>
      </c>
      <c r="D53" s="44">
        <v>43085</v>
      </c>
      <c r="E53" s="43" t="s">
        <v>117</v>
      </c>
      <c r="F53" s="44">
        <v>43089</v>
      </c>
    </row>
    <row r="54" spans="3:8" ht="31.8" hidden="1" thickBot="1" x14ac:dyDescent="0.3">
      <c r="C54" s="43" t="s">
        <v>118</v>
      </c>
      <c r="D54" s="43" t="s">
        <v>119</v>
      </c>
      <c r="E54" s="43" t="s">
        <v>120</v>
      </c>
      <c r="F54" s="43">
        <v>17120</v>
      </c>
      <c r="H54" s="15">
        <f>7704000/17120</f>
        <v>450</v>
      </c>
    </row>
    <row r="55" spans="3:8" ht="31.8" hidden="1" thickBot="1" x14ac:dyDescent="0.3">
      <c r="C55" s="43" t="s">
        <v>146</v>
      </c>
      <c r="D55" s="45"/>
      <c r="E55" s="43" t="s">
        <v>122</v>
      </c>
      <c r="F55" s="43" t="s">
        <v>123</v>
      </c>
    </row>
    <row r="56" spans="3:8" ht="31.8" hidden="1" thickBot="1" x14ac:dyDescent="0.3">
      <c r="C56" s="43" t="s">
        <v>126</v>
      </c>
      <c r="D56" s="43">
        <v>50</v>
      </c>
      <c r="E56" s="43" t="s">
        <v>59</v>
      </c>
      <c r="F56" s="43" t="s">
        <v>147</v>
      </c>
    </row>
    <row r="57" spans="3:8" ht="31.8" hidden="1" thickBot="1" x14ac:dyDescent="0.3">
      <c r="C57" s="43" t="s">
        <v>148</v>
      </c>
      <c r="D57" s="43">
        <v>770.4</v>
      </c>
      <c r="E57" s="43" t="s">
        <v>149</v>
      </c>
      <c r="F57" s="43">
        <v>770.4</v>
      </c>
    </row>
    <row r="58" spans="3:8" ht="31.8" hidden="1" thickBot="1" x14ac:dyDescent="0.3">
      <c r="C58" s="43" t="s">
        <v>150</v>
      </c>
      <c r="D58" s="43" t="s">
        <v>151</v>
      </c>
      <c r="E58" s="43" t="s">
        <v>152</v>
      </c>
      <c r="F58" s="46">
        <v>43085</v>
      </c>
    </row>
    <row r="59" spans="3:8" ht="16.2" hidden="1" thickBot="1" x14ac:dyDescent="0.3">
      <c r="C59" s="43" t="s">
        <v>131</v>
      </c>
      <c r="D59" s="67" t="s">
        <v>153</v>
      </c>
      <c r="E59" s="68"/>
      <c r="F59" s="69"/>
    </row>
    <row r="60" spans="3:8" hidden="1" x14ac:dyDescent="0.25"/>
    <row r="61" spans="3:8" hidden="1" x14ac:dyDescent="0.25"/>
    <row r="62" spans="3:8" hidden="1" x14ac:dyDescent="0.25"/>
    <row r="63" spans="3:8" ht="43.5" hidden="1" customHeight="1" x14ac:dyDescent="0.25">
      <c r="C63" s="61" t="s">
        <v>154</v>
      </c>
      <c r="D63" s="61"/>
      <c r="E63" s="61"/>
      <c r="F63" s="61"/>
    </row>
    <row r="64" spans="3:8" hidden="1" x14ac:dyDescent="0.25">
      <c r="C64" s="62"/>
      <c r="D64" s="62"/>
      <c r="E64" s="62"/>
      <c r="F64" s="62"/>
    </row>
    <row r="65" spans="3:8" ht="16.2" hidden="1" thickBot="1" x14ac:dyDescent="0.3">
      <c r="C65" s="43" t="s">
        <v>155</v>
      </c>
      <c r="D65" s="67" t="s">
        <v>156</v>
      </c>
      <c r="E65" s="68"/>
      <c r="F65" s="69"/>
    </row>
    <row r="66" spans="3:8" ht="28.5" hidden="1" customHeight="1" x14ac:dyDescent="0.25">
      <c r="C66" s="70" t="s">
        <v>157</v>
      </c>
      <c r="D66" s="72" t="s">
        <v>143</v>
      </c>
      <c r="E66" s="73"/>
      <c r="F66" s="74"/>
    </row>
    <row r="67" spans="3:8" ht="18" hidden="1" thickBot="1" x14ac:dyDescent="0.3">
      <c r="C67" s="71"/>
      <c r="D67" s="75" t="s">
        <v>158</v>
      </c>
      <c r="E67" s="76"/>
      <c r="F67" s="77"/>
    </row>
    <row r="68" spans="3:8" ht="31.5" hidden="1" customHeight="1" x14ac:dyDescent="0.25">
      <c r="C68" s="43" t="s">
        <v>159</v>
      </c>
      <c r="D68" s="67" t="s">
        <v>160</v>
      </c>
      <c r="E68" s="68"/>
      <c r="F68" s="69"/>
    </row>
    <row r="69" spans="3:8" ht="16.2" hidden="1" thickBot="1" x14ac:dyDescent="0.3">
      <c r="C69" s="43" t="s">
        <v>161</v>
      </c>
      <c r="D69" s="44">
        <v>43077</v>
      </c>
      <c r="E69" s="43" t="s">
        <v>162</v>
      </c>
      <c r="F69" s="44">
        <v>43077</v>
      </c>
    </row>
    <row r="70" spans="3:8" ht="31.8" hidden="1" thickBot="1" x14ac:dyDescent="0.3">
      <c r="C70" s="43" t="s">
        <v>163</v>
      </c>
      <c r="D70" s="43" t="s">
        <v>164</v>
      </c>
      <c r="E70" s="43" t="s">
        <v>165</v>
      </c>
      <c r="F70" s="43">
        <v>527</v>
      </c>
    </row>
    <row r="71" spans="3:8" ht="31.8" hidden="1" thickBot="1" x14ac:dyDescent="0.3">
      <c r="C71" s="43" t="s">
        <v>166</v>
      </c>
      <c r="D71" s="45"/>
      <c r="E71" s="43" t="s">
        <v>167</v>
      </c>
      <c r="F71" s="43" t="s">
        <v>168</v>
      </c>
    </row>
    <row r="72" spans="3:8" ht="31.8" hidden="1" thickBot="1" x14ac:dyDescent="0.3">
      <c r="C72" s="43" t="s">
        <v>169</v>
      </c>
      <c r="D72" s="43">
        <v>50</v>
      </c>
      <c r="E72" s="43" t="s">
        <v>170</v>
      </c>
      <c r="F72" s="43" t="s">
        <v>171</v>
      </c>
    </row>
    <row r="73" spans="3:8" ht="31.8" hidden="1" thickBot="1" x14ac:dyDescent="0.3">
      <c r="C73" s="43" t="s">
        <v>172</v>
      </c>
      <c r="D73" s="43">
        <v>23.715</v>
      </c>
      <c r="E73" s="43" t="s">
        <v>173</v>
      </c>
      <c r="F73" s="43">
        <v>23.715</v>
      </c>
      <c r="H73" s="15">
        <f>237150/527</f>
        <v>450</v>
      </c>
    </row>
    <row r="74" spans="3:8" ht="47.4" hidden="1" thickBot="1" x14ac:dyDescent="0.3">
      <c r="C74" s="43" t="s">
        <v>174</v>
      </c>
      <c r="D74" s="43" t="s">
        <v>175</v>
      </c>
      <c r="E74" s="43" t="s">
        <v>176</v>
      </c>
      <c r="F74" s="46">
        <v>43077</v>
      </c>
    </row>
    <row r="75" spans="3:8" ht="16.2" hidden="1" thickBot="1" x14ac:dyDescent="0.3">
      <c r="C75" s="43" t="s">
        <v>177</v>
      </c>
      <c r="D75" s="67" t="s">
        <v>153</v>
      </c>
      <c r="E75" s="68"/>
      <c r="F75" s="69"/>
    </row>
    <row r="76" spans="3:8" hidden="1" x14ac:dyDescent="0.25"/>
    <row r="77" spans="3:8" hidden="1" x14ac:dyDescent="0.25"/>
    <row r="78" spans="3:8" hidden="1" x14ac:dyDescent="0.25"/>
    <row r="79" spans="3:8" hidden="1" x14ac:dyDescent="0.25"/>
    <row r="80" spans="3:8" ht="43.5" hidden="1" customHeight="1" x14ac:dyDescent="0.25">
      <c r="C80" s="61" t="s">
        <v>109</v>
      </c>
      <c r="D80" s="61"/>
      <c r="E80" s="61"/>
      <c r="F80" s="61"/>
    </row>
    <row r="81" spans="3:8" hidden="1" x14ac:dyDescent="0.25">
      <c r="C81" s="62"/>
      <c r="D81" s="62"/>
      <c r="E81" s="62"/>
      <c r="F81" s="62"/>
    </row>
    <row r="82" spans="3:8" ht="14.25" hidden="1" customHeight="1" x14ac:dyDescent="0.25">
      <c r="C82" s="40" t="s">
        <v>110</v>
      </c>
      <c r="D82" s="59" t="s">
        <v>178</v>
      </c>
      <c r="E82" s="63"/>
      <c r="F82" s="60"/>
    </row>
    <row r="83" spans="3:8" ht="25.5" hidden="1" customHeight="1" x14ac:dyDescent="0.25">
      <c r="C83" s="40" t="s">
        <v>112</v>
      </c>
      <c r="D83" s="64" t="s">
        <v>179</v>
      </c>
      <c r="E83" s="65"/>
      <c r="F83" s="66"/>
    </row>
    <row r="84" spans="3:8" ht="22.5" hidden="1" customHeight="1" x14ac:dyDescent="0.25">
      <c r="C84" s="40" t="s">
        <v>114</v>
      </c>
      <c r="D84" s="59" t="s">
        <v>180</v>
      </c>
      <c r="E84" s="63"/>
      <c r="F84" s="60"/>
    </row>
    <row r="85" spans="3:8" ht="16.2" hidden="1" thickBot="1" x14ac:dyDescent="0.3">
      <c r="C85" s="40" t="s">
        <v>116</v>
      </c>
      <c r="D85" s="41">
        <v>43073</v>
      </c>
      <c r="E85" s="40" t="s">
        <v>117</v>
      </c>
      <c r="F85" s="41">
        <v>43077</v>
      </c>
    </row>
    <row r="86" spans="3:8" ht="16.2" hidden="1" thickBot="1" x14ac:dyDescent="0.3">
      <c r="C86" s="40" t="s">
        <v>118</v>
      </c>
      <c r="D86" s="40" t="s">
        <v>119</v>
      </c>
      <c r="E86" s="40" t="s">
        <v>120</v>
      </c>
      <c r="F86" s="40">
        <v>29271</v>
      </c>
    </row>
    <row r="87" spans="3:8" ht="16.2" hidden="1" thickBot="1" x14ac:dyDescent="0.3">
      <c r="C87" s="40" t="s">
        <v>59</v>
      </c>
      <c r="D87" s="40" t="s">
        <v>121</v>
      </c>
      <c r="E87" s="40" t="s">
        <v>122</v>
      </c>
      <c r="F87" s="40" t="s">
        <v>123</v>
      </c>
    </row>
    <row r="88" spans="3:8" ht="16.2" hidden="1" thickBot="1" x14ac:dyDescent="0.3">
      <c r="C88" s="40" t="s">
        <v>124</v>
      </c>
      <c r="D88" s="40" t="s">
        <v>181</v>
      </c>
      <c r="E88" s="40" t="s">
        <v>126</v>
      </c>
      <c r="F88" s="40">
        <v>50</v>
      </c>
    </row>
    <row r="89" spans="3:8" ht="26.25" hidden="1" customHeight="1" x14ac:dyDescent="0.25">
      <c r="C89" s="59" t="s">
        <v>127</v>
      </c>
      <c r="D89" s="60"/>
      <c r="E89" s="59">
        <v>1317.1949999999999</v>
      </c>
      <c r="F89" s="60"/>
      <c r="H89" s="15">
        <f>13171950/29271</f>
        <v>450</v>
      </c>
    </row>
    <row r="90" spans="3:8" ht="22.2" hidden="1" thickBot="1" x14ac:dyDescent="0.3">
      <c r="C90" s="40" t="s">
        <v>128</v>
      </c>
      <c r="D90" s="40" t="s">
        <v>182</v>
      </c>
      <c r="E90" s="40" t="s">
        <v>130</v>
      </c>
      <c r="F90" s="42">
        <v>43073</v>
      </c>
    </row>
    <row r="91" spans="3:8" ht="16.2" hidden="1" thickBot="1" x14ac:dyDescent="0.3">
      <c r="C91" s="40" t="s">
        <v>131</v>
      </c>
      <c r="D91" s="59" t="s">
        <v>132</v>
      </c>
      <c r="E91" s="63"/>
      <c r="F91" s="60"/>
    </row>
    <row r="92" spans="3:8" hidden="1" x14ac:dyDescent="0.25"/>
    <row r="93" spans="3:8" hidden="1" x14ac:dyDescent="0.25"/>
    <row r="94" spans="3:8" hidden="1" x14ac:dyDescent="0.25"/>
    <row r="95" spans="3:8" hidden="1" x14ac:dyDescent="0.25"/>
    <row r="96" spans="3:8" ht="43.5" hidden="1" customHeight="1" x14ac:dyDescent="0.25">
      <c r="C96" s="61" t="s">
        <v>109</v>
      </c>
      <c r="D96" s="61"/>
      <c r="E96" s="61"/>
      <c r="F96" s="61"/>
    </row>
    <row r="97" spans="3:8" hidden="1" x14ac:dyDescent="0.25">
      <c r="C97" s="62"/>
      <c r="D97" s="62"/>
      <c r="E97" s="62"/>
      <c r="F97" s="62"/>
    </row>
    <row r="98" spans="3:8" ht="14.25" hidden="1" customHeight="1" x14ac:dyDescent="0.25">
      <c r="C98" s="40" t="s">
        <v>110</v>
      </c>
      <c r="D98" s="59" t="s">
        <v>183</v>
      </c>
      <c r="E98" s="63"/>
      <c r="F98" s="60"/>
    </row>
    <row r="99" spans="3:8" ht="25.5" hidden="1" customHeight="1" x14ac:dyDescent="0.25">
      <c r="C99" s="40" t="s">
        <v>112</v>
      </c>
      <c r="D99" s="64" t="s">
        <v>184</v>
      </c>
      <c r="E99" s="65"/>
      <c r="F99" s="66"/>
    </row>
    <row r="100" spans="3:8" ht="14.25" hidden="1" customHeight="1" x14ac:dyDescent="0.25">
      <c r="C100" s="40" t="s">
        <v>114</v>
      </c>
      <c r="D100" s="59" t="s">
        <v>185</v>
      </c>
      <c r="E100" s="63"/>
      <c r="F100" s="60"/>
    </row>
    <row r="101" spans="3:8" ht="16.2" hidden="1" thickBot="1" x14ac:dyDescent="0.3">
      <c r="C101" s="40" t="s">
        <v>116</v>
      </c>
      <c r="D101" s="41">
        <v>43036</v>
      </c>
      <c r="E101" s="40" t="s">
        <v>117</v>
      </c>
      <c r="F101" s="41">
        <v>43040</v>
      </c>
    </row>
    <row r="102" spans="3:8" ht="16.2" hidden="1" thickBot="1" x14ac:dyDescent="0.3">
      <c r="C102" s="40" t="s">
        <v>118</v>
      </c>
      <c r="D102" s="40" t="s">
        <v>119</v>
      </c>
      <c r="E102" s="40" t="s">
        <v>120</v>
      </c>
      <c r="F102" s="40">
        <v>3607.8</v>
      </c>
    </row>
    <row r="103" spans="3:8" ht="16.2" hidden="1" thickBot="1" x14ac:dyDescent="0.3">
      <c r="C103" s="40" t="s">
        <v>59</v>
      </c>
      <c r="D103" s="40" t="s">
        <v>121</v>
      </c>
      <c r="E103" s="40" t="s">
        <v>122</v>
      </c>
      <c r="F103" s="40" t="s">
        <v>123</v>
      </c>
    </row>
    <row r="104" spans="3:8" ht="16.2" hidden="1" thickBot="1" x14ac:dyDescent="0.3">
      <c r="C104" s="40" t="s">
        <v>124</v>
      </c>
      <c r="D104" s="40" t="s">
        <v>125</v>
      </c>
      <c r="E104" s="40" t="s">
        <v>126</v>
      </c>
      <c r="F104" s="40">
        <v>50</v>
      </c>
    </row>
    <row r="105" spans="3:8" ht="25.5" hidden="1" customHeight="1" x14ac:dyDescent="0.25">
      <c r="C105" s="59" t="s">
        <v>127</v>
      </c>
      <c r="D105" s="60"/>
      <c r="E105" s="59" t="s">
        <v>186</v>
      </c>
      <c r="F105" s="60"/>
      <c r="H105" s="47">
        <f>1623600/3607.8</f>
        <v>450</v>
      </c>
    </row>
    <row r="106" spans="3:8" ht="22.2" hidden="1" thickBot="1" x14ac:dyDescent="0.3">
      <c r="C106" s="40" t="s">
        <v>128</v>
      </c>
      <c r="D106" s="40" t="s">
        <v>187</v>
      </c>
      <c r="E106" s="40" t="s">
        <v>130</v>
      </c>
      <c r="F106" s="41">
        <v>43036</v>
      </c>
    </row>
    <row r="107" spans="3:8" ht="16.2" hidden="1" thickBot="1" x14ac:dyDescent="0.3">
      <c r="C107" s="40" t="s">
        <v>131</v>
      </c>
      <c r="D107" s="59" t="s">
        <v>132</v>
      </c>
      <c r="E107" s="63"/>
      <c r="F107" s="60"/>
    </row>
    <row r="108" spans="3:8" hidden="1" x14ac:dyDescent="0.25"/>
    <row r="109" spans="3:8" hidden="1" x14ac:dyDescent="0.25"/>
    <row r="110" spans="3:8" hidden="1" x14ac:dyDescent="0.25"/>
    <row r="111" spans="3:8" hidden="1" x14ac:dyDescent="0.25"/>
    <row r="112" spans="3:8" hidden="1" x14ac:dyDescent="0.25"/>
    <row r="113" spans="3:8" ht="21.75" hidden="1" customHeight="1" x14ac:dyDescent="0.25">
      <c r="C113" s="61" t="s">
        <v>109</v>
      </c>
      <c r="D113" s="61"/>
      <c r="E113" s="61"/>
      <c r="F113" s="61"/>
    </row>
    <row r="114" spans="3:8" hidden="1" x14ac:dyDescent="0.25">
      <c r="C114" s="62"/>
      <c r="D114" s="62"/>
      <c r="E114" s="62"/>
      <c r="F114" s="62"/>
    </row>
    <row r="115" spans="3:8" ht="14.25" hidden="1" customHeight="1" x14ac:dyDescent="0.25">
      <c r="C115" s="40" t="s">
        <v>110</v>
      </c>
      <c r="D115" s="59" t="s">
        <v>188</v>
      </c>
      <c r="E115" s="63"/>
      <c r="F115" s="60"/>
    </row>
    <row r="116" spans="3:8" ht="14.25" hidden="1" customHeight="1" x14ac:dyDescent="0.25">
      <c r="C116" s="40" t="s">
        <v>112</v>
      </c>
      <c r="D116" s="64" t="s">
        <v>189</v>
      </c>
      <c r="E116" s="65"/>
      <c r="F116" s="66"/>
    </row>
    <row r="117" spans="3:8" ht="16.2" hidden="1" thickBot="1" x14ac:dyDescent="0.3">
      <c r="C117" s="40" t="s">
        <v>114</v>
      </c>
      <c r="D117" s="59" t="s">
        <v>190</v>
      </c>
      <c r="E117" s="63"/>
      <c r="F117" s="60"/>
    </row>
    <row r="118" spans="3:8" ht="16.2" hidden="1" thickBot="1" x14ac:dyDescent="0.3">
      <c r="C118" s="40" t="s">
        <v>116</v>
      </c>
      <c r="D118" s="41">
        <v>43017</v>
      </c>
      <c r="E118" s="40" t="s">
        <v>117</v>
      </c>
      <c r="F118" s="41">
        <v>43022</v>
      </c>
    </row>
    <row r="119" spans="3:8" ht="16.2" hidden="1" thickBot="1" x14ac:dyDescent="0.3">
      <c r="C119" s="40" t="s">
        <v>118</v>
      </c>
      <c r="D119" s="40" t="s">
        <v>119</v>
      </c>
      <c r="E119" s="40" t="s">
        <v>120</v>
      </c>
      <c r="F119" s="40">
        <v>11753.25</v>
      </c>
    </row>
    <row r="120" spans="3:8" ht="16.2" hidden="1" thickBot="1" x14ac:dyDescent="0.3">
      <c r="C120" s="40" t="s">
        <v>59</v>
      </c>
      <c r="D120" s="40" t="s">
        <v>121</v>
      </c>
      <c r="E120" s="40" t="s">
        <v>122</v>
      </c>
      <c r="F120" s="40" t="s">
        <v>123</v>
      </c>
    </row>
    <row r="121" spans="3:8" ht="16.2" hidden="1" thickBot="1" x14ac:dyDescent="0.3">
      <c r="C121" s="40" t="s">
        <v>124</v>
      </c>
      <c r="D121" s="40" t="s">
        <v>181</v>
      </c>
      <c r="E121" s="40" t="s">
        <v>126</v>
      </c>
      <c r="F121" s="40">
        <v>50</v>
      </c>
    </row>
    <row r="122" spans="3:8" ht="16.2" hidden="1" thickBot="1" x14ac:dyDescent="0.3">
      <c r="C122" s="59" t="s">
        <v>127</v>
      </c>
      <c r="D122" s="60"/>
      <c r="E122" s="59">
        <v>528.9</v>
      </c>
      <c r="F122" s="60"/>
      <c r="H122" s="39">
        <f>5289000/11753.25</f>
        <v>450</v>
      </c>
    </row>
    <row r="123" spans="3:8" ht="22.2" hidden="1" thickBot="1" x14ac:dyDescent="0.3">
      <c r="C123" s="40" t="s">
        <v>128</v>
      </c>
      <c r="D123" s="40" t="s">
        <v>191</v>
      </c>
      <c r="E123" s="40" t="s">
        <v>130</v>
      </c>
      <c r="F123" s="42">
        <v>43017</v>
      </c>
    </row>
    <row r="124" spans="3:8" ht="16.2" hidden="1" thickBot="1" x14ac:dyDescent="0.3">
      <c r="C124" s="40" t="s">
        <v>131</v>
      </c>
      <c r="D124" s="59" t="s">
        <v>132</v>
      </c>
      <c r="E124" s="63"/>
      <c r="F124" s="60"/>
    </row>
    <row r="125" spans="3:8" hidden="1" x14ac:dyDescent="0.25"/>
    <row r="126" spans="3:8" hidden="1" x14ac:dyDescent="0.25"/>
    <row r="127" spans="3:8" hidden="1" x14ac:dyDescent="0.25"/>
    <row r="129" spans="2:8" ht="21.75" customHeight="1" x14ac:dyDescent="0.25">
      <c r="C129" s="61" t="s">
        <v>154</v>
      </c>
      <c r="D129" s="61"/>
      <c r="E129" s="61"/>
      <c r="F129" s="61"/>
    </row>
    <row r="130" spans="2:8" ht="16.2" thickBot="1" x14ac:dyDescent="0.3">
      <c r="C130" s="62"/>
      <c r="D130" s="62"/>
      <c r="E130" s="62"/>
      <c r="F130" s="62"/>
    </row>
    <row r="131" spans="2:8" ht="16.2" thickBot="1" x14ac:dyDescent="0.3">
      <c r="C131" s="43" t="s">
        <v>155</v>
      </c>
      <c r="D131" s="67" t="s">
        <v>192</v>
      </c>
      <c r="E131" s="68"/>
      <c r="F131" s="69"/>
    </row>
    <row r="132" spans="2:8" ht="14.25" customHeight="1" x14ac:dyDescent="0.25">
      <c r="C132" s="70" t="s">
        <v>157</v>
      </c>
      <c r="D132" s="72" t="s">
        <v>143</v>
      </c>
      <c r="E132" s="73"/>
      <c r="F132" s="74"/>
    </row>
    <row r="133" spans="2:8" ht="18" thickBot="1" x14ac:dyDescent="0.3">
      <c r="C133" s="71"/>
      <c r="D133" s="75" t="s">
        <v>193</v>
      </c>
      <c r="E133" s="76"/>
      <c r="F133" s="77"/>
    </row>
    <row r="134" spans="2:8" ht="21" customHeight="1" thickBot="1" x14ac:dyDescent="0.3">
      <c r="C134" s="43" t="s">
        <v>159</v>
      </c>
      <c r="D134" s="67" t="s">
        <v>194</v>
      </c>
      <c r="E134" s="68"/>
      <c r="F134" s="69"/>
    </row>
    <row r="135" spans="2:8" ht="21" customHeight="1" thickBot="1" x14ac:dyDescent="0.3">
      <c r="C135" s="43" t="s">
        <v>161</v>
      </c>
      <c r="D135" s="44">
        <v>43008</v>
      </c>
      <c r="E135" s="43" t="s">
        <v>162</v>
      </c>
      <c r="F135" s="44">
        <v>43012</v>
      </c>
    </row>
    <row r="136" spans="2:8" ht="31.8" thickBot="1" x14ac:dyDescent="0.3">
      <c r="B136" s="15" t="s">
        <v>195</v>
      </c>
      <c r="C136" s="43" t="s">
        <v>163</v>
      </c>
      <c r="D136" s="43" t="s">
        <v>164</v>
      </c>
      <c r="E136" s="43" t="s">
        <v>165</v>
      </c>
      <c r="F136" s="43">
        <v>24135.32</v>
      </c>
      <c r="H136" s="39">
        <f>10860900/24135.32</f>
        <v>450</v>
      </c>
    </row>
    <row r="137" spans="2:8" ht="31.8" thickBot="1" x14ac:dyDescent="0.3">
      <c r="C137" s="43" t="s">
        <v>166</v>
      </c>
      <c r="D137" s="45"/>
      <c r="E137" s="43" t="s">
        <v>167</v>
      </c>
      <c r="F137" s="43" t="s">
        <v>168</v>
      </c>
    </row>
    <row r="138" spans="2:8" ht="31.8" thickBot="1" x14ac:dyDescent="0.3">
      <c r="C138" s="43" t="s">
        <v>169</v>
      </c>
      <c r="D138" s="43">
        <v>50</v>
      </c>
      <c r="E138" s="43" t="s">
        <v>170</v>
      </c>
      <c r="F138" s="43" t="s">
        <v>171</v>
      </c>
    </row>
    <row r="139" spans="2:8" ht="31.8" thickBot="1" x14ac:dyDescent="0.3">
      <c r="C139" s="43" t="s">
        <v>172</v>
      </c>
      <c r="D139" s="43">
        <v>1086.0899999999999</v>
      </c>
      <c r="E139" s="43" t="s">
        <v>173</v>
      </c>
      <c r="F139" s="43">
        <v>1086.0899999999999</v>
      </c>
    </row>
    <row r="140" spans="2:8" ht="31.8" thickBot="1" x14ac:dyDescent="0.3">
      <c r="C140" s="43" t="s">
        <v>174</v>
      </c>
      <c r="D140" s="43" t="s">
        <v>196</v>
      </c>
      <c r="E140" s="43" t="s">
        <v>176</v>
      </c>
      <c r="F140" s="46">
        <v>43008</v>
      </c>
    </row>
    <row r="141" spans="2:8" ht="31.5" customHeight="1" thickBot="1" x14ac:dyDescent="0.3">
      <c r="C141" s="43" t="s">
        <v>177</v>
      </c>
      <c r="D141" s="67" t="s">
        <v>197</v>
      </c>
      <c r="E141" s="68"/>
      <c r="F141" s="69"/>
    </row>
    <row r="144" spans="2:8" hidden="1" x14ac:dyDescent="0.25"/>
    <row r="145" spans="3:8" hidden="1" x14ac:dyDescent="0.25"/>
    <row r="146" spans="3:8" ht="21.75" hidden="1" customHeight="1" x14ac:dyDescent="0.25">
      <c r="C146" s="61" t="s">
        <v>109</v>
      </c>
      <c r="D146" s="61"/>
      <c r="E146" s="61"/>
      <c r="F146" s="61"/>
    </row>
    <row r="147" spans="3:8" hidden="1" x14ac:dyDescent="0.25">
      <c r="C147" s="62"/>
      <c r="D147" s="62"/>
      <c r="E147" s="62"/>
      <c r="F147" s="62"/>
    </row>
    <row r="148" spans="3:8" ht="14.25" hidden="1" customHeight="1" x14ac:dyDescent="0.25">
      <c r="C148" s="40" t="s">
        <v>110</v>
      </c>
      <c r="D148" s="59" t="s">
        <v>198</v>
      </c>
      <c r="E148" s="63"/>
      <c r="F148" s="60"/>
    </row>
    <row r="149" spans="3:8" ht="14.25" hidden="1" customHeight="1" x14ac:dyDescent="0.25">
      <c r="C149" s="40" t="s">
        <v>112</v>
      </c>
      <c r="D149" s="64" t="s">
        <v>199</v>
      </c>
      <c r="E149" s="65"/>
      <c r="F149" s="66"/>
    </row>
    <row r="150" spans="3:8" ht="16.2" hidden="1" thickBot="1" x14ac:dyDescent="0.3">
      <c r="C150" s="40" t="s">
        <v>114</v>
      </c>
      <c r="D150" s="59" t="s">
        <v>200</v>
      </c>
      <c r="E150" s="63"/>
      <c r="F150" s="60"/>
    </row>
    <row r="151" spans="3:8" ht="16.2" hidden="1" thickBot="1" x14ac:dyDescent="0.3">
      <c r="C151" s="40" t="s">
        <v>116</v>
      </c>
      <c r="D151" s="41">
        <v>42998</v>
      </c>
      <c r="E151" s="40" t="s">
        <v>117</v>
      </c>
      <c r="F151" s="41">
        <v>43002</v>
      </c>
    </row>
    <row r="152" spans="3:8" ht="16.2" hidden="1" thickBot="1" x14ac:dyDescent="0.3">
      <c r="C152" s="40" t="s">
        <v>118</v>
      </c>
      <c r="D152" s="40" t="s">
        <v>119</v>
      </c>
      <c r="E152" s="40" t="s">
        <v>120</v>
      </c>
      <c r="F152" s="40">
        <v>4003.63</v>
      </c>
    </row>
    <row r="153" spans="3:8" ht="16.2" hidden="1" thickBot="1" x14ac:dyDescent="0.3">
      <c r="C153" s="40" t="s">
        <v>59</v>
      </c>
      <c r="D153" s="40" t="s">
        <v>121</v>
      </c>
      <c r="E153" s="40" t="s">
        <v>122</v>
      </c>
      <c r="F153" s="40" t="s">
        <v>123</v>
      </c>
    </row>
    <row r="154" spans="3:8" ht="16.2" hidden="1" thickBot="1" x14ac:dyDescent="0.3">
      <c r="C154" s="40" t="s">
        <v>124</v>
      </c>
      <c r="D154" s="40" t="s">
        <v>181</v>
      </c>
      <c r="E154" s="40" t="s">
        <v>126</v>
      </c>
      <c r="F154" s="40">
        <v>50</v>
      </c>
      <c r="H154" s="39">
        <f>1801634/4003.63</f>
        <v>450</v>
      </c>
    </row>
    <row r="155" spans="3:8" ht="16.2" hidden="1" thickBot="1" x14ac:dyDescent="0.3">
      <c r="C155" s="59" t="s">
        <v>127</v>
      </c>
      <c r="D155" s="60"/>
      <c r="E155" s="59">
        <v>180.1634</v>
      </c>
      <c r="F155" s="60"/>
    </row>
    <row r="156" spans="3:8" ht="22.2" hidden="1" thickBot="1" x14ac:dyDescent="0.3">
      <c r="C156" s="40" t="s">
        <v>128</v>
      </c>
      <c r="D156" s="40" t="s">
        <v>201</v>
      </c>
      <c r="E156" s="40" t="s">
        <v>130</v>
      </c>
      <c r="F156" s="42">
        <v>42997</v>
      </c>
    </row>
    <row r="157" spans="3:8" ht="16.2" hidden="1" thickBot="1" x14ac:dyDescent="0.3">
      <c r="C157" s="40" t="s">
        <v>131</v>
      </c>
      <c r="D157" s="59" t="s">
        <v>132</v>
      </c>
      <c r="E157" s="63"/>
      <c r="F157" s="60"/>
    </row>
    <row r="158" spans="3:8" hidden="1" x14ac:dyDescent="0.25"/>
    <row r="159" spans="3:8" hidden="1" x14ac:dyDescent="0.25"/>
    <row r="160" spans="3:8" hidden="1" x14ac:dyDescent="0.25"/>
    <row r="161" spans="2:8" hidden="1" x14ac:dyDescent="0.25"/>
    <row r="162" spans="2:8" hidden="1" x14ac:dyDescent="0.25"/>
    <row r="163" spans="2:8" hidden="1" x14ac:dyDescent="0.25"/>
    <row r="164" spans="2:8" hidden="1" x14ac:dyDescent="0.25"/>
    <row r="165" spans="2:8" hidden="1" x14ac:dyDescent="0.25"/>
    <row r="167" spans="2:8" ht="21.75" customHeight="1" x14ac:dyDescent="0.25">
      <c r="C167" s="61" t="s">
        <v>154</v>
      </c>
      <c r="D167" s="61"/>
      <c r="E167" s="61"/>
      <c r="F167" s="61"/>
    </row>
    <row r="168" spans="2:8" ht="16.2" thickBot="1" x14ac:dyDescent="0.3">
      <c r="C168" s="62"/>
      <c r="D168" s="62"/>
      <c r="E168" s="62"/>
      <c r="F168" s="62"/>
    </row>
    <row r="169" spans="2:8" ht="16.2" thickBot="1" x14ac:dyDescent="0.3">
      <c r="C169" s="43" t="s">
        <v>155</v>
      </c>
      <c r="D169" s="67" t="s">
        <v>202</v>
      </c>
      <c r="E169" s="68"/>
      <c r="F169" s="69"/>
    </row>
    <row r="170" spans="2:8" ht="14.25" customHeight="1" x14ac:dyDescent="0.25">
      <c r="C170" s="70" t="s">
        <v>157</v>
      </c>
      <c r="D170" s="72" t="s">
        <v>143</v>
      </c>
      <c r="E170" s="73"/>
      <c r="F170" s="74"/>
    </row>
    <row r="171" spans="2:8" ht="18" thickBot="1" x14ac:dyDescent="0.3">
      <c r="C171" s="71"/>
      <c r="D171" s="75" t="s">
        <v>203</v>
      </c>
      <c r="E171" s="76"/>
      <c r="F171" s="77"/>
    </row>
    <row r="172" spans="2:8" ht="16.2" thickBot="1" x14ac:dyDescent="0.3">
      <c r="C172" s="43" t="s">
        <v>159</v>
      </c>
      <c r="D172" s="67" t="s">
        <v>204</v>
      </c>
      <c r="E172" s="68"/>
      <c r="F172" s="69"/>
    </row>
    <row r="173" spans="2:8" ht="16.2" thickBot="1" x14ac:dyDescent="0.3">
      <c r="C173" s="43" t="s">
        <v>161</v>
      </c>
      <c r="D173" s="44">
        <v>42981</v>
      </c>
      <c r="E173" s="43" t="s">
        <v>162</v>
      </c>
      <c r="F173" s="44">
        <v>42985</v>
      </c>
    </row>
    <row r="174" spans="2:8" ht="31.8" thickBot="1" x14ac:dyDescent="0.3">
      <c r="B174" s="15" t="s">
        <v>205</v>
      </c>
      <c r="C174" s="43" t="s">
        <v>163</v>
      </c>
      <c r="D174" s="43" t="s">
        <v>164</v>
      </c>
      <c r="E174" s="43" t="s">
        <v>165</v>
      </c>
      <c r="F174" s="43">
        <v>11083.22</v>
      </c>
      <c r="H174" s="48">
        <f>4987440/11083.22</f>
        <v>450</v>
      </c>
    </row>
    <row r="175" spans="2:8" ht="31.8" thickBot="1" x14ac:dyDescent="0.3">
      <c r="C175" s="43" t="s">
        <v>166</v>
      </c>
      <c r="D175" s="45"/>
      <c r="E175" s="43" t="s">
        <v>167</v>
      </c>
      <c r="F175" s="43" t="s">
        <v>168</v>
      </c>
    </row>
    <row r="176" spans="2:8" ht="31.8" thickBot="1" x14ac:dyDescent="0.3">
      <c r="C176" s="43" t="s">
        <v>169</v>
      </c>
      <c r="D176" s="43">
        <v>50</v>
      </c>
      <c r="E176" s="43" t="s">
        <v>170</v>
      </c>
      <c r="F176" s="43" t="s">
        <v>171</v>
      </c>
    </row>
    <row r="177" spans="2:8" ht="31.8" thickBot="1" x14ac:dyDescent="0.3">
      <c r="C177" s="43" t="s">
        <v>172</v>
      </c>
      <c r="D177" s="43">
        <v>498.74400000000003</v>
      </c>
      <c r="E177" s="43" t="s">
        <v>173</v>
      </c>
      <c r="F177" s="43">
        <v>498.74400000000003</v>
      </c>
    </row>
    <row r="178" spans="2:8" ht="31.8" thickBot="1" x14ac:dyDescent="0.3">
      <c r="C178" s="43" t="s">
        <v>174</v>
      </c>
      <c r="D178" s="43" t="s">
        <v>206</v>
      </c>
      <c r="E178" s="43" t="s">
        <v>176</v>
      </c>
      <c r="F178" s="46">
        <v>42981</v>
      </c>
    </row>
    <row r="179" spans="2:8" ht="28.5" customHeight="1" thickBot="1" x14ac:dyDescent="0.3">
      <c r="C179" s="43" t="s">
        <v>177</v>
      </c>
      <c r="D179" s="67" t="s">
        <v>197</v>
      </c>
      <c r="E179" s="68"/>
      <c r="F179" s="69"/>
    </row>
    <row r="182" spans="2:8" ht="21.75" customHeight="1" x14ac:dyDescent="0.25">
      <c r="C182" s="61" t="s">
        <v>154</v>
      </c>
      <c r="D182" s="61"/>
      <c r="E182" s="61"/>
      <c r="F182" s="61"/>
    </row>
    <row r="183" spans="2:8" ht="16.2" thickBot="1" x14ac:dyDescent="0.3">
      <c r="C183" s="62"/>
      <c r="D183" s="62"/>
      <c r="E183" s="62"/>
      <c r="F183" s="62"/>
    </row>
    <row r="184" spans="2:8" ht="16.2" thickBot="1" x14ac:dyDescent="0.3">
      <c r="C184" s="43" t="s">
        <v>155</v>
      </c>
      <c r="D184" s="67" t="s">
        <v>207</v>
      </c>
      <c r="E184" s="68"/>
      <c r="F184" s="69"/>
    </row>
    <row r="185" spans="2:8" ht="14.25" customHeight="1" x14ac:dyDescent="0.25">
      <c r="C185" s="70" t="s">
        <v>157</v>
      </c>
      <c r="D185" s="72" t="s">
        <v>143</v>
      </c>
      <c r="E185" s="73"/>
      <c r="F185" s="74"/>
    </row>
    <row r="186" spans="2:8" ht="18" thickBot="1" x14ac:dyDescent="0.3">
      <c r="C186" s="71"/>
      <c r="D186" s="75" t="s">
        <v>208</v>
      </c>
      <c r="E186" s="76"/>
      <c r="F186" s="77"/>
    </row>
    <row r="187" spans="2:8" ht="16.2" thickBot="1" x14ac:dyDescent="0.3">
      <c r="C187" s="43" t="s">
        <v>159</v>
      </c>
      <c r="D187" s="67" t="s">
        <v>209</v>
      </c>
      <c r="E187" s="68"/>
      <c r="F187" s="69"/>
    </row>
    <row r="188" spans="2:8" ht="16.2" thickBot="1" x14ac:dyDescent="0.3">
      <c r="C188" s="43" t="s">
        <v>161</v>
      </c>
      <c r="D188" s="44">
        <v>42981</v>
      </c>
      <c r="E188" s="43" t="s">
        <v>162</v>
      </c>
      <c r="F188" s="44">
        <v>42985</v>
      </c>
    </row>
    <row r="189" spans="2:8" ht="31.8" thickBot="1" x14ac:dyDescent="0.3">
      <c r="B189" s="15" t="s">
        <v>210</v>
      </c>
      <c r="C189" s="43" t="s">
        <v>163</v>
      </c>
      <c r="D189" s="43" t="s">
        <v>164</v>
      </c>
      <c r="E189" s="43" t="s">
        <v>165</v>
      </c>
      <c r="F189" s="43">
        <v>11421.69</v>
      </c>
      <c r="H189" s="15">
        <f>5139760/11421.69</f>
        <v>449.99995622364099</v>
      </c>
    </row>
    <row r="190" spans="2:8" ht="31.8" thickBot="1" x14ac:dyDescent="0.3">
      <c r="C190" s="43" t="s">
        <v>166</v>
      </c>
      <c r="D190" s="45"/>
      <c r="E190" s="43" t="s">
        <v>167</v>
      </c>
      <c r="F190" s="43" t="s">
        <v>168</v>
      </c>
    </row>
    <row r="191" spans="2:8" ht="31.8" thickBot="1" x14ac:dyDescent="0.3">
      <c r="C191" s="43" t="s">
        <v>169</v>
      </c>
      <c r="D191" s="43">
        <v>50</v>
      </c>
      <c r="E191" s="43" t="s">
        <v>170</v>
      </c>
      <c r="F191" s="43" t="s">
        <v>171</v>
      </c>
    </row>
    <row r="192" spans="2:8" ht="31.8" thickBot="1" x14ac:dyDescent="0.3">
      <c r="C192" s="43" t="s">
        <v>172</v>
      </c>
      <c r="D192" s="43">
        <v>513.976</v>
      </c>
      <c r="E192" s="43" t="s">
        <v>173</v>
      </c>
      <c r="F192" s="43">
        <v>513.976</v>
      </c>
    </row>
    <row r="193" spans="3:6" ht="31.8" thickBot="1" x14ac:dyDescent="0.3">
      <c r="C193" s="43" t="s">
        <v>174</v>
      </c>
      <c r="D193" s="43" t="s">
        <v>211</v>
      </c>
      <c r="E193" s="43" t="s">
        <v>176</v>
      </c>
      <c r="F193" s="46">
        <v>42981</v>
      </c>
    </row>
    <row r="194" spans="3:6" ht="25.5" customHeight="1" thickBot="1" x14ac:dyDescent="0.3">
      <c r="C194" s="43" t="s">
        <v>177</v>
      </c>
      <c r="D194" s="67" t="s">
        <v>197</v>
      </c>
      <c r="E194" s="68"/>
      <c r="F194" s="69"/>
    </row>
  </sheetData>
  <mergeCells count="96">
    <mergeCell ref="D187:F187"/>
    <mergeCell ref="D194:F194"/>
    <mergeCell ref="C182:F182"/>
    <mergeCell ref="C183:F183"/>
    <mergeCell ref="D184:F184"/>
    <mergeCell ref="C185:C186"/>
    <mergeCell ref="D185:F185"/>
    <mergeCell ref="D186:F186"/>
    <mergeCell ref="D179:F179"/>
    <mergeCell ref="D150:F150"/>
    <mergeCell ref="C155:D155"/>
    <mergeCell ref="E155:F155"/>
    <mergeCell ref="D157:F157"/>
    <mergeCell ref="C167:F167"/>
    <mergeCell ref="C168:F168"/>
    <mergeCell ref="D169:F169"/>
    <mergeCell ref="C170:C171"/>
    <mergeCell ref="D170:F170"/>
    <mergeCell ref="D171:F171"/>
    <mergeCell ref="D172:F172"/>
    <mergeCell ref="D149:F149"/>
    <mergeCell ref="D124:F124"/>
    <mergeCell ref="C129:F129"/>
    <mergeCell ref="C130:F130"/>
    <mergeCell ref="D131:F131"/>
    <mergeCell ref="C132:C133"/>
    <mergeCell ref="D132:F132"/>
    <mergeCell ref="D133:F133"/>
    <mergeCell ref="D134:F134"/>
    <mergeCell ref="D141:F141"/>
    <mergeCell ref="C146:F146"/>
    <mergeCell ref="C147:F147"/>
    <mergeCell ref="D148:F148"/>
    <mergeCell ref="C122:D122"/>
    <mergeCell ref="E122:F122"/>
    <mergeCell ref="D98:F98"/>
    <mergeCell ref="D99:F99"/>
    <mergeCell ref="D100:F100"/>
    <mergeCell ref="C105:D105"/>
    <mergeCell ref="E105:F105"/>
    <mergeCell ref="D107:F107"/>
    <mergeCell ref="C113:F113"/>
    <mergeCell ref="C114:F114"/>
    <mergeCell ref="D115:F115"/>
    <mergeCell ref="D116:F116"/>
    <mergeCell ref="D117:F117"/>
    <mergeCell ref="C97:F97"/>
    <mergeCell ref="D68:F68"/>
    <mergeCell ref="D75:F75"/>
    <mergeCell ref="C80:F80"/>
    <mergeCell ref="C81:F81"/>
    <mergeCell ref="D82:F82"/>
    <mergeCell ref="D83:F83"/>
    <mergeCell ref="D84:F84"/>
    <mergeCell ref="C89:D89"/>
    <mergeCell ref="E89:F89"/>
    <mergeCell ref="D91:F91"/>
    <mergeCell ref="C96:F96"/>
    <mergeCell ref="D59:F59"/>
    <mergeCell ref="C63:F63"/>
    <mergeCell ref="C64:F64"/>
    <mergeCell ref="D65:F65"/>
    <mergeCell ref="C66:C67"/>
    <mergeCell ref="D66:F66"/>
    <mergeCell ref="D67:F67"/>
    <mergeCell ref="D52:F52"/>
    <mergeCell ref="D35:F35"/>
    <mergeCell ref="D36:F36"/>
    <mergeCell ref="C41:D41"/>
    <mergeCell ref="E41:F41"/>
    <mergeCell ref="D43:F43"/>
    <mergeCell ref="C47:F47"/>
    <mergeCell ref="C48:F48"/>
    <mergeCell ref="D49:F49"/>
    <mergeCell ref="C50:C51"/>
    <mergeCell ref="D50:F50"/>
    <mergeCell ref="D51:F51"/>
    <mergeCell ref="D34:F34"/>
    <mergeCell ref="D14:F14"/>
    <mergeCell ref="C19:F19"/>
    <mergeCell ref="C20:F20"/>
    <mergeCell ref="D21:F21"/>
    <mergeCell ref="D22:F22"/>
    <mergeCell ref="D23:F23"/>
    <mergeCell ref="C28:D28"/>
    <mergeCell ref="E28:F28"/>
    <mergeCell ref="D30:F30"/>
    <mergeCell ref="C32:F32"/>
    <mergeCell ref="C33:F33"/>
    <mergeCell ref="C12:D12"/>
    <mergeCell ref="E12:F12"/>
    <mergeCell ref="C3:F3"/>
    <mergeCell ref="C4:F4"/>
    <mergeCell ref="D5:F5"/>
    <mergeCell ref="D6:F6"/>
    <mergeCell ref="D7:F7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2"/>
  <sheetViews>
    <sheetView topLeftCell="A25" workbookViewId="0">
      <selection activeCell="E28" sqref="E28"/>
    </sheetView>
  </sheetViews>
  <sheetFormatPr defaultRowHeight="15.6" x14ac:dyDescent="0.25"/>
  <cols>
    <col min="1" max="1" width="11.19921875" style="15" customWidth="1"/>
    <col min="2" max="2" width="13.19921875" style="30" customWidth="1"/>
    <col min="3" max="3" width="14.8984375" style="15" customWidth="1"/>
    <col min="4" max="4" width="14.69921875" style="15" customWidth="1"/>
    <col min="5" max="5" width="14.3984375" style="15" customWidth="1"/>
    <col min="6" max="6" width="14.59765625" style="15" customWidth="1"/>
    <col min="7" max="7" width="13.09765625" style="15" hidden="1" customWidth="1"/>
    <col min="8" max="8" width="15.8984375" style="15" customWidth="1"/>
    <col min="9" max="9" width="11.5" style="15" bestFit="1" customWidth="1"/>
    <col min="10" max="255" width="8.69921875" style="15"/>
    <col min="256" max="256" width="11.19921875" style="15" customWidth="1"/>
    <col min="257" max="257" width="11" style="15" customWidth="1"/>
    <col min="258" max="258" width="14.8984375" style="15" customWidth="1"/>
    <col min="259" max="259" width="14.69921875" style="15" customWidth="1"/>
    <col min="260" max="260" width="14.3984375" style="15" customWidth="1"/>
    <col min="261" max="261" width="14.59765625" style="15" customWidth="1"/>
    <col min="262" max="262" width="0" style="15" hidden="1" customWidth="1"/>
    <col min="263" max="263" width="15.8984375" style="15" customWidth="1"/>
    <col min="264" max="511" width="8.69921875" style="15"/>
    <col min="512" max="512" width="11.19921875" style="15" customWidth="1"/>
    <col min="513" max="513" width="11" style="15" customWidth="1"/>
    <col min="514" max="514" width="14.8984375" style="15" customWidth="1"/>
    <col min="515" max="515" width="14.69921875" style="15" customWidth="1"/>
    <col min="516" max="516" width="14.3984375" style="15" customWidth="1"/>
    <col min="517" max="517" width="14.59765625" style="15" customWidth="1"/>
    <col min="518" max="518" width="0" style="15" hidden="1" customWidth="1"/>
    <col min="519" max="519" width="15.8984375" style="15" customWidth="1"/>
    <col min="520" max="767" width="8.69921875" style="15"/>
    <col min="768" max="768" width="11.19921875" style="15" customWidth="1"/>
    <col min="769" max="769" width="11" style="15" customWidth="1"/>
    <col min="770" max="770" width="14.8984375" style="15" customWidth="1"/>
    <col min="771" max="771" width="14.69921875" style="15" customWidth="1"/>
    <col min="772" max="772" width="14.3984375" style="15" customWidth="1"/>
    <col min="773" max="773" width="14.59765625" style="15" customWidth="1"/>
    <col min="774" max="774" width="0" style="15" hidden="1" customWidth="1"/>
    <col min="775" max="775" width="15.8984375" style="15" customWidth="1"/>
    <col min="776" max="1023" width="8.69921875" style="15"/>
    <col min="1024" max="1024" width="11.19921875" style="15" customWidth="1"/>
    <col min="1025" max="1025" width="11" style="15" customWidth="1"/>
    <col min="1026" max="1026" width="14.8984375" style="15" customWidth="1"/>
    <col min="1027" max="1027" width="14.69921875" style="15" customWidth="1"/>
    <col min="1028" max="1028" width="14.3984375" style="15" customWidth="1"/>
    <col min="1029" max="1029" width="14.59765625" style="15" customWidth="1"/>
    <col min="1030" max="1030" width="0" style="15" hidden="1" customWidth="1"/>
    <col min="1031" max="1031" width="15.8984375" style="15" customWidth="1"/>
    <col min="1032" max="1279" width="8.69921875" style="15"/>
    <col min="1280" max="1280" width="11.19921875" style="15" customWidth="1"/>
    <col min="1281" max="1281" width="11" style="15" customWidth="1"/>
    <col min="1282" max="1282" width="14.8984375" style="15" customWidth="1"/>
    <col min="1283" max="1283" width="14.69921875" style="15" customWidth="1"/>
    <col min="1284" max="1284" width="14.3984375" style="15" customWidth="1"/>
    <col min="1285" max="1285" width="14.59765625" style="15" customWidth="1"/>
    <col min="1286" max="1286" width="0" style="15" hidden="1" customWidth="1"/>
    <col min="1287" max="1287" width="15.8984375" style="15" customWidth="1"/>
    <col min="1288" max="1535" width="8.69921875" style="15"/>
    <col min="1536" max="1536" width="11.19921875" style="15" customWidth="1"/>
    <col min="1537" max="1537" width="11" style="15" customWidth="1"/>
    <col min="1538" max="1538" width="14.8984375" style="15" customWidth="1"/>
    <col min="1539" max="1539" width="14.69921875" style="15" customWidth="1"/>
    <col min="1540" max="1540" width="14.3984375" style="15" customWidth="1"/>
    <col min="1541" max="1541" width="14.59765625" style="15" customWidth="1"/>
    <col min="1542" max="1542" width="0" style="15" hidden="1" customWidth="1"/>
    <col min="1543" max="1543" width="15.8984375" style="15" customWidth="1"/>
    <col min="1544" max="1791" width="8.69921875" style="15"/>
    <col min="1792" max="1792" width="11.19921875" style="15" customWidth="1"/>
    <col min="1793" max="1793" width="11" style="15" customWidth="1"/>
    <col min="1794" max="1794" width="14.8984375" style="15" customWidth="1"/>
    <col min="1795" max="1795" width="14.69921875" style="15" customWidth="1"/>
    <col min="1796" max="1796" width="14.3984375" style="15" customWidth="1"/>
    <col min="1797" max="1797" width="14.59765625" style="15" customWidth="1"/>
    <col min="1798" max="1798" width="0" style="15" hidden="1" customWidth="1"/>
    <col min="1799" max="1799" width="15.8984375" style="15" customWidth="1"/>
    <col min="1800" max="2047" width="8.69921875" style="15"/>
    <col min="2048" max="2048" width="11.19921875" style="15" customWidth="1"/>
    <col min="2049" max="2049" width="11" style="15" customWidth="1"/>
    <col min="2050" max="2050" width="14.8984375" style="15" customWidth="1"/>
    <col min="2051" max="2051" width="14.69921875" style="15" customWidth="1"/>
    <col min="2052" max="2052" width="14.3984375" style="15" customWidth="1"/>
    <col min="2053" max="2053" width="14.59765625" style="15" customWidth="1"/>
    <col min="2054" max="2054" width="0" style="15" hidden="1" customWidth="1"/>
    <col min="2055" max="2055" width="15.8984375" style="15" customWidth="1"/>
    <col min="2056" max="2303" width="8.69921875" style="15"/>
    <col min="2304" max="2304" width="11.19921875" style="15" customWidth="1"/>
    <col min="2305" max="2305" width="11" style="15" customWidth="1"/>
    <col min="2306" max="2306" width="14.8984375" style="15" customWidth="1"/>
    <col min="2307" max="2307" width="14.69921875" style="15" customWidth="1"/>
    <col min="2308" max="2308" width="14.3984375" style="15" customWidth="1"/>
    <col min="2309" max="2309" width="14.59765625" style="15" customWidth="1"/>
    <col min="2310" max="2310" width="0" style="15" hidden="1" customWidth="1"/>
    <col min="2311" max="2311" width="15.8984375" style="15" customWidth="1"/>
    <col min="2312" max="2559" width="8.69921875" style="15"/>
    <col min="2560" max="2560" width="11.19921875" style="15" customWidth="1"/>
    <col min="2561" max="2561" width="11" style="15" customWidth="1"/>
    <col min="2562" max="2562" width="14.8984375" style="15" customWidth="1"/>
    <col min="2563" max="2563" width="14.69921875" style="15" customWidth="1"/>
    <col min="2564" max="2564" width="14.3984375" style="15" customWidth="1"/>
    <col min="2565" max="2565" width="14.59765625" style="15" customWidth="1"/>
    <col min="2566" max="2566" width="0" style="15" hidden="1" customWidth="1"/>
    <col min="2567" max="2567" width="15.8984375" style="15" customWidth="1"/>
    <col min="2568" max="2815" width="8.69921875" style="15"/>
    <col min="2816" max="2816" width="11.19921875" style="15" customWidth="1"/>
    <col min="2817" max="2817" width="11" style="15" customWidth="1"/>
    <col min="2818" max="2818" width="14.8984375" style="15" customWidth="1"/>
    <col min="2819" max="2819" width="14.69921875" style="15" customWidth="1"/>
    <col min="2820" max="2820" width="14.3984375" style="15" customWidth="1"/>
    <col min="2821" max="2821" width="14.59765625" style="15" customWidth="1"/>
    <col min="2822" max="2822" width="0" style="15" hidden="1" customWidth="1"/>
    <col min="2823" max="2823" width="15.8984375" style="15" customWidth="1"/>
    <col min="2824" max="3071" width="8.69921875" style="15"/>
    <col min="3072" max="3072" width="11.19921875" style="15" customWidth="1"/>
    <col min="3073" max="3073" width="11" style="15" customWidth="1"/>
    <col min="3074" max="3074" width="14.8984375" style="15" customWidth="1"/>
    <col min="3075" max="3075" width="14.69921875" style="15" customWidth="1"/>
    <col min="3076" max="3076" width="14.3984375" style="15" customWidth="1"/>
    <col min="3077" max="3077" width="14.59765625" style="15" customWidth="1"/>
    <col min="3078" max="3078" width="0" style="15" hidden="1" customWidth="1"/>
    <col min="3079" max="3079" width="15.8984375" style="15" customWidth="1"/>
    <col min="3080" max="3327" width="8.69921875" style="15"/>
    <col min="3328" max="3328" width="11.19921875" style="15" customWidth="1"/>
    <col min="3329" max="3329" width="11" style="15" customWidth="1"/>
    <col min="3330" max="3330" width="14.8984375" style="15" customWidth="1"/>
    <col min="3331" max="3331" width="14.69921875" style="15" customWidth="1"/>
    <col min="3332" max="3332" width="14.3984375" style="15" customWidth="1"/>
    <col min="3333" max="3333" width="14.59765625" style="15" customWidth="1"/>
    <col min="3334" max="3334" width="0" style="15" hidden="1" customWidth="1"/>
    <col min="3335" max="3335" width="15.8984375" style="15" customWidth="1"/>
    <col min="3336" max="3583" width="8.69921875" style="15"/>
    <col min="3584" max="3584" width="11.19921875" style="15" customWidth="1"/>
    <col min="3585" max="3585" width="11" style="15" customWidth="1"/>
    <col min="3586" max="3586" width="14.8984375" style="15" customWidth="1"/>
    <col min="3587" max="3587" width="14.69921875" style="15" customWidth="1"/>
    <col min="3588" max="3588" width="14.3984375" style="15" customWidth="1"/>
    <col min="3589" max="3589" width="14.59765625" style="15" customWidth="1"/>
    <col min="3590" max="3590" width="0" style="15" hidden="1" customWidth="1"/>
    <col min="3591" max="3591" width="15.8984375" style="15" customWidth="1"/>
    <col min="3592" max="3839" width="8.69921875" style="15"/>
    <col min="3840" max="3840" width="11.19921875" style="15" customWidth="1"/>
    <col min="3841" max="3841" width="11" style="15" customWidth="1"/>
    <col min="3842" max="3842" width="14.8984375" style="15" customWidth="1"/>
    <col min="3843" max="3843" width="14.69921875" style="15" customWidth="1"/>
    <col min="3844" max="3844" width="14.3984375" style="15" customWidth="1"/>
    <col min="3845" max="3845" width="14.59765625" style="15" customWidth="1"/>
    <col min="3846" max="3846" width="0" style="15" hidden="1" customWidth="1"/>
    <col min="3847" max="3847" width="15.8984375" style="15" customWidth="1"/>
    <col min="3848" max="4095" width="8.69921875" style="15"/>
    <col min="4096" max="4096" width="11.19921875" style="15" customWidth="1"/>
    <col min="4097" max="4097" width="11" style="15" customWidth="1"/>
    <col min="4098" max="4098" width="14.8984375" style="15" customWidth="1"/>
    <col min="4099" max="4099" width="14.69921875" style="15" customWidth="1"/>
    <col min="4100" max="4100" width="14.3984375" style="15" customWidth="1"/>
    <col min="4101" max="4101" width="14.59765625" style="15" customWidth="1"/>
    <col min="4102" max="4102" width="0" style="15" hidden="1" customWidth="1"/>
    <col min="4103" max="4103" width="15.8984375" style="15" customWidth="1"/>
    <col min="4104" max="4351" width="8.69921875" style="15"/>
    <col min="4352" max="4352" width="11.19921875" style="15" customWidth="1"/>
    <col min="4353" max="4353" width="11" style="15" customWidth="1"/>
    <col min="4354" max="4354" width="14.8984375" style="15" customWidth="1"/>
    <col min="4355" max="4355" width="14.69921875" style="15" customWidth="1"/>
    <col min="4356" max="4356" width="14.3984375" style="15" customWidth="1"/>
    <col min="4357" max="4357" width="14.59765625" style="15" customWidth="1"/>
    <col min="4358" max="4358" width="0" style="15" hidden="1" customWidth="1"/>
    <col min="4359" max="4359" width="15.8984375" style="15" customWidth="1"/>
    <col min="4360" max="4607" width="8.69921875" style="15"/>
    <col min="4608" max="4608" width="11.19921875" style="15" customWidth="1"/>
    <col min="4609" max="4609" width="11" style="15" customWidth="1"/>
    <col min="4610" max="4610" width="14.8984375" style="15" customWidth="1"/>
    <col min="4611" max="4611" width="14.69921875" style="15" customWidth="1"/>
    <col min="4612" max="4612" width="14.3984375" style="15" customWidth="1"/>
    <col min="4613" max="4613" width="14.59765625" style="15" customWidth="1"/>
    <col min="4614" max="4614" width="0" style="15" hidden="1" customWidth="1"/>
    <col min="4615" max="4615" width="15.8984375" style="15" customWidth="1"/>
    <col min="4616" max="4863" width="8.69921875" style="15"/>
    <col min="4864" max="4864" width="11.19921875" style="15" customWidth="1"/>
    <col min="4865" max="4865" width="11" style="15" customWidth="1"/>
    <col min="4866" max="4866" width="14.8984375" style="15" customWidth="1"/>
    <col min="4867" max="4867" width="14.69921875" style="15" customWidth="1"/>
    <col min="4868" max="4868" width="14.3984375" style="15" customWidth="1"/>
    <col min="4869" max="4869" width="14.59765625" style="15" customWidth="1"/>
    <col min="4870" max="4870" width="0" style="15" hidden="1" customWidth="1"/>
    <col min="4871" max="4871" width="15.8984375" style="15" customWidth="1"/>
    <col min="4872" max="5119" width="8.69921875" style="15"/>
    <col min="5120" max="5120" width="11.19921875" style="15" customWidth="1"/>
    <col min="5121" max="5121" width="11" style="15" customWidth="1"/>
    <col min="5122" max="5122" width="14.8984375" style="15" customWidth="1"/>
    <col min="5123" max="5123" width="14.69921875" style="15" customWidth="1"/>
    <col min="5124" max="5124" width="14.3984375" style="15" customWidth="1"/>
    <col min="5125" max="5125" width="14.59765625" style="15" customWidth="1"/>
    <col min="5126" max="5126" width="0" style="15" hidden="1" customWidth="1"/>
    <col min="5127" max="5127" width="15.8984375" style="15" customWidth="1"/>
    <col min="5128" max="5375" width="8.69921875" style="15"/>
    <col min="5376" max="5376" width="11.19921875" style="15" customWidth="1"/>
    <col min="5377" max="5377" width="11" style="15" customWidth="1"/>
    <col min="5378" max="5378" width="14.8984375" style="15" customWidth="1"/>
    <col min="5379" max="5379" width="14.69921875" style="15" customWidth="1"/>
    <col min="5380" max="5380" width="14.3984375" style="15" customWidth="1"/>
    <col min="5381" max="5381" width="14.59765625" style="15" customWidth="1"/>
    <col min="5382" max="5382" width="0" style="15" hidden="1" customWidth="1"/>
    <col min="5383" max="5383" width="15.8984375" style="15" customWidth="1"/>
    <col min="5384" max="5631" width="8.69921875" style="15"/>
    <col min="5632" max="5632" width="11.19921875" style="15" customWidth="1"/>
    <col min="5633" max="5633" width="11" style="15" customWidth="1"/>
    <col min="5634" max="5634" width="14.8984375" style="15" customWidth="1"/>
    <col min="5635" max="5635" width="14.69921875" style="15" customWidth="1"/>
    <col min="5636" max="5636" width="14.3984375" style="15" customWidth="1"/>
    <col min="5637" max="5637" width="14.59765625" style="15" customWidth="1"/>
    <col min="5638" max="5638" width="0" style="15" hidden="1" customWidth="1"/>
    <col min="5639" max="5639" width="15.8984375" style="15" customWidth="1"/>
    <col min="5640" max="5887" width="8.69921875" style="15"/>
    <col min="5888" max="5888" width="11.19921875" style="15" customWidth="1"/>
    <col min="5889" max="5889" width="11" style="15" customWidth="1"/>
    <col min="5890" max="5890" width="14.8984375" style="15" customWidth="1"/>
    <col min="5891" max="5891" width="14.69921875" style="15" customWidth="1"/>
    <col min="5892" max="5892" width="14.3984375" style="15" customWidth="1"/>
    <col min="5893" max="5893" width="14.59765625" style="15" customWidth="1"/>
    <col min="5894" max="5894" width="0" style="15" hidden="1" customWidth="1"/>
    <col min="5895" max="5895" width="15.8984375" style="15" customWidth="1"/>
    <col min="5896" max="6143" width="8.69921875" style="15"/>
    <col min="6144" max="6144" width="11.19921875" style="15" customWidth="1"/>
    <col min="6145" max="6145" width="11" style="15" customWidth="1"/>
    <col min="6146" max="6146" width="14.8984375" style="15" customWidth="1"/>
    <col min="6147" max="6147" width="14.69921875" style="15" customWidth="1"/>
    <col min="6148" max="6148" width="14.3984375" style="15" customWidth="1"/>
    <col min="6149" max="6149" width="14.59765625" style="15" customWidth="1"/>
    <col min="6150" max="6150" width="0" style="15" hidden="1" customWidth="1"/>
    <col min="6151" max="6151" width="15.8984375" style="15" customWidth="1"/>
    <col min="6152" max="6399" width="8.69921875" style="15"/>
    <col min="6400" max="6400" width="11.19921875" style="15" customWidth="1"/>
    <col min="6401" max="6401" width="11" style="15" customWidth="1"/>
    <col min="6402" max="6402" width="14.8984375" style="15" customWidth="1"/>
    <col min="6403" max="6403" width="14.69921875" style="15" customWidth="1"/>
    <col min="6404" max="6404" width="14.3984375" style="15" customWidth="1"/>
    <col min="6405" max="6405" width="14.59765625" style="15" customWidth="1"/>
    <col min="6406" max="6406" width="0" style="15" hidden="1" customWidth="1"/>
    <col min="6407" max="6407" width="15.8984375" style="15" customWidth="1"/>
    <col min="6408" max="6655" width="8.69921875" style="15"/>
    <col min="6656" max="6656" width="11.19921875" style="15" customWidth="1"/>
    <col min="6657" max="6657" width="11" style="15" customWidth="1"/>
    <col min="6658" max="6658" width="14.8984375" style="15" customWidth="1"/>
    <col min="6659" max="6659" width="14.69921875" style="15" customWidth="1"/>
    <col min="6660" max="6660" width="14.3984375" style="15" customWidth="1"/>
    <col min="6661" max="6661" width="14.59765625" style="15" customWidth="1"/>
    <col min="6662" max="6662" width="0" style="15" hidden="1" customWidth="1"/>
    <col min="6663" max="6663" width="15.8984375" style="15" customWidth="1"/>
    <col min="6664" max="6911" width="8.69921875" style="15"/>
    <col min="6912" max="6912" width="11.19921875" style="15" customWidth="1"/>
    <col min="6913" max="6913" width="11" style="15" customWidth="1"/>
    <col min="6914" max="6914" width="14.8984375" style="15" customWidth="1"/>
    <col min="6915" max="6915" width="14.69921875" style="15" customWidth="1"/>
    <col min="6916" max="6916" width="14.3984375" style="15" customWidth="1"/>
    <col min="6917" max="6917" width="14.59765625" style="15" customWidth="1"/>
    <col min="6918" max="6918" width="0" style="15" hidden="1" customWidth="1"/>
    <col min="6919" max="6919" width="15.8984375" style="15" customWidth="1"/>
    <col min="6920" max="7167" width="8.69921875" style="15"/>
    <col min="7168" max="7168" width="11.19921875" style="15" customWidth="1"/>
    <col min="7169" max="7169" width="11" style="15" customWidth="1"/>
    <col min="7170" max="7170" width="14.8984375" style="15" customWidth="1"/>
    <col min="7171" max="7171" width="14.69921875" style="15" customWidth="1"/>
    <col min="7172" max="7172" width="14.3984375" style="15" customWidth="1"/>
    <col min="7173" max="7173" width="14.59765625" style="15" customWidth="1"/>
    <col min="7174" max="7174" width="0" style="15" hidden="1" customWidth="1"/>
    <col min="7175" max="7175" width="15.8984375" style="15" customWidth="1"/>
    <col min="7176" max="7423" width="8.69921875" style="15"/>
    <col min="7424" max="7424" width="11.19921875" style="15" customWidth="1"/>
    <col min="7425" max="7425" width="11" style="15" customWidth="1"/>
    <col min="7426" max="7426" width="14.8984375" style="15" customWidth="1"/>
    <col min="7427" max="7427" width="14.69921875" style="15" customWidth="1"/>
    <col min="7428" max="7428" width="14.3984375" style="15" customWidth="1"/>
    <col min="7429" max="7429" width="14.59765625" style="15" customWidth="1"/>
    <col min="7430" max="7430" width="0" style="15" hidden="1" customWidth="1"/>
    <col min="7431" max="7431" width="15.8984375" style="15" customWidth="1"/>
    <col min="7432" max="7679" width="8.69921875" style="15"/>
    <col min="7680" max="7680" width="11.19921875" style="15" customWidth="1"/>
    <col min="7681" max="7681" width="11" style="15" customWidth="1"/>
    <col min="7682" max="7682" width="14.8984375" style="15" customWidth="1"/>
    <col min="7683" max="7683" width="14.69921875" style="15" customWidth="1"/>
    <col min="7684" max="7684" width="14.3984375" style="15" customWidth="1"/>
    <col min="7685" max="7685" width="14.59765625" style="15" customWidth="1"/>
    <col min="7686" max="7686" width="0" style="15" hidden="1" customWidth="1"/>
    <col min="7687" max="7687" width="15.8984375" style="15" customWidth="1"/>
    <col min="7688" max="7935" width="8.69921875" style="15"/>
    <col min="7936" max="7936" width="11.19921875" style="15" customWidth="1"/>
    <col min="7937" max="7937" width="11" style="15" customWidth="1"/>
    <col min="7938" max="7938" width="14.8984375" style="15" customWidth="1"/>
    <col min="7939" max="7939" width="14.69921875" style="15" customWidth="1"/>
    <col min="7940" max="7940" width="14.3984375" style="15" customWidth="1"/>
    <col min="7941" max="7941" width="14.59765625" style="15" customWidth="1"/>
    <col min="7942" max="7942" width="0" style="15" hidden="1" customWidth="1"/>
    <col min="7943" max="7943" width="15.8984375" style="15" customWidth="1"/>
    <col min="7944" max="8191" width="8.69921875" style="15"/>
    <col min="8192" max="8192" width="11.19921875" style="15" customWidth="1"/>
    <col min="8193" max="8193" width="11" style="15" customWidth="1"/>
    <col min="8194" max="8194" width="14.8984375" style="15" customWidth="1"/>
    <col min="8195" max="8195" width="14.69921875" style="15" customWidth="1"/>
    <col min="8196" max="8196" width="14.3984375" style="15" customWidth="1"/>
    <col min="8197" max="8197" width="14.59765625" style="15" customWidth="1"/>
    <col min="8198" max="8198" width="0" style="15" hidden="1" customWidth="1"/>
    <col min="8199" max="8199" width="15.8984375" style="15" customWidth="1"/>
    <col min="8200" max="8447" width="8.69921875" style="15"/>
    <col min="8448" max="8448" width="11.19921875" style="15" customWidth="1"/>
    <col min="8449" max="8449" width="11" style="15" customWidth="1"/>
    <col min="8450" max="8450" width="14.8984375" style="15" customWidth="1"/>
    <col min="8451" max="8451" width="14.69921875" style="15" customWidth="1"/>
    <col min="8452" max="8452" width="14.3984375" style="15" customWidth="1"/>
    <col min="8453" max="8453" width="14.59765625" style="15" customWidth="1"/>
    <col min="8454" max="8454" width="0" style="15" hidden="1" customWidth="1"/>
    <col min="8455" max="8455" width="15.8984375" style="15" customWidth="1"/>
    <col min="8456" max="8703" width="8.69921875" style="15"/>
    <col min="8704" max="8704" width="11.19921875" style="15" customWidth="1"/>
    <col min="8705" max="8705" width="11" style="15" customWidth="1"/>
    <col min="8706" max="8706" width="14.8984375" style="15" customWidth="1"/>
    <col min="8707" max="8707" width="14.69921875" style="15" customWidth="1"/>
    <col min="8708" max="8708" width="14.3984375" style="15" customWidth="1"/>
    <col min="8709" max="8709" width="14.59765625" style="15" customWidth="1"/>
    <col min="8710" max="8710" width="0" style="15" hidden="1" customWidth="1"/>
    <col min="8711" max="8711" width="15.8984375" style="15" customWidth="1"/>
    <col min="8712" max="8959" width="8.69921875" style="15"/>
    <col min="8960" max="8960" width="11.19921875" style="15" customWidth="1"/>
    <col min="8961" max="8961" width="11" style="15" customWidth="1"/>
    <col min="8962" max="8962" width="14.8984375" style="15" customWidth="1"/>
    <col min="8963" max="8963" width="14.69921875" style="15" customWidth="1"/>
    <col min="8964" max="8964" width="14.3984375" style="15" customWidth="1"/>
    <col min="8965" max="8965" width="14.59765625" style="15" customWidth="1"/>
    <col min="8966" max="8966" width="0" style="15" hidden="1" customWidth="1"/>
    <col min="8967" max="8967" width="15.8984375" style="15" customWidth="1"/>
    <col min="8968" max="9215" width="8.69921875" style="15"/>
    <col min="9216" max="9216" width="11.19921875" style="15" customWidth="1"/>
    <col min="9217" max="9217" width="11" style="15" customWidth="1"/>
    <col min="9218" max="9218" width="14.8984375" style="15" customWidth="1"/>
    <col min="9219" max="9219" width="14.69921875" style="15" customWidth="1"/>
    <col min="9220" max="9220" width="14.3984375" style="15" customWidth="1"/>
    <col min="9221" max="9221" width="14.59765625" style="15" customWidth="1"/>
    <col min="9222" max="9222" width="0" style="15" hidden="1" customWidth="1"/>
    <col min="9223" max="9223" width="15.8984375" style="15" customWidth="1"/>
    <col min="9224" max="9471" width="8.69921875" style="15"/>
    <col min="9472" max="9472" width="11.19921875" style="15" customWidth="1"/>
    <col min="9473" max="9473" width="11" style="15" customWidth="1"/>
    <col min="9474" max="9474" width="14.8984375" style="15" customWidth="1"/>
    <col min="9475" max="9475" width="14.69921875" style="15" customWidth="1"/>
    <col min="9476" max="9476" width="14.3984375" style="15" customWidth="1"/>
    <col min="9477" max="9477" width="14.59765625" style="15" customWidth="1"/>
    <col min="9478" max="9478" width="0" style="15" hidden="1" customWidth="1"/>
    <col min="9479" max="9479" width="15.8984375" style="15" customWidth="1"/>
    <col min="9480" max="9727" width="8.69921875" style="15"/>
    <col min="9728" max="9728" width="11.19921875" style="15" customWidth="1"/>
    <col min="9729" max="9729" width="11" style="15" customWidth="1"/>
    <col min="9730" max="9730" width="14.8984375" style="15" customWidth="1"/>
    <col min="9731" max="9731" width="14.69921875" style="15" customWidth="1"/>
    <col min="9732" max="9732" width="14.3984375" style="15" customWidth="1"/>
    <col min="9733" max="9733" width="14.59765625" style="15" customWidth="1"/>
    <col min="9734" max="9734" width="0" style="15" hidden="1" customWidth="1"/>
    <col min="9735" max="9735" width="15.8984375" style="15" customWidth="1"/>
    <col min="9736" max="9983" width="8.69921875" style="15"/>
    <col min="9984" max="9984" width="11.19921875" style="15" customWidth="1"/>
    <col min="9985" max="9985" width="11" style="15" customWidth="1"/>
    <col min="9986" max="9986" width="14.8984375" style="15" customWidth="1"/>
    <col min="9987" max="9987" width="14.69921875" style="15" customWidth="1"/>
    <col min="9988" max="9988" width="14.3984375" style="15" customWidth="1"/>
    <col min="9989" max="9989" width="14.59765625" style="15" customWidth="1"/>
    <col min="9990" max="9990" width="0" style="15" hidden="1" customWidth="1"/>
    <col min="9991" max="9991" width="15.8984375" style="15" customWidth="1"/>
    <col min="9992" max="10239" width="8.69921875" style="15"/>
    <col min="10240" max="10240" width="11.19921875" style="15" customWidth="1"/>
    <col min="10241" max="10241" width="11" style="15" customWidth="1"/>
    <col min="10242" max="10242" width="14.8984375" style="15" customWidth="1"/>
    <col min="10243" max="10243" width="14.69921875" style="15" customWidth="1"/>
    <col min="10244" max="10244" width="14.3984375" style="15" customWidth="1"/>
    <col min="10245" max="10245" width="14.59765625" style="15" customWidth="1"/>
    <col min="10246" max="10246" width="0" style="15" hidden="1" customWidth="1"/>
    <col min="10247" max="10247" width="15.8984375" style="15" customWidth="1"/>
    <col min="10248" max="10495" width="8.69921875" style="15"/>
    <col min="10496" max="10496" width="11.19921875" style="15" customWidth="1"/>
    <col min="10497" max="10497" width="11" style="15" customWidth="1"/>
    <col min="10498" max="10498" width="14.8984375" style="15" customWidth="1"/>
    <col min="10499" max="10499" width="14.69921875" style="15" customWidth="1"/>
    <col min="10500" max="10500" width="14.3984375" style="15" customWidth="1"/>
    <col min="10501" max="10501" width="14.59765625" style="15" customWidth="1"/>
    <col min="10502" max="10502" width="0" style="15" hidden="1" customWidth="1"/>
    <col min="10503" max="10503" width="15.8984375" style="15" customWidth="1"/>
    <col min="10504" max="10751" width="8.69921875" style="15"/>
    <col min="10752" max="10752" width="11.19921875" style="15" customWidth="1"/>
    <col min="10753" max="10753" width="11" style="15" customWidth="1"/>
    <col min="10754" max="10754" width="14.8984375" style="15" customWidth="1"/>
    <col min="10755" max="10755" width="14.69921875" style="15" customWidth="1"/>
    <col min="10756" max="10756" width="14.3984375" style="15" customWidth="1"/>
    <col min="10757" max="10757" width="14.59765625" style="15" customWidth="1"/>
    <col min="10758" max="10758" width="0" style="15" hidden="1" customWidth="1"/>
    <col min="10759" max="10759" width="15.8984375" style="15" customWidth="1"/>
    <col min="10760" max="11007" width="8.69921875" style="15"/>
    <col min="11008" max="11008" width="11.19921875" style="15" customWidth="1"/>
    <col min="11009" max="11009" width="11" style="15" customWidth="1"/>
    <col min="11010" max="11010" width="14.8984375" style="15" customWidth="1"/>
    <col min="11011" max="11011" width="14.69921875" style="15" customWidth="1"/>
    <col min="11012" max="11012" width="14.3984375" style="15" customWidth="1"/>
    <col min="11013" max="11013" width="14.59765625" style="15" customWidth="1"/>
    <col min="11014" max="11014" width="0" style="15" hidden="1" customWidth="1"/>
    <col min="11015" max="11015" width="15.8984375" style="15" customWidth="1"/>
    <col min="11016" max="11263" width="8.69921875" style="15"/>
    <col min="11264" max="11264" width="11.19921875" style="15" customWidth="1"/>
    <col min="11265" max="11265" width="11" style="15" customWidth="1"/>
    <col min="11266" max="11266" width="14.8984375" style="15" customWidth="1"/>
    <col min="11267" max="11267" width="14.69921875" style="15" customWidth="1"/>
    <col min="11268" max="11268" width="14.3984375" style="15" customWidth="1"/>
    <col min="11269" max="11269" width="14.59765625" style="15" customWidth="1"/>
    <col min="11270" max="11270" width="0" style="15" hidden="1" customWidth="1"/>
    <col min="11271" max="11271" width="15.8984375" style="15" customWidth="1"/>
    <col min="11272" max="11519" width="8.69921875" style="15"/>
    <col min="11520" max="11520" width="11.19921875" style="15" customWidth="1"/>
    <col min="11521" max="11521" width="11" style="15" customWidth="1"/>
    <col min="11522" max="11522" width="14.8984375" style="15" customWidth="1"/>
    <col min="11523" max="11523" width="14.69921875" style="15" customWidth="1"/>
    <col min="11524" max="11524" width="14.3984375" style="15" customWidth="1"/>
    <col min="11525" max="11525" width="14.59765625" style="15" customWidth="1"/>
    <col min="11526" max="11526" width="0" style="15" hidden="1" customWidth="1"/>
    <col min="11527" max="11527" width="15.8984375" style="15" customWidth="1"/>
    <col min="11528" max="11775" width="8.69921875" style="15"/>
    <col min="11776" max="11776" width="11.19921875" style="15" customWidth="1"/>
    <col min="11777" max="11777" width="11" style="15" customWidth="1"/>
    <col min="11778" max="11778" width="14.8984375" style="15" customWidth="1"/>
    <col min="11779" max="11779" width="14.69921875" style="15" customWidth="1"/>
    <col min="11780" max="11780" width="14.3984375" style="15" customWidth="1"/>
    <col min="11781" max="11781" width="14.59765625" style="15" customWidth="1"/>
    <col min="11782" max="11782" width="0" style="15" hidden="1" customWidth="1"/>
    <col min="11783" max="11783" width="15.8984375" style="15" customWidth="1"/>
    <col min="11784" max="12031" width="8.69921875" style="15"/>
    <col min="12032" max="12032" width="11.19921875" style="15" customWidth="1"/>
    <col min="12033" max="12033" width="11" style="15" customWidth="1"/>
    <col min="12034" max="12034" width="14.8984375" style="15" customWidth="1"/>
    <col min="12035" max="12035" width="14.69921875" style="15" customWidth="1"/>
    <col min="12036" max="12036" width="14.3984375" style="15" customWidth="1"/>
    <col min="12037" max="12037" width="14.59765625" style="15" customWidth="1"/>
    <col min="12038" max="12038" width="0" style="15" hidden="1" customWidth="1"/>
    <col min="12039" max="12039" width="15.8984375" style="15" customWidth="1"/>
    <col min="12040" max="12287" width="8.69921875" style="15"/>
    <col min="12288" max="12288" width="11.19921875" style="15" customWidth="1"/>
    <col min="12289" max="12289" width="11" style="15" customWidth="1"/>
    <col min="12290" max="12290" width="14.8984375" style="15" customWidth="1"/>
    <col min="12291" max="12291" width="14.69921875" style="15" customWidth="1"/>
    <col min="12292" max="12292" width="14.3984375" style="15" customWidth="1"/>
    <col min="12293" max="12293" width="14.59765625" style="15" customWidth="1"/>
    <col min="12294" max="12294" width="0" style="15" hidden="1" customWidth="1"/>
    <col min="12295" max="12295" width="15.8984375" style="15" customWidth="1"/>
    <col min="12296" max="12543" width="8.69921875" style="15"/>
    <col min="12544" max="12544" width="11.19921875" style="15" customWidth="1"/>
    <col min="12545" max="12545" width="11" style="15" customWidth="1"/>
    <col min="12546" max="12546" width="14.8984375" style="15" customWidth="1"/>
    <col min="12547" max="12547" width="14.69921875" style="15" customWidth="1"/>
    <col min="12548" max="12548" width="14.3984375" style="15" customWidth="1"/>
    <col min="12549" max="12549" width="14.59765625" style="15" customWidth="1"/>
    <col min="12550" max="12550" width="0" style="15" hidden="1" customWidth="1"/>
    <col min="12551" max="12551" width="15.8984375" style="15" customWidth="1"/>
    <col min="12552" max="12799" width="8.69921875" style="15"/>
    <col min="12800" max="12800" width="11.19921875" style="15" customWidth="1"/>
    <col min="12801" max="12801" width="11" style="15" customWidth="1"/>
    <col min="12802" max="12802" width="14.8984375" style="15" customWidth="1"/>
    <col min="12803" max="12803" width="14.69921875" style="15" customWidth="1"/>
    <col min="12804" max="12804" width="14.3984375" style="15" customWidth="1"/>
    <col min="12805" max="12805" width="14.59765625" style="15" customWidth="1"/>
    <col min="12806" max="12806" width="0" style="15" hidden="1" customWidth="1"/>
    <col min="12807" max="12807" width="15.8984375" style="15" customWidth="1"/>
    <col min="12808" max="13055" width="8.69921875" style="15"/>
    <col min="13056" max="13056" width="11.19921875" style="15" customWidth="1"/>
    <col min="13057" max="13057" width="11" style="15" customWidth="1"/>
    <col min="13058" max="13058" width="14.8984375" style="15" customWidth="1"/>
    <col min="13059" max="13059" width="14.69921875" style="15" customWidth="1"/>
    <col min="13060" max="13060" width="14.3984375" style="15" customWidth="1"/>
    <col min="13061" max="13061" width="14.59765625" style="15" customWidth="1"/>
    <col min="13062" max="13062" width="0" style="15" hidden="1" customWidth="1"/>
    <col min="13063" max="13063" width="15.8984375" style="15" customWidth="1"/>
    <col min="13064" max="13311" width="8.69921875" style="15"/>
    <col min="13312" max="13312" width="11.19921875" style="15" customWidth="1"/>
    <col min="13313" max="13313" width="11" style="15" customWidth="1"/>
    <col min="13314" max="13314" width="14.8984375" style="15" customWidth="1"/>
    <col min="13315" max="13315" width="14.69921875" style="15" customWidth="1"/>
    <col min="13316" max="13316" width="14.3984375" style="15" customWidth="1"/>
    <col min="13317" max="13317" width="14.59765625" style="15" customWidth="1"/>
    <col min="13318" max="13318" width="0" style="15" hidden="1" customWidth="1"/>
    <col min="13319" max="13319" width="15.8984375" style="15" customWidth="1"/>
    <col min="13320" max="13567" width="8.69921875" style="15"/>
    <col min="13568" max="13568" width="11.19921875" style="15" customWidth="1"/>
    <col min="13569" max="13569" width="11" style="15" customWidth="1"/>
    <col min="13570" max="13570" width="14.8984375" style="15" customWidth="1"/>
    <col min="13571" max="13571" width="14.69921875" style="15" customWidth="1"/>
    <col min="13572" max="13572" width="14.3984375" style="15" customWidth="1"/>
    <col min="13573" max="13573" width="14.59765625" style="15" customWidth="1"/>
    <col min="13574" max="13574" width="0" style="15" hidden="1" customWidth="1"/>
    <col min="13575" max="13575" width="15.8984375" style="15" customWidth="1"/>
    <col min="13576" max="13823" width="8.69921875" style="15"/>
    <col min="13824" max="13824" width="11.19921875" style="15" customWidth="1"/>
    <col min="13825" max="13825" width="11" style="15" customWidth="1"/>
    <col min="13826" max="13826" width="14.8984375" style="15" customWidth="1"/>
    <col min="13827" max="13827" width="14.69921875" style="15" customWidth="1"/>
    <col min="13828" max="13828" width="14.3984375" style="15" customWidth="1"/>
    <col min="13829" max="13829" width="14.59765625" style="15" customWidth="1"/>
    <col min="13830" max="13830" width="0" style="15" hidden="1" customWidth="1"/>
    <col min="13831" max="13831" width="15.8984375" style="15" customWidth="1"/>
    <col min="13832" max="14079" width="8.69921875" style="15"/>
    <col min="14080" max="14080" width="11.19921875" style="15" customWidth="1"/>
    <col min="14081" max="14081" width="11" style="15" customWidth="1"/>
    <col min="14082" max="14082" width="14.8984375" style="15" customWidth="1"/>
    <col min="14083" max="14083" width="14.69921875" style="15" customWidth="1"/>
    <col min="14084" max="14084" width="14.3984375" style="15" customWidth="1"/>
    <col min="14085" max="14085" width="14.59765625" style="15" customWidth="1"/>
    <col min="14086" max="14086" width="0" style="15" hidden="1" customWidth="1"/>
    <col min="14087" max="14087" width="15.8984375" style="15" customWidth="1"/>
    <col min="14088" max="14335" width="8.69921875" style="15"/>
    <col min="14336" max="14336" width="11.19921875" style="15" customWidth="1"/>
    <col min="14337" max="14337" width="11" style="15" customWidth="1"/>
    <col min="14338" max="14338" width="14.8984375" style="15" customWidth="1"/>
    <col min="14339" max="14339" width="14.69921875" style="15" customWidth="1"/>
    <col min="14340" max="14340" width="14.3984375" style="15" customWidth="1"/>
    <col min="14341" max="14341" width="14.59765625" style="15" customWidth="1"/>
    <col min="14342" max="14342" width="0" style="15" hidden="1" customWidth="1"/>
    <col min="14343" max="14343" width="15.8984375" style="15" customWidth="1"/>
    <col min="14344" max="14591" width="8.69921875" style="15"/>
    <col min="14592" max="14592" width="11.19921875" style="15" customWidth="1"/>
    <col min="14593" max="14593" width="11" style="15" customWidth="1"/>
    <col min="14594" max="14594" width="14.8984375" style="15" customWidth="1"/>
    <col min="14595" max="14595" width="14.69921875" style="15" customWidth="1"/>
    <col min="14596" max="14596" width="14.3984375" style="15" customWidth="1"/>
    <col min="14597" max="14597" width="14.59765625" style="15" customWidth="1"/>
    <col min="14598" max="14598" width="0" style="15" hidden="1" customWidth="1"/>
    <col min="14599" max="14599" width="15.8984375" style="15" customWidth="1"/>
    <col min="14600" max="14847" width="8.69921875" style="15"/>
    <col min="14848" max="14848" width="11.19921875" style="15" customWidth="1"/>
    <col min="14849" max="14849" width="11" style="15" customWidth="1"/>
    <col min="14850" max="14850" width="14.8984375" style="15" customWidth="1"/>
    <col min="14851" max="14851" width="14.69921875" style="15" customWidth="1"/>
    <col min="14852" max="14852" width="14.3984375" style="15" customWidth="1"/>
    <col min="14853" max="14853" width="14.59765625" style="15" customWidth="1"/>
    <col min="14854" max="14854" width="0" style="15" hidden="1" customWidth="1"/>
    <col min="14855" max="14855" width="15.8984375" style="15" customWidth="1"/>
    <col min="14856" max="15103" width="8.69921875" style="15"/>
    <col min="15104" max="15104" width="11.19921875" style="15" customWidth="1"/>
    <col min="15105" max="15105" width="11" style="15" customWidth="1"/>
    <col min="15106" max="15106" width="14.8984375" style="15" customWidth="1"/>
    <col min="15107" max="15107" width="14.69921875" style="15" customWidth="1"/>
    <col min="15108" max="15108" width="14.3984375" style="15" customWidth="1"/>
    <col min="15109" max="15109" width="14.59765625" style="15" customWidth="1"/>
    <col min="15110" max="15110" width="0" style="15" hidden="1" customWidth="1"/>
    <col min="15111" max="15111" width="15.8984375" style="15" customWidth="1"/>
    <col min="15112" max="15359" width="8.69921875" style="15"/>
    <col min="15360" max="15360" width="11.19921875" style="15" customWidth="1"/>
    <col min="15361" max="15361" width="11" style="15" customWidth="1"/>
    <col min="15362" max="15362" width="14.8984375" style="15" customWidth="1"/>
    <col min="15363" max="15363" width="14.69921875" style="15" customWidth="1"/>
    <col min="15364" max="15364" width="14.3984375" style="15" customWidth="1"/>
    <col min="15365" max="15365" width="14.59765625" style="15" customWidth="1"/>
    <col min="15366" max="15366" width="0" style="15" hidden="1" customWidth="1"/>
    <col min="15367" max="15367" width="15.8984375" style="15" customWidth="1"/>
    <col min="15368" max="15615" width="8.69921875" style="15"/>
    <col min="15616" max="15616" width="11.19921875" style="15" customWidth="1"/>
    <col min="15617" max="15617" width="11" style="15" customWidth="1"/>
    <col min="15618" max="15618" width="14.8984375" style="15" customWidth="1"/>
    <col min="15619" max="15619" width="14.69921875" style="15" customWidth="1"/>
    <col min="15620" max="15620" width="14.3984375" style="15" customWidth="1"/>
    <col min="15621" max="15621" width="14.59765625" style="15" customWidth="1"/>
    <col min="15622" max="15622" width="0" style="15" hidden="1" customWidth="1"/>
    <col min="15623" max="15623" width="15.8984375" style="15" customWidth="1"/>
    <col min="15624" max="15871" width="8.69921875" style="15"/>
    <col min="15872" max="15872" width="11.19921875" style="15" customWidth="1"/>
    <col min="15873" max="15873" width="11" style="15" customWidth="1"/>
    <col min="15874" max="15874" width="14.8984375" style="15" customWidth="1"/>
    <col min="15875" max="15875" width="14.69921875" style="15" customWidth="1"/>
    <col min="15876" max="15876" width="14.3984375" style="15" customWidth="1"/>
    <col min="15877" max="15877" width="14.59765625" style="15" customWidth="1"/>
    <col min="15878" max="15878" width="0" style="15" hidden="1" customWidth="1"/>
    <col min="15879" max="15879" width="15.8984375" style="15" customWidth="1"/>
    <col min="15880" max="16127" width="8.69921875" style="15"/>
    <col min="16128" max="16128" width="11.19921875" style="15" customWidth="1"/>
    <col min="16129" max="16129" width="11" style="15" customWidth="1"/>
    <col min="16130" max="16130" width="14.8984375" style="15" customWidth="1"/>
    <col min="16131" max="16131" width="14.69921875" style="15" customWidth="1"/>
    <col min="16132" max="16132" width="14.3984375" style="15" customWidth="1"/>
    <col min="16133" max="16133" width="14.59765625" style="15" customWidth="1"/>
    <col min="16134" max="16134" width="0" style="15" hidden="1" customWidth="1"/>
    <col min="16135" max="16135" width="15.8984375" style="15" customWidth="1"/>
    <col min="16136" max="16384" width="8.69921875" style="15"/>
  </cols>
  <sheetData>
    <row r="1" spans="1:15" s="53" customFormat="1" ht="24.6" customHeight="1" x14ac:dyDescent="0.25">
      <c r="A1" s="52" t="s">
        <v>218</v>
      </c>
      <c r="B1" s="52" t="s">
        <v>225</v>
      </c>
      <c r="C1" s="52" t="s">
        <v>219</v>
      </c>
      <c r="D1" s="54"/>
      <c r="E1" s="51" t="s">
        <v>220</v>
      </c>
      <c r="F1" s="55" t="s">
        <v>221</v>
      </c>
      <c r="G1" s="56"/>
      <c r="H1" s="56"/>
      <c r="I1" s="56"/>
      <c r="J1" s="56"/>
      <c r="K1" s="56"/>
      <c r="L1" s="56"/>
      <c r="M1" s="56"/>
      <c r="N1" s="56"/>
      <c r="O1" s="56"/>
    </row>
    <row r="2" spans="1:15" s="53" customFormat="1" ht="29.4" customHeight="1" x14ac:dyDescent="0.25">
      <c r="A2" s="52" t="s">
        <v>222</v>
      </c>
      <c r="B2" s="57">
        <v>43167</v>
      </c>
      <c r="C2" s="52" t="s">
        <v>223</v>
      </c>
      <c r="D2" s="54" t="str">
        <f>[1]步骤复核表!B5</f>
        <v/>
      </c>
      <c r="E2" s="51" t="s">
        <v>224</v>
      </c>
      <c r="F2" s="55"/>
      <c r="G2" s="56"/>
      <c r="H2" s="56"/>
      <c r="I2" s="56"/>
      <c r="J2" s="56"/>
      <c r="K2" s="56"/>
      <c r="L2" s="56"/>
      <c r="M2" s="56"/>
      <c r="N2" s="56"/>
      <c r="O2" s="56"/>
    </row>
    <row r="3" spans="1:15" ht="32.25" customHeight="1" x14ac:dyDescent="0.25">
      <c r="A3" s="79" t="s">
        <v>49</v>
      </c>
      <c r="B3" s="79"/>
      <c r="C3" s="79"/>
      <c r="D3" s="79"/>
      <c r="E3" s="79"/>
      <c r="F3" s="79"/>
    </row>
    <row r="4" spans="1:15" ht="20.100000000000001" customHeight="1" x14ac:dyDescent="0.25">
      <c r="A4" s="80" t="s">
        <v>50</v>
      </c>
      <c r="B4" s="81"/>
      <c r="C4" s="16" t="s">
        <v>51</v>
      </c>
      <c r="D4" s="16" t="s">
        <v>52</v>
      </c>
      <c r="E4" s="16" t="s">
        <v>53</v>
      </c>
      <c r="F4" s="16" t="s">
        <v>54</v>
      </c>
    </row>
    <row r="5" spans="1:15" ht="20.100000000000001" customHeight="1" x14ac:dyDescent="0.25">
      <c r="A5" s="80" t="s">
        <v>55</v>
      </c>
      <c r="B5" s="82"/>
      <c r="C5" s="17">
        <v>2018.3</v>
      </c>
      <c r="D5" s="18" t="s">
        <v>56</v>
      </c>
      <c r="E5" s="17">
        <v>2017.9</v>
      </c>
      <c r="F5" s="17">
        <v>2017.9</v>
      </c>
    </row>
    <row r="6" spans="1:15" ht="19.5" customHeight="1" x14ac:dyDescent="0.25">
      <c r="A6" s="80" t="s">
        <v>57</v>
      </c>
      <c r="B6" s="82"/>
      <c r="C6" s="4" t="s">
        <v>58</v>
      </c>
      <c r="D6" s="4" t="s">
        <v>58</v>
      </c>
      <c r="E6" s="4" t="s">
        <v>58</v>
      </c>
      <c r="F6" s="4" t="s">
        <v>58</v>
      </c>
    </row>
    <row r="7" spans="1:15" ht="19.5" customHeight="1" x14ac:dyDescent="0.25">
      <c r="A7" s="80" t="s">
        <v>59</v>
      </c>
      <c r="B7" s="82"/>
      <c r="C7" s="4" t="s">
        <v>60</v>
      </c>
      <c r="D7" s="4" t="s">
        <v>61</v>
      </c>
      <c r="E7" s="4" t="s">
        <v>61</v>
      </c>
      <c r="F7" s="4" t="s">
        <v>61</v>
      </c>
    </row>
    <row r="8" spans="1:15" ht="20.100000000000001" customHeight="1" x14ac:dyDescent="0.25">
      <c r="A8" s="80" t="s">
        <v>62</v>
      </c>
      <c r="B8" s="82"/>
      <c r="C8" s="4" t="s">
        <v>63</v>
      </c>
      <c r="D8" s="17">
        <v>450</v>
      </c>
      <c r="E8" s="17">
        <v>450</v>
      </c>
      <c r="F8" s="17">
        <v>450</v>
      </c>
    </row>
    <row r="9" spans="1:15" s="21" customFormat="1" ht="54.75" customHeight="1" x14ac:dyDescent="0.25">
      <c r="A9" s="83" t="s">
        <v>64</v>
      </c>
      <c r="B9" s="19" t="s">
        <v>65</v>
      </c>
      <c r="C9" s="20" t="s">
        <v>66</v>
      </c>
      <c r="D9" s="20" t="s">
        <v>66</v>
      </c>
      <c r="E9" s="20" t="s">
        <v>66</v>
      </c>
      <c r="F9" s="20" t="s">
        <v>66</v>
      </c>
    </row>
    <row r="10" spans="1:15" s="21" customFormat="1" ht="54.75" customHeight="1" x14ac:dyDescent="0.25">
      <c r="A10" s="84"/>
      <c r="B10" s="19" t="s">
        <v>67</v>
      </c>
      <c r="C10" s="20" t="s">
        <v>68</v>
      </c>
      <c r="D10" s="20" t="s">
        <v>68</v>
      </c>
      <c r="E10" s="20" t="s">
        <v>68</v>
      </c>
      <c r="F10" s="20" t="s">
        <v>68</v>
      </c>
    </row>
    <row r="11" spans="1:15" s="21" customFormat="1" ht="38.25" customHeight="1" x14ac:dyDescent="0.25">
      <c r="A11" s="84"/>
      <c r="B11" s="19" t="s">
        <v>69</v>
      </c>
      <c r="C11" s="20" t="s">
        <v>70</v>
      </c>
      <c r="D11" s="20" t="s">
        <v>70</v>
      </c>
      <c r="E11" s="20" t="s">
        <v>70</v>
      </c>
      <c r="F11" s="20" t="s">
        <v>70</v>
      </c>
    </row>
    <row r="12" spans="1:15" s="21" customFormat="1" ht="31.2" customHeight="1" x14ac:dyDescent="0.25">
      <c r="A12" s="84"/>
      <c r="B12" s="19" t="s">
        <v>212</v>
      </c>
      <c r="C12" s="20" t="s">
        <v>71</v>
      </c>
      <c r="D12" s="20" t="s">
        <v>71</v>
      </c>
      <c r="E12" s="20" t="s">
        <v>71</v>
      </c>
      <c r="F12" s="20" t="s">
        <v>71</v>
      </c>
    </row>
    <row r="13" spans="1:15" s="21" customFormat="1" ht="32.25" customHeight="1" x14ac:dyDescent="0.25">
      <c r="A13" s="85"/>
      <c r="B13" s="19" t="s">
        <v>72</v>
      </c>
      <c r="C13" s="20" t="s">
        <v>73</v>
      </c>
      <c r="D13" s="20" t="s">
        <v>73</v>
      </c>
      <c r="E13" s="20" t="s">
        <v>73</v>
      </c>
      <c r="F13" s="20" t="s">
        <v>73</v>
      </c>
    </row>
    <row r="14" spans="1:15" s="21" customFormat="1" ht="60" customHeight="1" x14ac:dyDescent="0.25">
      <c r="A14" s="83" t="s">
        <v>74</v>
      </c>
      <c r="B14" s="22" t="s">
        <v>75</v>
      </c>
      <c r="C14" s="20" t="s">
        <v>76</v>
      </c>
      <c r="D14" s="20" t="s">
        <v>77</v>
      </c>
      <c r="E14" s="20" t="s">
        <v>78</v>
      </c>
      <c r="F14" s="20" t="s">
        <v>79</v>
      </c>
    </row>
    <row r="15" spans="1:15" s="21" customFormat="1" ht="30" customHeight="1" x14ac:dyDescent="0.25">
      <c r="A15" s="84"/>
      <c r="B15" s="19" t="s">
        <v>80</v>
      </c>
      <c r="C15" s="20" t="s">
        <v>81</v>
      </c>
      <c r="D15" s="20" t="s">
        <v>82</v>
      </c>
      <c r="E15" s="20" t="s">
        <v>82</v>
      </c>
      <c r="F15" s="20" t="s">
        <v>82</v>
      </c>
    </row>
    <row r="16" spans="1:15" s="21" customFormat="1" ht="39" customHeight="1" x14ac:dyDescent="0.25">
      <c r="A16" s="84"/>
      <c r="B16" s="22" t="s">
        <v>83</v>
      </c>
      <c r="C16" s="49" t="s">
        <v>84</v>
      </c>
      <c r="D16" s="49" t="s">
        <v>85</v>
      </c>
      <c r="E16" s="49" t="s">
        <v>86</v>
      </c>
      <c r="F16" s="49" t="s">
        <v>87</v>
      </c>
    </row>
    <row r="17" spans="1:10" s="21" customFormat="1" ht="30.75" customHeight="1" x14ac:dyDescent="0.25">
      <c r="A17" s="84"/>
      <c r="B17" s="22" t="s">
        <v>88</v>
      </c>
      <c r="C17" s="20" t="s">
        <v>89</v>
      </c>
      <c r="D17" s="20" t="s">
        <v>89</v>
      </c>
      <c r="E17" s="20" t="s">
        <v>89</v>
      </c>
      <c r="F17" s="20" t="s">
        <v>89</v>
      </c>
    </row>
    <row r="18" spans="1:10" s="21" customFormat="1" ht="52.5" customHeight="1" x14ac:dyDescent="0.25">
      <c r="A18" s="85"/>
      <c r="B18" s="22" t="s">
        <v>90</v>
      </c>
      <c r="C18" s="20" t="s">
        <v>91</v>
      </c>
      <c r="D18" s="20" t="s">
        <v>91</v>
      </c>
      <c r="E18" s="20" t="s">
        <v>91</v>
      </c>
      <c r="F18" s="20" t="s">
        <v>91</v>
      </c>
    </row>
    <row r="19" spans="1:10" ht="37.5" customHeight="1" x14ac:dyDescent="0.25">
      <c r="A19" s="86" t="s">
        <v>92</v>
      </c>
      <c r="B19" s="87"/>
      <c r="C19" s="87"/>
      <c r="D19" s="87"/>
      <c r="E19" s="87"/>
      <c r="F19" s="88"/>
    </row>
    <row r="20" spans="1:10" ht="20.100000000000001" customHeight="1" x14ac:dyDescent="0.25">
      <c r="A20" s="78" t="s">
        <v>50</v>
      </c>
      <c r="B20" s="78"/>
      <c r="C20" s="4" t="s">
        <v>51</v>
      </c>
      <c r="D20" s="4" t="s">
        <v>52</v>
      </c>
      <c r="E20" s="4" t="s">
        <v>53</v>
      </c>
      <c r="F20" s="4" t="s">
        <v>54</v>
      </c>
    </row>
    <row r="21" spans="1:10" ht="20.100000000000001" customHeight="1" x14ac:dyDescent="0.25">
      <c r="A21" s="78" t="s">
        <v>55</v>
      </c>
      <c r="B21" s="78"/>
      <c r="C21" s="23">
        <v>100</v>
      </c>
      <c r="D21" s="23">
        <v>100</v>
      </c>
      <c r="E21" s="23">
        <v>100</v>
      </c>
      <c r="F21" s="23">
        <v>100</v>
      </c>
    </row>
    <row r="22" spans="1:10" ht="20.100000000000001" customHeight="1" x14ac:dyDescent="0.25">
      <c r="A22" s="78" t="s">
        <v>57</v>
      </c>
      <c r="B22" s="78"/>
      <c r="C22" s="23">
        <v>100</v>
      </c>
      <c r="D22" s="23">
        <v>100</v>
      </c>
      <c r="E22" s="23">
        <v>100</v>
      </c>
      <c r="F22" s="23">
        <v>100</v>
      </c>
    </row>
    <row r="23" spans="1:10" ht="20.100000000000001" customHeight="1" x14ac:dyDescent="0.25">
      <c r="A23" s="78" t="s">
        <v>59</v>
      </c>
      <c r="B23" s="78"/>
      <c r="C23" s="23">
        <v>100</v>
      </c>
      <c r="D23" s="23">
        <v>100</v>
      </c>
      <c r="E23" s="23">
        <v>100</v>
      </c>
      <c r="F23" s="23">
        <v>100</v>
      </c>
    </row>
    <row r="24" spans="1:10" ht="20.100000000000001" customHeight="1" x14ac:dyDescent="0.25">
      <c r="A24" s="78" t="s">
        <v>62</v>
      </c>
      <c r="B24" s="78"/>
      <c r="C24" s="4" t="s">
        <v>63</v>
      </c>
      <c r="D24" s="17">
        <v>450</v>
      </c>
      <c r="E24" s="17">
        <v>450</v>
      </c>
      <c r="F24" s="17">
        <v>450</v>
      </c>
    </row>
    <row r="25" spans="1:10" ht="20.100000000000001" customHeight="1" x14ac:dyDescent="0.25">
      <c r="A25" s="83" t="s">
        <v>64</v>
      </c>
      <c r="B25" s="19" t="s">
        <v>65</v>
      </c>
      <c r="C25" s="24">
        <v>100</v>
      </c>
      <c r="D25" s="17">
        <v>100</v>
      </c>
      <c r="E25" s="17">
        <v>100</v>
      </c>
      <c r="F25" s="17">
        <v>100</v>
      </c>
    </row>
    <row r="26" spans="1:10" ht="36" customHeight="1" x14ac:dyDescent="0.25">
      <c r="A26" s="84"/>
      <c r="B26" s="19" t="s">
        <v>213</v>
      </c>
      <c r="C26" s="24">
        <v>100</v>
      </c>
      <c r="D26" s="17">
        <v>100</v>
      </c>
      <c r="E26" s="17">
        <v>100</v>
      </c>
      <c r="F26" s="17">
        <v>100</v>
      </c>
    </row>
    <row r="27" spans="1:10" ht="23.4" customHeight="1" x14ac:dyDescent="0.25">
      <c r="A27" s="84"/>
      <c r="B27" s="19" t="s">
        <v>69</v>
      </c>
      <c r="C27" s="24">
        <v>100</v>
      </c>
      <c r="D27" s="17">
        <v>100</v>
      </c>
      <c r="E27" s="17">
        <v>100</v>
      </c>
      <c r="F27" s="17">
        <v>100</v>
      </c>
    </row>
    <row r="28" spans="1:10" ht="29.4" customHeight="1" x14ac:dyDescent="0.25">
      <c r="A28" s="84"/>
      <c r="B28" s="19" t="s">
        <v>212</v>
      </c>
      <c r="C28" s="24">
        <v>100</v>
      </c>
      <c r="D28" s="17">
        <v>100</v>
      </c>
      <c r="E28" s="17">
        <v>100</v>
      </c>
      <c r="F28" s="17">
        <v>100</v>
      </c>
    </row>
    <row r="29" spans="1:10" ht="21" customHeight="1" x14ac:dyDescent="0.25">
      <c r="A29" s="85"/>
      <c r="B29" s="19" t="s">
        <v>72</v>
      </c>
      <c r="C29" s="24">
        <v>100</v>
      </c>
      <c r="D29" s="17">
        <v>100</v>
      </c>
      <c r="E29" s="17">
        <v>100</v>
      </c>
      <c r="F29" s="17">
        <v>100</v>
      </c>
    </row>
    <row r="30" spans="1:10" ht="21.75" customHeight="1" x14ac:dyDescent="0.25">
      <c r="A30" s="83" t="s">
        <v>74</v>
      </c>
      <c r="B30" s="19" t="s">
        <v>214</v>
      </c>
      <c r="C30" s="24">
        <v>100</v>
      </c>
      <c r="D30" s="17">
        <v>98</v>
      </c>
      <c r="E30" s="17">
        <v>98</v>
      </c>
      <c r="F30" s="17">
        <v>98</v>
      </c>
    </row>
    <row r="31" spans="1:10" ht="26.25" customHeight="1" x14ac:dyDescent="0.25">
      <c r="A31" s="84"/>
      <c r="B31" s="19" t="s">
        <v>215</v>
      </c>
      <c r="C31" s="24">
        <v>100</v>
      </c>
      <c r="D31" s="17">
        <v>100</v>
      </c>
      <c r="E31" s="17">
        <v>100</v>
      </c>
      <c r="F31" s="17">
        <v>100</v>
      </c>
      <c r="G31" s="25"/>
      <c r="H31" s="25"/>
      <c r="I31" s="25"/>
      <c r="J31" s="25"/>
    </row>
    <row r="32" spans="1:10" ht="24.75" customHeight="1" x14ac:dyDescent="0.25">
      <c r="A32" s="84"/>
      <c r="B32" s="19" t="s">
        <v>216</v>
      </c>
      <c r="C32" s="24">
        <v>100</v>
      </c>
      <c r="D32" s="17">
        <v>101</v>
      </c>
      <c r="E32" s="17">
        <v>101</v>
      </c>
      <c r="F32" s="17">
        <v>101</v>
      </c>
      <c r="G32" s="26"/>
      <c r="H32" s="26"/>
      <c r="I32" s="26"/>
      <c r="J32" s="26"/>
    </row>
    <row r="33" spans="1:10" ht="24.75" customHeight="1" x14ac:dyDescent="0.25">
      <c r="A33" s="84"/>
      <c r="B33" s="19" t="s">
        <v>217</v>
      </c>
      <c r="C33" s="24">
        <v>100</v>
      </c>
      <c r="D33" s="17">
        <v>100</v>
      </c>
      <c r="E33" s="17">
        <v>100</v>
      </c>
      <c r="F33" s="17">
        <v>100</v>
      </c>
      <c r="G33" s="26"/>
      <c r="H33" s="26"/>
      <c r="I33" s="26"/>
      <c r="J33" s="26"/>
    </row>
    <row r="34" spans="1:10" ht="24.75" customHeight="1" x14ac:dyDescent="0.25">
      <c r="A34" s="85"/>
      <c r="B34" s="19" t="s">
        <v>90</v>
      </c>
      <c r="C34" s="24">
        <v>100</v>
      </c>
      <c r="D34" s="17">
        <v>100</v>
      </c>
      <c r="E34" s="17">
        <v>100</v>
      </c>
      <c r="F34" s="17">
        <v>100</v>
      </c>
      <c r="G34" s="26"/>
      <c r="H34" s="26"/>
      <c r="I34" s="26"/>
      <c r="J34" s="26"/>
    </row>
    <row r="35" spans="1:10" s="25" customFormat="1" ht="20.100000000000001" customHeight="1" x14ac:dyDescent="0.25">
      <c r="A35" s="89" t="s">
        <v>93</v>
      </c>
      <c r="B35" s="90"/>
      <c r="C35" s="27"/>
      <c r="D35" s="28">
        <f>D24*PRODUCT($C$25:$C$34)/PRODUCT(D25:D34)</f>
        <v>454.64</v>
      </c>
      <c r="E35" s="28">
        <f t="shared" ref="E35:F35" si="0">E24*PRODUCT($C$25:$C$34)/PRODUCT(E25:E34)</f>
        <v>454.64</v>
      </c>
      <c r="F35" s="28">
        <f t="shared" si="0"/>
        <v>454.64</v>
      </c>
      <c r="G35" s="26"/>
      <c r="H35" s="50"/>
      <c r="I35" s="50"/>
      <c r="J35" s="26"/>
    </row>
    <row r="36" spans="1:10" s="26" customFormat="1" ht="24" customHeight="1" x14ac:dyDescent="0.25">
      <c r="A36" s="95" t="s">
        <v>94</v>
      </c>
      <c r="B36" s="96"/>
      <c r="C36" s="92">
        <f>(D35+E35+F35)/3</f>
        <v>454.64</v>
      </c>
      <c r="D36" s="93"/>
      <c r="E36" s="93"/>
      <c r="F36" s="94"/>
      <c r="G36" s="15"/>
      <c r="H36" s="15"/>
      <c r="I36" s="15"/>
      <c r="J36" s="15"/>
    </row>
    <row r="37" spans="1:10" s="26" customFormat="1" ht="24" customHeight="1" x14ac:dyDescent="0.25">
      <c r="A37" s="95" t="s">
        <v>95</v>
      </c>
      <c r="B37" s="96"/>
      <c r="C37" s="92">
        <v>0</v>
      </c>
      <c r="D37" s="93"/>
      <c r="E37" s="93"/>
      <c r="F37" s="94"/>
      <c r="G37" s="15"/>
      <c r="H37" s="15"/>
      <c r="I37" s="15"/>
      <c r="J37" s="15"/>
    </row>
    <row r="38" spans="1:10" s="26" customFormat="1" ht="24" customHeight="1" x14ac:dyDescent="0.25">
      <c r="A38" s="95" t="s">
        <v>43</v>
      </c>
      <c r="B38" s="96"/>
      <c r="C38" s="97">
        <f>C47</f>
        <v>0.95009999999999994</v>
      </c>
      <c r="D38" s="98"/>
      <c r="E38" s="98"/>
      <c r="F38" s="99"/>
    </row>
    <row r="39" spans="1:10" s="26" customFormat="1" ht="24.75" customHeight="1" x14ac:dyDescent="0.25">
      <c r="A39" s="95" t="s">
        <v>96</v>
      </c>
      <c r="B39" s="96"/>
      <c r="C39" s="92">
        <f>(C36+C37)*C38</f>
        <v>431.95</v>
      </c>
      <c r="D39" s="93"/>
      <c r="E39" s="93"/>
      <c r="F39" s="94"/>
    </row>
    <row r="40" spans="1:10" s="26" customFormat="1" ht="24.75" customHeight="1" x14ac:dyDescent="0.25">
      <c r="A40" s="95" t="s">
        <v>97</v>
      </c>
      <c r="B40" s="96"/>
      <c r="C40" s="92">
        <v>5496.7</v>
      </c>
      <c r="D40" s="93"/>
      <c r="E40" s="93"/>
      <c r="F40" s="94"/>
    </row>
    <row r="41" spans="1:10" s="26" customFormat="1" ht="24.75" customHeight="1" x14ac:dyDescent="0.25">
      <c r="A41" s="95" t="s">
        <v>226</v>
      </c>
      <c r="B41" s="96"/>
      <c r="C41" s="100">
        <v>0.03</v>
      </c>
      <c r="D41" s="101"/>
      <c r="E41" s="101"/>
      <c r="F41" s="102"/>
    </row>
    <row r="42" spans="1:10" s="26" customFormat="1" ht="30.75" customHeight="1" x14ac:dyDescent="0.25">
      <c r="A42" s="95" t="s">
        <v>227</v>
      </c>
      <c r="B42" s="96"/>
      <c r="C42" s="92">
        <f>ROUND(C39*C40*(1+C41),0)</f>
        <v>2445529</v>
      </c>
      <c r="D42" s="93"/>
      <c r="E42" s="93"/>
      <c r="F42" s="94"/>
      <c r="H42" s="29"/>
    </row>
    <row r="44" spans="1:10" ht="18" customHeight="1" x14ac:dyDescent="0.25">
      <c r="C44" s="30" t="s">
        <v>98</v>
      </c>
      <c r="D44" s="30" t="s">
        <v>99</v>
      </c>
    </row>
    <row r="45" spans="1:10" ht="18" customHeight="1" x14ac:dyDescent="0.25">
      <c r="A45" s="30" t="s">
        <v>100</v>
      </c>
      <c r="B45" s="31">
        <f>DAYS360(C45,$D$45)/360</f>
        <v>35.729999999999997</v>
      </c>
      <c r="C45" s="32">
        <v>43167</v>
      </c>
      <c r="D45" s="32">
        <v>56218</v>
      </c>
    </row>
    <row r="46" spans="1:10" s="34" customFormat="1" ht="18" customHeight="1" x14ac:dyDescent="0.25">
      <c r="A46" s="33" t="s">
        <v>101</v>
      </c>
    </row>
    <row r="47" spans="1:10" s="34" customFormat="1" ht="18" customHeight="1" x14ac:dyDescent="0.25">
      <c r="B47" s="34" t="s">
        <v>102</v>
      </c>
      <c r="C47" s="35">
        <f>(1-1/(1+0.075)^B45)/(1-1/(1+0.075)^50)</f>
        <v>0.95009999999999994</v>
      </c>
    </row>
    <row r="49" spans="1:5" s="30" customFormat="1" ht="22.5" customHeight="1" x14ac:dyDescent="0.25">
      <c r="A49" s="103" t="s">
        <v>103</v>
      </c>
      <c r="B49" s="103"/>
      <c r="C49" s="36" t="s">
        <v>104</v>
      </c>
      <c r="D49" s="36" t="s">
        <v>105</v>
      </c>
      <c r="E49" s="36" t="s">
        <v>106</v>
      </c>
    </row>
    <row r="50" spans="1:5" s="30" customFormat="1" ht="31.5" customHeight="1" x14ac:dyDescent="0.25">
      <c r="A50" s="91" t="s">
        <v>107</v>
      </c>
      <c r="B50" s="91"/>
      <c r="C50" s="30">
        <v>1299.4000000000001</v>
      </c>
      <c r="D50" s="37">
        <f>C39</f>
        <v>431.95</v>
      </c>
      <c r="E50" s="38">
        <f>ROUND(C50*D50,0)</f>
        <v>561276</v>
      </c>
    </row>
    <row r="52" spans="1:5" x14ac:dyDescent="0.25">
      <c r="B52" s="36"/>
      <c r="E52" s="39"/>
    </row>
  </sheetData>
  <mergeCells count="33">
    <mergeCell ref="A50:B50"/>
    <mergeCell ref="C36:F36"/>
    <mergeCell ref="A37:B37"/>
    <mergeCell ref="C37:F37"/>
    <mergeCell ref="A38:B38"/>
    <mergeCell ref="C38:F38"/>
    <mergeCell ref="A39:B39"/>
    <mergeCell ref="C39:F39"/>
    <mergeCell ref="A36:B36"/>
    <mergeCell ref="A41:B41"/>
    <mergeCell ref="C41:F41"/>
    <mergeCell ref="A40:B40"/>
    <mergeCell ref="C40:F40"/>
    <mergeCell ref="A42:B42"/>
    <mergeCell ref="C42:F42"/>
    <mergeCell ref="A49:B49"/>
    <mergeCell ref="A23:B23"/>
    <mergeCell ref="A24:B24"/>
    <mergeCell ref="A25:A29"/>
    <mergeCell ref="A30:A34"/>
    <mergeCell ref="A35:B35"/>
    <mergeCell ref="A22:B22"/>
    <mergeCell ref="A3:F3"/>
    <mergeCell ref="A4:B4"/>
    <mergeCell ref="A5:B5"/>
    <mergeCell ref="A6:B6"/>
    <mergeCell ref="A7:B7"/>
    <mergeCell ref="A8:B8"/>
    <mergeCell ref="A9:A13"/>
    <mergeCell ref="A14:A18"/>
    <mergeCell ref="A19:F19"/>
    <mergeCell ref="A20:B20"/>
    <mergeCell ref="A21:B2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工业用地成本逼近法</vt:lpstr>
      <vt:lpstr> 工业用地市场法案例</vt:lpstr>
      <vt:lpstr>工业用地市场法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2019-01-06T11:17:15Z</dcterms:created>
  <dcterms:modified xsi:type="dcterms:W3CDTF">2019-05-09T08:33:21Z</dcterms:modified>
</cp:coreProperties>
</file>