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EA05D307-3E38-4726-B24C-DB1E59EA26EA}" xr6:coauthVersionLast="43" xr6:coauthVersionMax="43" xr10:uidLastSave="{00000000-0000-0000-0000-000000000000}"/>
  <bookViews>
    <workbookView xWindow="-108" yWindow="-108" windowWidth="23256" windowHeight="12576" activeTab="1" xr2:uid="{00000000-000D-0000-FFFF-FFFF00000000}"/>
  </bookViews>
  <sheets>
    <sheet name="评估案例" sheetId="2" r:id="rId1"/>
    <sheet name="商服用地市场法" sheetId="3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Fill" localSheetId="1" hidden="1">#REF!</definedName>
    <definedName name="_Fill" hidden="1">#REF!</definedName>
    <definedName name="_xlnm._FilterDatabase" localSheetId="0" hidden="1">评估案例!$A$3:$L$132</definedName>
    <definedName name="a" localSheetId="1">#REF!</definedName>
    <definedName name="a">#REF!</definedName>
    <definedName name="_xlnm.Database" localSheetId="1">#REF!</definedName>
    <definedName name="_xlnm.Database">#REF!</definedName>
    <definedName name="Document_array" localSheetId="1">{"Book1","公路收费权测算表.xls"}</definedName>
    <definedName name="Document_array">{"Book1","公路收费权测算表.xls"}</definedName>
    <definedName name="E5897844" localSheetId="1">#REF!</definedName>
    <definedName name="E5897844">#REF!</definedName>
    <definedName name="FANWEI1">[1]索引表!$C$4:$C$101</definedName>
    <definedName name="lo" localSheetId="1" hidden="1">#REF!</definedName>
    <definedName name="lo" hidden="1">#REF!</definedName>
    <definedName name="Payment_Number" localSheetId="1">ROW()-Header_Row</definedName>
    <definedName name="Payment_Number">ROW()-Header_Row</definedName>
    <definedName name="_xlnm.Print_Area" localSheetId="0">评估案例!$A$1:$N$50</definedName>
    <definedName name="_xlnm.Print_Area" localSheetId="1">商服用地市场法!$A$1:$F$85</definedName>
    <definedName name="_xlnm.Print_Area">#REF!</definedName>
    <definedName name="Print_Area_MI" localSheetId="1">#REF!</definedName>
    <definedName name="Print_Area_MI">#REF!</definedName>
    <definedName name="print_area1" localSheetId="1">#REF!</definedName>
    <definedName name="print_area1">#REF!</definedName>
    <definedName name="UFPrn20030702160950" localSheetId="1">#REF!</definedName>
    <definedName name="UFPrn20030702160950">#REF!</definedName>
    <definedName name="Work_Program_By_Area_List" localSheetId="1">#REF!</definedName>
    <definedName name="Work_Program_By_Area_List">#REF!</definedName>
    <definedName name="wrn.负债及权益." localSheetId="1" hidden="1">{"负债及权益",#N/A,FALSE,"TB-BS"}</definedName>
    <definedName name="wrn.负债及权益." hidden="1">{"负债及权益",#N/A,FALSE,"TB-BS"}</definedName>
    <definedName name="wrn.现金." localSheetId="1" hidden="1">{"现金主表",#N/A,FALSE,"正式Cashflow"}</definedName>
    <definedName name="wrn.现金." hidden="1">{"现金主表",#N/A,FALSE,"正式Cashflow"}</definedName>
    <definedName name="wrn.现金主表." localSheetId="1" hidden="1">{"现金主表",#N/A,FALSE,"正式Cashflow"}</definedName>
    <definedName name="wrn.现金主表." hidden="1">{"现金主表",#N/A,FALSE,"正式Cashflow"}</definedName>
    <definedName name="wrn.资产." localSheetId="1" hidden="1">{"资产",#N/A,FALSE,"TB-BS"}</definedName>
    <definedName name="wrn.资产." hidden="1">{"资产",#N/A,FALSE,"TB-BS"}</definedName>
    <definedName name="ww" localSheetId="1">#REF!</definedName>
    <definedName name="ww">#REF!</definedName>
    <definedName name="wwwwwwwwwwwww" localSheetId="1">ROW()-Header_Row</definedName>
    <definedName name="wwwwwwwwwwwww">ROW()-Header_Row</definedName>
    <definedName name="安置补助费" localSheetId="1">#REF!</definedName>
    <definedName name="安置补助费">#REF!</definedName>
    <definedName name="大多数">[2]XL4Poppy!$A$15</definedName>
    <definedName name="地" hidden="1">{"现金主表",#N/A,FALSE,"正式Cashflow"}</definedName>
    <definedName name="工作表" localSheetId="1">#REF!</definedName>
    <definedName name="工作表">#REF!</definedName>
    <definedName name="固定资产">[3]XL4Poppy!$A$15</definedName>
    <definedName name="年初短期投资" localSheetId="1">#REF!</definedName>
    <definedName name="年初短期投资">#REF!</definedName>
    <definedName name="年初货币资金" localSheetId="1">#REF!</definedName>
    <definedName name="年初货币资金">#REF!</definedName>
    <definedName name="年初应收票据" localSheetId="1">#REF!</definedName>
    <definedName name="年初应收票据">#REF!</definedName>
    <definedName name="区域.2895625" hidden="1">[4]土地评估明细表!#REF!</definedName>
    <definedName name="区域.2895625_区域" hidden="1">[4]土地评估明细表!#REF!</definedName>
    <definedName name="土地18" localSheetId="1">{"Book1","公路收费权测算表.xls"}</definedName>
    <definedName name="土地18">{"Book1","公路收费权测算表.xls"}</definedName>
    <definedName name="无形资产土地使用权账面价值" localSheetId="1">[4]土地评估明细表!#REF!</definedName>
    <definedName name="无形资产土地使用权账面价值">[4]土地评估明细表!#REF!</definedName>
    <definedName name="序号" localSheetId="1">#REF!</definedName>
    <definedName name="序号">#REF!</definedName>
    <definedName name="资料查证及特殊约定事项说明" localSheetId="1">#REF!</definedName>
    <definedName name="资料查证及特殊约定事项说明">#REF!</definedName>
    <definedName name="전" localSheetId="1">#REF!</definedName>
    <definedName name="전">#REF!</definedName>
    <definedName name="주택사업본부" localSheetId="1">#REF!</definedName>
    <definedName name="주택사업본부">#REF!</definedName>
    <definedName name="철구사업본부" localSheetId="1">#REF!</definedName>
    <definedName name="철구사업본부">#REF!</definedName>
  </definedName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3" l="1"/>
  <c r="C51" i="3" l="1"/>
  <c r="C52" i="3" s="1"/>
  <c r="C53" i="3" l="1"/>
  <c r="C31" i="3" s="1"/>
  <c r="C10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1" i="3"/>
  <c r="D61" i="3"/>
  <c r="C61" i="3"/>
  <c r="E60" i="3"/>
  <c r="D60" i="3"/>
  <c r="C60" i="3"/>
  <c r="E59" i="3"/>
  <c r="D59" i="3"/>
  <c r="C59" i="3"/>
  <c r="E58" i="3"/>
  <c r="D58" i="3"/>
  <c r="C58" i="3"/>
  <c r="F31" i="3"/>
  <c r="E31" i="3"/>
  <c r="D31" i="3"/>
  <c r="Q17" i="3"/>
  <c r="L17" i="3"/>
  <c r="Q16" i="3"/>
  <c r="L16" i="3"/>
  <c r="Q15" i="3"/>
  <c r="L15" i="3"/>
  <c r="Q14" i="3"/>
  <c r="L14" i="3"/>
  <c r="Q13" i="3"/>
  <c r="L13" i="3"/>
  <c r="Q11" i="3"/>
  <c r="L11" i="3"/>
  <c r="Q10" i="3"/>
  <c r="L10" i="3"/>
  <c r="Q9" i="3"/>
  <c r="L9" i="3"/>
  <c r="F6" i="3"/>
  <c r="E6" i="3"/>
  <c r="D6" i="3"/>
  <c r="F5" i="3"/>
  <c r="F26" i="3" s="1"/>
  <c r="E5" i="3"/>
  <c r="E26" i="3" s="1"/>
  <c r="D5" i="3"/>
  <c r="D26" i="3" s="1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N50" i="2"/>
  <c r="I50" i="2"/>
  <c r="N49" i="2"/>
  <c r="I49" i="2"/>
  <c r="N48" i="2"/>
  <c r="M48" i="2"/>
  <c r="I48" i="2"/>
  <c r="N47" i="2"/>
  <c r="I47" i="2"/>
  <c r="N46" i="2"/>
  <c r="I46" i="2"/>
  <c r="N45" i="2"/>
  <c r="I45" i="2"/>
  <c r="N44" i="2"/>
  <c r="I44" i="2"/>
  <c r="N43" i="2"/>
  <c r="I43" i="2"/>
  <c r="N42" i="2"/>
  <c r="I42" i="2"/>
  <c r="N41" i="2"/>
  <c r="I41" i="2"/>
  <c r="N40" i="2"/>
  <c r="I40" i="2"/>
  <c r="N39" i="2"/>
  <c r="I39" i="2"/>
  <c r="N38" i="2"/>
  <c r="I38" i="2"/>
  <c r="N37" i="2"/>
  <c r="I37" i="2"/>
  <c r="N36" i="2"/>
  <c r="I36" i="2"/>
  <c r="N35" i="2"/>
  <c r="I35" i="2"/>
  <c r="N34" i="2"/>
  <c r="I34" i="2"/>
  <c r="N33" i="2"/>
  <c r="I33" i="2"/>
  <c r="N32" i="2"/>
  <c r="I32" i="2"/>
  <c r="N31" i="2"/>
  <c r="I31" i="2"/>
  <c r="N30" i="2"/>
  <c r="I30" i="2"/>
  <c r="N29" i="2"/>
  <c r="I29" i="2"/>
  <c r="N28" i="2"/>
  <c r="I28" i="2"/>
  <c r="N27" i="2"/>
  <c r="I27" i="2"/>
  <c r="N26" i="2"/>
  <c r="I26" i="2"/>
  <c r="N25" i="2"/>
  <c r="I25" i="2"/>
  <c r="N24" i="2"/>
  <c r="I24" i="2"/>
  <c r="N23" i="2"/>
  <c r="I23" i="2"/>
  <c r="N22" i="2"/>
  <c r="I22" i="2"/>
  <c r="N21" i="2"/>
  <c r="I21" i="2"/>
  <c r="N20" i="2"/>
  <c r="I20" i="2"/>
  <c r="N19" i="2"/>
  <c r="I19" i="2"/>
  <c r="N18" i="2"/>
  <c r="I18" i="2"/>
  <c r="N17" i="2"/>
  <c r="I17" i="2"/>
  <c r="N16" i="2"/>
  <c r="I16" i="2"/>
  <c r="N15" i="2"/>
  <c r="I15" i="2"/>
  <c r="N14" i="2"/>
  <c r="I14" i="2"/>
  <c r="N13" i="2"/>
  <c r="I13" i="2"/>
  <c r="N12" i="2"/>
  <c r="I12" i="2"/>
  <c r="N11" i="2"/>
  <c r="I11" i="2"/>
  <c r="N10" i="2"/>
  <c r="I10" i="2"/>
  <c r="N9" i="2"/>
  <c r="I9" i="2"/>
  <c r="N8" i="2"/>
  <c r="I8" i="2"/>
  <c r="N7" i="2"/>
  <c r="I7" i="2"/>
  <c r="N6" i="2"/>
  <c r="I6" i="2"/>
  <c r="N5" i="2"/>
  <c r="I5" i="2"/>
  <c r="N4" i="2"/>
  <c r="J4" i="2"/>
  <c r="I4" i="2"/>
  <c r="D57" i="3" l="1"/>
  <c r="E57" i="3"/>
  <c r="C57" i="3"/>
  <c r="D62" i="3" l="1"/>
  <c r="E45" i="3" l="1"/>
  <c r="D76" i="3" s="1"/>
  <c r="F45" i="3"/>
  <c r="E76" i="3" s="1"/>
  <c r="D45" i="3"/>
  <c r="C62" i="3"/>
  <c r="E62" i="3"/>
  <c r="E46" i="3" l="1"/>
  <c r="E48" i="3" s="1"/>
  <c r="C76" i="3"/>
  <c r="C77" i="3" s="1"/>
</calcChain>
</file>

<file path=xl/sharedStrings.xml><?xml version="1.0" encoding="utf-8"?>
<sst xmlns="http://schemas.openxmlformats.org/spreadsheetml/2006/main" count="895" uniqueCount="436">
  <si>
    <t>评估案例</t>
    <phoneticPr fontId="4" type="noConversion"/>
  </si>
  <si>
    <t>http://www.landjs.com/web/cjgs_list.aspx?xmlx=&amp;xzq=3212&amp;LAND_USE=&amp;REMISE_TYPE=&amp;LAND_POSITION=&amp;PARCEL_NO=&amp;minqdrq=&amp;maxqdrq=&amp;mj=</t>
  </si>
  <si>
    <t>定位</t>
  </si>
  <si>
    <t>行政区</t>
  </si>
  <si>
    <t>地块编号</t>
  </si>
  <si>
    <t>宗地位置</t>
  </si>
  <si>
    <t>土地用途</t>
  </si>
  <si>
    <t>成交时间</t>
  </si>
  <si>
    <r>
      <t>面积(m</t>
    </r>
    <r>
      <rPr>
        <b/>
        <vertAlign val="superscript"/>
        <sz val="9"/>
        <color indexed="63"/>
        <rFont val="Verdana"/>
        <family val="2"/>
      </rPr>
      <t>2</t>
    </r>
    <r>
      <rPr>
        <b/>
        <sz val="9"/>
        <color indexed="63"/>
        <rFont val="Verdana"/>
        <family val="2"/>
      </rPr>
      <t>)</t>
    </r>
  </si>
  <si>
    <t>金额(万元)</t>
  </si>
  <si>
    <r>
      <rPr>
        <b/>
        <sz val="9"/>
        <color indexed="63"/>
        <rFont val="宋体"/>
        <family val="3"/>
        <charset val="134"/>
      </rPr>
      <t>单价</t>
    </r>
    <phoneticPr fontId="4" type="noConversion"/>
  </si>
  <si>
    <r>
      <rPr>
        <b/>
        <sz val="9"/>
        <color indexed="63"/>
        <rFont val="宋体"/>
        <family val="3"/>
        <charset val="134"/>
      </rPr>
      <t>容积率</t>
    </r>
    <phoneticPr fontId="4" type="noConversion"/>
  </si>
  <si>
    <t>容积率修正系数（商业）</t>
    <phoneticPr fontId="4" type="noConversion"/>
  </si>
  <si>
    <t>容积率修正系数（住宅）</t>
    <phoneticPr fontId="4" type="noConversion"/>
  </si>
  <si>
    <t>评估单价</t>
    <phoneticPr fontId="4" type="noConversion"/>
  </si>
  <si>
    <t>泰州市本级</t>
  </si>
  <si>
    <t>泰地示告[2017]5-1号</t>
  </si>
  <si>
    <t>海陵区税务东街27号14室</t>
    <phoneticPr fontId="4" type="noConversion"/>
  </si>
  <si>
    <t>商业</t>
  </si>
  <si>
    <t>泰地储告〔2017〕7-4号</t>
  </si>
  <si>
    <t>海陵区梅兰西路北侧、青年南路西侧</t>
    <phoneticPr fontId="4" type="noConversion"/>
  </si>
  <si>
    <t>住宅</t>
  </si>
  <si>
    <t>1.60≤容积率≤1.80</t>
    <phoneticPr fontId="4" type="noConversion"/>
  </si>
  <si>
    <t>泰地储告〔2017〕7-3号</t>
  </si>
  <si>
    <t>泰州经济开发区青年南路西侧、苏源花园南侧</t>
  </si>
  <si>
    <t>1.60≤容积率≤1.80</t>
  </si>
  <si>
    <t>泰地储告〔2017〕7-2号</t>
  </si>
  <si>
    <t>泰州经济开发区凤凰西路北侧、天虹路西侧</t>
    <phoneticPr fontId="4" type="noConversion"/>
  </si>
  <si>
    <t>1.0010≤容积率≤1.20</t>
    <phoneticPr fontId="4" type="noConversion"/>
  </si>
  <si>
    <t>泰地储告〔2017〕7-1号</t>
  </si>
  <si>
    <t>海陵区东风北路东侧、森园路北侧</t>
    <phoneticPr fontId="4" type="noConversion"/>
  </si>
  <si>
    <t>1.74≤容积率≤1.93</t>
    <phoneticPr fontId="4" type="noConversion"/>
  </si>
  <si>
    <t>泰地储告〔2017〕5-2号</t>
  </si>
  <si>
    <t>泰州医药高新区会展路西侧、会展1号支路...</t>
  </si>
  <si>
    <t>5.66≤容积率≤5.86</t>
    <phoneticPr fontId="4" type="noConversion"/>
  </si>
  <si>
    <t>泰地储告〔2017〕5-1号</t>
  </si>
  <si>
    <t>泰州医药高新区曙光路北侧、会展路西侧</t>
  </si>
  <si>
    <t>3.30≤容积率≤3.50</t>
  </si>
  <si>
    <t>泰地储告〔2017〕4-3号</t>
  </si>
  <si>
    <t>海陵区迎宾路南侧、春晖路东侧</t>
  </si>
  <si>
    <t>商住</t>
  </si>
  <si>
    <t>1.50≤容积率≤1.70</t>
  </si>
  <si>
    <t>泰地储告〔2017〕4-2号</t>
  </si>
  <si>
    <t>周山河街区引江路南侧、东周港路西测</t>
  </si>
  <si>
    <t>2≤容积率≤2.20</t>
  </si>
  <si>
    <t>泰地储告〔2017〕4-1号</t>
  </si>
  <si>
    <t>周山河街区海军大道北侧约50米、东周港...</t>
  </si>
  <si>
    <t>1.90≤容积率≤2.10</t>
  </si>
  <si>
    <t>泰地储告[2017]3-1号</t>
  </si>
  <si>
    <t>海陵区青年南路西侧、规划虹桥西街北侧约...</t>
    <phoneticPr fontId="4" type="noConversion"/>
  </si>
  <si>
    <t>1.20≤容积率≤1.40</t>
    <phoneticPr fontId="4" type="noConversion"/>
  </si>
  <si>
    <t>泰地示告[2017]2-1号</t>
  </si>
  <si>
    <t>泰州市海陵区周武巷34号</t>
  </si>
  <si>
    <t>泰地储告[2017]2-1号</t>
  </si>
  <si>
    <t>东至海陵区海阳大酒店、南至泰州市光孝律...</t>
    <phoneticPr fontId="4" type="noConversion"/>
  </si>
  <si>
    <t>1.80≤容积率≤2</t>
    <phoneticPr fontId="4" type="noConversion"/>
  </si>
  <si>
    <t>泰地储告[2017]1-2号</t>
  </si>
  <si>
    <t>医药高新区会展2号支路北侧、3号支路西侧</t>
  </si>
  <si>
    <t>容积率=4.66</t>
  </si>
  <si>
    <t>泰地储告[2016]17-4号</t>
  </si>
  <si>
    <t>海陵区海陵北路东侧、森园路南侧</t>
  </si>
  <si>
    <t>1.40≤容积率≤1.60</t>
  </si>
  <si>
    <t>泰地储告[2016]17-3号</t>
  </si>
  <si>
    <t>海陵区南通路北侧约60米、海陵北路东侧</t>
  </si>
  <si>
    <t>1.17≤容积率≤1.37</t>
  </si>
  <si>
    <t>泰地储告[2016]17-2号</t>
  </si>
  <si>
    <t>医药高新区兴泰南路东侧、永兴路北侧</t>
  </si>
  <si>
    <t>1.10≤容积率≤1.30</t>
  </si>
  <si>
    <t>泰地储告[2016]17-1号</t>
  </si>
  <si>
    <t>高港区永安洲镇高港大道西侧、国学路北侧</t>
  </si>
  <si>
    <t>泰地示告[2016]8-1号</t>
  </si>
  <si>
    <t>海陵区莲花1号小区37幢南大门西第5间</t>
  </si>
  <si>
    <t>泰地储告〔2016〕16-1号</t>
  </si>
  <si>
    <t>医药高新区泰州大道西侧、学院路南侧</t>
  </si>
  <si>
    <t>1.01≤容积率≤1.12</t>
  </si>
  <si>
    <t>泰地储告[2016]15-2号</t>
  </si>
  <si>
    <t>海陵区迎春东路北侧、231省道东侧约5...</t>
  </si>
  <si>
    <t>2.35≤容积率≤2.55</t>
  </si>
  <si>
    <t>泰地储告[2016]15-1号</t>
  </si>
  <si>
    <t>泰州经济开发区梅兰西路北侧、天虹路西侧</t>
  </si>
  <si>
    <t>1.01≤容积率≤1.20</t>
  </si>
  <si>
    <t>[2016]14-2号</t>
  </si>
  <si>
    <t>医药高新区口泰路东侧、鸭子河南侧</t>
  </si>
  <si>
    <t>容积率=0.52</t>
  </si>
  <si>
    <t>[2016]14-1号</t>
  </si>
  <si>
    <t>医药高新区海陵南路东侧、药城大道北侧</t>
  </si>
  <si>
    <t>1.42≤容积率≤1.62</t>
  </si>
  <si>
    <t>泰地示告[2016]6-1号</t>
  </si>
  <si>
    <t>海陵区莲花1号小区B1（8-9）</t>
  </si>
  <si>
    <t>〔2016〕12-1号</t>
  </si>
  <si>
    <t>高港区永安洲镇沿江高等级公路西侧、联江...</t>
  </si>
  <si>
    <t>容积率≤0.70</t>
  </si>
  <si>
    <t>泰地示告[2016]5-1号</t>
  </si>
  <si>
    <t>海陵区西仓路11号1幢13室</t>
  </si>
  <si>
    <t>〔2016〕11-1号</t>
  </si>
  <si>
    <t>海陵区祥泰路东侧、规划泰九路北侧</t>
  </si>
  <si>
    <t>0.20≤容积率≤0.40</t>
  </si>
  <si>
    <t>〔2016〕10-1号</t>
  </si>
  <si>
    <t>海陵区扬州路北侧、杰盛西苑东侧</t>
  </si>
  <si>
    <t>2.15≤容积率≤2.35</t>
  </si>
  <si>
    <t>[2016]9-1号</t>
  </si>
  <si>
    <t>泰州经济开发区梅兰西路南侧、南官河西侧</t>
  </si>
  <si>
    <t>1.20≤容积率≤1.29</t>
  </si>
  <si>
    <t>[2016]8-1号</t>
  </si>
  <si>
    <t>高港区王营路东侧、春港路南侧</t>
  </si>
  <si>
    <t>泰地示告[2016]3-1号</t>
  </si>
  <si>
    <t>海陵区迎春路二期04、05室</t>
  </si>
  <si>
    <t>[2016]6-4号</t>
  </si>
  <si>
    <t>医药高新区药城大道南侧、工业邻里中心西侧</t>
  </si>
  <si>
    <t>2.80≤容积率≤3</t>
  </si>
  <si>
    <t>[2016]6-3号</t>
  </si>
  <si>
    <t>医药高新区仲野路北侧、会展路东侧</t>
  </si>
  <si>
    <t>[2016]6-2号</t>
  </si>
  <si>
    <t>医药高新区海陵南路东侧、药城大道南侧</t>
  </si>
  <si>
    <t>[2016]6-1号</t>
  </si>
  <si>
    <t>医药高新区海陵南路东侧约300米、药城...</t>
  </si>
  <si>
    <t>泰地示告[2016]1-1号</t>
  </si>
  <si>
    <t>海陵区梅兰东路58号</t>
  </si>
  <si>
    <t>[2016]4-1号</t>
  </si>
  <si>
    <t>泰州经济开发区祥和花园东侧、振兴路北侧...</t>
  </si>
  <si>
    <t>[2016]3-6号</t>
  </si>
  <si>
    <t>医药高新区引江河路东侧、疏港路北侧</t>
  </si>
  <si>
    <t>[2016]3-5号</t>
  </si>
  <si>
    <t>医药高新区泰镇路东侧约100米、疏港路...</t>
  </si>
  <si>
    <t>[2016]3-4号</t>
  </si>
  <si>
    <t>医药高新区药城大道南侧、会展路东侧</t>
  </si>
  <si>
    <t>[2016]3-3号</t>
  </si>
  <si>
    <t>医药高新区药城大道南侧、会展6号支路西侧</t>
  </si>
  <si>
    <t>[2016]3-2号</t>
  </si>
  <si>
    <t>医药高新区泰镇路东侧约200米、时仙路...</t>
  </si>
  <si>
    <t>[2016]3-1号</t>
  </si>
  <si>
    <t>医药高新区鼓楼南路西侧、周山河南侧</t>
  </si>
  <si>
    <t>[2016]2-2号</t>
  </si>
  <si>
    <t>海陵区鼓楼南路东侧、老通扬运河北侧25米</t>
    <phoneticPr fontId="4" type="noConversion"/>
  </si>
  <si>
    <t>0.89≤容积率≤0.99</t>
    <phoneticPr fontId="4" type="noConversion"/>
  </si>
  <si>
    <t>[2016]2-1号</t>
  </si>
  <si>
    <t>海陵区桃园路东侧、静安路北侧</t>
  </si>
  <si>
    <t>容积率≤0.7570</t>
  </si>
  <si>
    <t>[2016]1-1号</t>
  </si>
  <si>
    <t>高港区金港北路东侧、银杏路南侧</t>
  </si>
  <si>
    <t>1.80≤容积率≤2</t>
  </si>
  <si>
    <t>[2015]23-9号</t>
  </si>
  <si>
    <t>医药高新区泰州大道西侧、周山河北侧</t>
  </si>
  <si>
    <t>[2015]23-8号</t>
  </si>
  <si>
    <t>医药高新区泰州大道西侧、周山河南侧</t>
  </si>
  <si>
    <t>[2015]23-7号</t>
  </si>
  <si>
    <t>医药高新区前进河东侧约60米、周山河北侧</t>
  </si>
  <si>
    <t>[2015]23-6号</t>
  </si>
  <si>
    <t>医药高新区鼓楼南路东侧、周山河南侧</t>
  </si>
  <si>
    <t>[2015]23-5号</t>
  </si>
  <si>
    <t>医药高新区周山河南侧、泰白线东侧</t>
  </si>
  <si>
    <t>[2015]23-4号</t>
  </si>
  <si>
    <t>海陵区九龙镇引江河西侧约250米、西堤...</t>
  </si>
  <si>
    <t>[2015]23-3号</t>
  </si>
  <si>
    <t>海陵区九龙镇龙翔路东侧、规划18米道路...</t>
  </si>
  <si>
    <t>[2015]23-2号</t>
  </si>
  <si>
    <t>海陵区九龙镇振兴路北侧、龙园路西侧</t>
  </si>
  <si>
    <t>[2015]23-1号</t>
  </si>
  <si>
    <t>海陵区九龙镇龙翔路东侧、西堤阳光小区北侧</t>
  </si>
  <si>
    <t>[2015]23-10号</t>
  </si>
  <si>
    <t>医药高新区鼓楼南路西侧、周山河北侧</t>
  </si>
  <si>
    <t>[2015]22-2号</t>
  </si>
  <si>
    <t>海陵区东风北路西侧、东风变电所南侧约2...</t>
  </si>
  <si>
    <t>[2015]22-1号</t>
  </si>
  <si>
    <t>海陵区海阳东路北侧、规划智堡路西侧</t>
  </si>
  <si>
    <t>3.10≤容积率≤3.30</t>
  </si>
  <si>
    <t>[2015]21-2号</t>
  </si>
  <si>
    <t>海陵区森园路南侧、江州北路东侧</t>
  </si>
  <si>
    <t>[2015]21-1号</t>
  </si>
  <si>
    <t>海陵区东风北路东侧、森园路北侧</t>
  </si>
  <si>
    <t>泰地示告[2015]4-1号</t>
  </si>
  <si>
    <t>海陵区西仓路10号17室</t>
  </si>
  <si>
    <t>[2015]20-4号</t>
  </si>
  <si>
    <t>海陵区环城东路东侧约160米、规二路南侧</t>
  </si>
  <si>
    <t>[2015]20-3号</t>
  </si>
  <si>
    <t>海陵区环城东路东侧约70米、规二路南侧</t>
  </si>
  <si>
    <t>[2015]20-2号</t>
  </si>
  <si>
    <t>医药高新区凤凰小学东侧、永兴路南侧</t>
  </si>
  <si>
    <t>容积率≤1.77</t>
  </si>
  <si>
    <t>[2015]20-1号</t>
  </si>
  <si>
    <t>高港区大泗镇泗白路东侧、姜泗路北侧</t>
  </si>
  <si>
    <t>[2015]19-4 号</t>
  </si>
  <si>
    <t>海陵区济川东路南侧约220米、春晖路西侧</t>
  </si>
  <si>
    <t>[2015]19-3号</t>
  </si>
  <si>
    <t>海陵区济川东路南侧约430米、春晖路西侧</t>
  </si>
  <si>
    <t>[2015]19-2号</t>
  </si>
  <si>
    <t>海陵区东风南路东侧、体育馆南侧</t>
  </si>
  <si>
    <t>[2015]19-1号</t>
  </si>
  <si>
    <t>海陵区春晖路西侧、康桥水岸北侧</t>
  </si>
  <si>
    <t>[2015]18-2号</t>
  </si>
  <si>
    <t>医药高新区健康大道南侧、规划会展路西侧</t>
  </si>
  <si>
    <t>[2015]18-1号</t>
  </si>
  <si>
    <t>医药高新区泰州大道东侧、健康大道南侧</t>
  </si>
  <si>
    <t>[2015]17-2号</t>
  </si>
  <si>
    <t>海陵区九龙镇龙翔路东侧、振兴路南侧</t>
  </si>
  <si>
    <t>[2015]17-1号</t>
  </si>
  <si>
    <t>海陵区九龙镇龙园路东侧、振兴路北侧</t>
  </si>
  <si>
    <t>[2015]14-1号</t>
  </si>
  <si>
    <t>高港区王营河路东侧、春港路北侧</t>
  </si>
  <si>
    <t>泰地示告[2015]3-1号</t>
  </si>
  <si>
    <t>海陵区西仓路11-1幢29室</t>
  </si>
  <si>
    <t>容积率≤4.20</t>
  </si>
  <si>
    <t>[2015]13-2号</t>
  </si>
  <si>
    <t>海陵区凤凰东路北侧、春晖路东侧</t>
  </si>
  <si>
    <t>[2015]13-1号</t>
  </si>
  <si>
    <t>海陵区凤凰东路北侧约200米、春晖路东侧</t>
  </si>
  <si>
    <t>[2015]12-1号</t>
  </si>
  <si>
    <t>高港区大泗镇泗白路东侧、姜泗路南侧</t>
  </si>
  <si>
    <t>[2015]11-1号</t>
  </si>
  <si>
    <t>海陵区春晖路东侧、规划25米支路南侧</t>
  </si>
  <si>
    <t>1.20≤容积率≤1.70</t>
  </si>
  <si>
    <t>泰地示告[2015]2-1号</t>
  </si>
  <si>
    <t>海陵区莲花7号小区53幢10室</t>
  </si>
  <si>
    <t>容积率≤2.82</t>
  </si>
  <si>
    <t>[2015]10-3号</t>
  </si>
  <si>
    <t>医药高新区海陵南路东侧、姜高路南侧</t>
  </si>
  <si>
    <t>[2015]9-2号</t>
  </si>
  <si>
    <t>医药高新区祥泰路东侧、规划丁香路南侧</t>
  </si>
  <si>
    <t>[2015]9-1号</t>
  </si>
  <si>
    <t>医药高新区规划丁香路南侧、南官河西侧</t>
  </si>
  <si>
    <t>泰地示告[2015]1-1号</t>
  </si>
  <si>
    <t>泰州市海陵区京泰路街道双墩村境内</t>
  </si>
  <si>
    <t>1&lt;容积率≤4.80</t>
  </si>
  <si>
    <t>[2015]7-1号</t>
  </si>
  <si>
    <t>高港区金港路西侧、刁铺农贸市场南侧</t>
  </si>
  <si>
    <t>[2015]6-3号</t>
  </si>
  <si>
    <t>高港区刁东路西侧、解放路北侧</t>
  </si>
  <si>
    <t>1.01&lt;容积率≤1.07</t>
  </si>
  <si>
    <t>[2015]6-2号</t>
  </si>
  <si>
    <t>高港区扬子江路东侧、解放路北侧</t>
  </si>
  <si>
    <t>1.43≤容积率≤1.55</t>
  </si>
  <si>
    <t>[2015]5-5号</t>
  </si>
  <si>
    <t>火车站街区兰州路东侧、站前支路北侧</t>
  </si>
  <si>
    <t>1≤容积率≤1.20</t>
  </si>
  <si>
    <t>[2015]5-4号</t>
  </si>
  <si>
    <t>经济开发区姜高路北侧约45米、祥泰路东侧</t>
  </si>
  <si>
    <t>容积率≤0.40</t>
  </si>
  <si>
    <t>[2015]5-3号</t>
  </si>
  <si>
    <t>海陵区泰和路西侧、凤凰东路北侧约20米</t>
  </si>
  <si>
    <t>2.01≤容积率≤2.21</t>
  </si>
  <si>
    <t>[2015]5-2号</t>
  </si>
  <si>
    <t>海陵区东风北路东侧、华辰尊园南侧</t>
  </si>
  <si>
    <t>1.21≤容积率≤1.42</t>
  </si>
  <si>
    <t>[2015]5-1号</t>
  </si>
  <si>
    <t>高港区白马镇将军路东侧、姜高路北侧</t>
  </si>
  <si>
    <t>2.10≤容积率≤2.30</t>
  </si>
  <si>
    <t>[2015]4-9号</t>
  </si>
  <si>
    <t>医药高新区海陵南路东侧约80米、三新路...</t>
  </si>
  <si>
    <t>[2015]4-8号</t>
  </si>
  <si>
    <t>医药高新区南官河西侧、药城大道南侧</t>
  </si>
  <si>
    <t>[2015]4-7号</t>
  </si>
  <si>
    <t>海陵区江州北路西侧、西域绿洲小区南侧</t>
  </si>
  <si>
    <t>[2015]4-6号</t>
  </si>
  <si>
    <t>海陵区扬州路北侧、道路西侧</t>
  </si>
  <si>
    <t>[2015]4-5号</t>
  </si>
  <si>
    <t>海陵区泰安路西侧、规划兴工路北侧</t>
  </si>
  <si>
    <t>2.84≤容积率≤3.04</t>
  </si>
  <si>
    <t>[2015]4-4号</t>
  </si>
  <si>
    <t>海陵区兴业路南侧、七里河东侧</t>
  </si>
  <si>
    <t>[2015]4-3号</t>
  </si>
  <si>
    <t>海陵区宫涵河东侧、育才路南侧</t>
  </si>
  <si>
    <t>[2015]4-2号</t>
  </si>
  <si>
    <t>海陵区王庄河北侧、春晖路西侧约170米</t>
  </si>
  <si>
    <t>[2015]4-1号</t>
  </si>
  <si>
    <t>海陵区育才路南侧、春晖路西侧</t>
  </si>
  <si>
    <t>[2015]4-16号</t>
  </si>
  <si>
    <t>医药高新区一号路南侧、祥泰路西侧约30...</t>
  </si>
  <si>
    <t>2.82≤容积率≤3.02</t>
  </si>
  <si>
    <t>[2015]4-15号</t>
  </si>
  <si>
    <t>医药高新区口泰路西侧、汽车城干道南侧</t>
  </si>
  <si>
    <t>[2015]4-14号</t>
  </si>
  <si>
    <t>医药高新区海军大道南侧、口泰路西侧</t>
  </si>
  <si>
    <t>[2015]4-13号</t>
  </si>
  <si>
    <t>医药高新区高港路南侧、吴陵南路西侧</t>
  </si>
  <si>
    <t>[2015]4-12号</t>
  </si>
  <si>
    <t>医药高新区健康大道北侧约100米、南官...</t>
  </si>
  <si>
    <t>[2015]4-11号</t>
  </si>
  <si>
    <t>医药高新区规划丁香路南侧、祥泰路东侧约...</t>
  </si>
  <si>
    <t>[2015]4-10号</t>
  </si>
  <si>
    <t>医药高新区药城大道南侧、祥泰路东侧约1...</t>
  </si>
  <si>
    <t>[2015]3-4号</t>
  </si>
  <si>
    <t>高港区永安洲镇中心路东侧、马永路南侧</t>
  </si>
  <si>
    <t>1.37≤容积率≤1.57</t>
  </si>
  <si>
    <t>[2015]3-3号</t>
  </si>
  <si>
    <t>医药高新区口泰南路西侧、学院路北侧</t>
  </si>
  <si>
    <t>2&lt;容积率≤2.30</t>
  </si>
  <si>
    <t>[2015]3-2号</t>
  </si>
  <si>
    <t>泰州经济开发区鲍九路西侧、海蜇沟南侧</t>
  </si>
  <si>
    <t>泰地示告[2014]12-1号</t>
  </si>
  <si>
    <t>景光新村32幢101、201号</t>
  </si>
  <si>
    <t>泰地示告[2014]11-1号</t>
  </si>
  <si>
    <t>泰州市海陵区八字桥西街42号</t>
  </si>
  <si>
    <t>[2015]1-9号</t>
  </si>
  <si>
    <t>医药高新区南官河东侧、帅于河北侧</t>
  </si>
  <si>
    <t>[2015]1-8号</t>
  </si>
  <si>
    <t>医药高新区南官河东侧、鸭子河南侧</t>
  </si>
  <si>
    <t>[2015]1-7号</t>
  </si>
  <si>
    <t>医药高新区海陵南路东侧、曙光河南侧约8...</t>
  </si>
  <si>
    <t>[2015]1-6号</t>
  </si>
  <si>
    <t>医药高新区泰镇路东侧约60米、疏港路南...</t>
  </si>
  <si>
    <t>[2015]1-5号</t>
  </si>
  <si>
    <t>海陵区南通路南侧、春兰厂区东侧</t>
  </si>
  <si>
    <t>[2015]1-4号</t>
  </si>
  <si>
    <t>海陵区春晖路东侧、中江花苑南侧</t>
  </si>
  <si>
    <t>[2015]1-3号</t>
  </si>
  <si>
    <t>高港区白马镇周山河南侧、河流西侧</t>
  </si>
  <si>
    <t>[2015]1-2号</t>
  </si>
  <si>
    <t>周山河街区翻身河南侧、凤凰河东侧</t>
  </si>
  <si>
    <t>3.35≤容积率≤3.55</t>
  </si>
  <si>
    <t>[2015]1-1号</t>
  </si>
  <si>
    <t>海陵区东进路南侧、东河路东侧</t>
  </si>
  <si>
    <t>[2015]1-15号</t>
  </si>
  <si>
    <t>医药高新区凤凰东路南侧、兴泰南路西侧</t>
  </si>
  <si>
    <t>[2015]1-14号</t>
  </si>
  <si>
    <t>医药高新区东风南路东侧、凤凰东路南侧</t>
  </si>
  <si>
    <t>2.83≤容积率≤3.04</t>
  </si>
  <si>
    <t>[2015]1-13号</t>
  </si>
  <si>
    <t>医药高新区药城大道北侧、泰州大道西侧</t>
  </si>
  <si>
    <t>[2015]1-12号</t>
  </si>
  <si>
    <t>医药高新区海陵南路东侧、人工湖南侧</t>
  </si>
  <si>
    <t>[2015]1-11号</t>
  </si>
  <si>
    <t>医药高新区杏林路北侧、南官河东侧</t>
  </si>
  <si>
    <t>[2015]1-10号</t>
  </si>
  <si>
    <t>医药高新区南官河东侧、药城大道北侧</t>
  </si>
  <si>
    <t>2.87≤容积率≤3.07</t>
  </si>
  <si>
    <t>商业</t>
    <phoneticPr fontId="4" type="noConversion"/>
  </si>
  <si>
    <t>终止日期</t>
    <phoneticPr fontId="4" type="noConversion"/>
  </si>
  <si>
    <t>土地使用年期</t>
    <phoneticPr fontId="4" type="noConversion"/>
  </si>
  <si>
    <t>市场比较法计算表</t>
    <phoneticPr fontId="4" type="noConversion"/>
  </si>
  <si>
    <t>http://www.landvalue.com.cn/Lvmonitor/Index</t>
  </si>
  <si>
    <t>宗地及实例                     比较因素</t>
  </si>
  <si>
    <t>待估宗地</t>
  </si>
  <si>
    <r>
      <t>案例</t>
    </r>
    <r>
      <rPr>
        <b/>
        <sz val="10.5"/>
        <rFont val="Times New Roman"/>
        <family val="1"/>
      </rPr>
      <t>A</t>
    </r>
  </si>
  <si>
    <r>
      <t>案例</t>
    </r>
    <r>
      <rPr>
        <b/>
        <sz val="10.5"/>
        <rFont val="Times New Roman"/>
        <family val="1"/>
      </rPr>
      <t>B</t>
    </r>
  </si>
  <si>
    <r>
      <t>案例</t>
    </r>
    <r>
      <rPr>
        <b/>
        <sz val="10.5"/>
        <rFont val="Times New Roman"/>
        <family val="1"/>
      </rPr>
      <t>C</t>
    </r>
  </si>
  <si>
    <t>苏中地区监测指标情况一览表</t>
    <phoneticPr fontId="4" type="noConversion"/>
  </si>
  <si>
    <r>
      <t>土地单价（元</t>
    </r>
    <r>
      <rPr>
        <sz val="10.5"/>
        <rFont val="Times New Roman"/>
        <family val="1"/>
      </rPr>
      <t>/m</t>
    </r>
    <r>
      <rPr>
        <vertAlign val="superscript"/>
        <sz val="10.5"/>
        <rFont val="Times New Roman"/>
        <family val="1"/>
      </rPr>
      <t>2</t>
    </r>
    <r>
      <rPr>
        <sz val="10.5"/>
        <rFont val="仿宋_GB2312"/>
        <family val="3"/>
        <charset val="134"/>
      </rPr>
      <t>）</t>
    </r>
  </si>
  <si>
    <t>待评估</t>
  </si>
  <si>
    <t>住宅</t>
    <phoneticPr fontId="4" type="noConversion"/>
  </si>
  <si>
    <t>交易时间</t>
  </si>
  <si>
    <t>时间</t>
  </si>
  <si>
    <t>水平值</t>
  </si>
  <si>
    <t>环比增长率</t>
  </si>
  <si>
    <t>指数</t>
  </si>
  <si>
    <t>交易情况</t>
  </si>
  <si>
    <t>正常</t>
  </si>
  <si>
    <t>交易方式</t>
  </si>
  <si>
    <t>出让</t>
  </si>
  <si>
    <t>土地使用年期</t>
  </si>
  <si>
    <t>区域因素</t>
  </si>
  <si>
    <t>区域繁华程度</t>
  </si>
  <si>
    <t>位于海陵区泰九路，商服繁华程度优</t>
    <phoneticPr fontId="4" type="noConversion"/>
  </si>
  <si>
    <t>位于海陵区鼓楼南路东侧，商服繁华程度优</t>
    <phoneticPr fontId="4" type="noConversion"/>
  </si>
  <si>
    <t>位于海陵区规划虹桥西街北侧，商服繁华程度一般</t>
    <phoneticPr fontId="4" type="noConversion"/>
  </si>
  <si>
    <t>位于海陵区海阳大酒店附近，商服繁华程度一般</t>
    <phoneticPr fontId="4" type="noConversion"/>
  </si>
  <si>
    <t>道路通达度</t>
  </si>
  <si>
    <t>位于泰九路，道路通达度较优</t>
    <phoneticPr fontId="4" type="noConversion"/>
  </si>
  <si>
    <t>位于鼓楼南路，道路通达度较优</t>
    <phoneticPr fontId="4" type="noConversion"/>
  </si>
  <si>
    <t>位于规划虹桥西街，道路通达度一般</t>
    <phoneticPr fontId="4" type="noConversion"/>
  </si>
  <si>
    <t>位于巷道 ，道路通达度一般</t>
    <phoneticPr fontId="4" type="noConversion"/>
  </si>
  <si>
    <t>交通便捷度</t>
  </si>
  <si>
    <t>周边有22路;23路;301路;301路夜班，公交便捷度较优</t>
    <phoneticPr fontId="4" type="noConversion"/>
  </si>
  <si>
    <t>周边有15路;16路;18路;603路，公交便捷度较优</t>
    <phoneticPr fontId="4" type="noConversion"/>
  </si>
  <si>
    <t>周边有1路;3路;12路;15路;26路;113路;118路，公交便捷度较优</t>
    <phoneticPr fontId="4" type="noConversion"/>
  </si>
  <si>
    <t>周边有17路;23路;公交便捷度一般</t>
    <phoneticPr fontId="4" type="noConversion"/>
  </si>
  <si>
    <t>基础设施状况</t>
    <phoneticPr fontId="4" type="noConversion"/>
  </si>
  <si>
    <t>宗地红线外市政基础设施达到五通一平，水电气较完备，基础设施较优</t>
    <phoneticPr fontId="4" type="noConversion"/>
  </si>
  <si>
    <t>宗地红线外市政基础设施达到五通一平，水电气一般，基础设施一般</t>
    <phoneticPr fontId="4" type="noConversion"/>
  </si>
  <si>
    <t>公用设施状况</t>
  </si>
  <si>
    <t>超市、银行、医院、教育、农贸市场等较完备，公用设施状况一般</t>
    <phoneticPr fontId="4" type="noConversion"/>
  </si>
  <si>
    <t>区域规划</t>
  </si>
  <si>
    <t>区域规划无限制，一般</t>
    <phoneticPr fontId="4" type="noConversion"/>
  </si>
  <si>
    <t>环境条件</t>
  </si>
  <si>
    <t>人文环境、自然环境一般</t>
    <phoneticPr fontId="4" type="noConversion"/>
  </si>
  <si>
    <t>个别因素</t>
  </si>
  <si>
    <t>位于海陵区泰九路，位置较优</t>
    <phoneticPr fontId="4" type="noConversion"/>
  </si>
  <si>
    <t>位于海陵区鼓楼南路东侧，位置较优</t>
    <phoneticPr fontId="4" type="noConversion"/>
  </si>
  <si>
    <t>位于海陵区规划虹桥西街北侧，位置较优</t>
    <phoneticPr fontId="4" type="noConversion"/>
  </si>
  <si>
    <t>位于海陵区海阳大酒店附近，位置较优</t>
    <phoneticPr fontId="4" type="noConversion"/>
  </si>
  <si>
    <t>宗地面积</t>
  </si>
  <si>
    <t>面积适宜</t>
    <phoneticPr fontId="4" type="noConversion"/>
  </si>
  <si>
    <t>宗地形状</t>
  </si>
  <si>
    <t>较规则，基本无影响</t>
  </si>
  <si>
    <t>宗地内开发水平</t>
  </si>
  <si>
    <t>场地内平整</t>
  </si>
  <si>
    <t>地质条件</t>
  </si>
  <si>
    <t>地质条件一般，地基承载力一般</t>
    <phoneticPr fontId="4" type="noConversion"/>
  </si>
  <si>
    <t>容积率</t>
  </si>
  <si>
    <t>2.8&lt;容积率≤3</t>
    <phoneticPr fontId="4" type="noConversion"/>
  </si>
  <si>
    <t>基础设施状况</t>
  </si>
  <si>
    <t>环境质量优劣度</t>
  </si>
  <si>
    <t>容积率修正</t>
    <phoneticPr fontId="4" type="noConversion"/>
  </si>
  <si>
    <r>
      <t>比准单价（元</t>
    </r>
    <r>
      <rPr>
        <sz val="10.5"/>
        <rFont val="Times New Roman"/>
        <family val="1"/>
      </rPr>
      <t>/m</t>
    </r>
    <r>
      <rPr>
        <vertAlign val="superscript"/>
        <sz val="10.5"/>
        <rFont val="Times New Roman"/>
        <family val="1"/>
      </rPr>
      <t>2</t>
    </r>
    <r>
      <rPr>
        <sz val="10.5"/>
        <rFont val="仿宋_GB2312"/>
        <family val="3"/>
        <charset val="134"/>
      </rPr>
      <t>）</t>
    </r>
  </si>
  <si>
    <r>
      <t>修正后单价（元</t>
    </r>
    <r>
      <rPr>
        <sz val="10.5"/>
        <rFont val="Times New Roman"/>
        <family val="1"/>
      </rPr>
      <t>/</t>
    </r>
    <r>
      <rPr>
        <sz val="10.5"/>
        <rFont val="仿宋_GB2312"/>
        <family val="3"/>
        <charset val="134"/>
      </rPr>
      <t>平方米）</t>
    </r>
    <phoneticPr fontId="3" type="noConversion"/>
  </si>
  <si>
    <r>
      <t>比准单价（元</t>
    </r>
    <r>
      <rPr>
        <sz val="10.5"/>
        <rFont val="Times New Roman"/>
        <family val="1"/>
      </rPr>
      <t>/</t>
    </r>
    <r>
      <rPr>
        <sz val="10.5"/>
        <rFont val="仿宋_GB2312"/>
        <family val="3"/>
        <charset val="134"/>
      </rPr>
      <t>平方米）</t>
    </r>
    <phoneticPr fontId="3" type="noConversion"/>
  </si>
  <si>
    <t>面积（平方米）</t>
    <phoneticPr fontId="3" type="noConversion"/>
  </si>
  <si>
    <t>评估总价</t>
    <phoneticPr fontId="3" type="noConversion"/>
  </si>
  <si>
    <t>以下表格用于贴到评估说明中。</t>
    <phoneticPr fontId="3" type="noConversion"/>
  </si>
  <si>
    <t>2017/12/31</t>
  </si>
  <si>
    <t>基准日</t>
    <phoneticPr fontId="4" type="noConversion"/>
  </si>
  <si>
    <t>剩余年限年期</t>
    <phoneticPr fontId="4" type="noConversion"/>
  </si>
  <si>
    <t>年期修正系数</t>
    <phoneticPr fontId="4" type="noConversion"/>
  </si>
  <si>
    <t>被评估单位：</t>
    <phoneticPr fontId="4" type="noConversion"/>
  </si>
  <si>
    <t>评估人员：</t>
    <phoneticPr fontId="4" type="noConversion"/>
  </si>
  <si>
    <t>索引号：</t>
    <phoneticPr fontId="4" type="noConversion"/>
  </si>
  <si>
    <t>C4-12-1/3</t>
    <phoneticPr fontId="4" type="noConversion"/>
  </si>
  <si>
    <t>评估基准日：</t>
    <phoneticPr fontId="4" type="noConversion"/>
  </si>
  <si>
    <t>复核人员：</t>
    <phoneticPr fontId="4" type="noConversion"/>
  </si>
  <si>
    <t>页  次：</t>
    <phoneticPr fontId="4" type="noConversion"/>
  </si>
  <si>
    <t>泰州市****</t>
    <phoneticPr fontId="4" type="noConversion"/>
  </si>
  <si>
    <t>商业案例A</t>
    <phoneticPr fontId="4" type="noConversion"/>
  </si>
  <si>
    <t>[2016]2-2号</t>
    <phoneticPr fontId="4" type="noConversion"/>
  </si>
  <si>
    <t>公告编号</t>
  </si>
  <si>
    <t>泰地储告[2016]2号</t>
  </si>
  <si>
    <t>土地位置</t>
  </si>
  <si>
    <t>公示开始时间</t>
  </si>
  <si>
    <t>公示截止时间</t>
  </si>
  <si>
    <t>所属行政区</t>
  </si>
  <si>
    <t>出让面积（平方米）</t>
  </si>
  <si>
    <t>建筑面积（平方米）</t>
  </si>
  <si>
    <t>规划用途</t>
  </si>
  <si>
    <t>出让年限（年）</t>
  </si>
  <si>
    <t>挂牌</t>
  </si>
  <si>
    <t>起始价（万元）</t>
  </si>
  <si>
    <t>竞得价（万元）</t>
  </si>
  <si>
    <t>竞得单位</t>
  </si>
  <si>
    <t>泰州凤城河建设发展有限公司</t>
  </si>
  <si>
    <t>商业案例B</t>
    <phoneticPr fontId="4" type="noConversion"/>
  </si>
  <si>
    <t>泰地储告[2017]3号</t>
  </si>
  <si>
    <t>海陵区青年南路西侧、规划虹桥西街北侧约30米</t>
  </si>
  <si>
    <t>泰州市鑫通停车场建设管理有限公司</t>
  </si>
  <si>
    <t>商业案例C</t>
    <phoneticPr fontId="4" type="noConversion"/>
  </si>
  <si>
    <t>泰地储告[2017]2-1号</t>
    <phoneticPr fontId="4" type="noConversion"/>
  </si>
  <si>
    <t>泰地储告[2017]2号</t>
    <phoneticPr fontId="4" type="noConversion"/>
  </si>
  <si>
    <t>东至海陵区海阳大酒店、南至泰州市光孝律寺、西至巷道、北至人民西路</t>
    <phoneticPr fontId="4" type="noConversion"/>
  </si>
  <si>
    <t>泰州市鑫通置业有限公司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</si>
</sst>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0.00_ "/>
    <numFmt numFmtId="177" formatCode="0.00_);[Red]\(0.00\)"/>
    <numFmt numFmtId="178" formatCode="0.0000_);[Red]\(0.0000\)"/>
    <numFmt numFmtId="179" formatCode="0.0000"/>
    <numFmt numFmtId="180" formatCode="0.0000_ "/>
    <numFmt numFmtId="181" formatCode="0_);[Red]\(0\)"/>
    <numFmt numFmtId="182" formatCode="_ * #,##0_ ;_ * \-#,##0_ ;_ * &quot;-&quot;??_ ;_ @_ "/>
    <numFmt numFmtId="183" formatCode="[$-F800]dddd\,\ mmmm\ dd\,\ yyyy"/>
  </numFmts>
  <fonts count="37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8"/>
      <color theme="1"/>
      <name val="等线"/>
      <family val="3"/>
      <charset val="134"/>
      <scheme val="minor"/>
    </font>
    <font>
      <b/>
      <sz val="9"/>
      <color rgb="FF333333"/>
      <name val="Verdana"/>
      <family val="2"/>
    </font>
    <font>
      <b/>
      <vertAlign val="superscript"/>
      <sz val="9"/>
      <color indexed="63"/>
      <name val="Verdana"/>
      <family val="2"/>
    </font>
    <font>
      <b/>
      <sz val="9"/>
      <color indexed="63"/>
      <name val="Verdana"/>
      <family val="2"/>
    </font>
    <font>
      <b/>
      <sz val="9"/>
      <color indexed="63"/>
      <name val="宋体"/>
      <family val="3"/>
      <charset val="134"/>
    </font>
    <font>
      <b/>
      <sz val="9"/>
      <color rgb="FF333333"/>
      <name val="宋体"/>
      <family val="3"/>
      <charset val="134"/>
    </font>
    <font>
      <sz val="9"/>
      <color rgb="FF000000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9"/>
      <color theme="10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0.5"/>
      <color theme="1"/>
      <name val="Times New Roman"/>
      <family val="1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sz val="10.5"/>
      <name val="仿宋_GB2312"/>
      <family val="3"/>
      <charset val="134"/>
    </font>
    <font>
      <b/>
      <sz val="10.5"/>
      <name val="Times New Roman"/>
      <family val="1"/>
    </font>
    <font>
      <sz val="10"/>
      <color theme="1"/>
      <name val="等线"/>
      <family val="3"/>
      <charset val="134"/>
      <scheme val="minor"/>
    </font>
    <font>
      <sz val="11"/>
      <color rgb="FF129D29"/>
      <name val="等线"/>
      <family val="3"/>
      <charset val="134"/>
      <scheme val="minor"/>
    </font>
    <font>
      <sz val="10.5"/>
      <name val="仿宋_GB2312"/>
      <family val="3"/>
      <charset val="134"/>
    </font>
    <font>
      <sz val="10.5"/>
      <name val="Times New Roman"/>
      <family val="1"/>
    </font>
    <font>
      <vertAlign val="superscript"/>
      <sz val="10.5"/>
      <name val="Times New Roman"/>
      <family val="1"/>
    </font>
    <font>
      <sz val="10.5"/>
      <color indexed="8"/>
      <name val="仿宋_GB2312"/>
      <family val="3"/>
      <charset val="134"/>
    </font>
    <font>
      <sz val="10"/>
      <name val="宋体"/>
      <family val="3"/>
      <charset val="134"/>
    </font>
    <font>
      <sz val="10.5"/>
      <name val="宋体"/>
      <family val="3"/>
      <charset val="134"/>
    </font>
    <font>
      <sz val="10"/>
      <color indexed="8"/>
      <name val="Arial"/>
      <family val="2"/>
    </font>
    <font>
      <b/>
      <sz val="14"/>
      <name val="宋体"/>
      <family val="3"/>
      <charset val="134"/>
    </font>
    <font>
      <sz val="12"/>
      <name val="Times New Roman"/>
      <family val="1"/>
    </font>
    <font>
      <sz val="10"/>
      <name val="Times New Roman"/>
      <family val="1"/>
    </font>
    <font>
      <sz val="10"/>
      <color rgb="FF003399"/>
      <name val="等线"/>
      <family val="3"/>
      <charset val="134"/>
      <scheme val="minor"/>
    </font>
    <font>
      <b/>
      <sz val="10"/>
      <color rgb="FF383838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u/>
      <sz val="10"/>
      <color indexed="12"/>
      <name val="宋体"/>
      <family val="3"/>
      <charset val="134"/>
    </font>
    <font>
      <sz val="10"/>
      <color rgb="FF383838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FE8ED"/>
      </left>
      <right style="thin">
        <color rgb="FFDFE8ED"/>
      </right>
      <top/>
      <bottom style="thin">
        <color rgb="FFDFE8ED"/>
      </bottom>
      <diagonal/>
    </border>
    <border>
      <left style="thin">
        <color rgb="FFDFE8ED"/>
      </left>
      <right style="thin">
        <color rgb="FFDFE8ED"/>
      </right>
      <top style="thin">
        <color rgb="FFDFE8ED"/>
      </top>
      <bottom style="thin">
        <color rgb="FFDFE8ED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8">
    <xf numFmtId="0" fontId="0" fillId="0" borderId="0"/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30" fillId="0" borderId="0">
      <alignment vertical="center"/>
    </xf>
  </cellStyleXfs>
  <cellXfs count="135">
    <xf numFmtId="0" fontId="0" fillId="0" borderId="0" xfId="0"/>
    <xf numFmtId="0" fontId="1" fillId="2" borderId="0" xfId="1" applyFill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3" fillId="3" borderId="1" xfId="2" applyFont="1" applyFill="1" applyBorder="1" applyAlignment="1" applyProtection="1">
      <alignment horizontal="center" vertical="center" wrapText="1"/>
    </xf>
    <xf numFmtId="0" fontId="11" fillId="3" borderId="1" xfId="1" applyFont="1" applyFill="1" applyBorder="1" applyAlignment="1">
      <alignment horizontal="left" vertical="center" shrinkToFit="1"/>
    </xf>
    <xf numFmtId="14" fontId="11" fillId="3" borderId="1" xfId="1" applyNumberFormat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right" vertical="center" wrapText="1"/>
    </xf>
    <xf numFmtId="0" fontId="13" fillId="3" borderId="1" xfId="2" applyFont="1" applyFill="1" applyBorder="1" applyAlignment="1" applyProtection="1">
      <alignment horizontal="right" vertical="center" wrapText="1"/>
    </xf>
    <xf numFmtId="43" fontId="1" fillId="3" borderId="0" xfId="3" applyFont="1" applyFill="1">
      <alignment vertical="center"/>
    </xf>
    <xf numFmtId="2" fontId="1" fillId="3" borderId="0" xfId="1" applyNumberFormat="1" applyFill="1">
      <alignment vertical="center"/>
    </xf>
    <xf numFmtId="0" fontId="15" fillId="3" borderId="0" xfId="1" applyFont="1" applyFill="1" applyAlignment="1">
      <alignment horizontal="justify" vertical="center"/>
    </xf>
    <xf numFmtId="0" fontId="1" fillId="3" borderId="0" xfId="1" applyFill="1">
      <alignment vertical="center"/>
    </xf>
    <xf numFmtId="176" fontId="11" fillId="3" borderId="4" xfId="1" applyNumberFormat="1" applyFont="1" applyFill="1" applyBorder="1" applyAlignment="1">
      <alignment horizontal="right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3" fillId="4" borderId="1" xfId="2" applyFont="1" applyFill="1" applyBorder="1" applyAlignment="1" applyProtection="1">
      <alignment horizontal="center" vertical="center" wrapText="1"/>
    </xf>
    <xf numFmtId="0" fontId="11" fillId="4" borderId="1" xfId="1" applyFont="1" applyFill="1" applyBorder="1" applyAlignment="1">
      <alignment horizontal="left" vertical="center" shrinkToFit="1"/>
    </xf>
    <xf numFmtId="14" fontId="11" fillId="4" borderId="1" xfId="1" applyNumberFormat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right" vertical="center" wrapText="1"/>
    </xf>
    <xf numFmtId="0" fontId="13" fillId="4" borderId="1" xfId="2" applyFont="1" applyFill="1" applyBorder="1" applyAlignment="1" applyProtection="1">
      <alignment horizontal="right" vertical="center" wrapText="1"/>
    </xf>
    <xf numFmtId="43" fontId="1" fillId="4" borderId="0" xfId="3" applyFont="1" applyFill="1">
      <alignment vertical="center"/>
    </xf>
    <xf numFmtId="0" fontId="1" fillId="4" borderId="0" xfId="1" applyFill="1">
      <alignment vertical="center"/>
    </xf>
    <xf numFmtId="0" fontId="15" fillId="4" borderId="0" xfId="1" applyFont="1" applyFill="1" applyAlignment="1">
      <alignment horizontal="justify" vertical="center"/>
    </xf>
    <xf numFmtId="176" fontId="11" fillId="4" borderId="1" xfId="1" applyNumberFormat="1" applyFont="1" applyFill="1" applyBorder="1" applyAlignment="1">
      <alignment horizontal="righ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3" fillId="2" borderId="1" xfId="2" applyFont="1" applyFill="1" applyBorder="1" applyAlignment="1" applyProtection="1">
      <alignment horizontal="center" vertical="center" wrapText="1"/>
    </xf>
    <xf numFmtId="0" fontId="11" fillId="2" borderId="1" xfId="1" applyFont="1" applyFill="1" applyBorder="1" applyAlignment="1">
      <alignment horizontal="left" vertical="center" shrinkToFit="1"/>
    </xf>
    <xf numFmtId="14" fontId="11" fillId="2" borderId="1" xfId="1" applyNumberFormat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right" vertical="center" wrapText="1"/>
    </xf>
    <xf numFmtId="0" fontId="13" fillId="2" borderId="1" xfId="2" applyFont="1" applyFill="1" applyBorder="1" applyAlignment="1" applyProtection="1">
      <alignment horizontal="right" vertical="center" wrapText="1"/>
    </xf>
    <xf numFmtId="43" fontId="1" fillId="2" borderId="0" xfId="3" applyFont="1" applyFill="1">
      <alignment vertical="center"/>
    </xf>
    <xf numFmtId="0" fontId="15" fillId="2" borderId="0" xfId="1" applyFont="1" applyFill="1" applyAlignment="1">
      <alignment horizontal="justify" vertical="center"/>
    </xf>
    <xf numFmtId="176" fontId="11" fillId="2" borderId="1" xfId="1" applyNumberFormat="1" applyFont="1" applyFill="1" applyBorder="1" applyAlignment="1">
      <alignment horizontal="right" vertical="center" wrapText="1"/>
    </xf>
    <xf numFmtId="176" fontId="11" fillId="3" borderId="1" xfId="1" applyNumberFormat="1" applyFont="1" applyFill="1" applyBorder="1" applyAlignment="1">
      <alignment horizontal="right" vertical="center" wrapText="1"/>
    </xf>
    <xf numFmtId="0" fontId="11" fillId="2" borderId="1" xfId="1" applyFont="1" applyFill="1" applyBorder="1" applyAlignment="1">
      <alignment horizontal="left" vertical="center" wrapText="1"/>
    </xf>
    <xf numFmtId="0" fontId="1" fillId="2" borderId="0" xfId="1" applyFill="1" applyAlignment="1">
      <alignment horizontal="center" vertical="center"/>
    </xf>
    <xf numFmtId="31" fontId="1" fillId="2" borderId="0" xfId="1" applyNumberFormat="1" applyFill="1" applyAlignment="1">
      <alignment horizontal="right" vertical="center"/>
    </xf>
    <xf numFmtId="177" fontId="1" fillId="2" borderId="0" xfId="1" applyNumberFormat="1" applyFill="1">
      <alignment vertical="center"/>
    </xf>
    <xf numFmtId="178" fontId="1" fillId="2" borderId="0" xfId="1" applyNumberFormat="1" applyFill="1">
      <alignment vertical="center"/>
    </xf>
    <xf numFmtId="0" fontId="1" fillId="2" borderId="0" xfId="1" applyFill="1" applyAlignment="1">
      <alignment vertical="center"/>
    </xf>
    <xf numFmtId="0" fontId="12" fillId="2" borderId="5" xfId="2" applyFill="1" applyBorder="1" applyAlignment="1" applyProtection="1">
      <alignment vertical="center"/>
    </xf>
    <xf numFmtId="0" fontId="1" fillId="2" borderId="5" xfId="1" applyFill="1" applyBorder="1">
      <alignment vertical="center"/>
    </xf>
    <xf numFmtId="0" fontId="18" fillId="2" borderId="5" xfId="4" applyFont="1" applyFill="1" applyBorder="1" applyAlignment="1">
      <alignment horizontal="center" vertical="center" wrapText="1"/>
    </xf>
    <xf numFmtId="0" fontId="20" fillId="2" borderId="5" xfId="1" applyFont="1" applyFill="1" applyBorder="1" applyAlignment="1">
      <alignment horizontal="left" vertical="center"/>
    </xf>
    <xf numFmtId="0" fontId="21" fillId="2" borderId="5" xfId="1" applyFont="1" applyFill="1" applyBorder="1" applyAlignment="1">
      <alignment vertical="center" wrapText="1"/>
    </xf>
    <xf numFmtId="0" fontId="21" fillId="2" borderId="0" xfId="1" applyFont="1" applyFill="1" applyAlignment="1">
      <alignment vertical="center" wrapText="1"/>
    </xf>
    <xf numFmtId="0" fontId="22" fillId="2" borderId="5" xfId="4" applyFont="1" applyFill="1" applyBorder="1" applyAlignment="1">
      <alignment horizontal="center" vertical="center" wrapText="1"/>
    </xf>
    <xf numFmtId="176" fontId="23" fillId="2" borderId="5" xfId="4" applyNumberFormat="1" applyFont="1" applyFill="1" applyBorder="1" applyAlignment="1">
      <alignment horizontal="center" vertical="center" wrapText="1"/>
    </xf>
    <xf numFmtId="0" fontId="20" fillId="2" borderId="5" xfId="1" applyFont="1" applyFill="1" applyBorder="1" applyAlignment="1">
      <alignment horizontal="center" vertical="center" wrapText="1"/>
    </xf>
    <xf numFmtId="0" fontId="22" fillId="2" borderId="5" xfId="4" applyFont="1" applyFill="1" applyBorder="1" applyAlignment="1">
      <alignment horizontal="center" vertical="center" wrapText="1"/>
    </xf>
    <xf numFmtId="14" fontId="23" fillId="2" borderId="5" xfId="4" applyNumberFormat="1" applyFont="1" applyFill="1" applyBorder="1" applyAlignment="1">
      <alignment horizontal="center" vertical="center" shrinkToFit="1"/>
    </xf>
    <xf numFmtId="176" fontId="25" fillId="2" borderId="5" xfId="4" applyNumberFormat="1" applyFont="1" applyFill="1" applyBorder="1" applyAlignment="1">
      <alignment horizontal="center" vertical="center" wrapText="1"/>
    </xf>
    <xf numFmtId="0" fontId="25" fillId="2" borderId="5" xfId="4" applyFont="1" applyFill="1" applyBorder="1" applyAlignment="1">
      <alignment horizontal="center" vertical="center" wrapText="1"/>
    </xf>
    <xf numFmtId="0" fontId="26" fillId="2" borderId="0" xfId="1" applyFont="1" applyFill="1" applyAlignment="1">
      <alignment vertical="center"/>
    </xf>
    <xf numFmtId="0" fontId="22" fillId="2" borderId="9" xfId="4" applyFont="1" applyFill="1" applyBorder="1" applyAlignment="1">
      <alignment horizontal="center" vertical="center" wrapText="1"/>
    </xf>
    <xf numFmtId="0" fontId="27" fillId="2" borderId="5" xfId="4" applyFont="1" applyFill="1" applyBorder="1" applyAlignment="1">
      <alignment horizontal="center" vertical="center" wrapText="1"/>
    </xf>
    <xf numFmtId="0" fontId="20" fillId="2" borderId="10" xfId="1" applyFont="1" applyFill="1" applyBorder="1" applyAlignment="1">
      <alignment horizontal="center" vertical="center" wrapText="1"/>
    </xf>
    <xf numFmtId="0" fontId="20" fillId="2" borderId="11" xfId="1" applyFont="1" applyFill="1" applyBorder="1" applyAlignment="1">
      <alignment horizontal="center" vertical="center" wrapText="1"/>
    </xf>
    <xf numFmtId="9" fontId="22" fillId="2" borderId="5" xfId="4" applyNumberFormat="1" applyFont="1" applyFill="1" applyBorder="1" applyAlignment="1">
      <alignment horizontal="center" vertical="center" wrapText="1"/>
    </xf>
    <xf numFmtId="0" fontId="17" fillId="2" borderId="0" xfId="4" applyFill="1">
      <alignment vertical="center"/>
    </xf>
    <xf numFmtId="0" fontId="22" fillId="2" borderId="5" xfId="4" applyFont="1" applyFill="1" applyBorder="1" applyAlignment="1">
      <alignment horizontal="center" wrapText="1"/>
    </xf>
    <xf numFmtId="1" fontId="23" fillId="2" borderId="5" xfId="4" applyNumberFormat="1" applyFont="1" applyFill="1" applyBorder="1" applyAlignment="1">
      <alignment horizontal="center" vertical="center" wrapText="1"/>
    </xf>
    <xf numFmtId="0" fontId="28" fillId="2" borderId="5" xfId="5" applyFont="1" applyFill="1" applyBorder="1" applyAlignment="1" applyProtection="1">
      <alignment horizontal="center" vertical="center"/>
    </xf>
    <xf numFmtId="0" fontId="23" fillId="2" borderId="0" xfId="4" applyFont="1" applyFill="1" applyBorder="1" applyAlignment="1">
      <alignment horizontal="center" vertical="center" wrapText="1"/>
    </xf>
    <xf numFmtId="0" fontId="22" fillId="2" borderId="0" xfId="1" applyFont="1" applyFill="1" applyBorder="1" applyAlignment="1">
      <alignment horizontal="center" wrapText="1"/>
    </xf>
    <xf numFmtId="0" fontId="1" fillId="2" borderId="5" xfId="5" applyFont="1" applyFill="1" applyBorder="1" applyAlignment="1" applyProtection="1">
      <alignment horizontal="center" vertical="center"/>
    </xf>
    <xf numFmtId="0" fontId="23" fillId="2" borderId="0" xfId="1" applyFont="1" applyFill="1" applyBorder="1" applyAlignment="1">
      <alignment horizontal="center" vertical="top" wrapText="1"/>
    </xf>
    <xf numFmtId="180" fontId="17" fillId="2" borderId="0" xfId="4" applyNumberFormat="1" applyFill="1">
      <alignment vertical="center"/>
    </xf>
    <xf numFmtId="0" fontId="1" fillId="2" borderId="0" xfId="1" applyFill="1" applyBorder="1" applyAlignment="1">
      <alignment vertical="center"/>
    </xf>
    <xf numFmtId="181" fontId="1" fillId="2" borderId="5" xfId="4" applyNumberFormat="1" applyFont="1" applyFill="1" applyBorder="1" applyAlignment="1">
      <alignment horizontal="center" vertical="center" wrapText="1"/>
    </xf>
    <xf numFmtId="0" fontId="22" fillId="2" borderId="16" xfId="4" applyFont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22" fillId="2" borderId="0" xfId="4" applyFont="1" applyFill="1" applyBorder="1" applyAlignment="1">
      <alignment horizontal="center" vertical="center"/>
    </xf>
    <xf numFmtId="0" fontId="17" fillId="2" borderId="0" xfId="6" applyFill="1" applyAlignment="1">
      <alignment vertical="center"/>
    </xf>
    <xf numFmtId="176" fontId="17" fillId="2" borderId="0" xfId="6" applyNumberFormat="1" applyFill="1" applyAlignment="1">
      <alignment vertical="center" shrinkToFit="1"/>
    </xf>
    <xf numFmtId="0" fontId="17" fillId="2" borderId="0" xfId="6" applyFont="1" applyFill="1" applyAlignment="1">
      <alignment vertical="center"/>
    </xf>
    <xf numFmtId="43" fontId="17" fillId="2" borderId="0" xfId="6" applyNumberFormat="1" applyFill="1" applyAlignment="1">
      <alignment vertical="center" shrinkToFit="1"/>
    </xf>
    <xf numFmtId="182" fontId="17" fillId="2" borderId="0" xfId="6" applyNumberFormat="1" applyFill="1" applyAlignment="1">
      <alignment vertical="center" shrinkToFit="1"/>
    </xf>
    <xf numFmtId="9" fontId="1" fillId="2" borderId="0" xfId="1" applyNumberFormat="1" applyFill="1" applyAlignment="1">
      <alignment vertical="center"/>
    </xf>
    <xf numFmtId="182" fontId="1" fillId="2" borderId="0" xfId="1" applyNumberFormat="1" applyFill="1" applyAlignment="1">
      <alignment vertical="center"/>
    </xf>
    <xf numFmtId="2" fontId="1" fillId="2" borderId="0" xfId="1" applyNumberFormat="1" applyFill="1" applyAlignment="1">
      <alignment vertical="center"/>
    </xf>
    <xf numFmtId="0" fontId="22" fillId="2" borderId="0" xfId="4" applyFont="1" applyFill="1" applyBorder="1" applyAlignment="1">
      <alignment horizontal="center" vertical="center" wrapText="1"/>
    </xf>
    <xf numFmtId="1" fontId="23" fillId="2" borderId="0" xfId="4" applyNumberFormat="1" applyFont="1" applyFill="1" applyBorder="1" applyAlignment="1">
      <alignment horizontal="center" vertical="center" wrapText="1"/>
    </xf>
    <xf numFmtId="0" fontId="28" fillId="2" borderId="0" xfId="5" applyFont="1" applyFill="1" applyBorder="1" applyAlignment="1" applyProtection="1">
      <alignment horizontal="center" vertical="center"/>
    </xf>
    <xf numFmtId="1" fontId="28" fillId="2" borderId="5" xfId="5" applyNumberFormat="1" applyFont="1" applyFill="1" applyBorder="1" applyAlignment="1" applyProtection="1">
      <alignment horizontal="center" vertical="center"/>
    </xf>
    <xf numFmtId="2" fontId="23" fillId="2" borderId="5" xfId="4" applyNumberFormat="1" applyFont="1" applyFill="1" applyBorder="1" applyAlignment="1">
      <alignment horizontal="center" vertical="center" wrapText="1"/>
    </xf>
    <xf numFmtId="0" fontId="23" fillId="2" borderId="5" xfId="4" applyFont="1" applyFill="1" applyBorder="1" applyAlignment="1">
      <alignment horizontal="center" vertical="center" wrapText="1"/>
    </xf>
    <xf numFmtId="0" fontId="26" fillId="2" borderId="0" xfId="1" applyFont="1" applyFill="1" applyAlignment="1">
      <alignment horizontal="center" vertical="center"/>
    </xf>
    <xf numFmtId="178" fontId="23" fillId="2" borderId="5" xfId="4" applyNumberFormat="1" applyFont="1" applyFill="1" applyBorder="1" applyAlignment="1">
      <alignment horizontal="center" vertical="center" wrapText="1"/>
    </xf>
    <xf numFmtId="179" fontId="23" fillId="2" borderId="5" xfId="4" applyNumberFormat="1" applyFont="1" applyFill="1" applyBorder="1" applyAlignment="1">
      <alignment horizontal="center" vertical="center" wrapText="1"/>
    </xf>
    <xf numFmtId="0" fontId="16" fillId="2" borderId="0" xfId="4" applyFont="1" applyFill="1">
      <alignment vertical="center"/>
    </xf>
    <xf numFmtId="183" fontId="1" fillId="2" borderId="0" xfId="1" applyNumberFormat="1" applyFill="1" applyAlignment="1">
      <alignment vertical="center" shrinkToFit="1"/>
    </xf>
    <xf numFmtId="0" fontId="26" fillId="0" borderId="0" xfId="7" applyFont="1" applyFill="1" applyBorder="1" applyAlignment="1">
      <alignment vertical="center"/>
    </xf>
    <xf numFmtId="0" fontId="26" fillId="0" borderId="0" xfId="7" applyFont="1" applyFill="1" applyBorder="1" applyAlignment="1">
      <alignment horizontal="center" vertical="center"/>
    </xf>
    <xf numFmtId="0" fontId="31" fillId="0" borderId="0" xfId="7" applyFont="1" applyFill="1" applyBorder="1" applyAlignment="1">
      <alignment vertical="center"/>
    </xf>
    <xf numFmtId="0" fontId="31" fillId="0" borderId="0" xfId="7" applyFont="1" applyFill="1" applyBorder="1" applyAlignment="1">
      <alignment horizontal="center" vertical="center"/>
    </xf>
    <xf numFmtId="31" fontId="26" fillId="0" borderId="0" xfId="7" applyNumberFormat="1" applyFont="1" applyFill="1" applyBorder="1" applyAlignment="1">
      <alignment horizontal="center" vertical="center"/>
    </xf>
    <xf numFmtId="0" fontId="18" fillId="2" borderId="15" xfId="4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2" fillId="5" borderId="5" xfId="0" applyFont="1" applyFill="1" applyBorder="1" applyAlignment="1">
      <alignment horizontal="right" vertical="center" wrapText="1"/>
    </xf>
    <xf numFmtId="0" fontId="33" fillId="5" borderId="5" xfId="0" applyFont="1" applyFill="1" applyBorder="1" applyAlignment="1">
      <alignment horizontal="left" vertical="center" wrapText="1"/>
    </xf>
    <xf numFmtId="14" fontId="36" fillId="5" borderId="5" xfId="0" applyNumberFormat="1" applyFont="1" applyFill="1" applyBorder="1" applyAlignment="1">
      <alignment horizontal="left" vertical="center" wrapText="1"/>
    </xf>
    <xf numFmtId="0" fontId="36" fillId="5" borderId="5" xfId="0" applyFont="1" applyFill="1" applyBorder="1" applyAlignment="1">
      <alignment horizontal="left" vertical="center" wrapText="1"/>
    </xf>
    <xf numFmtId="0" fontId="32" fillId="5" borderId="0" xfId="0" applyFont="1" applyFill="1" applyBorder="1" applyAlignment="1">
      <alignment horizontal="right" vertical="center" wrapText="1"/>
    </xf>
    <xf numFmtId="0" fontId="36" fillId="5" borderId="0" xfId="0" applyFont="1" applyFill="1" applyBorder="1" applyAlignment="1">
      <alignment horizontal="left" vertical="center" wrapText="1"/>
    </xf>
    <xf numFmtId="14" fontId="36" fillId="5" borderId="0" xfId="0" applyNumberFormat="1" applyFont="1" applyFill="1" applyBorder="1" applyAlignment="1">
      <alignment horizontal="left" vertical="center" wrapText="1"/>
    </xf>
    <xf numFmtId="0" fontId="32" fillId="5" borderId="5" xfId="0" applyFont="1" applyFill="1" applyBorder="1" applyAlignment="1">
      <alignment horizontal="left" vertical="center" wrapText="1"/>
    </xf>
    <xf numFmtId="0" fontId="33" fillId="5" borderId="5" xfId="0" applyFont="1" applyFill="1" applyBorder="1" applyAlignment="1">
      <alignment horizontal="left" vertical="center"/>
    </xf>
    <xf numFmtId="0" fontId="34" fillId="5" borderId="5" xfId="0" applyFont="1" applyFill="1" applyBorder="1" applyAlignment="1">
      <alignment vertical="center" wrapText="1"/>
    </xf>
    <xf numFmtId="0" fontId="32" fillId="5" borderId="0" xfId="0" applyFont="1" applyFill="1" applyBorder="1" applyAlignment="1">
      <alignment horizontal="left" vertical="center" wrapText="1"/>
    </xf>
    <xf numFmtId="0" fontId="35" fillId="5" borderId="5" xfId="2" applyFont="1" applyFill="1" applyBorder="1" applyAlignment="1" applyProtection="1">
      <alignment horizontal="left" vertical="center" wrapText="1"/>
    </xf>
    <xf numFmtId="0" fontId="36" fillId="5" borderId="5" xfId="0" applyFont="1" applyFill="1" applyBorder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5" fillId="2" borderId="0" xfId="1" applyFont="1" applyFill="1" applyBorder="1" applyAlignment="1">
      <alignment horizontal="center" vertical="center" shrinkToFit="1"/>
    </xf>
    <xf numFmtId="0" fontId="34" fillId="5" borderId="5" xfId="0" applyFont="1" applyFill="1" applyBorder="1" applyAlignment="1">
      <alignment horizontal="center" vertical="center" wrapText="1"/>
    </xf>
    <xf numFmtId="0" fontId="36" fillId="5" borderId="5" xfId="0" applyFont="1" applyFill="1" applyBorder="1" applyAlignment="1">
      <alignment horizontal="left" vertical="center" wrapText="1"/>
    </xf>
    <xf numFmtId="0" fontId="22" fillId="2" borderId="7" xfId="4" applyFont="1" applyFill="1" applyBorder="1" applyAlignment="1">
      <alignment horizontal="center" vertical="center"/>
    </xf>
    <xf numFmtId="0" fontId="22" fillId="2" borderId="8" xfId="4" applyFont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22" fillId="2" borderId="7" xfId="4" applyFont="1" applyFill="1" applyBorder="1" applyAlignment="1">
      <alignment horizontal="center" vertical="center" wrapText="1"/>
    </xf>
    <xf numFmtId="0" fontId="22" fillId="2" borderId="8" xfId="4" applyFont="1" applyFill="1" applyBorder="1" applyAlignment="1">
      <alignment horizontal="center" vertical="center" wrapText="1"/>
    </xf>
    <xf numFmtId="0" fontId="22" fillId="2" borderId="14" xfId="4" applyFont="1" applyFill="1" applyBorder="1" applyAlignment="1">
      <alignment horizontal="center" vertical="center" wrapText="1"/>
    </xf>
    <xf numFmtId="0" fontId="22" fillId="2" borderId="9" xfId="4" applyFont="1" applyFill="1" applyBorder="1" applyAlignment="1">
      <alignment horizontal="center" vertical="center" wrapText="1"/>
    </xf>
    <xf numFmtId="0" fontId="22" fillId="2" borderId="15" xfId="4" applyFont="1" applyFill="1" applyBorder="1" applyAlignment="1">
      <alignment horizontal="center" vertical="center" wrapText="1"/>
    </xf>
    <xf numFmtId="0" fontId="22" fillId="2" borderId="5" xfId="4" applyFont="1" applyFill="1" applyBorder="1" applyAlignment="1">
      <alignment horizontal="center" vertical="center" wrapText="1"/>
    </xf>
    <xf numFmtId="0" fontId="18" fillId="2" borderId="12" xfId="4" applyFont="1" applyFill="1" applyBorder="1" applyAlignment="1">
      <alignment horizontal="center" vertical="center" wrapText="1"/>
    </xf>
    <xf numFmtId="0" fontId="18" fillId="2" borderId="13" xfId="4" applyFont="1" applyFill="1" applyBorder="1" applyAlignment="1">
      <alignment horizontal="center" vertical="center" wrapText="1"/>
    </xf>
    <xf numFmtId="0" fontId="22" fillId="2" borderId="7" xfId="4" applyFont="1" applyFill="1" applyBorder="1" applyAlignment="1">
      <alignment horizontal="center" wrapText="1"/>
    </xf>
    <xf numFmtId="0" fontId="22" fillId="2" borderId="8" xfId="4" applyFont="1" applyFill="1" applyBorder="1" applyAlignment="1">
      <alignment horizontal="center" wrapText="1"/>
    </xf>
    <xf numFmtId="0" fontId="18" fillId="2" borderId="6" xfId="4" applyFont="1" applyFill="1" applyBorder="1" applyAlignment="1">
      <alignment horizontal="center" vertical="center" wrapText="1"/>
    </xf>
    <xf numFmtId="0" fontId="29" fillId="2" borderId="15" xfId="1" applyFont="1" applyFill="1" applyBorder="1" applyAlignment="1">
      <alignment horizontal="center" vertical="center"/>
    </xf>
    <xf numFmtId="0" fontId="18" fillId="2" borderId="17" xfId="4" applyFont="1" applyFill="1" applyBorder="1" applyAlignment="1">
      <alignment horizontal="center" vertical="center" wrapText="1"/>
    </xf>
  </cellXfs>
  <cellStyles count="8">
    <cellStyle name="常规" xfId="0" builtinId="0"/>
    <cellStyle name="常规 2" xfId="1" xr:uid="{9D94E75D-3F8C-4A7B-9D13-A1AAEAEED543}"/>
    <cellStyle name="常规 2 11_001 土地" xfId="6" xr:uid="{890CB110-25F1-4346-94B4-404CCAA47C5E}"/>
    <cellStyle name="常规_B-2建筑物成本法,市场比较法_计算表 2" xfId="5" xr:uid="{DC0D6048-D23C-4422-9E35-CF2D04C6ACA0}"/>
    <cellStyle name="常规_审计工作底稿-资产类（夏）" xfId="7" xr:uid="{ABE113D5-DDA3-473F-9B9C-B0D0209AA7A4}"/>
    <cellStyle name="常规_土地计算4.21 2" xfId="4" xr:uid="{D5F3E6DD-DCF2-4B15-8466-FAA550B5AE59}"/>
    <cellStyle name="超链接 2" xfId="2" xr:uid="{6D958AC2-DA44-4A6A-B255-47E6388044DD}"/>
    <cellStyle name="千位分隔 2" xfId="3" xr:uid="{B4D71F96-4630-488B-9999-49C1D964DB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landjs.com/web/mapmain.aspx?xzq=321201&amp;dkid=405D9F0D08D40E52E055000000000001&amp;x=119.917999&amp;y=32.458499" TargetMode="External"/><Relationship Id="rId117" Type="http://schemas.openxmlformats.org/officeDocument/2006/relationships/hyperlink" Target="http://www.landjs.com/web/mapmain.aspx?xzq=321201&amp;dkid=AEAA66C30EBB4005893B346314D506A0&amp;x=119.917999&amp;y=32.458499" TargetMode="External"/><Relationship Id="rId21" Type="http://schemas.openxmlformats.org/officeDocument/2006/relationships/hyperlink" Target="http://www.landjs.com/web/mapmain.aspx?xzq=321201&amp;dkid=42671982B5C70972E055000000000001&amp;x=119.917999&amp;y=32.458499" TargetMode="External"/><Relationship Id="rId42" Type="http://schemas.openxmlformats.org/officeDocument/2006/relationships/hyperlink" Target="http://www.landjs.com/web/mapmain.aspx?xzq=321201&amp;dkid=34335255EDC00BC6E055000000000001&amp;x=119.917999&amp;y=32.458499" TargetMode="External"/><Relationship Id="rId47" Type="http://schemas.openxmlformats.org/officeDocument/2006/relationships/hyperlink" Target="http://www.landjs.com/web/mapmain.aspx?xzq=321201&amp;dkid=2F4151382AA3724EE055000000000001&amp;x=119.917999&amp;y=32.458499" TargetMode="External"/><Relationship Id="rId63" Type="http://schemas.openxmlformats.org/officeDocument/2006/relationships/hyperlink" Target="http://www.landjs.com/web/mapmain.aspx?xzq=321201&amp;dkid=253221F773594AAEE055000000000001&amp;x=119.917999&amp;y=32.458499" TargetMode="External"/><Relationship Id="rId68" Type="http://schemas.openxmlformats.org/officeDocument/2006/relationships/hyperlink" Target="http://www.landjs.com/web/mapmain.aspx?xzq=321201&amp;dkid=25324EC9BF3B4B34E055000000000001&amp;x=119.917999&amp;y=32.458499" TargetMode="External"/><Relationship Id="rId84" Type="http://schemas.openxmlformats.org/officeDocument/2006/relationships/hyperlink" Target="http://www.landjs.com/web/mapmain.aspx?xzq=321201&amp;dkid=1FE9495AC74C07FFE055000000000001&amp;x=119.917999&amp;y=32.458499" TargetMode="External"/><Relationship Id="rId89" Type="http://schemas.openxmlformats.org/officeDocument/2006/relationships/hyperlink" Target="http://www.landjs.com/web/mapmain.aspx?xzq=321201&amp;dkid=02EC6FDB6F46456E8107E90F1AEC1C22&amp;x=119.917999&amp;y=32.458499" TargetMode="External"/><Relationship Id="rId112" Type="http://schemas.openxmlformats.org/officeDocument/2006/relationships/hyperlink" Target="http://www.landjs.com/web/mapmain.aspx?xzq=321201&amp;dkid=5D355EB9FC3E4EEE8059E2EB7FE64619&amp;x=118.791999&amp;y=32.458499" TargetMode="External"/><Relationship Id="rId133" Type="http://schemas.openxmlformats.org/officeDocument/2006/relationships/hyperlink" Target="http://www.landjs.com/web/mapmain.aspx?xzq=321201&amp;dkid=6CAD097BD5F4404D85F9800CA270349D&amp;x=119.917999&amp;y=32.458499" TargetMode="External"/><Relationship Id="rId138" Type="http://schemas.openxmlformats.org/officeDocument/2006/relationships/hyperlink" Target="http://www.landjs.com/web/mapmain.aspx?xzq=321201&amp;dkid=8DC3B863C40547E3A72F09413BC7F2F1&amp;x=119.917999&amp;y=32.458499" TargetMode="External"/><Relationship Id="rId16" Type="http://schemas.openxmlformats.org/officeDocument/2006/relationships/hyperlink" Target="http://www.landjs.com/web/mapmain.aspx?xzq=321201&amp;dkid=4A978610840F6389E055000000000001&amp;x=119.917999&amp;y=32.458499" TargetMode="External"/><Relationship Id="rId107" Type="http://schemas.openxmlformats.org/officeDocument/2006/relationships/hyperlink" Target="http://www.landjs.com/web/mapmain.aspx?xzq=321201&amp;dkid=8924D04162374D3B9ADA579AAEB9999C&amp;x=118.791999&amp;y=32.458499" TargetMode="External"/><Relationship Id="rId11" Type="http://schemas.openxmlformats.org/officeDocument/2006/relationships/hyperlink" Target="http://www.landjs.com/web/mapmain.aspx?xzq=321201&amp;dkid=5050DB415A6A2D5CE055000000000001&amp;x=119.917999&amp;y=32.458499" TargetMode="External"/><Relationship Id="rId32" Type="http://schemas.openxmlformats.org/officeDocument/2006/relationships/hyperlink" Target="http://www.landjs.com/web/mapmain.aspx?xzq=321201&amp;dkid=3B7EE42300301752E055000000000001&amp;x=119.917999&amp;y=32.062099" TargetMode="External"/><Relationship Id="rId37" Type="http://schemas.openxmlformats.org/officeDocument/2006/relationships/hyperlink" Target="http://www.landjs.com/web/mapmain.aspx?xzq=321201&amp;dkid=363937FB00BC3025E055000000000001&amp;x=119.917999&amp;y=32.458499" TargetMode="External"/><Relationship Id="rId53" Type="http://schemas.openxmlformats.org/officeDocument/2006/relationships/hyperlink" Target="http://www.landjs.com/web/mapmain.aspx?xzq=321201&amp;dkid=29D3C3FB9F687A01E055000000000001&amp;x=119.917999&amp;y=32.458499" TargetMode="External"/><Relationship Id="rId58" Type="http://schemas.openxmlformats.org/officeDocument/2006/relationships/hyperlink" Target="http://www.landjs.com/web/mapmain.aspx?xzq=321201&amp;dkid=279B91BD7C4442C9E055000000000001&amp;x=119.917999&amp;y=32.458499" TargetMode="External"/><Relationship Id="rId74" Type="http://schemas.openxmlformats.org/officeDocument/2006/relationships/hyperlink" Target="http://www.landjs.com/web/mapmain.aspx?xzq=321201&amp;dkid=2417366EE45D6828E055000000000001&amp;x=119.917999&amp;y=32.458499" TargetMode="External"/><Relationship Id="rId79" Type="http://schemas.openxmlformats.org/officeDocument/2006/relationships/hyperlink" Target="http://www.landjs.com/web/mapmain.aspx?xzq=321201&amp;dkid=22AA02B2006B04F3E055000000000001&amp;x=119.917999&amp;y=32.458499" TargetMode="External"/><Relationship Id="rId102" Type="http://schemas.openxmlformats.org/officeDocument/2006/relationships/hyperlink" Target="http://www.landjs.com/web/mapmain.aspx?xzq=321201&amp;dkid=02C3A748DD4E4607B748C1FDA71B006F&amp;x=119.917999&amp;y=32.062099" TargetMode="External"/><Relationship Id="rId123" Type="http://schemas.openxmlformats.org/officeDocument/2006/relationships/hyperlink" Target="http://www.landjs.com/web/mapmain.aspx?xzq=321201&amp;dkid=89A9DB6E4E294E8684DAE6F855948566&amp;x=119.917999&amp;y=32.458499" TargetMode="External"/><Relationship Id="rId128" Type="http://schemas.openxmlformats.org/officeDocument/2006/relationships/hyperlink" Target="http://www.landjs.com/web/mapmain.aspx?xzq=321201&amp;dkid=E98CD1B6B97C46CA84ADF368E52CB60F&amp;x=119.917999&amp;y=32.458499" TargetMode="External"/><Relationship Id="rId144" Type="http://schemas.openxmlformats.org/officeDocument/2006/relationships/hyperlink" Target="http://www.landjs.com/web/mapmain.aspx?xzq=321201&amp;dkid=D3520D11B648446DAC830B1CF699BF64&amp;x=119.917999&amp;y=32.458499" TargetMode="External"/><Relationship Id="rId149" Type="http://schemas.openxmlformats.org/officeDocument/2006/relationships/hyperlink" Target="http://www.landjs.com/web/mapmain.aspx?xzq=321201&amp;dkid=685006A0A4F54DE29FD9A56DBEED1E37&amp;x=119.917999&amp;y=32.458499" TargetMode="External"/><Relationship Id="rId5" Type="http://schemas.openxmlformats.org/officeDocument/2006/relationships/hyperlink" Target="http://www.landjs.com/web/mapmain.aspx?xzq=321201&amp;dkid=5D10BF9FDE8C2CAEE055000000000001&amp;x=119.917999&amp;y=32.458499" TargetMode="External"/><Relationship Id="rId90" Type="http://schemas.openxmlformats.org/officeDocument/2006/relationships/hyperlink" Target="http://www.landjs.com/web/mapmain.aspx?xzq=321201&amp;dkid=6298187247CF4C0E8228D5BB10CEA024&amp;x=119.917999&amp;y=32.458499" TargetMode="External"/><Relationship Id="rId95" Type="http://schemas.openxmlformats.org/officeDocument/2006/relationships/hyperlink" Target="http://www.landjs.com/web/mapmain.aspx?xzq=321201&amp;dkid=5463E4FD47204950B34DFC7001600F17&amp;x=119.917999&amp;y=32.458499" TargetMode="External"/><Relationship Id="rId22" Type="http://schemas.openxmlformats.org/officeDocument/2006/relationships/hyperlink" Target="http://www.landjs.com/web/mapmain.aspx?xzq=321201&amp;dkid=4267358D2A68098CE055000000000001&amp;x=119.917999&amp;y=32.458499" TargetMode="External"/><Relationship Id="rId27" Type="http://schemas.openxmlformats.org/officeDocument/2006/relationships/hyperlink" Target="http://www.landjs.com/web/mapmain.aspx?xzq=321201&amp;dkid=405D9F0D08CE0E52E055000000000001&amp;x=119.917999&amp;y=32.458499" TargetMode="External"/><Relationship Id="rId43" Type="http://schemas.openxmlformats.org/officeDocument/2006/relationships/hyperlink" Target="http://www.landjs.com/web/mapmain.aspx?xzq=321201&amp;dkid=2F3F71E186FD6CA3E055000000000001&amp;x=119.917999&amp;y=32.458499" TargetMode="External"/><Relationship Id="rId48" Type="http://schemas.openxmlformats.org/officeDocument/2006/relationships/hyperlink" Target="http://www.landjs.com/web/mapmain.aspx?xzq=321201&amp;dkid=2CF8E5BF1AB278C2E055000000000001&amp;x=119.917999&amp;y=32.458499" TargetMode="External"/><Relationship Id="rId64" Type="http://schemas.openxmlformats.org/officeDocument/2006/relationships/hyperlink" Target="http://www.landjs.com/web/mapmain.aspx?xzq=321201&amp;dkid=2531F5F623B24A26E055000000000001&amp;x=119.917999&amp;y=32.458499" TargetMode="External"/><Relationship Id="rId69" Type="http://schemas.openxmlformats.org/officeDocument/2006/relationships/hyperlink" Target="http://www.landjs.com/web/mapmain.aspx?xzq=321201&amp;dkid=252C32BE999D38A3E055000000000001&amp;x=119.917999&amp;y=32.458499" TargetMode="External"/><Relationship Id="rId113" Type="http://schemas.openxmlformats.org/officeDocument/2006/relationships/hyperlink" Target="http://www.landjs.com/web/mapmain.aspx?xzq=321201&amp;dkid=3DF79EE62A5F4EE78ADFB65889982113&amp;x=118.791999&amp;y=32.458499" TargetMode="External"/><Relationship Id="rId118" Type="http://schemas.openxmlformats.org/officeDocument/2006/relationships/hyperlink" Target="http://www.landjs.com/web/mapmain.aspx?xzq=321201&amp;dkid=6AA99394A59F4D6E9AA613B5BD5D41EF&amp;x=118.791999&amp;y=32.458499" TargetMode="External"/><Relationship Id="rId134" Type="http://schemas.openxmlformats.org/officeDocument/2006/relationships/hyperlink" Target="http://www.landjs.com/web/mapmain.aspx?xzq=321201&amp;dkid=FABE114BB09A4CBEB7332DF048AE0CA8&amp;x=119.917999&amp;y=32.458499" TargetMode="External"/><Relationship Id="rId139" Type="http://schemas.openxmlformats.org/officeDocument/2006/relationships/hyperlink" Target="http://www.landjs.com/web/mapmain.aspx?xzq=321201&amp;dkid=2FC1322DDB764232A5BD1C961D28E374&amp;x=119.917999&amp;y=32.458499" TargetMode="External"/><Relationship Id="rId80" Type="http://schemas.openxmlformats.org/officeDocument/2006/relationships/hyperlink" Target="http://www.landjs.com/web/mapmain.aspx?xzq=321201&amp;dkid=22AA02B2006104F3E055000000000001&amp;x=119.917999&amp;y=32.458499" TargetMode="External"/><Relationship Id="rId85" Type="http://schemas.openxmlformats.org/officeDocument/2006/relationships/hyperlink" Target="http://www.landjs.com/web/mapmain.aspx?xzq=321201&amp;dkid=1FE94A5852B607F7E055000000000001&amp;x=119.917999&amp;y=32.458499" TargetMode="External"/><Relationship Id="rId150" Type="http://schemas.openxmlformats.org/officeDocument/2006/relationships/hyperlink" Target="http://www.landjs.com/web/mapmain.aspx?xzq=321201&amp;dkid=C814865742D142E490532A1FB9DC2207&amp;x=119.917999&amp;y=32.458499" TargetMode="External"/><Relationship Id="rId12" Type="http://schemas.openxmlformats.org/officeDocument/2006/relationships/hyperlink" Target="http://www.landjs.com/web/mapmain.aspx?xzq=321201&amp;dkid=5050B507C2F22C45E055000000000001&amp;x=119.917999&amp;y=32.458499" TargetMode="External"/><Relationship Id="rId17" Type="http://schemas.openxmlformats.org/officeDocument/2006/relationships/hyperlink" Target="http://www.landjs.com/web/mapmain.aspx?xzq=321201&amp;dkid=4E8634E9323A16E1E055000000000001&amp;x=119.917999&amp;y=32.458499" TargetMode="External"/><Relationship Id="rId25" Type="http://schemas.openxmlformats.org/officeDocument/2006/relationships/hyperlink" Target="http://www.landjs.com/web/mapmain.aspx?xzq=321201&amp;dkid=41CA6DBF5B0C0BEAE055000000000001&amp;x=119.917999&amp;y=32.458499" TargetMode="External"/><Relationship Id="rId33" Type="http://schemas.openxmlformats.org/officeDocument/2006/relationships/hyperlink" Target="http://www.landjs.com/web/mapmain.aspx?xzq=321201&amp;dkid=3A17BB6125992CCAE055000000000001&amp;x=119.917999&amp;y=32.458499" TargetMode="External"/><Relationship Id="rId38" Type="http://schemas.openxmlformats.org/officeDocument/2006/relationships/hyperlink" Target="http://www.landjs.com/web/mapmain.aspx?xzq=321201&amp;dkid=354C4D236C06669DE055000000000001&amp;x=119.917999&amp;y=32.458499" TargetMode="External"/><Relationship Id="rId46" Type="http://schemas.openxmlformats.org/officeDocument/2006/relationships/hyperlink" Target="http://www.landjs.com/web/mapmain.aspx?xzq=321201&amp;dkid=2F3EFA99E6236B23E055000000000001&amp;x=119.917999&amp;y=32.458499" TargetMode="External"/><Relationship Id="rId59" Type="http://schemas.openxmlformats.org/officeDocument/2006/relationships/hyperlink" Target="http://www.landjs.com/web/mapmain.aspx?xzq=321201&amp;dkid=253236250A8E4AE2E055000000000001&amp;x=119.917999&amp;y=32.458499" TargetMode="External"/><Relationship Id="rId67" Type="http://schemas.openxmlformats.org/officeDocument/2006/relationships/hyperlink" Target="http://www.landjs.com/web/mapmain.aspx?xzq=321201&amp;dkid=252FF4255B9643B7E055000000000001&amp;x=119.917999&amp;y=32.458499" TargetMode="External"/><Relationship Id="rId103" Type="http://schemas.openxmlformats.org/officeDocument/2006/relationships/hyperlink" Target="http://www.landjs.com/web/mapmain.aspx?xzq=321201&amp;dkid=5F63E08F293244238A8D60AB837A762B&amp;x=119.917999&amp;y=32.062099" TargetMode="External"/><Relationship Id="rId108" Type="http://schemas.openxmlformats.org/officeDocument/2006/relationships/hyperlink" Target="http://www.landjs.com/web/mapmain.aspx?xzq=321201&amp;dkid=05B40CC78DFF4135885B1E43124E82B5&amp;x=119.917999&amp;y=32.458499" TargetMode="External"/><Relationship Id="rId116" Type="http://schemas.openxmlformats.org/officeDocument/2006/relationships/hyperlink" Target="http://www.landjs.com/web/mapmain.aspx?xzq=321201&amp;dkid=5BBEB3290C8443ABAC4ED969C8E5AB40&amp;x=118.791999&amp;y=32.458499" TargetMode="External"/><Relationship Id="rId124" Type="http://schemas.openxmlformats.org/officeDocument/2006/relationships/hyperlink" Target="http://www.landjs.com/web/mapmain.aspx?xzq=321201&amp;dkid=D504BF47FBA94B6BBC08696C73B60E7A&amp;x=119.917999&amp;y=32.458499" TargetMode="External"/><Relationship Id="rId129" Type="http://schemas.openxmlformats.org/officeDocument/2006/relationships/hyperlink" Target="http://www.landjs.com/web/mapmain.aspx?xzq=321201&amp;dkid=760E8706C60D44318B502CE5737F386D&amp;x=119.917999&amp;y=32.458499" TargetMode="External"/><Relationship Id="rId137" Type="http://schemas.openxmlformats.org/officeDocument/2006/relationships/hyperlink" Target="http://www.landjs.com/web/mapmain.aspx?xzq=321201&amp;dkid=FC2CE883864445E4885AB5C75F462F8B&amp;x=119.917999&amp;y=32.458499" TargetMode="External"/><Relationship Id="rId20" Type="http://schemas.openxmlformats.org/officeDocument/2006/relationships/hyperlink" Target="http://www.landjs.com/web/mapmain.aspx?xzq=321201&amp;dkid=42671982B5C80972E055000000000001&amp;x=119.917999&amp;y=32.458499" TargetMode="External"/><Relationship Id="rId41" Type="http://schemas.openxmlformats.org/officeDocument/2006/relationships/hyperlink" Target="http://www.landjs.com/web/mapmain.aspx?xzq=321201&amp;dkid=&amp;x=118.791999&amp;y=32.458499" TargetMode="External"/><Relationship Id="rId54" Type="http://schemas.openxmlformats.org/officeDocument/2006/relationships/hyperlink" Target="http://www.landjs.com/web/mapmain.aspx?xzq=321201&amp;dkid=29D3C221DDDA79F9E055000000000001&amp;x=119.917999&amp;y=32.458499" TargetMode="External"/><Relationship Id="rId62" Type="http://schemas.openxmlformats.org/officeDocument/2006/relationships/hyperlink" Target="http://www.landjs.com/web/mapmain.aspx?xzq=321201&amp;dkid=25325631A4C74B2EE055000000000001&amp;x=119.917999&amp;y=32.458499" TargetMode="External"/><Relationship Id="rId70" Type="http://schemas.openxmlformats.org/officeDocument/2006/relationships/hyperlink" Target="http://www.landjs.com/web/mapmain.aspx?xzq=321201&amp;dkid=252BF955BAF43791E055000000000001&amp;x=119.917999&amp;y=32.458499" TargetMode="External"/><Relationship Id="rId75" Type="http://schemas.openxmlformats.org/officeDocument/2006/relationships/hyperlink" Target="http://www.landjs.com/web/mapmain.aspx?xzq=321201&amp;dkid=2416DEFA472F6756E055000000000001&amp;x=119.917999&amp;y=32.458499" TargetMode="External"/><Relationship Id="rId83" Type="http://schemas.openxmlformats.org/officeDocument/2006/relationships/hyperlink" Target="http://www.landjs.com/web/mapmain.aspx?xzq=321201&amp;dkid=221FF262536B5AB0E055000000000001&amp;x=119.917999&amp;y=32.458499" TargetMode="External"/><Relationship Id="rId88" Type="http://schemas.openxmlformats.org/officeDocument/2006/relationships/hyperlink" Target="http://www.landjs.com/web/mapmain.aspx?xzq=321201&amp;dkid=1F6F174DB7F20D0DE055000000000001&amp;x=119.917999&amp;y=32.458499" TargetMode="External"/><Relationship Id="rId91" Type="http://schemas.openxmlformats.org/officeDocument/2006/relationships/hyperlink" Target="http://www.landjs.com/web/mapmain.aspx?xzq=321201&amp;dkid=F653B466BC254F4784CD60015345B20F&amp;x=119.917999&amp;y=32.458499" TargetMode="External"/><Relationship Id="rId96" Type="http://schemas.openxmlformats.org/officeDocument/2006/relationships/hyperlink" Target="http://www.landjs.com/web/mapmain.aspx?xzq=321201&amp;dkid=2984786F05A14F08A603BC0A0DE447BC&amp;x=119.917999&amp;y=32.458499" TargetMode="External"/><Relationship Id="rId111" Type="http://schemas.openxmlformats.org/officeDocument/2006/relationships/hyperlink" Target="http://www.landjs.com/web/mapmain.aspx?xzq=321201&amp;dkid=C6ACDDFF4E724DD191032D3E8A83DDFE&amp;x=118.791999&amp;y=32.062099" TargetMode="External"/><Relationship Id="rId132" Type="http://schemas.openxmlformats.org/officeDocument/2006/relationships/hyperlink" Target="http://www.landjs.com/web/mapmain.aspx?xzq=321201&amp;dkid=3C945673266645488DD33B3DCBC767C3&amp;x=119.917999&amp;y=32.458499" TargetMode="External"/><Relationship Id="rId140" Type="http://schemas.openxmlformats.org/officeDocument/2006/relationships/hyperlink" Target="http://www.landjs.com/web/mapmain.aspx?xzq=321201&amp;dkid=EE11A04024764111BA5AD7F8D69C581A&amp;x=119.917999&amp;y=32.458499" TargetMode="External"/><Relationship Id="rId145" Type="http://schemas.openxmlformats.org/officeDocument/2006/relationships/hyperlink" Target="http://www.landjs.com/web/mapmain.aspx?xzq=321201&amp;dkid=5ADCEF67EF6E4CC883C3D9881037F112&amp;x=119.917999&amp;y=32.458499" TargetMode="External"/><Relationship Id="rId153" Type="http://schemas.openxmlformats.org/officeDocument/2006/relationships/hyperlink" Target="http://www.landjs.com/web/mapmain.aspx?xzq=321201&amp;dkid=C55AF66C73864600B9CC707583DBCBB5&amp;x=119.917999&amp;y=32.458499" TargetMode="External"/><Relationship Id="rId1" Type="http://schemas.openxmlformats.org/officeDocument/2006/relationships/hyperlink" Target="http://www.landjs.com/web/mapmain.aspx?xzq=321201&amp;dkid=5F1C22C8E3D769B8E055000000000001&amp;x=119.917999&amp;y=32.458499" TargetMode="External"/><Relationship Id="rId6" Type="http://schemas.openxmlformats.org/officeDocument/2006/relationships/hyperlink" Target="http://www.landjs.com/web/mapmain.aspx?xzq=321201&amp;dkid=5D0FF192D5712A2FE055000000000001&amp;x=119.917999&amp;y=32.458499" TargetMode="External"/><Relationship Id="rId15" Type="http://schemas.openxmlformats.org/officeDocument/2006/relationships/hyperlink" Target="http://www.landjs.com/web/mapmain.aspx?xzq=321201&amp;dkid=4A987D681F8D6630E055000000000001&amp;x=119.917999&amp;y=32.458499" TargetMode="External"/><Relationship Id="rId23" Type="http://schemas.openxmlformats.org/officeDocument/2006/relationships/hyperlink" Target="http://www.landjs.com/web/mapmain.aspx?xzq=321201&amp;dkid=4267358D2A66098CE055000000000001&amp;x=119.917999&amp;y=32.458499" TargetMode="External"/><Relationship Id="rId28" Type="http://schemas.openxmlformats.org/officeDocument/2006/relationships/hyperlink" Target="http://www.landjs.com/web/mapmain.aspx?xzq=321201&amp;dkid=3FBCBD6A6B4B11BAE055000000000001&amp;x=119.917999&amp;y=32.458499" TargetMode="External"/><Relationship Id="rId36" Type="http://schemas.openxmlformats.org/officeDocument/2006/relationships/hyperlink" Target="http://www.landjs.com/web/mapmain.aspx?xzq=321201&amp;dkid=3766E49DDBFF45C7E055000000000001&amp;x=119.917999&amp;y=32.458499" TargetMode="External"/><Relationship Id="rId49" Type="http://schemas.openxmlformats.org/officeDocument/2006/relationships/hyperlink" Target="http://www.landjs.com/web/mapmain.aspx?xzq=321201&amp;dkid=2A5FD7608F452772E055000000000001&amp;x=118.791999&amp;y=32.458499" TargetMode="External"/><Relationship Id="rId57" Type="http://schemas.openxmlformats.org/officeDocument/2006/relationships/hyperlink" Target="http://www.landjs.com/web/mapmain.aspx?xzq=321201&amp;dkid=2891EE0694FA3480E055000000000001&amp;x=119.917999&amp;y=32.458499" TargetMode="External"/><Relationship Id="rId106" Type="http://schemas.openxmlformats.org/officeDocument/2006/relationships/hyperlink" Target="http://www.landjs.com/web/mapmain.aspx?xzq=321201&amp;dkid=C7F0ED2B86934FAC9E51300E35CD6B79&amp;x=118.791999&amp;y=32.458499" TargetMode="External"/><Relationship Id="rId114" Type="http://schemas.openxmlformats.org/officeDocument/2006/relationships/hyperlink" Target="http://www.landjs.com/web/mapmain.aspx?xzq=321201&amp;dkid=BFD297DF74B4498BA0EA555E14217148&amp;x=118.791999&amp;y=32.062099" TargetMode="External"/><Relationship Id="rId119" Type="http://schemas.openxmlformats.org/officeDocument/2006/relationships/hyperlink" Target="http://www.landjs.com/web/mapmain.aspx?xzq=321201&amp;dkid=BBEF9E169CFF47CE9B661CD26C134D26&amp;x=119.917999&amp;y=32.062099" TargetMode="External"/><Relationship Id="rId127" Type="http://schemas.openxmlformats.org/officeDocument/2006/relationships/hyperlink" Target="http://www.landjs.com/web/mapmain.aspx?xzq=321201&amp;dkid=AB45E132AA7E4DF19C108BD026C8D220&amp;x=119.917999&amp;y=32.458499" TargetMode="External"/><Relationship Id="rId10" Type="http://schemas.openxmlformats.org/officeDocument/2006/relationships/hyperlink" Target="http://www.landjs.com/web/mapmain.aspx?xzq=321201&amp;dkid=5289E2E1B0DE16AAE055000000000001&amp;x=119.917999&amp;y=32.458499" TargetMode="External"/><Relationship Id="rId31" Type="http://schemas.openxmlformats.org/officeDocument/2006/relationships/hyperlink" Target="http://www.landjs.com/web/mapmain.aspx?xzq=321201&amp;dkid=3B69F93967C7514CE055000000000001&amp;x=119.917999&amp;y=32.458499" TargetMode="External"/><Relationship Id="rId44" Type="http://schemas.openxmlformats.org/officeDocument/2006/relationships/hyperlink" Target="http://www.landjs.com/web/mapmain.aspx?xzq=321201&amp;dkid=2F3F71E186FB6CA3E055000000000001&amp;x=119.917999&amp;y=32.458499" TargetMode="External"/><Relationship Id="rId52" Type="http://schemas.openxmlformats.org/officeDocument/2006/relationships/hyperlink" Target="http://www.landjs.com/web/mapmain.aspx?xzq=321201&amp;dkid=29D3BAAAB1437A03E055000000000001&amp;x=119.917999&amp;y=32.458499" TargetMode="External"/><Relationship Id="rId60" Type="http://schemas.openxmlformats.org/officeDocument/2006/relationships/hyperlink" Target="http://www.landjs.com/web/mapmain.aspx?xzq=321201&amp;dkid=253236250A8D4AE2E055000000000001&amp;x=119.917999&amp;y=32.458499" TargetMode="External"/><Relationship Id="rId65" Type="http://schemas.openxmlformats.org/officeDocument/2006/relationships/hyperlink" Target="http://www.landjs.com/web/mapmain.aspx?xzq=321201&amp;dkid=2531F5F6239C4A26E055000000000001&amp;x=119.917999&amp;y=32.458499" TargetMode="External"/><Relationship Id="rId73" Type="http://schemas.openxmlformats.org/officeDocument/2006/relationships/hyperlink" Target="http://www.landjs.com/web/mapmain.aspx?xzq=321201&amp;dkid=25542942ABFC3440E055000000000001&amp;x=119.917999&amp;y=32.458499" TargetMode="External"/><Relationship Id="rId78" Type="http://schemas.openxmlformats.org/officeDocument/2006/relationships/hyperlink" Target="http://www.landjs.com/web/mapmain.aspx?xzq=321201&amp;dkid=22AA3787225C05AFE055000000000001&amp;x=119.917999&amp;y=32.458499" TargetMode="External"/><Relationship Id="rId81" Type="http://schemas.openxmlformats.org/officeDocument/2006/relationships/hyperlink" Target="http://www.landjs.com/web/mapmain.aspx?xzq=321201&amp;dkid=22AA02B2005D04F3E055000000000001&amp;x=118.791999&amp;y=32.458499" TargetMode="External"/><Relationship Id="rId86" Type="http://schemas.openxmlformats.org/officeDocument/2006/relationships/hyperlink" Target="http://www.landjs.com/web/mapmain.aspx?xzq=321201&amp;dkid=1FE8FC622C74071BE055000000000001&amp;x=119.917999&amp;y=32.458499" TargetMode="External"/><Relationship Id="rId94" Type="http://schemas.openxmlformats.org/officeDocument/2006/relationships/hyperlink" Target="http://www.landjs.com/web/mapmain.aspx?xzq=321201&amp;dkid=123CA23757544B1A9224F2E78BFEE2A5&amp;x=119.917999&amp;y=32.458499" TargetMode="External"/><Relationship Id="rId99" Type="http://schemas.openxmlformats.org/officeDocument/2006/relationships/hyperlink" Target="http://www.landjs.com/web/mapmain.aspx?xzq=321201&amp;dkid=8543A72A52C74ADEA6C32BDC91C26838&amp;x=119.917999&amp;y=32.458499" TargetMode="External"/><Relationship Id="rId101" Type="http://schemas.openxmlformats.org/officeDocument/2006/relationships/hyperlink" Target="http://www.landjs.com/web/mapmain.aspx?xzq=321201&amp;dkid=&amp;x=118.791999&amp;y=32.062099" TargetMode="External"/><Relationship Id="rId122" Type="http://schemas.openxmlformats.org/officeDocument/2006/relationships/hyperlink" Target="http://www.landjs.com/web/mapmain.aspx?xzq=321201&amp;dkid=C49410FDB0BA4501AA812725DC2FAD0E&amp;x=119.917999&amp;y=32.458499" TargetMode="External"/><Relationship Id="rId130" Type="http://schemas.openxmlformats.org/officeDocument/2006/relationships/hyperlink" Target="http://www.landjs.com/web/mapmain.aspx?xzq=321201&amp;dkid=C309E7CF36704606BA03DCD2F4D31B2F&amp;x=119.917999&amp;y=32.458499" TargetMode="External"/><Relationship Id="rId135" Type="http://schemas.openxmlformats.org/officeDocument/2006/relationships/hyperlink" Target="http://www.landjs.com/web/mapmain.aspx?xzq=321201&amp;dkid=0FB2B4E242184849B844C515E3C4169C&amp;x=119.917999&amp;y=32.458499" TargetMode="External"/><Relationship Id="rId143" Type="http://schemas.openxmlformats.org/officeDocument/2006/relationships/hyperlink" Target="http://www.landjs.com/web/mapmain.aspx?xzq=321201&amp;dkid=60F3DFED60BE4B2490FAAC864E4CECA5&amp;x=119.917999&amp;y=32.458499" TargetMode="External"/><Relationship Id="rId148" Type="http://schemas.openxmlformats.org/officeDocument/2006/relationships/hyperlink" Target="http://www.landjs.com/web/mapmain.aspx?xzq=321201&amp;dkid=6F24687EB87147A49F3B90064BBC805C&amp;x=119.917999&amp;y=32.458499" TargetMode="External"/><Relationship Id="rId151" Type="http://schemas.openxmlformats.org/officeDocument/2006/relationships/hyperlink" Target="http://www.landjs.com/web/mapmain.aspx?xzq=321201&amp;dkid=FCB5CED7EE444575A0BBEC53E5AC44A8&amp;x=119.917999&amp;y=32.458499" TargetMode="External"/><Relationship Id="rId4" Type="http://schemas.openxmlformats.org/officeDocument/2006/relationships/hyperlink" Target="http://www.landjs.com/web/mapmain.aspx?xzq=321201&amp;dkid=5D0FF192D5752A2FE055000000000001&amp;x=119.917999&amp;y=32.458499" TargetMode="External"/><Relationship Id="rId9" Type="http://schemas.openxmlformats.org/officeDocument/2006/relationships/hyperlink" Target="http://www.landjs.com/web/mapmain.aspx?xzq=321201&amp;dkid=5289E2E1B0E416AAE055000000000001&amp;x=119.917999&amp;y=32.458499" TargetMode="External"/><Relationship Id="rId13" Type="http://schemas.openxmlformats.org/officeDocument/2006/relationships/hyperlink" Target="http://www.landjs.com/web/mapmain.aspx?xzq=321201&amp;dkid=505094E0415A2C2FE055000000000001&amp;x=119.917999&amp;y=32.458499" TargetMode="External"/><Relationship Id="rId18" Type="http://schemas.openxmlformats.org/officeDocument/2006/relationships/hyperlink" Target="http://www.landjs.com/web/mapmain.aspx?xzq=321201&amp;dkid=4B388E5622AC5166E055000000000001&amp;x=119.917999&amp;y=32.458499" TargetMode="External"/><Relationship Id="rId39" Type="http://schemas.openxmlformats.org/officeDocument/2006/relationships/hyperlink" Target="http://www.landjs.com/web/mapmain.aspx?xzq=321201&amp;dkid=352159D5FED35E4EE055000000000001&amp;x=119.917999&amp;y=32.062099" TargetMode="External"/><Relationship Id="rId109" Type="http://schemas.openxmlformats.org/officeDocument/2006/relationships/hyperlink" Target="http://www.landjs.com/web/mapmain.aspx?xzq=321201&amp;dkid=49E82FAB9C0F413E87039967E77CF38E&amp;x=118.791999&amp;y=32.062099" TargetMode="External"/><Relationship Id="rId34" Type="http://schemas.openxmlformats.org/officeDocument/2006/relationships/hyperlink" Target="http://www.landjs.com/web/mapmain.aspx?xzq=321201&amp;dkid=38300A39E5AF3760E055000000000001&amp;x=119.917999&amp;y=32.458499" TargetMode="External"/><Relationship Id="rId50" Type="http://schemas.openxmlformats.org/officeDocument/2006/relationships/hyperlink" Target="http://www.landjs.com/web/mapmain.aspx?xzq=321201&amp;dkid=29D3EF95C9827A95E055000000000001&amp;x=119.917999&amp;y=32.458499" TargetMode="External"/><Relationship Id="rId55" Type="http://schemas.openxmlformats.org/officeDocument/2006/relationships/hyperlink" Target="http://www.landjs.com/web/mapmain.aspx?xzq=321201&amp;dkid=29D3B8937D5179FBE055000000000001&amp;x=119.917999&amp;y=32.458499" TargetMode="External"/><Relationship Id="rId76" Type="http://schemas.openxmlformats.org/officeDocument/2006/relationships/hyperlink" Target="http://www.landjs.com/web/mapmain.aspx?xzq=321201&amp;dkid=241766E352B268DBE055000000000001&amp;x=119.917999&amp;y=32.458499" TargetMode="External"/><Relationship Id="rId97" Type="http://schemas.openxmlformats.org/officeDocument/2006/relationships/hyperlink" Target="http://www.landjs.com/web/mapmain.aspx?xzq=321201&amp;dkid=CACA9257FCBA4845A6978E8780295186&amp;x=119.917999&amp;y=32.458499" TargetMode="External"/><Relationship Id="rId104" Type="http://schemas.openxmlformats.org/officeDocument/2006/relationships/hyperlink" Target="http://www.landjs.com/web/mapmain.aspx?xzq=321201&amp;dkid=8C774C0DBE3C437A90A9B02B4D129365&amp;x=118.791999&amp;y=32.458499" TargetMode="External"/><Relationship Id="rId120" Type="http://schemas.openxmlformats.org/officeDocument/2006/relationships/hyperlink" Target="http://www.landjs.com/web/mapmain.aspx?xzq=321201&amp;dkid=A4DE697EDB9340B18A6D4CB5650676A0&amp;x=119.917999&amp;y=32.458499" TargetMode="External"/><Relationship Id="rId125" Type="http://schemas.openxmlformats.org/officeDocument/2006/relationships/hyperlink" Target="http://www.landjs.com/web/mapmain.aspx?xzq=321201&amp;dkid=8F0DA453D44B4C0F8F61EAFBFC831123&amp;x=119.917999&amp;y=32.458499" TargetMode="External"/><Relationship Id="rId141" Type="http://schemas.openxmlformats.org/officeDocument/2006/relationships/hyperlink" Target="http://www.landjs.com/web/mapmain.aspx?xzq=321201&amp;dkid=125578C6375F451092A7294572F7A0C6&amp;x=119.917999&amp;y=32.458499" TargetMode="External"/><Relationship Id="rId146" Type="http://schemas.openxmlformats.org/officeDocument/2006/relationships/hyperlink" Target="http://www.landjs.com/web/mapmain.aspx?xzq=321201&amp;dkid=A3A51588B67A42B7B41D7F6449252A8B&amp;x=119.917999&amp;y=32.458499" TargetMode="External"/><Relationship Id="rId7" Type="http://schemas.openxmlformats.org/officeDocument/2006/relationships/hyperlink" Target="http://www.landjs.com/web/mapmain.aspx?xzq=321201&amp;dkid=5D102C99279B2AA9E055000000000001&amp;x=119.917999&amp;y=32.458499" TargetMode="External"/><Relationship Id="rId71" Type="http://schemas.openxmlformats.org/officeDocument/2006/relationships/hyperlink" Target="http://www.landjs.com/web/mapmain.aspx?xzq=321201&amp;dkid=24DBCFFB084C46A9E055000000000001&amp;x=119.917999&amp;y=32.458499" TargetMode="External"/><Relationship Id="rId92" Type="http://schemas.openxmlformats.org/officeDocument/2006/relationships/hyperlink" Target="http://www.landjs.com/web/mapmain.aspx?xzq=321201&amp;dkid=01771D3C0BF7483F94B67313E8EF20FC&amp;x=119.917999&amp;y=32.458499" TargetMode="External"/><Relationship Id="rId2" Type="http://schemas.openxmlformats.org/officeDocument/2006/relationships/image" Target="../media/image1.gif"/><Relationship Id="rId29" Type="http://schemas.openxmlformats.org/officeDocument/2006/relationships/hyperlink" Target="http://www.landjs.com/web/mapmain.aspx?xzq=321201&amp;dkid=3FBCBD6A6B4411BAE055000000000001&amp;x=119.917999&amp;y=32.458499" TargetMode="External"/><Relationship Id="rId24" Type="http://schemas.openxmlformats.org/officeDocument/2006/relationships/hyperlink" Target="http://www.landjs.com/web/mapmain.aspx?xzq=321201&amp;dkid=43AF0F0153EE1A50E055000000000001&amp;x=119.917999&amp;y=32.458499" TargetMode="External"/><Relationship Id="rId40" Type="http://schemas.openxmlformats.org/officeDocument/2006/relationships/hyperlink" Target="http://www.landjs.com/web/mapmain.aspx?xzq=321201&amp;dkid=&amp;x=119.917999&amp;y=32.062099" TargetMode="External"/><Relationship Id="rId45" Type="http://schemas.openxmlformats.org/officeDocument/2006/relationships/hyperlink" Target="http://www.landjs.com/web/mapmain.aspx?xzq=321201&amp;dkid=2F3F68AC6DF86C8BE055000000000001&amp;x=119.917999&amp;y=32.458499" TargetMode="External"/><Relationship Id="rId66" Type="http://schemas.openxmlformats.org/officeDocument/2006/relationships/hyperlink" Target="http://www.landjs.com/web/mapmain.aspx?xzq=321201&amp;dkid=25313A2CC9614803E055000000000001&amp;x=119.917999&amp;y=32.458499" TargetMode="External"/><Relationship Id="rId87" Type="http://schemas.openxmlformats.org/officeDocument/2006/relationships/hyperlink" Target="http://www.landjs.com/web/mapmain.aspx?xzq=321201&amp;dkid=1EBB1DAB4F534EE8E055000000000001&amp;x=119.917999&amp;y=32.458499" TargetMode="External"/><Relationship Id="rId110" Type="http://schemas.openxmlformats.org/officeDocument/2006/relationships/hyperlink" Target="http://www.landjs.com/web/mapmain.aspx?xzq=321201&amp;dkid=DACB526289184BAB90F5698C0E69569E&amp;x=119.917999&amp;y=32.458499" TargetMode="External"/><Relationship Id="rId115" Type="http://schemas.openxmlformats.org/officeDocument/2006/relationships/hyperlink" Target="http://www.landjs.com/web/mapmain.aspx?xzq=321201&amp;dkid=89ED2C909B6F45D1A6CC564D0E325A2C&amp;x=119.917999&amp;y=32.062099" TargetMode="External"/><Relationship Id="rId131" Type="http://schemas.openxmlformats.org/officeDocument/2006/relationships/hyperlink" Target="http://www.landjs.com/web/mapmain.aspx?xzq=321201&amp;dkid=3393BBF1850B47139AFBCC1438F2CC86&amp;x=119.917999&amp;y=32.458499" TargetMode="External"/><Relationship Id="rId136" Type="http://schemas.openxmlformats.org/officeDocument/2006/relationships/hyperlink" Target="http://www.landjs.com/web/mapmain.aspx?xzq=321201&amp;dkid=371F3E6790584DE0A7C6B7E7CF273E2F&amp;x=119.917999&amp;y=32.458499" TargetMode="External"/><Relationship Id="rId61" Type="http://schemas.openxmlformats.org/officeDocument/2006/relationships/hyperlink" Target="http://www.landjs.com/web/mapmain.aspx?xzq=321201&amp;dkid=253226C7C7FD4A98E055000000000001&amp;x=119.917999&amp;y=32.458499" TargetMode="External"/><Relationship Id="rId82" Type="http://schemas.openxmlformats.org/officeDocument/2006/relationships/hyperlink" Target="http://www.landjs.com/web/mapmain.aspx?xzq=321201&amp;dkid=22202CB8A3195B88E055000000000001&amp;x=118.791999&amp;y=32.458499" TargetMode="External"/><Relationship Id="rId152" Type="http://schemas.openxmlformats.org/officeDocument/2006/relationships/hyperlink" Target="http://www.landjs.com/web/mapmain.aspx?xzq=321201&amp;dkid=9021F1CD387A4064A051A3606B68E7E1&amp;x=119.917999&amp;y=32.458499" TargetMode="External"/><Relationship Id="rId19" Type="http://schemas.openxmlformats.org/officeDocument/2006/relationships/hyperlink" Target="http://www.landjs.com/web/mapmain.aspx?xzq=321201&amp;dkid=43305E14EF460A09E055000000000001&amp;x=119.917999&amp;y=32.458499" TargetMode="External"/><Relationship Id="rId14" Type="http://schemas.openxmlformats.org/officeDocument/2006/relationships/hyperlink" Target="http://www.landjs.com/web/mapmain.aspx?xzq=321201&amp;dkid=4F9F4FD17D077A3AE055000000000001&amp;x=119.917999&amp;y=32.458499" TargetMode="External"/><Relationship Id="rId30" Type="http://schemas.openxmlformats.org/officeDocument/2006/relationships/hyperlink" Target="http://www.landjs.com/web/mapmain.aspx?xzq=321201&amp;dkid=40D8D5D729BD0A9BE055000000000001&amp;x=119.917999&amp;y=32.458499" TargetMode="External"/><Relationship Id="rId35" Type="http://schemas.openxmlformats.org/officeDocument/2006/relationships/hyperlink" Target="http://www.landjs.com/web/mapmain.aspx?xzq=321201&amp;dkid=37F45C323A9D7EFFE055000000000001&amp;x=119.917999&amp;y=32.458499" TargetMode="External"/><Relationship Id="rId56" Type="http://schemas.openxmlformats.org/officeDocument/2006/relationships/hyperlink" Target="http://www.landjs.com/web/mapmain.aspx?xzq=321201&amp;dkid=28928119C50E3622E055000000000001&amp;x=119.917999&amp;y=32.458499" TargetMode="External"/><Relationship Id="rId77" Type="http://schemas.openxmlformats.org/officeDocument/2006/relationships/hyperlink" Target="http://www.landjs.com/web/mapmain.aspx?xzq=321201&amp;dkid=2416CBAD7C4B672CE055000000000001&amp;x=119.917999&amp;y=32.458499" TargetMode="External"/><Relationship Id="rId100" Type="http://schemas.openxmlformats.org/officeDocument/2006/relationships/hyperlink" Target="http://www.landjs.com/web/mapmain.aspx?xzq=321201&amp;dkid=3286D9E7E2054CA681C595896ADDC71E&amp;x=119.917999&amp;y=32.458499" TargetMode="External"/><Relationship Id="rId105" Type="http://schemas.openxmlformats.org/officeDocument/2006/relationships/hyperlink" Target="http://www.landjs.com/web/mapmain.aspx?xzq=321201&amp;dkid=011F9BAFF21F403A8AB2AFFF3F7E50AA&amp;x=118.791999&amp;y=32.458499" TargetMode="External"/><Relationship Id="rId126" Type="http://schemas.openxmlformats.org/officeDocument/2006/relationships/hyperlink" Target="http://www.landjs.com/web/mapmain.aspx?xzq=321201&amp;dkid=6F85992247404925AD344DD040BC1877&amp;x=119.917999&amp;y=32.458499" TargetMode="External"/><Relationship Id="rId147" Type="http://schemas.openxmlformats.org/officeDocument/2006/relationships/hyperlink" Target="http://www.landjs.com/web/mapmain.aspx?xzq=321201&amp;dkid=CCBEB4CC844541AB8A05BB2B9C5F0A97&amp;x=119.917999&amp;y=32.458499" TargetMode="External"/><Relationship Id="rId8" Type="http://schemas.openxmlformats.org/officeDocument/2006/relationships/hyperlink" Target="http://www.landjs.com/web/mapmain.aspx?xzq=321201&amp;dkid=573F42CD4E554240E055000000000001&amp;x=119.917999&amp;y=32.458499" TargetMode="External"/><Relationship Id="rId51" Type="http://schemas.openxmlformats.org/officeDocument/2006/relationships/hyperlink" Target="http://www.landjs.com/web/mapmain.aspx?xzq=321201&amp;dkid=29D3EF95C9737A95E055000000000001&amp;x=119.917999&amp;y=32.458499" TargetMode="External"/><Relationship Id="rId72" Type="http://schemas.openxmlformats.org/officeDocument/2006/relationships/hyperlink" Target="http://www.landjs.com/web/mapmain.aspx?xzq=321201&amp;dkid=24DB79ACCE1C459FE055000000000001&amp;x=119.917999&amp;y=32.458499" TargetMode="External"/><Relationship Id="rId93" Type="http://schemas.openxmlformats.org/officeDocument/2006/relationships/hyperlink" Target="http://www.landjs.com/web/mapmain.aspx?xzq=321201&amp;dkid=5583C1C918664FA0BF50095CA0614BDB&amp;x=119.917999&amp;y=32.458499" TargetMode="External"/><Relationship Id="rId98" Type="http://schemas.openxmlformats.org/officeDocument/2006/relationships/hyperlink" Target="http://www.landjs.com/web/mapmain.aspx?xzq=321201&amp;dkid=C8DCEF0602064A9EADBEF7AF2B1580EB&amp;x=119.917999&amp;y=32.458499" TargetMode="External"/><Relationship Id="rId121" Type="http://schemas.openxmlformats.org/officeDocument/2006/relationships/hyperlink" Target="http://www.landjs.com/web/mapmain.aspx?xzq=321201&amp;dkid=9B4040AB5C1D4F8FB1F79FCB8AA9019D&amp;x=119.917999&amp;y=32.458499" TargetMode="External"/><Relationship Id="rId142" Type="http://schemas.openxmlformats.org/officeDocument/2006/relationships/hyperlink" Target="http://www.landjs.com/web/mapmain.aspx?xzq=321201&amp;dkid=786291A5AA7B49FBA4F9854A41C79B53&amp;x=119.917999&amp;y=32.458499" TargetMode="External"/><Relationship Id="rId3" Type="http://schemas.openxmlformats.org/officeDocument/2006/relationships/hyperlink" Target="http://www.landjs.com/web/mapmain.aspx?xzq=321201&amp;dkid=&amp;x=119.917999&amp;y=32.45849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144780</xdr:colOff>
      <xdr:row>3</xdr:row>
      <xdr:rowOff>106680</xdr:rowOff>
    </xdr:to>
    <xdr:pic>
      <xdr:nvPicPr>
        <xdr:cNvPr id="2" name="图片 1" descr="地图浏览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B1AD1807-AB01-48C0-9C9E-D9263D49FA2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492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144780</xdr:colOff>
      <xdr:row>4</xdr:row>
      <xdr:rowOff>76200</xdr:rowOff>
    </xdr:to>
    <xdr:pic>
      <xdr:nvPicPr>
        <xdr:cNvPr id="3" name="图片 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504AA81-32D4-4A41-A920-BED0E4B49D7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734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144780</xdr:colOff>
      <xdr:row>4</xdr:row>
      <xdr:rowOff>76200</xdr:rowOff>
    </xdr:to>
    <xdr:pic>
      <xdr:nvPicPr>
        <xdr:cNvPr id="4" name="图片 3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A9847F7-A1EB-4640-9975-CA625974A0E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734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144780</xdr:colOff>
      <xdr:row>4</xdr:row>
      <xdr:rowOff>76200</xdr:rowOff>
    </xdr:to>
    <xdr:pic>
      <xdr:nvPicPr>
        <xdr:cNvPr id="5" name="图片 4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5A19A6A-E030-46C8-B925-0FA56E4BAEF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734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144780</xdr:colOff>
      <xdr:row>4</xdr:row>
      <xdr:rowOff>76200</xdr:rowOff>
    </xdr:to>
    <xdr:pic>
      <xdr:nvPicPr>
        <xdr:cNvPr id="6" name="图片 5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8610DF0-F671-480A-9BDC-E0B1FA1AD9E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734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144780</xdr:colOff>
      <xdr:row>4</xdr:row>
      <xdr:rowOff>76200</xdr:rowOff>
    </xdr:to>
    <xdr:pic>
      <xdr:nvPicPr>
        <xdr:cNvPr id="7" name="图片 6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69DCCE4-202E-45F0-8816-EF33A5C4F6A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734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144780</xdr:colOff>
      <xdr:row>4</xdr:row>
      <xdr:rowOff>76200</xdr:rowOff>
    </xdr:to>
    <xdr:pic>
      <xdr:nvPicPr>
        <xdr:cNvPr id="8" name="图片 7" descr="地图浏览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B6B03536-3236-42FD-B811-435265C8D05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734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144780</xdr:colOff>
      <xdr:row>5</xdr:row>
      <xdr:rowOff>106680</xdr:rowOff>
    </xdr:to>
    <xdr:pic>
      <xdr:nvPicPr>
        <xdr:cNvPr id="9" name="图片 8" descr="地图浏览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15D6C432-B0CA-4ED7-A4DD-184B4448E68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976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144780</xdr:colOff>
      <xdr:row>6</xdr:row>
      <xdr:rowOff>106680</xdr:rowOff>
    </xdr:to>
    <xdr:pic>
      <xdr:nvPicPr>
        <xdr:cNvPr id="10" name="图片 9" descr="地图浏览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D41C40D5-D8F6-4ABD-854D-46056DBE8ED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218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144780</xdr:colOff>
      <xdr:row>7</xdr:row>
      <xdr:rowOff>106680</xdr:rowOff>
    </xdr:to>
    <xdr:pic>
      <xdr:nvPicPr>
        <xdr:cNvPr id="11" name="图片 10" descr="地图浏览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FAD542F5-9685-4614-A146-B2293B4AE9E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144780</xdr:colOff>
      <xdr:row>8</xdr:row>
      <xdr:rowOff>83820</xdr:rowOff>
    </xdr:to>
    <xdr:pic>
      <xdr:nvPicPr>
        <xdr:cNvPr id="12" name="图片 11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EE4D08B-BB4F-4A79-81B2-52A410FCC97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144780</xdr:colOff>
      <xdr:row>8</xdr:row>
      <xdr:rowOff>83820</xdr:rowOff>
    </xdr:to>
    <xdr:pic>
      <xdr:nvPicPr>
        <xdr:cNvPr id="13" name="图片 1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28B07A6-6F33-42C7-988A-CEBEFFE6CCD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144780</xdr:colOff>
      <xdr:row>8</xdr:row>
      <xdr:rowOff>83820</xdr:rowOff>
    </xdr:to>
    <xdr:pic>
      <xdr:nvPicPr>
        <xdr:cNvPr id="14" name="图片 13" descr="地图浏览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11CB64A7-180B-4619-BF60-E0B40A3E140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144780</xdr:colOff>
      <xdr:row>8</xdr:row>
      <xdr:rowOff>106680</xdr:rowOff>
    </xdr:to>
    <xdr:pic>
      <xdr:nvPicPr>
        <xdr:cNvPr id="15" name="图片 14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A69B6CF-4445-4695-9EC4-DD9A6B1887A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144780</xdr:colOff>
      <xdr:row>8</xdr:row>
      <xdr:rowOff>106680</xdr:rowOff>
    </xdr:to>
    <xdr:pic>
      <xdr:nvPicPr>
        <xdr:cNvPr id="16" name="图片 15" descr="地图浏览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61AD7220-AB3B-46A3-885F-E1ED6FF04F7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144780</xdr:colOff>
      <xdr:row>9</xdr:row>
      <xdr:rowOff>114300</xdr:rowOff>
    </xdr:to>
    <xdr:pic>
      <xdr:nvPicPr>
        <xdr:cNvPr id="17" name="图片 16" descr="地图浏览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265CBC3A-5A9D-4CC6-B2F7-A98B10D824B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944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18" name="图片 17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A3437F8-7AE0-47A7-B7E4-B1720E6817B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19" name="图片 18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03E6CBB-F8AD-4D0F-ACA7-1C9BAB0E402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20" name="图片 19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58EDC46-79E2-42FC-8892-45BDF40820F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21" name="图片 20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921E094-D492-470A-8402-C768819501B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22" name="图片 21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6E47009-B97D-42B6-B766-EAE7A74F45F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23" name="图片 2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444BABD-D609-49E3-80D3-31C203D3096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24" name="图片 23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4D36687-9327-4F3D-8E7E-3E26ECB6681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25" name="图片 24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A7FEA71-6C40-4B94-9423-B3CCE17E1D3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26" name="图片 25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68307B8-9918-445A-A238-1427C9E4739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27" name="图片 26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BFB0E87-8ABB-46E0-AC18-9AB2962CE41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28" name="图片 27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F90C729-1330-4F99-970F-E670ED4091B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144780</xdr:colOff>
      <xdr:row>10</xdr:row>
      <xdr:rowOff>83820</xdr:rowOff>
    </xdr:to>
    <xdr:pic>
      <xdr:nvPicPr>
        <xdr:cNvPr id="29" name="图片 28" descr="地图浏览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44EACD4B-7A64-45A5-B67F-2DB332156AB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18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144780</xdr:colOff>
      <xdr:row>11</xdr:row>
      <xdr:rowOff>83820</xdr:rowOff>
    </xdr:to>
    <xdr:pic>
      <xdr:nvPicPr>
        <xdr:cNvPr id="30" name="图片 29" descr="地图浏览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DD767986-2ABF-4CE2-AAC8-F69D48CF161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428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144780</xdr:colOff>
      <xdr:row>12</xdr:row>
      <xdr:rowOff>83820</xdr:rowOff>
    </xdr:to>
    <xdr:pic>
      <xdr:nvPicPr>
        <xdr:cNvPr id="31" name="图片 30" descr="地图浏览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B5F75C27-3A0C-45D8-B734-CEA6729EAE0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70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144780</xdr:colOff>
      <xdr:row>13</xdr:row>
      <xdr:rowOff>83820</xdr:rowOff>
    </xdr:to>
    <xdr:pic>
      <xdr:nvPicPr>
        <xdr:cNvPr id="32" name="图片 31" descr="地图浏览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A594F50A-8672-4BEA-81F9-B57A939B56C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912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33" name="图片 3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171A03C-408F-46BA-A42E-3F2ABB15F3E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34" name="图片 33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AA9F8FC-4458-4979-A75A-732B36B778B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35" name="图片 34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FC406CD-F062-4327-B096-7E9983C3D75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36" name="图片 35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1848850-E088-41D6-8563-15E96BD38E7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37" name="图片 36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E81647B-973F-4804-A8D1-6D6D662E281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38" name="图片 37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27BC64A-5EF2-4026-96C5-AEB6131F283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39" name="图片 38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3D97B19-CFA5-4526-95AD-8F52F108D4D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40" name="图片 39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F0DC63C-7CAA-4F7A-B4D4-86A7740E545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41" name="图片 40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0F2C9DE-746B-411F-AA18-CAFB3042E1F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42" name="图片 41" descr="地图浏览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B882EEDF-B052-474F-B364-A086578AA7D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43" name="图片 42" descr="地图浏览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F81D1DE6-DAB7-4F76-9644-D490F3D2F8C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144780</xdr:colOff>
      <xdr:row>14</xdr:row>
      <xdr:rowOff>83820</xdr:rowOff>
    </xdr:to>
    <xdr:pic>
      <xdr:nvPicPr>
        <xdr:cNvPr id="44" name="图片 43" descr="地图浏览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F5B01384-DDA2-465E-94A2-B3A32CDE536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15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144780</xdr:colOff>
      <xdr:row>15</xdr:row>
      <xdr:rowOff>83820</xdr:rowOff>
    </xdr:to>
    <xdr:pic>
      <xdr:nvPicPr>
        <xdr:cNvPr id="45" name="图片 44" descr="地图浏览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BF294D76-B401-415C-85B4-6F9D21B16D0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39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46" name="图片 45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065C0CA-DFB1-432C-86C0-0377EA700B2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47" name="图片 46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F57EC03-B73F-4E30-89D5-5A7CAB48619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48" name="图片 47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22395BD-CD0B-4235-8A0C-B5A1F4EADB0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49" name="图片 48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8401C9B-EA30-4282-AFF8-C915DADEA74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50" name="图片 49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4741C32-CC95-452F-97C3-0CE0BF914C7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51" name="图片 50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9A250CE-3B67-4D52-A8E6-BAC82418204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52" name="图片 51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01EBD70-3777-46A3-AA91-E6A36860160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53" name="图片 5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FBB5FD6-5801-4338-9067-5BFF4139CA0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54" name="图片 53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484954C-92B7-40C0-ACEA-AEDF3E6CCEC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55" name="图片 54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2642016-E04F-4B5D-9AAE-E2C9212E3AD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56" name="图片 55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851DE34-9D12-4EB7-977B-2110486CD18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144780</xdr:colOff>
      <xdr:row>16</xdr:row>
      <xdr:rowOff>114300</xdr:rowOff>
    </xdr:to>
    <xdr:pic>
      <xdr:nvPicPr>
        <xdr:cNvPr id="57" name="图片 56" descr="地图浏览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D13EBA9B-938A-4311-B87F-793AE58481B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144780</xdr:colOff>
      <xdr:row>17</xdr:row>
      <xdr:rowOff>76200</xdr:rowOff>
    </xdr:to>
    <xdr:pic>
      <xdr:nvPicPr>
        <xdr:cNvPr id="58" name="图片 57" descr="地图浏览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8E8F3F52-3B01-4413-B2BB-7BBCF6EB2A9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144780</xdr:colOff>
      <xdr:row>18</xdr:row>
      <xdr:rowOff>106680</xdr:rowOff>
    </xdr:to>
    <xdr:pic>
      <xdr:nvPicPr>
        <xdr:cNvPr id="59" name="图片 58" descr="地图浏览">
          <a:hlinkClick xmlns:r="http://schemas.openxmlformats.org/officeDocument/2006/relationships" r:id="rId21" tgtFrame="_blank"/>
          <a:extLst>
            <a:ext uri="{FF2B5EF4-FFF2-40B4-BE49-F238E27FC236}">
              <a16:creationId xmlns:a16="http://schemas.microsoft.com/office/drawing/2014/main" id="{256D748F-38A7-44E2-9FA9-D2BAF2797B2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122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144780</xdr:colOff>
      <xdr:row>19</xdr:row>
      <xdr:rowOff>106680</xdr:rowOff>
    </xdr:to>
    <xdr:pic>
      <xdr:nvPicPr>
        <xdr:cNvPr id="60" name="图片 59" descr="地图浏览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40B9F03B-01B6-47F5-B766-5956EEDE4A5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364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144780</xdr:colOff>
      <xdr:row>20</xdr:row>
      <xdr:rowOff>106680</xdr:rowOff>
    </xdr:to>
    <xdr:pic>
      <xdr:nvPicPr>
        <xdr:cNvPr id="61" name="图片 60" descr="地图浏览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7FBE981F-A4E8-4551-81D9-F26B25B9BA5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606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144780</xdr:colOff>
      <xdr:row>21</xdr:row>
      <xdr:rowOff>106680</xdr:rowOff>
    </xdr:to>
    <xdr:pic>
      <xdr:nvPicPr>
        <xdr:cNvPr id="62" name="图片 61" descr="地图浏览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EEFF1B1F-5774-4042-A900-141A0E3B9EC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8848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144780</xdr:colOff>
      <xdr:row>22</xdr:row>
      <xdr:rowOff>106680</xdr:rowOff>
    </xdr:to>
    <xdr:pic>
      <xdr:nvPicPr>
        <xdr:cNvPr id="63" name="图片 62" descr="地图浏览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D132E21C-2A33-45FC-A135-0192DD3E8DF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144780</xdr:colOff>
      <xdr:row>23</xdr:row>
      <xdr:rowOff>106680</xdr:rowOff>
    </xdr:to>
    <xdr:pic>
      <xdr:nvPicPr>
        <xdr:cNvPr id="64" name="图片 63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01634B6-E3F5-4384-87BF-9C17DF5BE6B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332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144780</xdr:colOff>
      <xdr:row>23</xdr:row>
      <xdr:rowOff>106680</xdr:rowOff>
    </xdr:to>
    <xdr:pic>
      <xdr:nvPicPr>
        <xdr:cNvPr id="65" name="图片 64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D429A9B-5055-4BF9-985D-BC41B965C24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332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144780</xdr:colOff>
      <xdr:row>23</xdr:row>
      <xdr:rowOff>106680</xdr:rowOff>
    </xdr:to>
    <xdr:pic>
      <xdr:nvPicPr>
        <xdr:cNvPr id="66" name="图片 65" descr="地图浏览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94135359-503C-4697-B21B-A94E224F2DC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332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144780</xdr:colOff>
      <xdr:row>24</xdr:row>
      <xdr:rowOff>106680</xdr:rowOff>
    </xdr:to>
    <xdr:pic>
      <xdr:nvPicPr>
        <xdr:cNvPr id="67" name="图片 66" descr="地图浏览">
          <a:hlinkClick xmlns:r="http://schemas.openxmlformats.org/officeDocument/2006/relationships" r:id="rId27" tgtFrame="_blank"/>
          <a:extLst>
            <a:ext uri="{FF2B5EF4-FFF2-40B4-BE49-F238E27FC236}">
              <a16:creationId xmlns:a16="http://schemas.microsoft.com/office/drawing/2014/main" id="{5613DBD6-4EA5-4F08-BA33-AD8D310D0C9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574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144780</xdr:colOff>
      <xdr:row>25</xdr:row>
      <xdr:rowOff>76200</xdr:rowOff>
    </xdr:to>
    <xdr:pic>
      <xdr:nvPicPr>
        <xdr:cNvPr id="68" name="图片 67" descr="地图浏览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6ACEC473-F5A9-4E16-9C7B-0DE597E4CC6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816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144780</xdr:colOff>
      <xdr:row>26</xdr:row>
      <xdr:rowOff>106680</xdr:rowOff>
    </xdr:to>
    <xdr:pic>
      <xdr:nvPicPr>
        <xdr:cNvPr id="69" name="图片 68" descr="地图浏览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50FED7F1-97D6-4C0B-8548-A0DFD427BC5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5058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144780</xdr:colOff>
      <xdr:row>27</xdr:row>
      <xdr:rowOff>106680</xdr:rowOff>
    </xdr:to>
    <xdr:pic>
      <xdr:nvPicPr>
        <xdr:cNvPr id="70" name="图片 69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064B4C9-C64D-482F-BCA0-E2ABCF970CD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144780</xdr:colOff>
      <xdr:row>27</xdr:row>
      <xdr:rowOff>106680</xdr:rowOff>
    </xdr:to>
    <xdr:pic>
      <xdr:nvPicPr>
        <xdr:cNvPr id="71" name="图片 70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F0933E5-D0F0-4A59-A9DC-AE2F29AF218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144780</xdr:colOff>
      <xdr:row>27</xdr:row>
      <xdr:rowOff>106680</xdr:rowOff>
    </xdr:to>
    <xdr:pic>
      <xdr:nvPicPr>
        <xdr:cNvPr id="72" name="图片 71" descr="地图浏览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34C519B3-9B3B-4E4E-8FFF-EEEAA1D0F14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144780</xdr:colOff>
      <xdr:row>27</xdr:row>
      <xdr:rowOff>106680</xdr:rowOff>
    </xdr:to>
    <xdr:pic>
      <xdr:nvPicPr>
        <xdr:cNvPr id="73" name="图片 7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3B57D9E-A92B-44C6-A378-2FD8AF278B1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144780</xdr:colOff>
      <xdr:row>27</xdr:row>
      <xdr:rowOff>106680</xdr:rowOff>
    </xdr:to>
    <xdr:pic>
      <xdr:nvPicPr>
        <xdr:cNvPr id="74" name="图片 73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05213CF-C6F6-42EF-A5B1-0EB17867252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144780</xdr:colOff>
      <xdr:row>27</xdr:row>
      <xdr:rowOff>106680</xdr:rowOff>
    </xdr:to>
    <xdr:pic>
      <xdr:nvPicPr>
        <xdr:cNvPr id="75" name="图片 74" descr="地图浏览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E6499B13-3673-4C1A-A3A6-D8714D67778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144780</xdr:colOff>
      <xdr:row>27</xdr:row>
      <xdr:rowOff>106680</xdr:rowOff>
    </xdr:to>
    <xdr:pic>
      <xdr:nvPicPr>
        <xdr:cNvPr id="76" name="图片 75" descr="地图浏览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88591762-76A7-40AC-A41C-5505D2152E1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144780</xdr:colOff>
      <xdr:row>28</xdr:row>
      <xdr:rowOff>83820</xdr:rowOff>
    </xdr:to>
    <xdr:pic>
      <xdr:nvPicPr>
        <xdr:cNvPr id="77" name="图片 76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4CEECCD-F23A-4C85-B0AB-1EDE7176DC7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542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144780</xdr:colOff>
      <xdr:row>28</xdr:row>
      <xdr:rowOff>83820</xdr:rowOff>
    </xdr:to>
    <xdr:pic>
      <xdr:nvPicPr>
        <xdr:cNvPr id="78" name="图片 77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19B3B57-9F3B-475D-AC83-261DD4B7E31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542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144780</xdr:colOff>
      <xdr:row>28</xdr:row>
      <xdr:rowOff>83820</xdr:rowOff>
    </xdr:to>
    <xdr:pic>
      <xdr:nvPicPr>
        <xdr:cNvPr id="79" name="图片 78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6849D32-1906-456E-B95F-FCAAF54A5A0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542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144780</xdr:colOff>
      <xdr:row>28</xdr:row>
      <xdr:rowOff>83820</xdr:rowOff>
    </xdr:to>
    <xdr:pic>
      <xdr:nvPicPr>
        <xdr:cNvPr id="80" name="图片 79" descr="地图浏览">
          <a:hlinkClick xmlns:r="http://schemas.openxmlformats.org/officeDocument/2006/relationships" r:id="rId33" tgtFrame="_blank"/>
          <a:extLst>
            <a:ext uri="{FF2B5EF4-FFF2-40B4-BE49-F238E27FC236}">
              <a16:creationId xmlns:a16="http://schemas.microsoft.com/office/drawing/2014/main" id="{85100689-A9BC-4177-9059-CBFBFE5AE42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542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144780</xdr:colOff>
      <xdr:row>29</xdr:row>
      <xdr:rowOff>106680</xdr:rowOff>
    </xdr:to>
    <xdr:pic>
      <xdr:nvPicPr>
        <xdr:cNvPr id="81" name="图片 80" descr="地图浏览">
          <a:hlinkClick xmlns:r="http://schemas.openxmlformats.org/officeDocument/2006/relationships" r:id="rId34" tgtFrame="_blank"/>
          <a:extLst>
            <a:ext uri="{FF2B5EF4-FFF2-40B4-BE49-F238E27FC236}">
              <a16:creationId xmlns:a16="http://schemas.microsoft.com/office/drawing/2014/main" id="{B6AD6E1C-E968-41EA-98F7-25672A55F44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784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144780</xdr:colOff>
      <xdr:row>30</xdr:row>
      <xdr:rowOff>76200</xdr:rowOff>
    </xdr:to>
    <xdr:pic>
      <xdr:nvPicPr>
        <xdr:cNvPr id="82" name="图片 81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52E72F9-08CE-4AE1-93E3-3D6570D311F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026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144780</xdr:colOff>
      <xdr:row>30</xdr:row>
      <xdr:rowOff>76200</xdr:rowOff>
    </xdr:to>
    <xdr:pic>
      <xdr:nvPicPr>
        <xdr:cNvPr id="83" name="图片 8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7455BB3-2F59-4092-8087-1FE7D93E81C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026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144780</xdr:colOff>
      <xdr:row>30</xdr:row>
      <xdr:rowOff>76200</xdr:rowOff>
    </xdr:to>
    <xdr:pic>
      <xdr:nvPicPr>
        <xdr:cNvPr id="84" name="图片 83" descr="地图浏览">
          <a:hlinkClick xmlns:r="http://schemas.openxmlformats.org/officeDocument/2006/relationships" r:id="rId35" tgtFrame="_blank"/>
          <a:extLst>
            <a:ext uri="{FF2B5EF4-FFF2-40B4-BE49-F238E27FC236}">
              <a16:creationId xmlns:a16="http://schemas.microsoft.com/office/drawing/2014/main" id="{0D1C96B8-50E4-402D-82A7-C23870975BF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026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144780</xdr:colOff>
      <xdr:row>31</xdr:row>
      <xdr:rowOff>76200</xdr:rowOff>
    </xdr:to>
    <xdr:pic>
      <xdr:nvPicPr>
        <xdr:cNvPr id="85" name="图片 84" descr="地图浏览">
          <a:hlinkClick xmlns:r="http://schemas.openxmlformats.org/officeDocument/2006/relationships" r:id="rId36" tgtFrame="_blank"/>
          <a:extLst>
            <a:ext uri="{FF2B5EF4-FFF2-40B4-BE49-F238E27FC236}">
              <a16:creationId xmlns:a16="http://schemas.microsoft.com/office/drawing/2014/main" id="{C75F1CAC-0EEF-4401-B79C-974A8D161DA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1268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144780</xdr:colOff>
      <xdr:row>32</xdr:row>
      <xdr:rowOff>106680</xdr:rowOff>
    </xdr:to>
    <xdr:pic>
      <xdr:nvPicPr>
        <xdr:cNvPr id="86" name="图片 85" descr="地图浏览">
          <a:hlinkClick xmlns:r="http://schemas.openxmlformats.org/officeDocument/2006/relationships" r:id="rId37" tgtFrame="_blank"/>
          <a:extLst>
            <a:ext uri="{FF2B5EF4-FFF2-40B4-BE49-F238E27FC236}">
              <a16:creationId xmlns:a16="http://schemas.microsoft.com/office/drawing/2014/main" id="{73BE66E6-29ED-4EAC-BA20-44BC1144EC3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251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144780</xdr:colOff>
      <xdr:row>32</xdr:row>
      <xdr:rowOff>106680</xdr:rowOff>
    </xdr:to>
    <xdr:pic>
      <xdr:nvPicPr>
        <xdr:cNvPr id="87" name="图片 86" descr="地图浏览">
          <a:hlinkClick xmlns:r="http://schemas.openxmlformats.org/officeDocument/2006/relationships" r:id="rId38" tgtFrame="_blank"/>
          <a:extLst>
            <a:ext uri="{FF2B5EF4-FFF2-40B4-BE49-F238E27FC236}">
              <a16:creationId xmlns:a16="http://schemas.microsoft.com/office/drawing/2014/main" id="{F5512B9F-B035-469A-BF3B-E2FFAE1AD6E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251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144780</xdr:colOff>
      <xdr:row>33</xdr:row>
      <xdr:rowOff>106680</xdr:rowOff>
    </xdr:to>
    <xdr:pic>
      <xdr:nvPicPr>
        <xdr:cNvPr id="88" name="图片 87" descr="地图浏览">
          <a:hlinkClick xmlns:r="http://schemas.openxmlformats.org/officeDocument/2006/relationships" r:id="rId39" tgtFrame="_blank"/>
          <a:extLst>
            <a:ext uri="{FF2B5EF4-FFF2-40B4-BE49-F238E27FC236}">
              <a16:creationId xmlns:a16="http://schemas.microsoft.com/office/drawing/2014/main" id="{49A41867-832C-4E32-9FA9-9D0776849D2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3752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144780</xdr:colOff>
      <xdr:row>34</xdr:row>
      <xdr:rowOff>106680</xdr:rowOff>
    </xdr:to>
    <xdr:pic>
      <xdr:nvPicPr>
        <xdr:cNvPr id="89" name="图片 88" descr="地图浏览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24384C71-ED30-4E1C-B094-9882F72BAA0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4994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144780</xdr:colOff>
      <xdr:row>34</xdr:row>
      <xdr:rowOff>106680</xdr:rowOff>
    </xdr:to>
    <xdr:pic>
      <xdr:nvPicPr>
        <xdr:cNvPr id="90" name="图片 89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3CB6829-B162-43C6-BAE6-3976DABF33E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4994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144780</xdr:colOff>
      <xdr:row>34</xdr:row>
      <xdr:rowOff>106680</xdr:rowOff>
    </xdr:to>
    <xdr:pic>
      <xdr:nvPicPr>
        <xdr:cNvPr id="91" name="图片 90" descr="地图浏览">
          <a:hlinkClick xmlns:r="http://schemas.openxmlformats.org/officeDocument/2006/relationships" r:id="rId41" tgtFrame="_blank"/>
          <a:extLst>
            <a:ext uri="{FF2B5EF4-FFF2-40B4-BE49-F238E27FC236}">
              <a16:creationId xmlns:a16="http://schemas.microsoft.com/office/drawing/2014/main" id="{D6793ECF-5FDB-47FF-98EE-0004728C1AD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4994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144780</xdr:colOff>
      <xdr:row>34</xdr:row>
      <xdr:rowOff>106680</xdr:rowOff>
    </xdr:to>
    <xdr:pic>
      <xdr:nvPicPr>
        <xdr:cNvPr id="92" name="图片 91" descr="地图浏览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1E2777D6-F972-4E4C-8D4C-52B55DFF743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4994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144780</xdr:colOff>
      <xdr:row>35</xdr:row>
      <xdr:rowOff>76200</xdr:rowOff>
    </xdr:to>
    <xdr:pic>
      <xdr:nvPicPr>
        <xdr:cNvPr id="93" name="图片 9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0FA8CB8-C7F8-43DE-A39E-8338D05B5A4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6236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144780</xdr:colOff>
      <xdr:row>35</xdr:row>
      <xdr:rowOff>76200</xdr:rowOff>
    </xdr:to>
    <xdr:pic>
      <xdr:nvPicPr>
        <xdr:cNvPr id="94" name="图片 93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5D5D9B0-CE51-432D-9E89-66BD0A90225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6236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144780</xdr:colOff>
      <xdr:row>35</xdr:row>
      <xdr:rowOff>76200</xdr:rowOff>
    </xdr:to>
    <xdr:pic>
      <xdr:nvPicPr>
        <xdr:cNvPr id="95" name="图片 94" descr="地图浏览">
          <a:hlinkClick xmlns:r="http://schemas.openxmlformats.org/officeDocument/2006/relationships" r:id="rId43" tgtFrame="_blank"/>
          <a:extLst>
            <a:ext uri="{FF2B5EF4-FFF2-40B4-BE49-F238E27FC236}">
              <a16:creationId xmlns:a16="http://schemas.microsoft.com/office/drawing/2014/main" id="{EB6F8F24-CF20-4BD0-BEA3-628B23CDFCE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6236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144780</xdr:colOff>
      <xdr:row>36</xdr:row>
      <xdr:rowOff>53340</xdr:rowOff>
    </xdr:to>
    <xdr:pic>
      <xdr:nvPicPr>
        <xdr:cNvPr id="96" name="图片 95" descr="地图浏览">
          <a:hlinkClick xmlns:r="http://schemas.openxmlformats.org/officeDocument/2006/relationships" r:id="rId44" tgtFrame="_blank"/>
          <a:extLst>
            <a:ext uri="{FF2B5EF4-FFF2-40B4-BE49-F238E27FC236}">
              <a16:creationId xmlns:a16="http://schemas.microsoft.com/office/drawing/2014/main" id="{C0341E27-BD1F-4505-8450-34A664F9B21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74780"/>
          <a:ext cx="144780" cy="5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144780</xdr:colOff>
      <xdr:row>37</xdr:row>
      <xdr:rowOff>76200</xdr:rowOff>
    </xdr:to>
    <xdr:pic>
      <xdr:nvPicPr>
        <xdr:cNvPr id="97" name="图片 96" descr="地图浏览">
          <a:hlinkClick xmlns:r="http://schemas.openxmlformats.org/officeDocument/2006/relationships" r:id="rId45" tgtFrame="_blank"/>
          <a:extLst>
            <a:ext uri="{FF2B5EF4-FFF2-40B4-BE49-F238E27FC236}">
              <a16:creationId xmlns:a16="http://schemas.microsoft.com/office/drawing/2014/main" id="{180CA12C-D57E-4AB6-9AE3-83967B1A3D0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8720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144780</xdr:colOff>
      <xdr:row>38</xdr:row>
      <xdr:rowOff>76200</xdr:rowOff>
    </xdr:to>
    <xdr:pic>
      <xdr:nvPicPr>
        <xdr:cNvPr id="98" name="图片 97" descr="地图浏览">
          <a:hlinkClick xmlns:r="http://schemas.openxmlformats.org/officeDocument/2006/relationships" r:id="rId46" tgtFrame="_blank"/>
          <a:extLst>
            <a:ext uri="{FF2B5EF4-FFF2-40B4-BE49-F238E27FC236}">
              <a16:creationId xmlns:a16="http://schemas.microsoft.com/office/drawing/2014/main" id="{4D1133C6-B568-465F-B00F-4B22B3582C7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962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144780</xdr:colOff>
      <xdr:row>39</xdr:row>
      <xdr:rowOff>83820</xdr:rowOff>
    </xdr:to>
    <xdr:pic>
      <xdr:nvPicPr>
        <xdr:cNvPr id="99" name="图片 98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38FA4D8-CFA3-4A8B-9504-191C91AB111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120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144780</xdr:colOff>
      <xdr:row>39</xdr:row>
      <xdr:rowOff>83820</xdr:rowOff>
    </xdr:to>
    <xdr:pic>
      <xdr:nvPicPr>
        <xdr:cNvPr id="100" name="图片 99" descr="地图浏览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9099D5C1-48F8-4F08-B67F-FE241A3ED3D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120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144780</xdr:colOff>
      <xdr:row>39</xdr:row>
      <xdr:rowOff>83820</xdr:rowOff>
    </xdr:to>
    <xdr:pic>
      <xdr:nvPicPr>
        <xdr:cNvPr id="101" name="图片 100" descr="地图浏览">
          <a:hlinkClick xmlns:r="http://schemas.openxmlformats.org/officeDocument/2006/relationships" r:id="rId48" tgtFrame="_blank"/>
          <a:extLst>
            <a:ext uri="{FF2B5EF4-FFF2-40B4-BE49-F238E27FC236}">
              <a16:creationId xmlns:a16="http://schemas.microsoft.com/office/drawing/2014/main" id="{DD9F000B-8AAC-4CE4-A7DC-ACA1720B71F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1204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144780</xdr:colOff>
      <xdr:row>40</xdr:row>
      <xdr:rowOff>83820</xdr:rowOff>
    </xdr:to>
    <xdr:pic>
      <xdr:nvPicPr>
        <xdr:cNvPr id="102" name="图片 101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F55448D-1A4F-488E-8553-B2C819323A2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44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144780</xdr:colOff>
      <xdr:row>40</xdr:row>
      <xdr:rowOff>83820</xdr:rowOff>
    </xdr:to>
    <xdr:pic>
      <xdr:nvPicPr>
        <xdr:cNvPr id="103" name="图片 10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C3B010F-C11D-46F7-A63D-85F698B3A88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44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144780</xdr:colOff>
      <xdr:row>40</xdr:row>
      <xdr:rowOff>83820</xdr:rowOff>
    </xdr:to>
    <xdr:pic>
      <xdr:nvPicPr>
        <xdr:cNvPr id="104" name="图片 103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4A77B6F-8B5A-4F4A-88B7-509618024B7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44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144780</xdr:colOff>
      <xdr:row>40</xdr:row>
      <xdr:rowOff>83820</xdr:rowOff>
    </xdr:to>
    <xdr:pic>
      <xdr:nvPicPr>
        <xdr:cNvPr id="105" name="图片 104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D6164A6-D47B-4826-9AE7-59E27EE0FDA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44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144780</xdr:colOff>
      <xdr:row>40</xdr:row>
      <xdr:rowOff>83820</xdr:rowOff>
    </xdr:to>
    <xdr:pic>
      <xdr:nvPicPr>
        <xdr:cNvPr id="106" name="图片 105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6FD9B3A-AE57-4B54-8EC8-D96ECBFB879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44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144780</xdr:colOff>
      <xdr:row>40</xdr:row>
      <xdr:rowOff>83820</xdr:rowOff>
    </xdr:to>
    <xdr:pic>
      <xdr:nvPicPr>
        <xdr:cNvPr id="107" name="图片 106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F149C44-2DF3-4FF2-A684-9EEFD40A7BB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44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144780</xdr:colOff>
      <xdr:row>40</xdr:row>
      <xdr:rowOff>83820</xdr:rowOff>
    </xdr:to>
    <xdr:pic>
      <xdr:nvPicPr>
        <xdr:cNvPr id="108" name="图片 107" descr="地图浏览">
          <a:hlinkClick xmlns:r="http://schemas.openxmlformats.org/officeDocument/2006/relationships" r:id="rId41" tgtFrame="_blank"/>
          <a:extLst>
            <a:ext uri="{FF2B5EF4-FFF2-40B4-BE49-F238E27FC236}">
              <a16:creationId xmlns:a16="http://schemas.microsoft.com/office/drawing/2014/main" id="{A7BA87E2-053C-433C-A457-044C587391F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44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144780</xdr:colOff>
      <xdr:row>40</xdr:row>
      <xdr:rowOff>83820</xdr:rowOff>
    </xdr:to>
    <xdr:pic>
      <xdr:nvPicPr>
        <xdr:cNvPr id="109" name="图片 108" descr="地图浏览">
          <a:hlinkClick xmlns:r="http://schemas.openxmlformats.org/officeDocument/2006/relationships" r:id="rId41" tgtFrame="_blank"/>
          <a:extLst>
            <a:ext uri="{FF2B5EF4-FFF2-40B4-BE49-F238E27FC236}">
              <a16:creationId xmlns:a16="http://schemas.microsoft.com/office/drawing/2014/main" id="{1967563E-2749-4706-956A-DA63EB29197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44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144780</xdr:colOff>
      <xdr:row>40</xdr:row>
      <xdr:rowOff>83820</xdr:rowOff>
    </xdr:to>
    <xdr:pic>
      <xdr:nvPicPr>
        <xdr:cNvPr id="110" name="图片 109" descr="地图浏览">
          <a:hlinkClick xmlns:r="http://schemas.openxmlformats.org/officeDocument/2006/relationships" r:id="rId49" tgtFrame="_blank"/>
          <a:extLst>
            <a:ext uri="{FF2B5EF4-FFF2-40B4-BE49-F238E27FC236}">
              <a16:creationId xmlns:a16="http://schemas.microsoft.com/office/drawing/2014/main" id="{61B70290-53FB-4C37-A916-24CEF81892B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44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144780</xdr:colOff>
      <xdr:row>41</xdr:row>
      <xdr:rowOff>106680</xdr:rowOff>
    </xdr:to>
    <xdr:pic>
      <xdr:nvPicPr>
        <xdr:cNvPr id="111" name="图片 110" descr="地图浏览">
          <a:hlinkClick xmlns:r="http://schemas.openxmlformats.org/officeDocument/2006/relationships" r:id="rId50" tgtFrame="_blank"/>
          <a:extLst>
            <a:ext uri="{FF2B5EF4-FFF2-40B4-BE49-F238E27FC236}">
              <a16:creationId xmlns:a16="http://schemas.microsoft.com/office/drawing/2014/main" id="{AA37A4D2-8FF9-4A85-9634-48994D92625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3688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144780</xdr:colOff>
      <xdr:row>42</xdr:row>
      <xdr:rowOff>106680</xdr:rowOff>
    </xdr:to>
    <xdr:pic>
      <xdr:nvPicPr>
        <xdr:cNvPr id="112" name="图片 111" descr="地图浏览">
          <a:hlinkClick xmlns:r="http://schemas.openxmlformats.org/officeDocument/2006/relationships" r:id="rId51" tgtFrame="_blank"/>
          <a:extLst>
            <a:ext uri="{FF2B5EF4-FFF2-40B4-BE49-F238E27FC236}">
              <a16:creationId xmlns:a16="http://schemas.microsoft.com/office/drawing/2014/main" id="{C8CF00DA-AACB-4CB1-8B41-DC3811528A9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493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144780</xdr:colOff>
      <xdr:row>43</xdr:row>
      <xdr:rowOff>106680</xdr:rowOff>
    </xdr:to>
    <xdr:pic>
      <xdr:nvPicPr>
        <xdr:cNvPr id="113" name="图片 112" descr="地图浏览">
          <a:hlinkClick xmlns:r="http://schemas.openxmlformats.org/officeDocument/2006/relationships" r:id="rId52" tgtFrame="_blank"/>
          <a:extLst>
            <a:ext uri="{FF2B5EF4-FFF2-40B4-BE49-F238E27FC236}">
              <a16:creationId xmlns:a16="http://schemas.microsoft.com/office/drawing/2014/main" id="{A57133AF-C61F-4D46-B4C9-542E530A337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6172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144780</xdr:colOff>
      <xdr:row>44</xdr:row>
      <xdr:rowOff>106680</xdr:rowOff>
    </xdr:to>
    <xdr:pic>
      <xdr:nvPicPr>
        <xdr:cNvPr id="114" name="图片 113" descr="地图浏览">
          <a:hlinkClick xmlns:r="http://schemas.openxmlformats.org/officeDocument/2006/relationships" r:id="rId53" tgtFrame="_blank"/>
          <a:extLst>
            <a:ext uri="{FF2B5EF4-FFF2-40B4-BE49-F238E27FC236}">
              <a16:creationId xmlns:a16="http://schemas.microsoft.com/office/drawing/2014/main" id="{8B83152F-F6BC-4A91-A8C2-846A8BE2DAE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7414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144780</xdr:colOff>
      <xdr:row>45</xdr:row>
      <xdr:rowOff>106680</xdr:rowOff>
    </xdr:to>
    <xdr:pic>
      <xdr:nvPicPr>
        <xdr:cNvPr id="115" name="图片 114" descr="地图浏览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AAE19368-BE76-4054-AF33-CE6D8943CFB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8656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144780</xdr:colOff>
      <xdr:row>46</xdr:row>
      <xdr:rowOff>106680</xdr:rowOff>
    </xdr:to>
    <xdr:pic>
      <xdr:nvPicPr>
        <xdr:cNvPr id="116" name="图片 115" descr="地图浏览">
          <a:hlinkClick xmlns:r="http://schemas.openxmlformats.org/officeDocument/2006/relationships" r:id="rId55" tgtFrame="_blank"/>
          <a:extLst>
            <a:ext uri="{FF2B5EF4-FFF2-40B4-BE49-F238E27FC236}">
              <a16:creationId xmlns:a16="http://schemas.microsoft.com/office/drawing/2014/main" id="{7EC5F84D-3235-4741-BA76-D3DC0C16267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9898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144780</xdr:colOff>
      <xdr:row>47</xdr:row>
      <xdr:rowOff>106680</xdr:rowOff>
    </xdr:to>
    <xdr:pic>
      <xdr:nvPicPr>
        <xdr:cNvPr id="117" name="图片 116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48DA57B-6EDE-4664-849E-E3592521D20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114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144780</xdr:colOff>
      <xdr:row>47</xdr:row>
      <xdr:rowOff>106680</xdr:rowOff>
    </xdr:to>
    <xdr:pic>
      <xdr:nvPicPr>
        <xdr:cNvPr id="118" name="图片 117" descr="地图浏览">
          <a:hlinkClick xmlns:r="http://schemas.openxmlformats.org/officeDocument/2006/relationships" r:id="rId56" tgtFrame="_blank"/>
          <a:extLst>
            <a:ext uri="{FF2B5EF4-FFF2-40B4-BE49-F238E27FC236}">
              <a16:creationId xmlns:a16="http://schemas.microsoft.com/office/drawing/2014/main" id="{B8C80256-AC5C-486C-ACBC-B8ED3569096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1140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144780</xdr:colOff>
      <xdr:row>48</xdr:row>
      <xdr:rowOff>106680</xdr:rowOff>
    </xdr:to>
    <xdr:pic>
      <xdr:nvPicPr>
        <xdr:cNvPr id="119" name="图片 118" descr="地图浏览">
          <a:hlinkClick xmlns:r="http://schemas.openxmlformats.org/officeDocument/2006/relationships" r:id="rId57" tgtFrame="_blank"/>
          <a:extLst>
            <a:ext uri="{FF2B5EF4-FFF2-40B4-BE49-F238E27FC236}">
              <a16:creationId xmlns:a16="http://schemas.microsoft.com/office/drawing/2014/main" id="{CDD22F5A-4304-4A4E-9930-737470E2856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23820"/>
          <a:ext cx="14478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144780</xdr:colOff>
      <xdr:row>49</xdr:row>
      <xdr:rowOff>76200</xdr:rowOff>
    </xdr:to>
    <xdr:pic>
      <xdr:nvPicPr>
        <xdr:cNvPr id="120" name="图片 119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EE47B52-B890-4CAC-AA2C-30CC761B81F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624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144780</xdr:colOff>
      <xdr:row>49</xdr:row>
      <xdr:rowOff>76200</xdr:rowOff>
    </xdr:to>
    <xdr:pic>
      <xdr:nvPicPr>
        <xdr:cNvPr id="121" name="图片 120" descr="地图浏览">
          <a:hlinkClick xmlns:r="http://schemas.openxmlformats.org/officeDocument/2006/relationships" r:id="rId58" tgtFrame="_blank"/>
          <a:extLst>
            <a:ext uri="{FF2B5EF4-FFF2-40B4-BE49-F238E27FC236}">
              <a16:creationId xmlns:a16="http://schemas.microsoft.com/office/drawing/2014/main" id="{E4AF7C99-B2A3-447C-8D57-7620097F97D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36240"/>
          <a:ext cx="14478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144780</xdr:colOff>
      <xdr:row>132</xdr:row>
      <xdr:rowOff>114300</xdr:rowOff>
    </xdr:to>
    <xdr:pic>
      <xdr:nvPicPr>
        <xdr:cNvPr id="122" name="图片 121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69C9540-A988-4F3F-ABF7-543EB29D4AE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144780</xdr:colOff>
      <xdr:row>132</xdr:row>
      <xdr:rowOff>114300</xdr:rowOff>
    </xdr:to>
    <xdr:pic>
      <xdr:nvPicPr>
        <xdr:cNvPr id="123" name="图片 122" descr="地图浏览">
          <a:hlinkClick xmlns:r="http://schemas.openxmlformats.org/officeDocument/2006/relationships" r:id="rId59" tgtFrame="_blank"/>
          <a:extLst>
            <a:ext uri="{FF2B5EF4-FFF2-40B4-BE49-F238E27FC236}">
              <a16:creationId xmlns:a16="http://schemas.microsoft.com/office/drawing/2014/main" id="{20289B8D-41E6-4B05-A512-2A2D41D7D55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144780</xdr:colOff>
      <xdr:row>132</xdr:row>
      <xdr:rowOff>114300</xdr:rowOff>
    </xdr:to>
    <xdr:pic>
      <xdr:nvPicPr>
        <xdr:cNvPr id="124" name="图片 123" descr="地图浏览">
          <a:hlinkClick xmlns:r="http://schemas.openxmlformats.org/officeDocument/2006/relationships" r:id="rId60" tgtFrame="_blank"/>
          <a:extLst>
            <a:ext uri="{FF2B5EF4-FFF2-40B4-BE49-F238E27FC236}">
              <a16:creationId xmlns:a16="http://schemas.microsoft.com/office/drawing/2014/main" id="{EB797CE9-F061-4C94-A8A3-F836C7BFFE4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144780</xdr:colOff>
      <xdr:row>132</xdr:row>
      <xdr:rowOff>114300</xdr:rowOff>
    </xdr:to>
    <xdr:pic>
      <xdr:nvPicPr>
        <xdr:cNvPr id="125" name="图片 124" descr="地图浏览">
          <a:hlinkClick xmlns:r="http://schemas.openxmlformats.org/officeDocument/2006/relationships" r:id="rId61" tgtFrame="_blank"/>
          <a:extLst>
            <a:ext uri="{FF2B5EF4-FFF2-40B4-BE49-F238E27FC236}">
              <a16:creationId xmlns:a16="http://schemas.microsoft.com/office/drawing/2014/main" id="{A889041F-1D27-4C74-A2F7-D6C4C2F65B7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144780</xdr:colOff>
      <xdr:row>132</xdr:row>
      <xdr:rowOff>114300</xdr:rowOff>
    </xdr:to>
    <xdr:pic>
      <xdr:nvPicPr>
        <xdr:cNvPr id="126" name="图片 125" descr="地图浏览">
          <a:hlinkClick xmlns:r="http://schemas.openxmlformats.org/officeDocument/2006/relationships" r:id="rId62" tgtFrame="_blank"/>
          <a:extLst>
            <a:ext uri="{FF2B5EF4-FFF2-40B4-BE49-F238E27FC236}">
              <a16:creationId xmlns:a16="http://schemas.microsoft.com/office/drawing/2014/main" id="{5F222522-8FA1-405E-A390-BF974C661C7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144780</xdr:colOff>
      <xdr:row>132</xdr:row>
      <xdr:rowOff>83820</xdr:rowOff>
    </xdr:to>
    <xdr:pic>
      <xdr:nvPicPr>
        <xdr:cNvPr id="127" name="图片 126" descr="地图浏览">
          <a:hlinkClick xmlns:r="http://schemas.openxmlformats.org/officeDocument/2006/relationships" r:id="rId63" tgtFrame="_blank"/>
          <a:extLst>
            <a:ext uri="{FF2B5EF4-FFF2-40B4-BE49-F238E27FC236}">
              <a16:creationId xmlns:a16="http://schemas.microsoft.com/office/drawing/2014/main" id="{FD0E5B8A-A6D8-42CD-83B4-2D9E52DDC0F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144780</xdr:colOff>
      <xdr:row>132</xdr:row>
      <xdr:rowOff>114300</xdr:rowOff>
    </xdr:to>
    <xdr:pic>
      <xdr:nvPicPr>
        <xdr:cNvPr id="128" name="图片 127" descr="地图浏览">
          <a:hlinkClick xmlns:r="http://schemas.openxmlformats.org/officeDocument/2006/relationships" r:id="rId64" tgtFrame="_blank"/>
          <a:extLst>
            <a:ext uri="{FF2B5EF4-FFF2-40B4-BE49-F238E27FC236}">
              <a16:creationId xmlns:a16="http://schemas.microsoft.com/office/drawing/2014/main" id="{0DB6E780-A87A-484B-AC3B-582A1C7906F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144780</xdr:colOff>
      <xdr:row>132</xdr:row>
      <xdr:rowOff>114300</xdr:rowOff>
    </xdr:to>
    <xdr:pic>
      <xdr:nvPicPr>
        <xdr:cNvPr id="129" name="图片 128" descr="地图浏览">
          <a:hlinkClick xmlns:r="http://schemas.openxmlformats.org/officeDocument/2006/relationships" r:id="rId65" tgtFrame="_blank"/>
          <a:extLst>
            <a:ext uri="{FF2B5EF4-FFF2-40B4-BE49-F238E27FC236}">
              <a16:creationId xmlns:a16="http://schemas.microsoft.com/office/drawing/2014/main" id="{13DBD591-F356-4F1C-8ECF-8D127BD83AF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144780</xdr:colOff>
      <xdr:row>132</xdr:row>
      <xdr:rowOff>114300</xdr:rowOff>
    </xdr:to>
    <xdr:pic>
      <xdr:nvPicPr>
        <xdr:cNvPr id="130" name="图片 129" descr="地图浏览">
          <a:hlinkClick xmlns:r="http://schemas.openxmlformats.org/officeDocument/2006/relationships" r:id="rId66" tgtFrame="_blank"/>
          <a:extLst>
            <a:ext uri="{FF2B5EF4-FFF2-40B4-BE49-F238E27FC236}">
              <a16:creationId xmlns:a16="http://schemas.microsoft.com/office/drawing/2014/main" id="{3ED51B7A-5FA6-4997-94C7-78956D01018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144780</xdr:colOff>
      <xdr:row>132</xdr:row>
      <xdr:rowOff>114300</xdr:rowOff>
    </xdr:to>
    <xdr:pic>
      <xdr:nvPicPr>
        <xdr:cNvPr id="131" name="图片 130" descr="地图浏览">
          <a:hlinkClick xmlns:r="http://schemas.openxmlformats.org/officeDocument/2006/relationships" r:id="rId67" tgtFrame="_blank"/>
          <a:extLst>
            <a:ext uri="{FF2B5EF4-FFF2-40B4-BE49-F238E27FC236}">
              <a16:creationId xmlns:a16="http://schemas.microsoft.com/office/drawing/2014/main" id="{691103B3-6410-47DE-8D3A-3C177BE45D6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144780</xdr:colOff>
      <xdr:row>132</xdr:row>
      <xdr:rowOff>114300</xdr:rowOff>
    </xdr:to>
    <xdr:pic>
      <xdr:nvPicPr>
        <xdr:cNvPr id="132" name="图片 131" descr="地图浏览">
          <a:hlinkClick xmlns:r="http://schemas.openxmlformats.org/officeDocument/2006/relationships" r:id="rId68" tgtFrame="_blank"/>
          <a:extLst>
            <a:ext uri="{FF2B5EF4-FFF2-40B4-BE49-F238E27FC236}">
              <a16:creationId xmlns:a16="http://schemas.microsoft.com/office/drawing/2014/main" id="{58FAE00B-D04A-4ECD-BAE6-7C97A5547C7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144780</xdr:colOff>
      <xdr:row>132</xdr:row>
      <xdr:rowOff>114300</xdr:rowOff>
    </xdr:to>
    <xdr:pic>
      <xdr:nvPicPr>
        <xdr:cNvPr id="133" name="图片 132" descr="地图浏览">
          <a:hlinkClick xmlns:r="http://schemas.openxmlformats.org/officeDocument/2006/relationships" r:id="rId69" tgtFrame="_blank"/>
          <a:extLst>
            <a:ext uri="{FF2B5EF4-FFF2-40B4-BE49-F238E27FC236}">
              <a16:creationId xmlns:a16="http://schemas.microsoft.com/office/drawing/2014/main" id="{3A8B924A-8DD9-4F84-8C46-B80E79B8492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144780</xdr:colOff>
      <xdr:row>132</xdr:row>
      <xdr:rowOff>83820</xdr:rowOff>
    </xdr:to>
    <xdr:pic>
      <xdr:nvPicPr>
        <xdr:cNvPr id="134" name="图片 133" descr="地图浏览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3FF5CF4F-92CD-4F07-9941-26DBE1EE337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144780</xdr:colOff>
      <xdr:row>132</xdr:row>
      <xdr:rowOff>60960</xdr:rowOff>
    </xdr:to>
    <xdr:pic>
      <xdr:nvPicPr>
        <xdr:cNvPr id="135" name="图片 134" descr="地图浏览">
          <a:hlinkClick xmlns:r="http://schemas.openxmlformats.org/officeDocument/2006/relationships" r:id="rId71" tgtFrame="_blank"/>
          <a:extLst>
            <a:ext uri="{FF2B5EF4-FFF2-40B4-BE49-F238E27FC236}">
              <a16:creationId xmlns:a16="http://schemas.microsoft.com/office/drawing/2014/main" id="{6907B166-4610-46C3-A414-787AD89DF45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144780</xdr:colOff>
      <xdr:row>132</xdr:row>
      <xdr:rowOff>60960</xdr:rowOff>
    </xdr:to>
    <xdr:pic>
      <xdr:nvPicPr>
        <xdr:cNvPr id="136" name="图片 135" descr="地图浏览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4D8B032F-BE21-4033-96D2-4DE0EFBA656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144780</xdr:colOff>
      <xdr:row>132</xdr:row>
      <xdr:rowOff>91440</xdr:rowOff>
    </xdr:to>
    <xdr:pic>
      <xdr:nvPicPr>
        <xdr:cNvPr id="137" name="图片 136" descr="地图浏览">
          <a:hlinkClick xmlns:r="http://schemas.openxmlformats.org/officeDocument/2006/relationships" r:id="rId73" tgtFrame="_blank"/>
          <a:extLst>
            <a:ext uri="{FF2B5EF4-FFF2-40B4-BE49-F238E27FC236}">
              <a16:creationId xmlns:a16="http://schemas.microsoft.com/office/drawing/2014/main" id="{CB856579-8099-4A62-8CE9-D98E22CBC5B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91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144780</xdr:colOff>
      <xdr:row>132</xdr:row>
      <xdr:rowOff>114300</xdr:rowOff>
    </xdr:to>
    <xdr:pic>
      <xdr:nvPicPr>
        <xdr:cNvPr id="138" name="图片 137" descr="地图浏览">
          <a:hlinkClick xmlns:r="http://schemas.openxmlformats.org/officeDocument/2006/relationships" r:id="rId74" tgtFrame="_blank"/>
          <a:extLst>
            <a:ext uri="{FF2B5EF4-FFF2-40B4-BE49-F238E27FC236}">
              <a16:creationId xmlns:a16="http://schemas.microsoft.com/office/drawing/2014/main" id="{0C7BFB24-069E-40CB-BFB4-CD4D306C896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144780</xdr:colOff>
      <xdr:row>132</xdr:row>
      <xdr:rowOff>114300</xdr:rowOff>
    </xdr:to>
    <xdr:pic>
      <xdr:nvPicPr>
        <xdr:cNvPr id="139" name="图片 138" descr="地图浏览">
          <a:hlinkClick xmlns:r="http://schemas.openxmlformats.org/officeDocument/2006/relationships" r:id="rId75" tgtFrame="_blank"/>
          <a:extLst>
            <a:ext uri="{FF2B5EF4-FFF2-40B4-BE49-F238E27FC236}">
              <a16:creationId xmlns:a16="http://schemas.microsoft.com/office/drawing/2014/main" id="{4285C834-3FB1-424F-9D43-E8EEBA728C0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144780</xdr:colOff>
      <xdr:row>132</xdr:row>
      <xdr:rowOff>114300</xdr:rowOff>
    </xdr:to>
    <xdr:pic>
      <xdr:nvPicPr>
        <xdr:cNvPr id="140" name="图片 139" descr="地图浏览">
          <a:hlinkClick xmlns:r="http://schemas.openxmlformats.org/officeDocument/2006/relationships" r:id="rId76" tgtFrame="_blank"/>
          <a:extLst>
            <a:ext uri="{FF2B5EF4-FFF2-40B4-BE49-F238E27FC236}">
              <a16:creationId xmlns:a16="http://schemas.microsoft.com/office/drawing/2014/main" id="{55B3671A-2CC5-4CAC-8195-7D22A2A3959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144780</xdr:colOff>
      <xdr:row>132</xdr:row>
      <xdr:rowOff>114300</xdr:rowOff>
    </xdr:to>
    <xdr:pic>
      <xdr:nvPicPr>
        <xdr:cNvPr id="141" name="图片 140" descr="地图浏览">
          <a:hlinkClick xmlns:r="http://schemas.openxmlformats.org/officeDocument/2006/relationships" r:id="rId77" tgtFrame="_blank"/>
          <a:extLst>
            <a:ext uri="{FF2B5EF4-FFF2-40B4-BE49-F238E27FC236}">
              <a16:creationId xmlns:a16="http://schemas.microsoft.com/office/drawing/2014/main" id="{FF7568B9-9D98-4D78-92BD-A9BDBF20A0D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144780</xdr:colOff>
      <xdr:row>132</xdr:row>
      <xdr:rowOff>114300</xdr:rowOff>
    </xdr:to>
    <xdr:pic>
      <xdr:nvPicPr>
        <xdr:cNvPr id="142" name="图片 141" descr="地图浏览">
          <a:hlinkClick xmlns:r="http://schemas.openxmlformats.org/officeDocument/2006/relationships" r:id="rId78" tgtFrame="_blank"/>
          <a:extLst>
            <a:ext uri="{FF2B5EF4-FFF2-40B4-BE49-F238E27FC236}">
              <a16:creationId xmlns:a16="http://schemas.microsoft.com/office/drawing/2014/main" id="{38A0A5EC-8787-4002-BFE8-041C84F70FE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144780</xdr:colOff>
      <xdr:row>132</xdr:row>
      <xdr:rowOff>114300</xdr:rowOff>
    </xdr:to>
    <xdr:pic>
      <xdr:nvPicPr>
        <xdr:cNvPr id="143" name="图片 142" descr="地图浏览">
          <a:hlinkClick xmlns:r="http://schemas.openxmlformats.org/officeDocument/2006/relationships" r:id="rId79" tgtFrame="_blank"/>
          <a:extLst>
            <a:ext uri="{FF2B5EF4-FFF2-40B4-BE49-F238E27FC236}">
              <a16:creationId xmlns:a16="http://schemas.microsoft.com/office/drawing/2014/main" id="{46210745-737E-4A49-8DB2-247F407BC72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144780</xdr:colOff>
      <xdr:row>132</xdr:row>
      <xdr:rowOff>83820</xdr:rowOff>
    </xdr:to>
    <xdr:pic>
      <xdr:nvPicPr>
        <xdr:cNvPr id="144" name="图片 143" descr="地图浏览">
          <a:hlinkClick xmlns:r="http://schemas.openxmlformats.org/officeDocument/2006/relationships" r:id="rId80" tgtFrame="_blank"/>
          <a:extLst>
            <a:ext uri="{FF2B5EF4-FFF2-40B4-BE49-F238E27FC236}">
              <a16:creationId xmlns:a16="http://schemas.microsoft.com/office/drawing/2014/main" id="{7CE4BD62-09EE-4734-A0CB-9E30C0942F9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144780</xdr:colOff>
      <xdr:row>132</xdr:row>
      <xdr:rowOff>83820</xdr:rowOff>
    </xdr:to>
    <xdr:pic>
      <xdr:nvPicPr>
        <xdr:cNvPr id="145" name="图片 144" descr="地图浏览">
          <a:hlinkClick xmlns:r="http://schemas.openxmlformats.org/officeDocument/2006/relationships" r:id="rId81" tgtFrame="_blank"/>
          <a:extLst>
            <a:ext uri="{FF2B5EF4-FFF2-40B4-BE49-F238E27FC236}">
              <a16:creationId xmlns:a16="http://schemas.microsoft.com/office/drawing/2014/main" id="{32C2B987-33E5-49ED-A250-223BF856E45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144780</xdr:colOff>
      <xdr:row>132</xdr:row>
      <xdr:rowOff>114300</xdr:rowOff>
    </xdr:to>
    <xdr:pic>
      <xdr:nvPicPr>
        <xdr:cNvPr id="146" name="图片 145" descr="地图浏览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032B90E3-5616-4B25-9D25-47487EE99AD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144780</xdr:colOff>
      <xdr:row>132</xdr:row>
      <xdr:rowOff>114300</xdr:rowOff>
    </xdr:to>
    <xdr:pic>
      <xdr:nvPicPr>
        <xdr:cNvPr id="147" name="图片 146" descr="地图浏览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D9CB97D0-9536-4787-A559-7D0C7AA7B62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144780</xdr:colOff>
      <xdr:row>132</xdr:row>
      <xdr:rowOff>114300</xdr:rowOff>
    </xdr:to>
    <xdr:pic>
      <xdr:nvPicPr>
        <xdr:cNvPr id="148" name="图片 147" descr="地图浏览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0493BBF5-0020-4FC2-9296-8EB25283131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144780</xdr:colOff>
      <xdr:row>132</xdr:row>
      <xdr:rowOff>114300</xdr:rowOff>
    </xdr:to>
    <xdr:pic>
      <xdr:nvPicPr>
        <xdr:cNvPr id="149" name="图片 148" descr="地图浏览">
          <a:hlinkClick xmlns:r="http://schemas.openxmlformats.org/officeDocument/2006/relationships" r:id="rId83" tgtFrame="_blank"/>
          <a:extLst>
            <a:ext uri="{FF2B5EF4-FFF2-40B4-BE49-F238E27FC236}">
              <a16:creationId xmlns:a16="http://schemas.microsoft.com/office/drawing/2014/main" id="{4F5A8F09-90F5-4BF6-AE0A-14035E987F6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144780</xdr:colOff>
      <xdr:row>132</xdr:row>
      <xdr:rowOff>114300</xdr:rowOff>
    </xdr:to>
    <xdr:pic>
      <xdr:nvPicPr>
        <xdr:cNvPr id="150" name="图片 149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FE01494-62F2-4638-AD3A-DF9F8A57E9F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144780</xdr:colOff>
      <xdr:row>132</xdr:row>
      <xdr:rowOff>114300</xdr:rowOff>
    </xdr:to>
    <xdr:pic>
      <xdr:nvPicPr>
        <xdr:cNvPr id="151" name="图片 150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D9F5FD7-D9EF-4EE5-AC21-71F0265C872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144780</xdr:colOff>
      <xdr:row>132</xdr:row>
      <xdr:rowOff>114300</xdr:rowOff>
    </xdr:to>
    <xdr:pic>
      <xdr:nvPicPr>
        <xdr:cNvPr id="152" name="图片 151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16912F5-EE23-4AAA-8B85-687F4B0D930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144780</xdr:colOff>
      <xdr:row>132</xdr:row>
      <xdr:rowOff>114300</xdr:rowOff>
    </xdr:to>
    <xdr:pic>
      <xdr:nvPicPr>
        <xdr:cNvPr id="153" name="图片 152" descr="地图浏览">
          <a:hlinkClick xmlns:r="http://schemas.openxmlformats.org/officeDocument/2006/relationships" r:id="rId84" tgtFrame="_blank"/>
          <a:extLst>
            <a:ext uri="{FF2B5EF4-FFF2-40B4-BE49-F238E27FC236}">
              <a16:creationId xmlns:a16="http://schemas.microsoft.com/office/drawing/2014/main" id="{700B3C36-06FC-45D6-AC21-1DAB7B63584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144780</xdr:colOff>
      <xdr:row>132</xdr:row>
      <xdr:rowOff>114300</xdr:rowOff>
    </xdr:to>
    <xdr:pic>
      <xdr:nvPicPr>
        <xdr:cNvPr id="154" name="图片 153" descr="地图浏览">
          <a:hlinkClick xmlns:r="http://schemas.openxmlformats.org/officeDocument/2006/relationships" r:id="rId85" tgtFrame="_blank"/>
          <a:extLst>
            <a:ext uri="{FF2B5EF4-FFF2-40B4-BE49-F238E27FC236}">
              <a16:creationId xmlns:a16="http://schemas.microsoft.com/office/drawing/2014/main" id="{6BF11CF7-A174-472C-89DE-5CCA971F1A2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144780</xdr:colOff>
      <xdr:row>132</xdr:row>
      <xdr:rowOff>83820</xdr:rowOff>
    </xdr:to>
    <xdr:pic>
      <xdr:nvPicPr>
        <xdr:cNvPr id="155" name="图片 154" descr="地图浏览">
          <a:hlinkClick xmlns:r="http://schemas.openxmlformats.org/officeDocument/2006/relationships" r:id="rId86" tgtFrame="_blank"/>
          <a:extLst>
            <a:ext uri="{FF2B5EF4-FFF2-40B4-BE49-F238E27FC236}">
              <a16:creationId xmlns:a16="http://schemas.microsoft.com/office/drawing/2014/main" id="{D34E97DA-520A-4E6C-98BF-669866AAC30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144780</xdr:colOff>
      <xdr:row>132</xdr:row>
      <xdr:rowOff>83820</xdr:rowOff>
    </xdr:to>
    <xdr:pic>
      <xdr:nvPicPr>
        <xdr:cNvPr id="156" name="图片 155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00C49A9-6B01-4120-BCEA-B2402347C32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144780</xdr:colOff>
      <xdr:row>132</xdr:row>
      <xdr:rowOff>83820</xdr:rowOff>
    </xdr:to>
    <xdr:pic>
      <xdr:nvPicPr>
        <xdr:cNvPr id="157" name="图片 156" descr="地图浏览">
          <a:hlinkClick xmlns:r="http://schemas.openxmlformats.org/officeDocument/2006/relationships" r:id="rId87" tgtFrame="_blank"/>
          <a:extLst>
            <a:ext uri="{FF2B5EF4-FFF2-40B4-BE49-F238E27FC236}">
              <a16:creationId xmlns:a16="http://schemas.microsoft.com/office/drawing/2014/main" id="{20668CC9-6BAB-40B9-AECF-6ACB528075A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144780</xdr:colOff>
      <xdr:row>132</xdr:row>
      <xdr:rowOff>114300</xdr:rowOff>
    </xdr:to>
    <xdr:pic>
      <xdr:nvPicPr>
        <xdr:cNvPr id="158" name="图片 157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6CA9F1C-DA65-4DA1-A155-310FC9ED96B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144780</xdr:colOff>
      <xdr:row>132</xdr:row>
      <xdr:rowOff>114300</xdr:rowOff>
    </xdr:to>
    <xdr:pic>
      <xdr:nvPicPr>
        <xdr:cNvPr id="159" name="图片 158" descr="地图浏览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A36D94D2-61AB-49AA-9850-0A722EFFE0F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144780</xdr:colOff>
      <xdr:row>132</xdr:row>
      <xdr:rowOff>83820</xdr:rowOff>
    </xdr:to>
    <xdr:pic>
      <xdr:nvPicPr>
        <xdr:cNvPr id="160" name="图片 159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656423F-3539-4F39-8394-6DD88A4079C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144780</xdr:colOff>
      <xdr:row>132</xdr:row>
      <xdr:rowOff>83820</xdr:rowOff>
    </xdr:to>
    <xdr:pic>
      <xdr:nvPicPr>
        <xdr:cNvPr id="161" name="图片 160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AF3C1C3-E576-4D0D-9990-D7A397CFDF4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144780</xdr:colOff>
      <xdr:row>132</xdr:row>
      <xdr:rowOff>83820</xdr:rowOff>
    </xdr:to>
    <xdr:pic>
      <xdr:nvPicPr>
        <xdr:cNvPr id="162" name="图片 161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46BD801-B4C4-481D-A961-2B3E09D07F8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144780</xdr:colOff>
      <xdr:row>132</xdr:row>
      <xdr:rowOff>83820</xdr:rowOff>
    </xdr:to>
    <xdr:pic>
      <xdr:nvPicPr>
        <xdr:cNvPr id="163" name="图片 16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D626A73-8973-4FFD-85DD-431F637D4A3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144780</xdr:colOff>
      <xdr:row>132</xdr:row>
      <xdr:rowOff>83820</xdr:rowOff>
    </xdr:to>
    <xdr:pic>
      <xdr:nvPicPr>
        <xdr:cNvPr id="164" name="图片 163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0EF44A6-F2CC-4EDF-B479-B6F1B9B5D21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144780</xdr:colOff>
      <xdr:row>132</xdr:row>
      <xdr:rowOff>83820</xdr:rowOff>
    </xdr:to>
    <xdr:pic>
      <xdr:nvPicPr>
        <xdr:cNvPr id="165" name="图片 164" descr="地图浏览">
          <a:hlinkClick xmlns:r="http://schemas.openxmlformats.org/officeDocument/2006/relationships" r:id="rId89" tgtFrame="_blank"/>
          <a:extLst>
            <a:ext uri="{FF2B5EF4-FFF2-40B4-BE49-F238E27FC236}">
              <a16:creationId xmlns:a16="http://schemas.microsoft.com/office/drawing/2014/main" id="{7E01A07E-3BE2-4166-BE8A-398F70EEB6B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144780</xdr:colOff>
      <xdr:row>132</xdr:row>
      <xdr:rowOff>114300</xdr:rowOff>
    </xdr:to>
    <xdr:pic>
      <xdr:nvPicPr>
        <xdr:cNvPr id="166" name="图片 165" descr="地图浏览">
          <a:hlinkClick xmlns:r="http://schemas.openxmlformats.org/officeDocument/2006/relationships" r:id="rId90" tgtFrame="_blank"/>
          <a:extLst>
            <a:ext uri="{FF2B5EF4-FFF2-40B4-BE49-F238E27FC236}">
              <a16:creationId xmlns:a16="http://schemas.microsoft.com/office/drawing/2014/main" id="{A9F47853-6BE6-419B-ADF5-1395F5EB19E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144780</xdr:colOff>
      <xdr:row>132</xdr:row>
      <xdr:rowOff>114300</xdr:rowOff>
    </xdr:to>
    <xdr:pic>
      <xdr:nvPicPr>
        <xdr:cNvPr id="167" name="图片 166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8C1ABD7-DA00-4CBE-9CE1-B9EE474BF55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144780</xdr:colOff>
      <xdr:row>132</xdr:row>
      <xdr:rowOff>114300</xdr:rowOff>
    </xdr:to>
    <xdr:pic>
      <xdr:nvPicPr>
        <xdr:cNvPr id="168" name="图片 167" descr="地图浏览">
          <a:hlinkClick xmlns:r="http://schemas.openxmlformats.org/officeDocument/2006/relationships" r:id="rId91" tgtFrame="_blank"/>
          <a:extLst>
            <a:ext uri="{FF2B5EF4-FFF2-40B4-BE49-F238E27FC236}">
              <a16:creationId xmlns:a16="http://schemas.microsoft.com/office/drawing/2014/main" id="{1B6A3E42-979C-484D-BA47-541E521D0DF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144780</xdr:colOff>
      <xdr:row>132</xdr:row>
      <xdr:rowOff>114300</xdr:rowOff>
    </xdr:to>
    <xdr:pic>
      <xdr:nvPicPr>
        <xdr:cNvPr id="169" name="图片 168" descr="地图浏览">
          <a:hlinkClick xmlns:r="http://schemas.openxmlformats.org/officeDocument/2006/relationships" r:id="rId92" tgtFrame="_blank"/>
          <a:extLst>
            <a:ext uri="{FF2B5EF4-FFF2-40B4-BE49-F238E27FC236}">
              <a16:creationId xmlns:a16="http://schemas.microsoft.com/office/drawing/2014/main" id="{5D87C262-309B-4794-A262-67BED47BD7D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144780</xdr:colOff>
      <xdr:row>132</xdr:row>
      <xdr:rowOff>114300</xdr:rowOff>
    </xdr:to>
    <xdr:pic>
      <xdr:nvPicPr>
        <xdr:cNvPr id="170" name="图片 169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C33F700-1995-440F-A54B-AEC272AAB01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144780</xdr:colOff>
      <xdr:row>132</xdr:row>
      <xdr:rowOff>114300</xdr:rowOff>
    </xdr:to>
    <xdr:pic>
      <xdr:nvPicPr>
        <xdr:cNvPr id="171" name="图片 170" descr="地图浏览">
          <a:hlinkClick xmlns:r="http://schemas.openxmlformats.org/officeDocument/2006/relationships" r:id="rId93" tgtFrame="_blank"/>
          <a:extLst>
            <a:ext uri="{FF2B5EF4-FFF2-40B4-BE49-F238E27FC236}">
              <a16:creationId xmlns:a16="http://schemas.microsoft.com/office/drawing/2014/main" id="{3049C72F-6D2B-49BC-8CB1-E6756FC104C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144780</xdr:colOff>
      <xdr:row>132</xdr:row>
      <xdr:rowOff>114300</xdr:rowOff>
    </xdr:to>
    <xdr:pic>
      <xdr:nvPicPr>
        <xdr:cNvPr id="172" name="图片 171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01BBE8B-D26B-4E96-9C2E-A997930F6D1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144780</xdr:colOff>
      <xdr:row>132</xdr:row>
      <xdr:rowOff>114300</xdr:rowOff>
    </xdr:to>
    <xdr:pic>
      <xdr:nvPicPr>
        <xdr:cNvPr id="173" name="图片 172" descr="地图浏览">
          <a:hlinkClick xmlns:r="http://schemas.openxmlformats.org/officeDocument/2006/relationships" r:id="rId94" tgtFrame="_blank"/>
          <a:extLst>
            <a:ext uri="{FF2B5EF4-FFF2-40B4-BE49-F238E27FC236}">
              <a16:creationId xmlns:a16="http://schemas.microsoft.com/office/drawing/2014/main" id="{F097D325-7316-4E4F-81F8-A0A4AF1A868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144780</xdr:colOff>
      <xdr:row>132</xdr:row>
      <xdr:rowOff>114300</xdr:rowOff>
    </xdr:to>
    <xdr:pic>
      <xdr:nvPicPr>
        <xdr:cNvPr id="174" name="图片 173" descr="地图浏览">
          <a:hlinkClick xmlns:r="http://schemas.openxmlformats.org/officeDocument/2006/relationships" r:id="rId95" tgtFrame="_blank"/>
          <a:extLst>
            <a:ext uri="{FF2B5EF4-FFF2-40B4-BE49-F238E27FC236}">
              <a16:creationId xmlns:a16="http://schemas.microsoft.com/office/drawing/2014/main" id="{1624BDA4-3302-42AA-84B3-0FDCE496C30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144780</xdr:colOff>
      <xdr:row>132</xdr:row>
      <xdr:rowOff>114300</xdr:rowOff>
    </xdr:to>
    <xdr:pic>
      <xdr:nvPicPr>
        <xdr:cNvPr id="175" name="图片 174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E3901DD-6F68-4F9D-A70F-212F2FFBCB0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144780</xdr:colOff>
      <xdr:row>132</xdr:row>
      <xdr:rowOff>114300</xdr:rowOff>
    </xdr:to>
    <xdr:pic>
      <xdr:nvPicPr>
        <xdr:cNvPr id="176" name="图片 175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DEE2F10-CA83-465C-A310-6143CA1581A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144780</xdr:colOff>
      <xdr:row>132</xdr:row>
      <xdr:rowOff>114300</xdr:rowOff>
    </xdr:to>
    <xdr:pic>
      <xdr:nvPicPr>
        <xdr:cNvPr id="177" name="图片 176" descr="地图浏览">
          <a:hlinkClick xmlns:r="http://schemas.openxmlformats.org/officeDocument/2006/relationships" r:id="rId96" tgtFrame="_blank"/>
          <a:extLst>
            <a:ext uri="{FF2B5EF4-FFF2-40B4-BE49-F238E27FC236}">
              <a16:creationId xmlns:a16="http://schemas.microsoft.com/office/drawing/2014/main" id="{846F929C-0330-4587-97BE-160531F62A0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144780</xdr:colOff>
      <xdr:row>132</xdr:row>
      <xdr:rowOff>114300</xdr:rowOff>
    </xdr:to>
    <xdr:pic>
      <xdr:nvPicPr>
        <xdr:cNvPr id="178" name="图片 177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A14FBF3-5B29-4CB5-90EE-B81C55E791F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144780</xdr:colOff>
      <xdr:row>132</xdr:row>
      <xdr:rowOff>114300</xdr:rowOff>
    </xdr:to>
    <xdr:pic>
      <xdr:nvPicPr>
        <xdr:cNvPr id="179" name="图片 178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43DF48F-1347-403E-9D65-56A99CAB6C8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144780</xdr:colOff>
      <xdr:row>132</xdr:row>
      <xdr:rowOff>114300</xdr:rowOff>
    </xdr:to>
    <xdr:pic>
      <xdr:nvPicPr>
        <xdr:cNvPr id="180" name="图片 179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16AA523-EB34-4F25-8766-625EA38DC61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144780</xdr:colOff>
      <xdr:row>132</xdr:row>
      <xdr:rowOff>114300</xdr:rowOff>
    </xdr:to>
    <xdr:pic>
      <xdr:nvPicPr>
        <xdr:cNvPr id="181" name="图片 180" descr="地图浏览">
          <a:hlinkClick xmlns:r="http://schemas.openxmlformats.org/officeDocument/2006/relationships" r:id="rId97" tgtFrame="_blank"/>
          <a:extLst>
            <a:ext uri="{FF2B5EF4-FFF2-40B4-BE49-F238E27FC236}">
              <a16:creationId xmlns:a16="http://schemas.microsoft.com/office/drawing/2014/main" id="{348EB948-6CC5-4234-8ED7-6296D0B66BD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144780</xdr:colOff>
      <xdr:row>132</xdr:row>
      <xdr:rowOff>114300</xdr:rowOff>
    </xdr:to>
    <xdr:pic>
      <xdr:nvPicPr>
        <xdr:cNvPr id="182" name="图片 181" descr="地图浏览">
          <a:hlinkClick xmlns:r="http://schemas.openxmlformats.org/officeDocument/2006/relationships" r:id="rId98" tgtFrame="_blank"/>
          <a:extLst>
            <a:ext uri="{FF2B5EF4-FFF2-40B4-BE49-F238E27FC236}">
              <a16:creationId xmlns:a16="http://schemas.microsoft.com/office/drawing/2014/main" id="{13B15F7E-5AE0-4319-925F-0BE3652E00C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144780</xdr:colOff>
      <xdr:row>132</xdr:row>
      <xdr:rowOff>83820</xdr:rowOff>
    </xdr:to>
    <xdr:pic>
      <xdr:nvPicPr>
        <xdr:cNvPr id="183" name="图片 182" descr="地图浏览">
          <a:hlinkClick xmlns:r="http://schemas.openxmlformats.org/officeDocument/2006/relationships" r:id="rId99" tgtFrame="_blank"/>
          <a:extLst>
            <a:ext uri="{FF2B5EF4-FFF2-40B4-BE49-F238E27FC236}">
              <a16:creationId xmlns:a16="http://schemas.microsoft.com/office/drawing/2014/main" id="{2C8A82A6-C8B6-4F83-B71E-F7E981BAB82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144780</xdr:colOff>
      <xdr:row>132</xdr:row>
      <xdr:rowOff>83820</xdr:rowOff>
    </xdr:to>
    <xdr:pic>
      <xdr:nvPicPr>
        <xdr:cNvPr id="184" name="图片 183" descr="地图浏览">
          <a:hlinkClick xmlns:r="http://schemas.openxmlformats.org/officeDocument/2006/relationships" r:id="rId100" tgtFrame="_blank"/>
          <a:extLst>
            <a:ext uri="{FF2B5EF4-FFF2-40B4-BE49-F238E27FC236}">
              <a16:creationId xmlns:a16="http://schemas.microsoft.com/office/drawing/2014/main" id="{C6ADA89E-E3F9-4609-85A1-7C7B5F6242C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8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144780</xdr:colOff>
      <xdr:row>132</xdr:row>
      <xdr:rowOff>114300</xdr:rowOff>
    </xdr:to>
    <xdr:pic>
      <xdr:nvPicPr>
        <xdr:cNvPr id="185" name="图片 184" descr="地图浏览">
          <a:hlinkClick xmlns:r="http://schemas.openxmlformats.org/officeDocument/2006/relationships" r:id="rId101" tgtFrame="_blank"/>
          <a:extLst>
            <a:ext uri="{FF2B5EF4-FFF2-40B4-BE49-F238E27FC236}">
              <a16:creationId xmlns:a16="http://schemas.microsoft.com/office/drawing/2014/main" id="{85032710-7528-4CD4-9C57-1906A2093C0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144780</xdr:colOff>
      <xdr:row>132</xdr:row>
      <xdr:rowOff>114300</xdr:rowOff>
    </xdr:to>
    <xdr:pic>
      <xdr:nvPicPr>
        <xdr:cNvPr id="186" name="图片 185" descr="地图浏览">
          <a:hlinkClick xmlns:r="http://schemas.openxmlformats.org/officeDocument/2006/relationships" r:id="rId102" tgtFrame="_blank"/>
          <a:extLst>
            <a:ext uri="{FF2B5EF4-FFF2-40B4-BE49-F238E27FC236}">
              <a16:creationId xmlns:a16="http://schemas.microsoft.com/office/drawing/2014/main" id="{C2514853-D965-45D2-97F1-420424E33D3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144780</xdr:colOff>
      <xdr:row>132</xdr:row>
      <xdr:rowOff>114300</xdr:rowOff>
    </xdr:to>
    <xdr:pic>
      <xdr:nvPicPr>
        <xdr:cNvPr id="187" name="图片 186" descr="地图浏览">
          <a:hlinkClick xmlns:r="http://schemas.openxmlformats.org/officeDocument/2006/relationships" r:id="rId103" tgtFrame="_blank"/>
          <a:extLst>
            <a:ext uri="{FF2B5EF4-FFF2-40B4-BE49-F238E27FC236}">
              <a16:creationId xmlns:a16="http://schemas.microsoft.com/office/drawing/2014/main" id="{2A1FFC59-1A64-4D97-94DD-66A74EFAC37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144780</xdr:colOff>
      <xdr:row>132</xdr:row>
      <xdr:rowOff>114300</xdr:rowOff>
    </xdr:to>
    <xdr:pic>
      <xdr:nvPicPr>
        <xdr:cNvPr id="188" name="图片 187" descr="地图浏览">
          <a:hlinkClick xmlns:r="http://schemas.openxmlformats.org/officeDocument/2006/relationships" r:id="rId104" tgtFrame="_blank"/>
          <a:extLst>
            <a:ext uri="{FF2B5EF4-FFF2-40B4-BE49-F238E27FC236}">
              <a16:creationId xmlns:a16="http://schemas.microsoft.com/office/drawing/2014/main" id="{FC4325AA-C7AF-4004-8588-D3E168AA3B5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144780</xdr:colOff>
      <xdr:row>132</xdr:row>
      <xdr:rowOff>114300</xdr:rowOff>
    </xdr:to>
    <xdr:pic>
      <xdr:nvPicPr>
        <xdr:cNvPr id="189" name="图片 188" descr="地图浏览">
          <a:hlinkClick xmlns:r="http://schemas.openxmlformats.org/officeDocument/2006/relationships" r:id="rId105" tgtFrame="_blank"/>
          <a:extLst>
            <a:ext uri="{FF2B5EF4-FFF2-40B4-BE49-F238E27FC236}">
              <a16:creationId xmlns:a16="http://schemas.microsoft.com/office/drawing/2014/main" id="{B3A768E1-6415-48AF-93CE-E336CAB1A3A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144780</xdr:colOff>
      <xdr:row>132</xdr:row>
      <xdr:rowOff>114300</xdr:rowOff>
    </xdr:to>
    <xdr:pic>
      <xdr:nvPicPr>
        <xdr:cNvPr id="190" name="图片 189" descr="地图浏览">
          <a:hlinkClick xmlns:r="http://schemas.openxmlformats.org/officeDocument/2006/relationships" r:id="rId106" tgtFrame="_blank"/>
          <a:extLst>
            <a:ext uri="{FF2B5EF4-FFF2-40B4-BE49-F238E27FC236}">
              <a16:creationId xmlns:a16="http://schemas.microsoft.com/office/drawing/2014/main" id="{BE517825-8278-43FF-A393-76ADAE1F182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144780</xdr:colOff>
      <xdr:row>132</xdr:row>
      <xdr:rowOff>114300</xdr:rowOff>
    </xdr:to>
    <xdr:pic>
      <xdr:nvPicPr>
        <xdr:cNvPr id="191" name="图片 190" descr="地图浏览">
          <a:hlinkClick xmlns:r="http://schemas.openxmlformats.org/officeDocument/2006/relationships" r:id="rId107" tgtFrame="_blank"/>
          <a:extLst>
            <a:ext uri="{FF2B5EF4-FFF2-40B4-BE49-F238E27FC236}">
              <a16:creationId xmlns:a16="http://schemas.microsoft.com/office/drawing/2014/main" id="{11A3818B-19A8-4BD5-8E52-EB7CFBB557E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144780</xdr:colOff>
      <xdr:row>132</xdr:row>
      <xdr:rowOff>114300</xdr:rowOff>
    </xdr:to>
    <xdr:pic>
      <xdr:nvPicPr>
        <xdr:cNvPr id="192" name="图片 191" descr="地图浏览">
          <a:hlinkClick xmlns:r="http://schemas.openxmlformats.org/officeDocument/2006/relationships" r:id="rId108" tgtFrame="_blank"/>
          <a:extLst>
            <a:ext uri="{FF2B5EF4-FFF2-40B4-BE49-F238E27FC236}">
              <a16:creationId xmlns:a16="http://schemas.microsoft.com/office/drawing/2014/main" id="{AB300055-D76E-4B54-AD18-77B6799995B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144780</xdr:colOff>
      <xdr:row>132</xdr:row>
      <xdr:rowOff>160020</xdr:rowOff>
    </xdr:to>
    <xdr:pic>
      <xdr:nvPicPr>
        <xdr:cNvPr id="193" name="图片 192" descr="地图浏览">
          <a:hlinkClick xmlns:r="http://schemas.openxmlformats.org/officeDocument/2006/relationships" r:id="rId109" tgtFrame="_blank"/>
          <a:extLst>
            <a:ext uri="{FF2B5EF4-FFF2-40B4-BE49-F238E27FC236}">
              <a16:creationId xmlns:a16="http://schemas.microsoft.com/office/drawing/2014/main" id="{78608124-8318-4706-A7C2-8F76292CADF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144780</xdr:colOff>
      <xdr:row>132</xdr:row>
      <xdr:rowOff>160020</xdr:rowOff>
    </xdr:to>
    <xdr:pic>
      <xdr:nvPicPr>
        <xdr:cNvPr id="194" name="图片 193" descr="地图浏览">
          <a:hlinkClick xmlns:r="http://schemas.openxmlformats.org/officeDocument/2006/relationships" r:id="rId110" tgtFrame="_blank"/>
          <a:extLst>
            <a:ext uri="{FF2B5EF4-FFF2-40B4-BE49-F238E27FC236}">
              <a16:creationId xmlns:a16="http://schemas.microsoft.com/office/drawing/2014/main" id="{71EDB95D-4DAE-4AEE-9734-0D039FFD6FB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144780</xdr:colOff>
      <xdr:row>132</xdr:row>
      <xdr:rowOff>160020</xdr:rowOff>
    </xdr:to>
    <xdr:pic>
      <xdr:nvPicPr>
        <xdr:cNvPr id="195" name="图片 194" descr="地图浏览">
          <a:hlinkClick xmlns:r="http://schemas.openxmlformats.org/officeDocument/2006/relationships" r:id="rId111" tgtFrame="_blank"/>
          <a:extLst>
            <a:ext uri="{FF2B5EF4-FFF2-40B4-BE49-F238E27FC236}">
              <a16:creationId xmlns:a16="http://schemas.microsoft.com/office/drawing/2014/main" id="{74109E4F-CEA7-42B6-8C02-2026E3F9C45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144780</xdr:colOff>
      <xdr:row>132</xdr:row>
      <xdr:rowOff>114300</xdr:rowOff>
    </xdr:to>
    <xdr:pic>
      <xdr:nvPicPr>
        <xdr:cNvPr id="196" name="图片 195" descr="地图浏览">
          <a:hlinkClick xmlns:r="http://schemas.openxmlformats.org/officeDocument/2006/relationships" r:id="rId112" tgtFrame="_blank"/>
          <a:extLst>
            <a:ext uri="{FF2B5EF4-FFF2-40B4-BE49-F238E27FC236}">
              <a16:creationId xmlns:a16="http://schemas.microsoft.com/office/drawing/2014/main" id="{D2F44BD1-1D19-4C78-8CE3-E31B63A5315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144780</xdr:colOff>
      <xdr:row>132</xdr:row>
      <xdr:rowOff>160020</xdr:rowOff>
    </xdr:to>
    <xdr:pic>
      <xdr:nvPicPr>
        <xdr:cNvPr id="197" name="图片 196" descr="地图浏览">
          <a:hlinkClick xmlns:r="http://schemas.openxmlformats.org/officeDocument/2006/relationships" r:id="rId113" tgtFrame="_blank"/>
          <a:extLst>
            <a:ext uri="{FF2B5EF4-FFF2-40B4-BE49-F238E27FC236}">
              <a16:creationId xmlns:a16="http://schemas.microsoft.com/office/drawing/2014/main" id="{F0FA8B7C-2825-4A2D-93FF-E34C81853DD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144780</xdr:colOff>
      <xdr:row>132</xdr:row>
      <xdr:rowOff>114300</xdr:rowOff>
    </xdr:to>
    <xdr:pic>
      <xdr:nvPicPr>
        <xdr:cNvPr id="198" name="图片 197" descr="地图浏览">
          <a:hlinkClick xmlns:r="http://schemas.openxmlformats.org/officeDocument/2006/relationships" r:id="rId114" tgtFrame="_blank"/>
          <a:extLst>
            <a:ext uri="{FF2B5EF4-FFF2-40B4-BE49-F238E27FC236}">
              <a16:creationId xmlns:a16="http://schemas.microsoft.com/office/drawing/2014/main" id="{3A6C5945-E5F8-436D-B1F1-7F65427ADA6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144780</xdr:colOff>
      <xdr:row>132</xdr:row>
      <xdr:rowOff>160020</xdr:rowOff>
    </xdr:to>
    <xdr:pic>
      <xdr:nvPicPr>
        <xdr:cNvPr id="199" name="图片 198" descr="地图浏览">
          <a:hlinkClick xmlns:r="http://schemas.openxmlformats.org/officeDocument/2006/relationships" r:id="rId115" tgtFrame="_blank"/>
          <a:extLst>
            <a:ext uri="{FF2B5EF4-FFF2-40B4-BE49-F238E27FC236}">
              <a16:creationId xmlns:a16="http://schemas.microsoft.com/office/drawing/2014/main" id="{DAD7E566-80EC-444D-9DC8-D9EF188A59C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144780</xdr:colOff>
      <xdr:row>132</xdr:row>
      <xdr:rowOff>160020</xdr:rowOff>
    </xdr:to>
    <xdr:pic>
      <xdr:nvPicPr>
        <xdr:cNvPr id="200" name="图片 199" descr="地图浏览">
          <a:hlinkClick xmlns:r="http://schemas.openxmlformats.org/officeDocument/2006/relationships" r:id="rId116" tgtFrame="_blank"/>
          <a:extLst>
            <a:ext uri="{FF2B5EF4-FFF2-40B4-BE49-F238E27FC236}">
              <a16:creationId xmlns:a16="http://schemas.microsoft.com/office/drawing/2014/main" id="{A2FA73D0-284B-4BF8-A1FD-3A31F99CE07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144780</xdr:colOff>
      <xdr:row>132</xdr:row>
      <xdr:rowOff>160020</xdr:rowOff>
    </xdr:to>
    <xdr:pic>
      <xdr:nvPicPr>
        <xdr:cNvPr id="201" name="图片 200" descr="地图浏览">
          <a:hlinkClick xmlns:r="http://schemas.openxmlformats.org/officeDocument/2006/relationships" r:id="rId117" tgtFrame="_blank"/>
          <a:extLst>
            <a:ext uri="{FF2B5EF4-FFF2-40B4-BE49-F238E27FC236}">
              <a16:creationId xmlns:a16="http://schemas.microsoft.com/office/drawing/2014/main" id="{899EF551-590A-46B6-B4E4-CC04A5C0C78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144780</xdr:colOff>
      <xdr:row>132</xdr:row>
      <xdr:rowOff>160020</xdr:rowOff>
    </xdr:to>
    <xdr:pic>
      <xdr:nvPicPr>
        <xdr:cNvPr id="202" name="图片 201" descr="地图浏览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A90CD6D6-1FF0-4AB9-AC49-05DD5DFC3C0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144780</xdr:colOff>
      <xdr:row>132</xdr:row>
      <xdr:rowOff>114300</xdr:rowOff>
    </xdr:to>
    <xdr:pic>
      <xdr:nvPicPr>
        <xdr:cNvPr id="203" name="图片 202" descr="地图浏览">
          <a:hlinkClick xmlns:r="http://schemas.openxmlformats.org/officeDocument/2006/relationships" r:id="rId119" tgtFrame="_blank"/>
          <a:extLst>
            <a:ext uri="{FF2B5EF4-FFF2-40B4-BE49-F238E27FC236}">
              <a16:creationId xmlns:a16="http://schemas.microsoft.com/office/drawing/2014/main" id="{98420718-4EC7-4CC8-B2B2-79BEEE8B494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144780</xdr:colOff>
      <xdr:row>132</xdr:row>
      <xdr:rowOff>160020</xdr:rowOff>
    </xdr:to>
    <xdr:pic>
      <xdr:nvPicPr>
        <xdr:cNvPr id="204" name="图片 203" descr="地图浏览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450890FC-B6D9-495E-B2E3-CD4CEEE1393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144780</xdr:colOff>
      <xdr:row>132</xdr:row>
      <xdr:rowOff>160020</xdr:rowOff>
    </xdr:to>
    <xdr:pic>
      <xdr:nvPicPr>
        <xdr:cNvPr id="205" name="图片 204" descr="地图浏览">
          <a:hlinkClick xmlns:r="http://schemas.openxmlformats.org/officeDocument/2006/relationships" r:id="rId121" tgtFrame="_blank"/>
          <a:extLst>
            <a:ext uri="{FF2B5EF4-FFF2-40B4-BE49-F238E27FC236}">
              <a16:creationId xmlns:a16="http://schemas.microsoft.com/office/drawing/2014/main" id="{871DD027-64A3-453E-855D-583F792DBCC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144780</xdr:colOff>
      <xdr:row>132</xdr:row>
      <xdr:rowOff>160020</xdr:rowOff>
    </xdr:to>
    <xdr:pic>
      <xdr:nvPicPr>
        <xdr:cNvPr id="206" name="图片 205" descr="地图浏览">
          <a:hlinkClick xmlns:r="http://schemas.openxmlformats.org/officeDocument/2006/relationships" r:id="rId122" tgtFrame="_blank"/>
          <a:extLst>
            <a:ext uri="{FF2B5EF4-FFF2-40B4-BE49-F238E27FC236}">
              <a16:creationId xmlns:a16="http://schemas.microsoft.com/office/drawing/2014/main" id="{4C78371F-4B7B-4372-BE37-DB5D9E517F7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144780</xdr:colOff>
      <xdr:row>132</xdr:row>
      <xdr:rowOff>160020</xdr:rowOff>
    </xdr:to>
    <xdr:pic>
      <xdr:nvPicPr>
        <xdr:cNvPr id="207" name="图片 206" descr="地图浏览">
          <a:hlinkClick xmlns:r="http://schemas.openxmlformats.org/officeDocument/2006/relationships" r:id="rId123" tgtFrame="_blank"/>
          <a:extLst>
            <a:ext uri="{FF2B5EF4-FFF2-40B4-BE49-F238E27FC236}">
              <a16:creationId xmlns:a16="http://schemas.microsoft.com/office/drawing/2014/main" id="{B4D6AD0D-04E6-4B40-899A-C60BE6DD65DD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144780</xdr:colOff>
      <xdr:row>132</xdr:row>
      <xdr:rowOff>160020</xdr:rowOff>
    </xdr:to>
    <xdr:pic>
      <xdr:nvPicPr>
        <xdr:cNvPr id="208" name="图片 207" descr="地图浏览">
          <a:hlinkClick xmlns:r="http://schemas.openxmlformats.org/officeDocument/2006/relationships" r:id="rId124" tgtFrame="_blank"/>
          <a:extLst>
            <a:ext uri="{FF2B5EF4-FFF2-40B4-BE49-F238E27FC236}">
              <a16:creationId xmlns:a16="http://schemas.microsoft.com/office/drawing/2014/main" id="{5509A06F-C66C-46C5-9925-8C30B2A00A1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144780</xdr:colOff>
      <xdr:row>132</xdr:row>
      <xdr:rowOff>160020</xdr:rowOff>
    </xdr:to>
    <xdr:pic>
      <xdr:nvPicPr>
        <xdr:cNvPr id="209" name="图片 208" descr="地图浏览">
          <a:hlinkClick xmlns:r="http://schemas.openxmlformats.org/officeDocument/2006/relationships" r:id="rId125" tgtFrame="_blank"/>
          <a:extLst>
            <a:ext uri="{FF2B5EF4-FFF2-40B4-BE49-F238E27FC236}">
              <a16:creationId xmlns:a16="http://schemas.microsoft.com/office/drawing/2014/main" id="{F24C7680-617B-44AE-9350-FB20B1E7067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144780</xdr:colOff>
      <xdr:row>132</xdr:row>
      <xdr:rowOff>160020</xdr:rowOff>
    </xdr:to>
    <xdr:pic>
      <xdr:nvPicPr>
        <xdr:cNvPr id="210" name="图片 209" descr="地图浏览">
          <a:hlinkClick xmlns:r="http://schemas.openxmlformats.org/officeDocument/2006/relationships" r:id="rId126" tgtFrame="_blank"/>
          <a:extLst>
            <a:ext uri="{FF2B5EF4-FFF2-40B4-BE49-F238E27FC236}">
              <a16:creationId xmlns:a16="http://schemas.microsoft.com/office/drawing/2014/main" id="{06B5019C-84F2-43C1-89C9-21439A1436A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144780</xdr:colOff>
      <xdr:row>132</xdr:row>
      <xdr:rowOff>160020</xdr:rowOff>
    </xdr:to>
    <xdr:pic>
      <xdr:nvPicPr>
        <xdr:cNvPr id="211" name="图片 210" descr="地图浏览">
          <a:hlinkClick xmlns:r="http://schemas.openxmlformats.org/officeDocument/2006/relationships" r:id="rId127" tgtFrame="_blank"/>
          <a:extLst>
            <a:ext uri="{FF2B5EF4-FFF2-40B4-BE49-F238E27FC236}">
              <a16:creationId xmlns:a16="http://schemas.microsoft.com/office/drawing/2014/main" id="{FBEB3E57-AED5-4CE4-89AC-532B085C51D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144780</xdr:colOff>
      <xdr:row>132</xdr:row>
      <xdr:rowOff>160020</xdr:rowOff>
    </xdr:to>
    <xdr:pic>
      <xdr:nvPicPr>
        <xdr:cNvPr id="212" name="图片 211" descr="地图浏览">
          <a:hlinkClick xmlns:r="http://schemas.openxmlformats.org/officeDocument/2006/relationships" r:id="rId128" tgtFrame="_blank"/>
          <a:extLst>
            <a:ext uri="{FF2B5EF4-FFF2-40B4-BE49-F238E27FC236}">
              <a16:creationId xmlns:a16="http://schemas.microsoft.com/office/drawing/2014/main" id="{B9CBB542-850C-446D-8F18-9C55376CEB9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144780</xdr:colOff>
      <xdr:row>132</xdr:row>
      <xdr:rowOff>160020</xdr:rowOff>
    </xdr:to>
    <xdr:pic>
      <xdr:nvPicPr>
        <xdr:cNvPr id="213" name="图片 212" descr="地图浏览">
          <a:hlinkClick xmlns:r="http://schemas.openxmlformats.org/officeDocument/2006/relationships" r:id="rId129" tgtFrame="_blank"/>
          <a:extLst>
            <a:ext uri="{FF2B5EF4-FFF2-40B4-BE49-F238E27FC236}">
              <a16:creationId xmlns:a16="http://schemas.microsoft.com/office/drawing/2014/main" id="{A7E85A18-B61A-45E0-A8DC-8C2D7F0347F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144780</xdr:colOff>
      <xdr:row>132</xdr:row>
      <xdr:rowOff>160020</xdr:rowOff>
    </xdr:to>
    <xdr:pic>
      <xdr:nvPicPr>
        <xdr:cNvPr id="214" name="图片 213" descr="地图浏览">
          <a:hlinkClick xmlns:r="http://schemas.openxmlformats.org/officeDocument/2006/relationships" r:id="rId130" tgtFrame="_blank"/>
          <a:extLst>
            <a:ext uri="{FF2B5EF4-FFF2-40B4-BE49-F238E27FC236}">
              <a16:creationId xmlns:a16="http://schemas.microsoft.com/office/drawing/2014/main" id="{6411F2CF-2F6C-4EC3-B06F-50F49BE8B0D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144780</xdr:colOff>
      <xdr:row>132</xdr:row>
      <xdr:rowOff>160020</xdr:rowOff>
    </xdr:to>
    <xdr:pic>
      <xdr:nvPicPr>
        <xdr:cNvPr id="215" name="图片 214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2829DDA-D3AC-4E10-9608-7AF15C153F5F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144780</xdr:colOff>
      <xdr:row>132</xdr:row>
      <xdr:rowOff>160020</xdr:rowOff>
    </xdr:to>
    <xdr:pic>
      <xdr:nvPicPr>
        <xdr:cNvPr id="216" name="图片 215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64B5C94-DFDE-48D7-9F19-8A7009466E3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144780</xdr:colOff>
      <xdr:row>132</xdr:row>
      <xdr:rowOff>160020</xdr:rowOff>
    </xdr:to>
    <xdr:pic>
      <xdr:nvPicPr>
        <xdr:cNvPr id="217" name="图片 216" descr="地图浏览">
          <a:hlinkClick xmlns:r="http://schemas.openxmlformats.org/officeDocument/2006/relationships" r:id="rId131" tgtFrame="_blank"/>
          <a:extLst>
            <a:ext uri="{FF2B5EF4-FFF2-40B4-BE49-F238E27FC236}">
              <a16:creationId xmlns:a16="http://schemas.microsoft.com/office/drawing/2014/main" id="{91117CDB-23D7-4614-9A82-DA858BF5AB0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144780</xdr:colOff>
      <xdr:row>132</xdr:row>
      <xdr:rowOff>160020</xdr:rowOff>
    </xdr:to>
    <xdr:pic>
      <xdr:nvPicPr>
        <xdr:cNvPr id="218" name="图片 217" descr="地图浏览">
          <a:hlinkClick xmlns:r="http://schemas.openxmlformats.org/officeDocument/2006/relationships" r:id="rId132" tgtFrame="_blank"/>
          <a:extLst>
            <a:ext uri="{FF2B5EF4-FFF2-40B4-BE49-F238E27FC236}">
              <a16:creationId xmlns:a16="http://schemas.microsoft.com/office/drawing/2014/main" id="{705906E4-9E8F-47F4-B450-F52FA8CECE8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144780</xdr:colOff>
      <xdr:row>132</xdr:row>
      <xdr:rowOff>160020</xdr:rowOff>
    </xdr:to>
    <xdr:pic>
      <xdr:nvPicPr>
        <xdr:cNvPr id="219" name="图片 218" descr="地图浏览">
          <a:hlinkClick xmlns:r="http://schemas.openxmlformats.org/officeDocument/2006/relationships" r:id="rId133" tgtFrame="_blank"/>
          <a:extLst>
            <a:ext uri="{FF2B5EF4-FFF2-40B4-BE49-F238E27FC236}">
              <a16:creationId xmlns:a16="http://schemas.microsoft.com/office/drawing/2014/main" id="{68497EB4-95E4-4B2F-90F8-EECC671258A2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144780</xdr:colOff>
      <xdr:row>132</xdr:row>
      <xdr:rowOff>160020</xdr:rowOff>
    </xdr:to>
    <xdr:pic>
      <xdr:nvPicPr>
        <xdr:cNvPr id="220" name="图片 219" descr="地图浏览">
          <a:hlinkClick xmlns:r="http://schemas.openxmlformats.org/officeDocument/2006/relationships" r:id="rId134" tgtFrame="_blank"/>
          <a:extLst>
            <a:ext uri="{FF2B5EF4-FFF2-40B4-BE49-F238E27FC236}">
              <a16:creationId xmlns:a16="http://schemas.microsoft.com/office/drawing/2014/main" id="{A538C238-9E8A-4CBF-9813-6240CFA0B046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144780</xdr:colOff>
      <xdr:row>132</xdr:row>
      <xdr:rowOff>160020</xdr:rowOff>
    </xdr:to>
    <xdr:pic>
      <xdr:nvPicPr>
        <xdr:cNvPr id="221" name="图片 220" descr="地图浏览">
          <a:hlinkClick xmlns:r="http://schemas.openxmlformats.org/officeDocument/2006/relationships" r:id="rId135" tgtFrame="_blank"/>
          <a:extLst>
            <a:ext uri="{FF2B5EF4-FFF2-40B4-BE49-F238E27FC236}">
              <a16:creationId xmlns:a16="http://schemas.microsoft.com/office/drawing/2014/main" id="{5F301F38-ED23-4029-9F3F-59B92ED4810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144780</xdr:colOff>
      <xdr:row>132</xdr:row>
      <xdr:rowOff>160020</xdr:rowOff>
    </xdr:to>
    <xdr:pic>
      <xdr:nvPicPr>
        <xdr:cNvPr id="222" name="图片 221" descr="地图浏览">
          <a:hlinkClick xmlns:r="http://schemas.openxmlformats.org/officeDocument/2006/relationships" r:id="rId136" tgtFrame="_blank"/>
          <a:extLst>
            <a:ext uri="{FF2B5EF4-FFF2-40B4-BE49-F238E27FC236}">
              <a16:creationId xmlns:a16="http://schemas.microsoft.com/office/drawing/2014/main" id="{85DF1585-CFEB-43C8-A484-F5DDF44D2794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144780</xdr:colOff>
      <xdr:row>132</xdr:row>
      <xdr:rowOff>160020</xdr:rowOff>
    </xdr:to>
    <xdr:pic>
      <xdr:nvPicPr>
        <xdr:cNvPr id="223" name="图片 222" descr="地图浏览">
          <a:hlinkClick xmlns:r="http://schemas.openxmlformats.org/officeDocument/2006/relationships" r:id="rId137" tgtFrame="_blank"/>
          <a:extLst>
            <a:ext uri="{FF2B5EF4-FFF2-40B4-BE49-F238E27FC236}">
              <a16:creationId xmlns:a16="http://schemas.microsoft.com/office/drawing/2014/main" id="{8AE061CD-B8E6-40BF-8044-ED5B680AFA9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144780</xdr:colOff>
      <xdr:row>132</xdr:row>
      <xdr:rowOff>160020</xdr:rowOff>
    </xdr:to>
    <xdr:pic>
      <xdr:nvPicPr>
        <xdr:cNvPr id="224" name="图片 223" descr="地图浏览">
          <a:hlinkClick xmlns:r="http://schemas.openxmlformats.org/officeDocument/2006/relationships" r:id="rId138" tgtFrame="_blank"/>
          <a:extLst>
            <a:ext uri="{FF2B5EF4-FFF2-40B4-BE49-F238E27FC236}">
              <a16:creationId xmlns:a16="http://schemas.microsoft.com/office/drawing/2014/main" id="{EC85CAA9-855E-40F9-A579-ABEBA2E9FAC5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144780</xdr:colOff>
      <xdr:row>132</xdr:row>
      <xdr:rowOff>114300</xdr:rowOff>
    </xdr:to>
    <xdr:pic>
      <xdr:nvPicPr>
        <xdr:cNvPr id="225" name="图片 224" descr="地图浏览">
          <a:hlinkClick xmlns:r="http://schemas.openxmlformats.org/officeDocument/2006/relationships" r:id="rId139" tgtFrame="_blank"/>
          <a:extLst>
            <a:ext uri="{FF2B5EF4-FFF2-40B4-BE49-F238E27FC236}">
              <a16:creationId xmlns:a16="http://schemas.microsoft.com/office/drawing/2014/main" id="{F3677AD0-E5CD-4CD3-9958-543B5567502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144780</xdr:colOff>
      <xdr:row>132</xdr:row>
      <xdr:rowOff>114300</xdr:rowOff>
    </xdr:to>
    <xdr:pic>
      <xdr:nvPicPr>
        <xdr:cNvPr id="226" name="图片 225" descr="地图浏览">
          <a:hlinkClick xmlns:r="http://schemas.openxmlformats.org/officeDocument/2006/relationships" r:id="rId140" tgtFrame="_blank"/>
          <a:extLst>
            <a:ext uri="{FF2B5EF4-FFF2-40B4-BE49-F238E27FC236}">
              <a16:creationId xmlns:a16="http://schemas.microsoft.com/office/drawing/2014/main" id="{14D1C1DF-510C-42EC-B05F-2C5B74CB9CC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144780</xdr:colOff>
      <xdr:row>132</xdr:row>
      <xdr:rowOff>160020</xdr:rowOff>
    </xdr:to>
    <xdr:pic>
      <xdr:nvPicPr>
        <xdr:cNvPr id="227" name="图片 226" descr="地图浏览">
          <a:hlinkClick xmlns:r="http://schemas.openxmlformats.org/officeDocument/2006/relationships" r:id="rId141" tgtFrame="_blank"/>
          <a:extLst>
            <a:ext uri="{FF2B5EF4-FFF2-40B4-BE49-F238E27FC236}">
              <a16:creationId xmlns:a16="http://schemas.microsoft.com/office/drawing/2014/main" id="{154761DD-3C7A-4FF2-8714-8AC7560278C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144780</xdr:colOff>
      <xdr:row>132</xdr:row>
      <xdr:rowOff>160020</xdr:rowOff>
    </xdr:to>
    <xdr:pic>
      <xdr:nvPicPr>
        <xdr:cNvPr id="228" name="图片 227" descr="地图浏览">
          <a:hlinkClick xmlns:r="http://schemas.openxmlformats.org/officeDocument/2006/relationships" r:id="rId142" tgtFrame="_blank"/>
          <a:extLst>
            <a:ext uri="{FF2B5EF4-FFF2-40B4-BE49-F238E27FC236}">
              <a16:creationId xmlns:a16="http://schemas.microsoft.com/office/drawing/2014/main" id="{A20B8C6C-EF06-4DCD-8E6A-6356ABE47FC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144780</xdr:colOff>
      <xdr:row>132</xdr:row>
      <xdr:rowOff>114300</xdr:rowOff>
    </xdr:to>
    <xdr:pic>
      <xdr:nvPicPr>
        <xdr:cNvPr id="229" name="图片 228" descr="地图浏览">
          <a:hlinkClick xmlns:r="http://schemas.openxmlformats.org/officeDocument/2006/relationships" r:id="rId143" tgtFrame="_blank"/>
          <a:extLst>
            <a:ext uri="{FF2B5EF4-FFF2-40B4-BE49-F238E27FC236}">
              <a16:creationId xmlns:a16="http://schemas.microsoft.com/office/drawing/2014/main" id="{6CA47C2C-249B-46C7-8D7C-BC83BB74D00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144780</xdr:colOff>
      <xdr:row>132</xdr:row>
      <xdr:rowOff>114300</xdr:rowOff>
    </xdr:to>
    <xdr:pic>
      <xdr:nvPicPr>
        <xdr:cNvPr id="230" name="图片 229" descr="地图浏览">
          <a:hlinkClick xmlns:r="http://schemas.openxmlformats.org/officeDocument/2006/relationships" r:id="rId144" tgtFrame="_blank"/>
          <a:extLst>
            <a:ext uri="{FF2B5EF4-FFF2-40B4-BE49-F238E27FC236}">
              <a16:creationId xmlns:a16="http://schemas.microsoft.com/office/drawing/2014/main" id="{824D589A-ED83-4E56-AAFB-2F22E86287E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144780</xdr:colOff>
      <xdr:row>132</xdr:row>
      <xdr:rowOff>114300</xdr:rowOff>
    </xdr:to>
    <xdr:pic>
      <xdr:nvPicPr>
        <xdr:cNvPr id="231" name="图片 230" descr="地图浏览">
          <a:hlinkClick xmlns:r="http://schemas.openxmlformats.org/officeDocument/2006/relationships" r:id="rId145" tgtFrame="_blank"/>
          <a:extLst>
            <a:ext uri="{FF2B5EF4-FFF2-40B4-BE49-F238E27FC236}">
              <a16:creationId xmlns:a16="http://schemas.microsoft.com/office/drawing/2014/main" id="{96F0EFCE-94B6-4C56-AADF-4E2A9CCF6C2A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144780</xdr:colOff>
      <xdr:row>132</xdr:row>
      <xdr:rowOff>114300</xdr:rowOff>
    </xdr:to>
    <xdr:pic>
      <xdr:nvPicPr>
        <xdr:cNvPr id="232" name="图片 231" descr="地图浏览">
          <a:hlinkClick xmlns:r="http://schemas.openxmlformats.org/officeDocument/2006/relationships" r:id="rId146" tgtFrame="_blank"/>
          <a:extLst>
            <a:ext uri="{FF2B5EF4-FFF2-40B4-BE49-F238E27FC236}">
              <a16:creationId xmlns:a16="http://schemas.microsoft.com/office/drawing/2014/main" id="{E42F0EF2-22E2-4838-8993-F535E6F840B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144780</xdr:colOff>
      <xdr:row>132</xdr:row>
      <xdr:rowOff>160020</xdr:rowOff>
    </xdr:to>
    <xdr:pic>
      <xdr:nvPicPr>
        <xdr:cNvPr id="233" name="图片 232" descr="地图浏览">
          <a:hlinkClick xmlns:r="http://schemas.openxmlformats.org/officeDocument/2006/relationships" r:id="rId147" tgtFrame="_blank"/>
          <a:extLst>
            <a:ext uri="{FF2B5EF4-FFF2-40B4-BE49-F238E27FC236}">
              <a16:creationId xmlns:a16="http://schemas.microsoft.com/office/drawing/2014/main" id="{67367073-FA1F-464F-B141-ED8FCD975157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144780</xdr:colOff>
      <xdr:row>132</xdr:row>
      <xdr:rowOff>160020</xdr:rowOff>
    </xdr:to>
    <xdr:pic>
      <xdr:nvPicPr>
        <xdr:cNvPr id="234" name="图片 233" descr="地图浏览">
          <a:hlinkClick xmlns:r="http://schemas.openxmlformats.org/officeDocument/2006/relationships" r:id="rId148" tgtFrame="_blank"/>
          <a:extLst>
            <a:ext uri="{FF2B5EF4-FFF2-40B4-BE49-F238E27FC236}">
              <a16:creationId xmlns:a16="http://schemas.microsoft.com/office/drawing/2014/main" id="{4FE71D01-322F-495D-9875-1B890A5EDDC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144780</xdr:colOff>
      <xdr:row>132</xdr:row>
      <xdr:rowOff>160020</xdr:rowOff>
    </xdr:to>
    <xdr:pic>
      <xdr:nvPicPr>
        <xdr:cNvPr id="235" name="图片 234" descr="地图浏览">
          <a:hlinkClick xmlns:r="http://schemas.openxmlformats.org/officeDocument/2006/relationships" r:id="rId149" tgtFrame="_blank"/>
          <a:extLst>
            <a:ext uri="{FF2B5EF4-FFF2-40B4-BE49-F238E27FC236}">
              <a16:creationId xmlns:a16="http://schemas.microsoft.com/office/drawing/2014/main" id="{2B471F53-7FC2-4A5A-AFCB-8C93F1C30D2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144780</xdr:colOff>
      <xdr:row>132</xdr:row>
      <xdr:rowOff>160020</xdr:rowOff>
    </xdr:to>
    <xdr:pic>
      <xdr:nvPicPr>
        <xdr:cNvPr id="236" name="图片 235" descr="地图浏览">
          <a:hlinkClick xmlns:r="http://schemas.openxmlformats.org/officeDocument/2006/relationships" r:id="rId150" tgtFrame="_blank"/>
          <a:extLst>
            <a:ext uri="{FF2B5EF4-FFF2-40B4-BE49-F238E27FC236}">
              <a16:creationId xmlns:a16="http://schemas.microsoft.com/office/drawing/2014/main" id="{13EA3DDD-9493-4E4D-A377-5AD4FFDA3CE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144780</xdr:colOff>
      <xdr:row>132</xdr:row>
      <xdr:rowOff>160020</xdr:rowOff>
    </xdr:to>
    <xdr:pic>
      <xdr:nvPicPr>
        <xdr:cNvPr id="237" name="图片 236" descr="地图浏览">
          <a:hlinkClick xmlns:r="http://schemas.openxmlformats.org/officeDocument/2006/relationships" r:id="rId151" tgtFrame="_blank"/>
          <a:extLst>
            <a:ext uri="{FF2B5EF4-FFF2-40B4-BE49-F238E27FC236}">
              <a16:creationId xmlns:a16="http://schemas.microsoft.com/office/drawing/2014/main" id="{9E2462B1-813F-485E-9FA7-DE90D86F7ADC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144780</xdr:colOff>
      <xdr:row>132</xdr:row>
      <xdr:rowOff>114300</xdr:rowOff>
    </xdr:to>
    <xdr:pic>
      <xdr:nvPicPr>
        <xdr:cNvPr id="238" name="图片 237" descr="地图浏览">
          <a:hlinkClick xmlns:r="http://schemas.openxmlformats.org/officeDocument/2006/relationships" r:id="rId152" tgtFrame="_blank"/>
          <a:extLst>
            <a:ext uri="{FF2B5EF4-FFF2-40B4-BE49-F238E27FC236}">
              <a16:creationId xmlns:a16="http://schemas.microsoft.com/office/drawing/2014/main" id="{52BD9662-6182-4C0B-973A-ED06E90D32F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144780</xdr:colOff>
      <xdr:row>132</xdr:row>
      <xdr:rowOff>160020</xdr:rowOff>
    </xdr:to>
    <xdr:pic>
      <xdr:nvPicPr>
        <xdr:cNvPr id="239" name="图片 238" descr="地图浏览">
          <a:hlinkClick xmlns:r="http://schemas.openxmlformats.org/officeDocument/2006/relationships" r:id="rId153" tgtFrame="_blank"/>
          <a:extLst>
            <a:ext uri="{FF2B5EF4-FFF2-40B4-BE49-F238E27FC236}">
              <a16:creationId xmlns:a16="http://schemas.microsoft.com/office/drawing/2014/main" id="{F37B32E9-874D-4CFB-B251-985BF4B3AE23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48660"/>
          <a:ext cx="1447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weigongsi\&#35780;&#20272;&#32593;\&#36164;&#20135;&#35780;&#20272;\&#28246;&#21271;&#30707;&#27833;&#24635;&#20844;&#21496;&#21152;&#27833;&#31449;\&#28246;&#21271;&#30707;&#27833;83&#21152;1&#35780;&#20272;&#26126;&#32454;&#26597;&#35810;&#31995;&#3247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qh003\d\&#35774;&#22791;\&#21407;&#22987;\814\13%20&#38081;&#36335;&#37197;&#2021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ims\&#25253;&#34920;&#22791;&#20221;\2001&#24180;&#19978;&#24066;&#25253;&#34920;\&#22266;&#23450;&#36164;&#20135;&#36164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18&#24180;&#24037;&#20316;/&#27888;&#24030;&#20964;&#22478;&#27827;&#21457;&#20538;&#39033;&#30446;/&#26368;&#32456;&#32467;&#26524;/2018-075&#27888;&#24030;&#20964;&#22478;&#27827;&#20102;&#35299;&#25151;&#22320;&#20135;&#24066;&#22330;&#20215;&#20540;&#35780;&#20272;&#25253;&#21578;&#25490;&#29256;/&#35745;&#31639;&#24213;&#31295;/&#22303;&#22320;&#24213;&#31295;2.2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2016-347&#21495;&#27743;&#33487;&#30465;&#27888;&#20852;&#34425;&#26725;&#24037;&#19994;&#22253;&#21306;&#31649;&#22996;&#20250;&#22303;&#22320;&#21450;&#23736;&#32447;&#35780;&#20272;&#25253;&#21578;&#25490;&#29256;/2&#22303;&#22320;&#24213;&#312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填报说明"/>
      <sheetName val="查询表"/>
      <sheetName val="按站汇总"/>
      <sheetName val="索引表"/>
      <sheetName val="表1结果汇总"/>
      <sheetName val="表2分类汇总"/>
      <sheetName val="表3流资汇总"/>
      <sheetName val="表3-2短投汇总"/>
      <sheetName val="表3-10存货汇总"/>
      <sheetName val="表4长投汇总"/>
      <sheetName val="表5固资汇总"/>
      <sheetName val="表9流负汇总"/>
      <sheetName val="表10长负汇总"/>
      <sheetName val="表1结果汇总(元)"/>
      <sheetName val="表3-1-1现金"/>
      <sheetName val="表3-1-2银行存款"/>
      <sheetName val="表3-1-3其他货币"/>
      <sheetName val="表3-2-1短投股票"/>
      <sheetName val="表3-2-2短投债券"/>
      <sheetName val="表3-3应收票据"/>
      <sheetName val="表3-4应收账款"/>
      <sheetName val="表3-5应收股利"/>
      <sheetName val="表3-6应收利息"/>
      <sheetName val="表3-7预付账款"/>
      <sheetName val="表3-8应收补贴"/>
      <sheetName val="表3-9其他应收"/>
      <sheetName val="表3-10-1原材料"/>
      <sheetName val="表3-10-2材料采购"/>
      <sheetName val="表3-10-3在库低值"/>
      <sheetName val="表3-10-4包装物"/>
      <sheetName val="表3-10-5委托加工"/>
      <sheetName val="表3-10-7在产品"/>
      <sheetName val="表3-10-8发出商品"/>
      <sheetName val="表3-10-9在用低值"/>
      <sheetName val="表3-10-10委托代销"/>
      <sheetName val="表3-10-11受托代销"/>
      <sheetName val="表3-10-6产成品"/>
      <sheetName val="表3-11待摊费用"/>
      <sheetName val="表3-12流资损失"/>
      <sheetName val="表3-13到期长债投资"/>
      <sheetName val="表3-14其他流资"/>
      <sheetName val="表4-1长投股票"/>
      <sheetName val="表4-2长投债券"/>
      <sheetName val="表4-3其他长投"/>
      <sheetName val="表5-1-1房屋"/>
      <sheetName val="表5-1-2构筑物"/>
      <sheetName val="表5-1-3管沟"/>
      <sheetName val="表5-2-1机器设备"/>
      <sheetName val="表5-2-2车辆"/>
      <sheetName val="表5-2-3电子"/>
      <sheetName val="表5-3工程物资"/>
      <sheetName val="表5-4-1在建土建"/>
      <sheetName val="表5-4-2在建设备"/>
      <sheetName val="表5-5固资清理"/>
      <sheetName val="表5-6固资损失"/>
      <sheetName val="表5-7固资土地"/>
      <sheetName val="表6-1土地使用权"/>
      <sheetName val="表6-2其他无资"/>
      <sheetName val="表7-1开办费"/>
      <sheetName val="表7-2长期待摊"/>
      <sheetName val="表8-1其他长资"/>
      <sheetName val="表8-2递延税借项"/>
      <sheetName val="表9-2应付票据"/>
      <sheetName val="表9-3应付帐款"/>
      <sheetName val="表9-1短期借款"/>
      <sheetName val="表9-4预收账款"/>
      <sheetName val="表9-5代销商品款"/>
      <sheetName val="表9-6其他应付"/>
      <sheetName val="表9-7应付工资"/>
      <sheetName val="表9-8应付福利"/>
      <sheetName val="表9-9应交税金"/>
      <sheetName val="表9-10应付股利"/>
      <sheetName val="表9-11其他应交"/>
      <sheetName val="表9-12预提费用"/>
      <sheetName val="表9-13到期长负"/>
      <sheetName val="表9-14其他流负"/>
      <sheetName val="表10-1长期借款"/>
      <sheetName val="表10-2应付债券"/>
      <sheetName val="表10-3长期应付款"/>
      <sheetName val="表10-4住房周转金"/>
      <sheetName val="表10-5其他长负"/>
      <sheetName val="表10-6递延税贷项"/>
    </sheetNames>
    <sheetDataSet>
      <sheetData sheetId="0" refreshError="1"/>
      <sheetData sheetId="1" refreshError="1"/>
      <sheetData sheetId="2" refreshError="1"/>
      <sheetData sheetId="3" refreshError="1">
        <row r="4">
          <cell r="C4" t="str">
            <v>全部</v>
          </cell>
        </row>
        <row r="5">
          <cell r="C5" t="str">
            <v>直属</v>
          </cell>
        </row>
        <row r="6">
          <cell r="C6" t="str">
            <v>荆州</v>
          </cell>
        </row>
        <row r="7">
          <cell r="C7" t="str">
            <v>荆门</v>
          </cell>
        </row>
        <row r="8">
          <cell r="C8" t="str">
            <v>孝感</v>
          </cell>
        </row>
        <row r="9">
          <cell r="C9" t="str">
            <v>黄冈</v>
          </cell>
        </row>
        <row r="10">
          <cell r="C10" t="str">
            <v>黄石</v>
          </cell>
        </row>
        <row r="11">
          <cell r="C11" t="str">
            <v>鄂州</v>
          </cell>
        </row>
        <row r="12">
          <cell r="C12" t="str">
            <v>咸宁</v>
          </cell>
        </row>
        <row r="13">
          <cell r="C13" t="str">
            <v>宜昌</v>
          </cell>
        </row>
        <row r="14">
          <cell r="C14" t="str">
            <v>恩施</v>
          </cell>
        </row>
        <row r="15">
          <cell r="C15" t="str">
            <v>十堰</v>
          </cell>
        </row>
        <row r="16">
          <cell r="C16" t="str">
            <v>襄樊</v>
          </cell>
        </row>
        <row r="17">
          <cell r="C17" t="str">
            <v>随州</v>
          </cell>
        </row>
        <row r="18">
          <cell r="C18" t="str">
            <v>XS13001</v>
          </cell>
        </row>
        <row r="19">
          <cell r="C19" t="str">
            <v>XS13012</v>
          </cell>
        </row>
        <row r="20">
          <cell r="C20" t="str">
            <v>XS13014</v>
          </cell>
        </row>
        <row r="21">
          <cell r="C21" t="str">
            <v>XS13017</v>
          </cell>
        </row>
        <row r="22">
          <cell r="C22" t="str">
            <v>XS13018</v>
          </cell>
        </row>
        <row r="23">
          <cell r="C23" t="str">
            <v>XS13020</v>
          </cell>
        </row>
        <row r="24">
          <cell r="C24" t="str">
            <v>XS13022</v>
          </cell>
        </row>
        <row r="25">
          <cell r="C25" t="str">
            <v>XS13023</v>
          </cell>
        </row>
        <row r="26">
          <cell r="C26" t="str">
            <v>XS13024</v>
          </cell>
        </row>
        <row r="27">
          <cell r="C27" t="str">
            <v>XS13025</v>
          </cell>
        </row>
        <row r="28">
          <cell r="C28" t="str">
            <v>XS13027</v>
          </cell>
        </row>
        <row r="29">
          <cell r="C29" t="str">
            <v>XS13030</v>
          </cell>
        </row>
        <row r="30">
          <cell r="C30" t="str">
            <v>XS13031</v>
          </cell>
        </row>
        <row r="31">
          <cell r="C31" t="str">
            <v>XS13032</v>
          </cell>
        </row>
        <row r="32">
          <cell r="C32" t="str">
            <v>XS13034</v>
          </cell>
        </row>
        <row r="33">
          <cell r="C33" t="str">
            <v>XS13045</v>
          </cell>
        </row>
        <row r="34">
          <cell r="C34" t="str">
            <v>XS13046</v>
          </cell>
        </row>
        <row r="35">
          <cell r="C35" t="str">
            <v>XS13048</v>
          </cell>
        </row>
        <row r="36">
          <cell r="C36" t="str">
            <v>XS13049</v>
          </cell>
        </row>
        <row r="37">
          <cell r="C37" t="str">
            <v>XS13051</v>
          </cell>
        </row>
        <row r="38">
          <cell r="C38" t="str">
            <v>XS13052</v>
          </cell>
        </row>
        <row r="39">
          <cell r="C39" t="str">
            <v>XS13053</v>
          </cell>
        </row>
        <row r="40">
          <cell r="C40" t="str">
            <v>XS13058</v>
          </cell>
        </row>
        <row r="41">
          <cell r="C41" t="str">
            <v>XS13060</v>
          </cell>
        </row>
        <row r="42">
          <cell r="C42" t="str">
            <v>XS13061</v>
          </cell>
        </row>
        <row r="43">
          <cell r="C43" t="str">
            <v>XS13062</v>
          </cell>
        </row>
        <row r="44">
          <cell r="C44" t="str">
            <v>XS13064</v>
          </cell>
        </row>
        <row r="45">
          <cell r="C45" t="str">
            <v>XS13066</v>
          </cell>
        </row>
        <row r="46">
          <cell r="C46" t="str">
            <v>XS13067</v>
          </cell>
        </row>
        <row r="47">
          <cell r="C47" t="str">
            <v>XS13068</v>
          </cell>
        </row>
        <row r="48">
          <cell r="C48" t="str">
            <v>XS13069</v>
          </cell>
        </row>
        <row r="49">
          <cell r="C49" t="str">
            <v>XS13070</v>
          </cell>
        </row>
        <row r="50">
          <cell r="C50" t="str">
            <v>XS13071</v>
          </cell>
        </row>
        <row r="51">
          <cell r="C51" t="str">
            <v>XS13072</v>
          </cell>
        </row>
        <row r="52">
          <cell r="C52" t="str">
            <v>XS13073</v>
          </cell>
        </row>
        <row r="53">
          <cell r="C53" t="str">
            <v>XS13074</v>
          </cell>
        </row>
        <row r="54">
          <cell r="C54" t="str">
            <v>XS13075</v>
          </cell>
        </row>
        <row r="55">
          <cell r="C55" t="str">
            <v>XS13076</v>
          </cell>
        </row>
        <row r="56">
          <cell r="C56" t="str">
            <v>XS13080</v>
          </cell>
        </row>
        <row r="57">
          <cell r="C57" t="str">
            <v>XS13081</v>
          </cell>
        </row>
        <row r="58">
          <cell r="C58" t="str">
            <v>XS13083</v>
          </cell>
        </row>
        <row r="59">
          <cell r="C59" t="str">
            <v>XS13085</v>
          </cell>
        </row>
        <row r="60">
          <cell r="C60" t="str">
            <v>XS13086</v>
          </cell>
        </row>
        <row r="61">
          <cell r="C61" t="str">
            <v>XS13087</v>
          </cell>
        </row>
        <row r="62">
          <cell r="C62" t="str">
            <v>XS13088</v>
          </cell>
        </row>
        <row r="63">
          <cell r="C63" t="str">
            <v>XS13089</v>
          </cell>
        </row>
        <row r="64">
          <cell r="C64" t="str">
            <v>XS13090</v>
          </cell>
        </row>
        <row r="65">
          <cell r="C65" t="str">
            <v>XS13091</v>
          </cell>
        </row>
        <row r="66">
          <cell r="C66" t="str">
            <v>XS13092</v>
          </cell>
        </row>
        <row r="67">
          <cell r="C67" t="str">
            <v>XS13093</v>
          </cell>
        </row>
        <row r="68">
          <cell r="C68" t="str">
            <v>XS13094</v>
          </cell>
        </row>
        <row r="69">
          <cell r="C69" t="str">
            <v>XS13095</v>
          </cell>
        </row>
        <row r="70">
          <cell r="C70" t="str">
            <v>XS13096</v>
          </cell>
        </row>
        <row r="71">
          <cell r="C71" t="str">
            <v>XS13097</v>
          </cell>
        </row>
        <row r="72">
          <cell r="C72" t="str">
            <v>XS13100</v>
          </cell>
        </row>
        <row r="73">
          <cell r="C73" t="str">
            <v>XS13110</v>
          </cell>
        </row>
        <row r="74">
          <cell r="C74" t="str">
            <v>XS13111</v>
          </cell>
        </row>
        <row r="75">
          <cell r="C75" t="str">
            <v>XS13115</v>
          </cell>
        </row>
        <row r="76">
          <cell r="C76" t="str">
            <v>XS13121</v>
          </cell>
        </row>
        <row r="77">
          <cell r="C77" t="str">
            <v>XS13123</v>
          </cell>
        </row>
        <row r="78">
          <cell r="C78" t="str">
            <v>XS13135</v>
          </cell>
        </row>
        <row r="79">
          <cell r="C79" t="str">
            <v>XS13137</v>
          </cell>
        </row>
        <row r="80">
          <cell r="C80" t="str">
            <v>XS13138</v>
          </cell>
        </row>
        <row r="81">
          <cell r="C81" t="str">
            <v>XS13139</v>
          </cell>
        </row>
        <row r="82">
          <cell r="C82" t="str">
            <v>XS13143</v>
          </cell>
        </row>
        <row r="83">
          <cell r="C83" t="str">
            <v>XS13145</v>
          </cell>
        </row>
        <row r="84">
          <cell r="C84" t="str">
            <v>XS13146</v>
          </cell>
        </row>
        <row r="85">
          <cell r="C85" t="str">
            <v>XS13148</v>
          </cell>
        </row>
        <row r="86">
          <cell r="C86" t="str">
            <v>XS13151</v>
          </cell>
        </row>
        <row r="87">
          <cell r="C87" t="str">
            <v>XS13154</v>
          </cell>
        </row>
        <row r="88">
          <cell r="C88" t="str">
            <v>XS13156</v>
          </cell>
        </row>
        <row r="89">
          <cell r="C89" t="str">
            <v>XS13158</v>
          </cell>
        </row>
        <row r="90">
          <cell r="C90" t="str">
            <v>XS13164</v>
          </cell>
        </row>
        <row r="91">
          <cell r="C91" t="str">
            <v>XS13166</v>
          </cell>
        </row>
        <row r="92">
          <cell r="C92" t="str">
            <v>XS13167</v>
          </cell>
        </row>
        <row r="93">
          <cell r="C93" t="str">
            <v>XS13169</v>
          </cell>
        </row>
        <row r="94">
          <cell r="C94" t="str">
            <v>XS13170</v>
          </cell>
        </row>
        <row r="95">
          <cell r="C95" t="str">
            <v>XS13171</v>
          </cell>
        </row>
        <row r="96">
          <cell r="C96" t="str">
            <v>XS13172</v>
          </cell>
        </row>
        <row r="97">
          <cell r="C97" t="str">
            <v>XS13173</v>
          </cell>
        </row>
        <row r="98">
          <cell r="C98" t="str">
            <v>XS13174</v>
          </cell>
        </row>
        <row r="99">
          <cell r="C99" t="str">
            <v>XS13175</v>
          </cell>
        </row>
        <row r="100">
          <cell r="C100" t="str">
            <v>XS13176</v>
          </cell>
        </row>
        <row r="101">
          <cell r="C101" t="str">
            <v>XS13177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XL4Poppy"/>
      <sheetName val="Sheet1"/>
      <sheetName val="      "/>
      <sheetName val="评估结果分类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利润"/>
      <sheetName val="流动资产--利息"/>
      <sheetName val="流动资产--预付"/>
      <sheetName val="流动资产--补贴"/>
      <sheetName val="流动资产--其他应收"/>
      <sheetName val="流动资产--存货"/>
      <sheetName val="流动资产-原材料"/>
      <sheetName val="流动资产-材料采购"/>
      <sheetName val="流动资产-在库低值"/>
      <sheetName val="流动资产-产成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--股票"/>
      <sheetName val="长期投资--债券"/>
      <sheetName val="长期投资--其他投资"/>
      <sheetName val="房屋建筑物"/>
      <sheetName val="构筑物"/>
      <sheetName val="码头"/>
      <sheetName val="机器设备"/>
      <sheetName val="车辆"/>
      <sheetName val="电子设备"/>
      <sheetName val="船舶设备"/>
      <sheetName val="通导设备"/>
      <sheetName val="集装箱设备"/>
      <sheetName val="固定-土地"/>
      <sheetName val="工程物资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"/>
      <sheetName val="短期借款"/>
      <sheetName val="应付票据"/>
      <sheetName val="应付帐款"/>
      <sheetName val="预收帐款"/>
      <sheetName val="代销商品款"/>
      <sheetName val="其他应付款"/>
      <sheetName val="应付工资"/>
      <sheetName val="应付福利费"/>
      <sheetName val="应交税金"/>
      <sheetName val="预提费用"/>
      <sheetName val="一年内到期长期负债"/>
      <sheetName val="其他流动负债"/>
      <sheetName val="长期借款"/>
      <sheetName val="应付债券"/>
      <sheetName val="长期应付款"/>
      <sheetName val="住房周转金"/>
      <sheetName val="其他长期负债"/>
      <sheetName val="递延税款贷款"/>
      <sheetName val="00000000"/>
      <sheetName val="10000000"/>
      <sheetName val="1货币资金"/>
      <sheetName val="成本费用调整表"/>
      <sheetName val="8月人数调整"/>
      <sheetName val="IP卡收入分解"/>
      <sheetName val="服务收入加其他业利润"/>
      <sheetName val="平均资产总额"/>
      <sheetName val="分公司EBITDA率"/>
      <sheetName val="收支差额"/>
      <sheetName val="上年收入"/>
      <sheetName val="本年长数互收"/>
      <sheetName val="收支系数数据"/>
      <sheetName val="收支系数"/>
      <sheetName val="资产报酬率"/>
      <sheetName val="劳动生产率"/>
      <sheetName val="百元工资产出率"/>
      <sheetName val="收入增长贡献率"/>
      <sheetName val="收支差额贡献率"/>
      <sheetName val="全年"/>
      <sheetName val="比较"/>
      <sheetName val="1-11月"/>
      <sheetName val="5运输设备"/>
      <sheetName val="Index"/>
      <sheetName val="ADJ"/>
      <sheetName val="ADJ-Example"/>
      <sheetName val="WB"/>
      <sheetName val="Adj.No"/>
      <sheetName val="FS-W"/>
      <sheetName val="FS-N"/>
      <sheetName val="FS-O"/>
      <sheetName val="PL"/>
      <sheetName val="NA"/>
      <sheetName val="S00"/>
      <sheetName val="S01"/>
      <sheetName val="S02"/>
      <sheetName val="S03"/>
      <sheetName val="S03_3"/>
      <sheetName val="S04_3"/>
      <sheetName val="b00w"/>
      <sheetName val="b00n"/>
      <sheetName val="p00w"/>
      <sheetName val="p00n"/>
      <sheetName val="h00w"/>
      <sheetName val="h00n"/>
      <sheetName val="b01w"/>
      <sheetName val="b01n"/>
      <sheetName val="p01w"/>
      <sheetName val="p01n"/>
      <sheetName val="h01w"/>
      <sheetName val="h01n"/>
      <sheetName val="b02w"/>
      <sheetName val="b02n"/>
      <sheetName val="p02w"/>
      <sheetName val="p02n"/>
      <sheetName val="h02w"/>
      <sheetName val="h02n"/>
      <sheetName val="b03w"/>
      <sheetName val="b03n"/>
      <sheetName val="p03w"/>
      <sheetName val="p03n"/>
      <sheetName val="h03w"/>
      <sheetName val="h03n"/>
      <sheetName val="b03_3w"/>
      <sheetName val="b03_3n"/>
      <sheetName val="p03_3w"/>
      <sheetName val="p03_3n"/>
      <sheetName val="h03_3w"/>
      <sheetName val="h03_3n"/>
      <sheetName val="b04_3w"/>
      <sheetName val="b04_3n"/>
      <sheetName val="p04_3w"/>
      <sheetName val="p04_3n"/>
      <sheetName val="h04_3w"/>
      <sheetName val="h04_3n"/>
      <sheetName val="封面"/>
      <sheetName val="目录"/>
      <sheetName val="表1 货币资金"/>
      <sheetName val="表1-1 银行存款明细表"/>
      <sheetName val="表2 短期投资"/>
      <sheetName val="表3 应收帐款"/>
      <sheetName val="表4 应收票据"/>
      <sheetName val="表5 存货"/>
      <sheetName val="表5-1 存货跌价损失准备计算表"/>
      <sheetName val="表5-2 存货倒推表"/>
      <sheetName val="表6 预付帐款"/>
      <sheetName val="表6-1 其他应收款"/>
      <sheetName val="表6-2 待摊费用"/>
      <sheetName val="表6-3 预付及其他流动资产 "/>
      <sheetName val="表7 固定资产变动表"/>
      <sheetName val="表7-1 固定资产折旧表（上市） "/>
      <sheetName val="表7-1-1 固定资产折旧表  (非上市)"/>
      <sheetName val="表7-2 待处理财产损溢"/>
      <sheetName val="表7-3 固定资产有关资料"/>
      <sheetName val="表8-1 移动"/>
      <sheetName val="表8-2-1 数据"/>
      <sheetName val="表8-2-2 互联网"/>
      <sheetName val="表8-3 长途"/>
      <sheetName val="表8-4 寻呼"/>
      <sheetName val="表8-5 市话"/>
      <sheetName val="表8-6 在建工程明细表"/>
      <sheetName val="表8-7 工程合同汇总表(移动) NEW"/>
      <sheetName val="表8-7 工程合同汇总表(移动) (2)"/>
      <sheetName val="表8-8 在建工程有关资料"/>
      <sheetName val="表9 长期待摊费用"/>
      <sheetName val="表9-1 租赁合同汇总表"/>
      <sheetName val="表10 无形资产变动表"/>
      <sheetName val="表11 长期投资"/>
      <sheetName val="表11-1 长期股票投资"/>
      <sheetName val="表11-2 长期股权投资－未合并子公司"/>
      <sheetName val="表11-3 长期股权投资 － 合营公司"/>
      <sheetName val="表11-4 长期股权投资－联营公司"/>
      <sheetName val="表11-5 长期股权投资－参股公司"/>
      <sheetName val="表11-6 长期债权投资"/>
      <sheetName val="表11-7 其他债权投资"/>
      <sheetName val="表12 关联公司交易"/>
      <sheetName val="表12-1 与总部对帐"/>
      <sheetName val="表8-7 工程合同汇总表(移动) (5)"/>
      <sheetName val="公  "/>
      <sheetName val="共同"/>
      <sheetName val="共同 (2)"/>
      <sheetName val="BSC  BTS"/>
      <sheetName val="西门子 "/>
      <sheetName val="Sheet1 (2)"/>
      <sheetName val="光端机"/>
      <sheetName val="二次分配    "/>
      <sheetName val="二次分配     (2)"/>
      <sheetName val="二次分配     (3)"/>
      <sheetName val="二次分配     (4)"/>
      <sheetName val="表8-7 工程合同汇总表(移动) (3)"/>
      <sheetName val="表8-7 工程合同汇总表 (上市) (2)"/>
      <sheetName val="34土地使用权"/>
      <sheetName val="甘肃省电信机械历年价格系数表"/>
      <sheetName val="1固定资产汇总表"/>
      <sheetName val="4通用设备"/>
      <sheetName val="6线路设备"/>
      <sheetName val="7电信机械设备"/>
      <sheetName val="8电源设备 "/>
      <sheetName val="9固定_土地"/>
      <sheetName val="10工程物资"/>
      <sheetName val="12设备安装 (暂估入账余额)"/>
      <sheetName val="13设备安装（其他）"/>
      <sheetName val="14固定资产清理"/>
      <sheetName val="15待处理固定资产"/>
      <sheetName val="Journal list"/>
      <sheetName val="Log"/>
      <sheetName val="Journal list (2)"/>
      <sheetName val="Journal list (3)"/>
      <sheetName val="Journal list (4)"/>
      <sheetName val="Journal list (5)"/>
      <sheetName val="P1 损益表"/>
      <sheetName val="P2 主营业务收入"/>
      <sheetName val="P3 跨期间工程设计收入"/>
      <sheetName val="P4 跨期间工程施工收入"/>
      <sheetName val="P5 器材供应收入 "/>
      <sheetName val="P6主营业务成本"/>
      <sheetName val="P7营业税金及附加"/>
      <sheetName val="P8营业费用"/>
      <sheetName val="P9管理费用"/>
      <sheetName val="P10利息费用"/>
      <sheetName val="P11其它业务利润(亏损)"/>
      <sheetName val="P12 投资收益汇总表"/>
      <sheetName val="P12-1 投资收益明细表"/>
      <sheetName val="P13营业外收支"/>
      <sheetName val="P14以前年度损益调整"/>
      <sheetName val="P15 所得税-企业所得税纳税调节表"/>
      <sheetName val="P16 所得税-递延税项"/>
      <sheetName val="绥棱（车）"/>
      <sheetName val="绥棱"/>
      <sheetName val="其俖应交款"/>
      <sheetName val="应侤税金"/>
      <sheetName val="上报"/>
      <sheetName val="1&amp;其他应收"/>
      <sheetName val="P!6 所得税-递延税项"/>
      <sheetName val="样品 "/>
      <sheetName val="样品  (2)"/>
      <sheetName val=""/>
      <sheetName val="[13 铁路配件.xlsῘ长期投资--其他投资"/>
      <sheetName val="新中大资产负债表"/>
      <sheetName val="新中大损益表"/>
      <sheetName val="内部损益表"/>
      <sheetName val="含税损益表附表（本月)"/>
      <sheetName val="含税损益表附表（本年累计)"/>
      <sheetName val="费用汇总表"/>
      <sheetName val="经营费用明细表（本月）"/>
      <sheetName val="经营费用明细表（本年）"/>
      <sheetName val="管理费用明细表（本月)"/>
      <sheetName val="管理费用明细表（本年）"/>
      <sheetName val="销售收入明细表"/>
      <sheetName val="商品库存周转天数表"/>
      <sheetName val="资产对帐表"/>
      <sheetName val="其他应收"/>
      <sheetName val="其他应付"/>
      <sheetName val="含税损益表附表（本月）"/>
      <sheetName val="含税损益表附表（本年累计）"/>
      <sheetName val="管理费用明细表（本月）"/>
      <sheetName val="资产对帐清单 "/>
      <sheetName val="汇总表"/>
      <sheetName val="税"/>
      <sheetName val="工资表"/>
      <sheetName val="01"/>
      <sheetName val="02"/>
      <sheetName val="03"/>
      <sheetName val="04"/>
      <sheetName val="05"/>
      <sheetName val="税金计提"/>
      <sheetName val="税金计提 (2)"/>
      <sheetName val="税金计提 (3)"/>
      <sheetName val="6月合并"/>
      <sheetName val="税金计提07"/>
      <sheetName val="企业表一"/>
      <sheetName val="M-5C"/>
      <sheetName val="M-5A"/>
      <sheetName val="中山低值"/>
      <sheetName val="基本情况"/>
      <sheetName val="流动资产--其他应收 坏帐(2)"/>
      <sheetName val="流动资产-库存材料"/>
      <sheetName val="流动资产-库存商品"/>
      <sheetName val="流动资产-出租商品"/>
      <sheetName val="流动资产-委托代销商品"/>
      <sheetName val="流动资产-受托代销商品"/>
      <sheetName val="固定_土地"/>
      <sheetName val="设备安装 (已)"/>
      <sheetName val="设备安装（未）"/>
      <sheetName val="其它应交款"/>
      <sheetName val="长期投资汇总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5">
          <cell r="A15" t="b">
            <v>1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步骤复核表"/>
      <sheetName val="_formula_"/>
      <sheetName val="Sheet1"/>
      <sheetName val="土地评估明细表"/>
      <sheetName val="评估案例"/>
      <sheetName val="3  4 商业"/>
      <sheetName val="3  4住宅"/>
      <sheetName val="5住宅 "/>
      <sheetName val="5商业"/>
      <sheetName val="6  7商业案例"/>
      <sheetName val="6 7住宅案例"/>
      <sheetName val="8商业"/>
      <sheetName val="8住宅"/>
      <sheetName val="9商业"/>
      <sheetName val="9住宅 "/>
      <sheetName val="10商业 "/>
      <sheetName val="10住宅 "/>
      <sheetName val="11商业 "/>
      <sheetName val="11住宅  "/>
      <sheetName val="12   13商业"/>
      <sheetName val="12   13 住宅"/>
      <sheetName val="40商业"/>
      <sheetName val="40住宅"/>
      <sheetName val="容积率"/>
      <sheetName val="案例"/>
      <sheetName val="土地使用权核实表"/>
      <sheetName val="土地状况、评估结果汇总"/>
      <sheetName val="宗地利用状况一览表"/>
      <sheetName val="宗地情况调查表"/>
      <sheetName val="土地使用权—居住用地价格调查表"/>
      <sheetName val="基准地价法-工业"/>
      <sheetName val="成本法"/>
      <sheetName val="市场法-地价案例"/>
      <sheetName val="市场法-住宅"/>
      <sheetName val="Sheet3"/>
    </sheetNames>
    <sheetDataSet>
      <sheetData sheetId="0"/>
      <sheetData sheetId="1"/>
      <sheetData sheetId="2"/>
      <sheetData sheetId="3"/>
      <sheetData sheetId="4">
        <row r="14">
          <cell r="F14">
            <v>42908</v>
          </cell>
          <cell r="I14">
            <v>8834.52</v>
          </cell>
        </row>
        <row r="16">
          <cell r="F16">
            <v>42852</v>
          </cell>
          <cell r="I16">
            <v>8493.7000000000007</v>
          </cell>
        </row>
        <row r="48">
          <cell r="F48">
            <v>42404</v>
          </cell>
          <cell r="I48">
            <v>8450.7000000000007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步骤复核表"/>
      <sheetName val="_formula_"/>
      <sheetName val="4-12-1无形-土地"/>
      <sheetName val="土地使用权核实表"/>
      <sheetName val="土地状况、评估结果汇总"/>
      <sheetName val="宗地利用状况一览表"/>
      <sheetName val="宗地情况调查表"/>
      <sheetName val="土地使用权—居住用地价格调查表"/>
      <sheetName val="基准地价法-工业"/>
      <sheetName val="成本法"/>
      <sheetName val="市场法-地价案例"/>
      <sheetName val="市场法-工业"/>
      <sheetName val="Sheet2"/>
      <sheetName val="Sheet4"/>
      <sheetName val="市场法-住宅"/>
      <sheetName val="Sheet3"/>
      <sheetName val="市场法-工业 (2)"/>
    </sheetNames>
    <sheetDataSet>
      <sheetData sheetId="0">
        <row r="5">
          <cell r="B5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landjs.com/web/cjgs_view.aspx?CJGS_GUID=27B1038D9F30139AE055000000000001" TargetMode="External"/><Relationship Id="rId21" Type="http://schemas.openxmlformats.org/officeDocument/2006/relationships/hyperlink" Target="http://www.landjs.com/web/cjgs_view.aspx?CJGS_GUID=52D4B0DE0F52762DE055000000000001" TargetMode="External"/><Relationship Id="rId42" Type="http://schemas.openxmlformats.org/officeDocument/2006/relationships/hyperlink" Target="http://www.landjs.com/web/xxbj.aspx?dkid=405D9F0D08D40E52E055000000000001" TargetMode="External"/><Relationship Id="rId63" Type="http://schemas.openxmlformats.org/officeDocument/2006/relationships/hyperlink" Target="http://www.landjs.com/web/cjgs_view.aspx?CJGS_GUID=35D88731C08737CEE055000000000001" TargetMode="External"/><Relationship Id="rId84" Type="http://schemas.openxmlformats.org/officeDocument/2006/relationships/hyperlink" Target="http://www.landjs.com/web/xxbj.aspx?dkid=29D3C3FB9F687A01E055000000000001" TargetMode="External"/><Relationship Id="rId138" Type="http://schemas.openxmlformats.org/officeDocument/2006/relationships/hyperlink" Target="http://www.landjs.com/web/xxbj.aspx?dkid=22AA02B2006104F3E055000000000001" TargetMode="External"/><Relationship Id="rId159" Type="http://schemas.openxmlformats.org/officeDocument/2006/relationships/hyperlink" Target="http://www.landjs.com/web/cjgs_view.aspx?CJGS_GUID=1E5C7C79E03E695BE055000000000001" TargetMode="External"/><Relationship Id="rId170" Type="http://schemas.openxmlformats.org/officeDocument/2006/relationships/hyperlink" Target="http://www.landjs.com/web/xxbj.aspx?dkid=3286D9E7E2054CA681C595896ADDC71E" TargetMode="External"/><Relationship Id="rId191" Type="http://schemas.openxmlformats.org/officeDocument/2006/relationships/hyperlink" Target="http://www.landjs.com/web/cjgs_view.aspx?CJGS_GUID=77FE181251AF4A2ABA536ED39E64DE96" TargetMode="External"/><Relationship Id="rId205" Type="http://schemas.openxmlformats.org/officeDocument/2006/relationships/hyperlink" Target="http://www.landjs.com/web/cjgs_view.aspx?CJGS_GUID=9A57C51BF7524FF98282BB18AE5C3FAB" TargetMode="External"/><Relationship Id="rId226" Type="http://schemas.openxmlformats.org/officeDocument/2006/relationships/hyperlink" Target="http://www.landjs.com/web/xxbj.aspx?dkid=FC2CE883864445E4885AB5C75F462F8B" TargetMode="External"/><Relationship Id="rId247" Type="http://schemas.openxmlformats.org/officeDocument/2006/relationships/hyperlink" Target="http://www.landjs.com/web/cjgs_view.aspx?CJGS_GUID=09EBE17D8440494D805785B03DF49705" TargetMode="External"/><Relationship Id="rId107" Type="http://schemas.openxmlformats.org/officeDocument/2006/relationships/hyperlink" Target="http://www.landjs.com/web/cjgs_view.aspx?CJGS_GUID=27B148FD37AA14C5E055000000000001" TargetMode="External"/><Relationship Id="rId11" Type="http://schemas.openxmlformats.org/officeDocument/2006/relationships/hyperlink" Target="http://www.landjs.com/web/cjgs_view.aspx?CJGS_GUID=554986ED23AB2447E055000000000001" TargetMode="External"/><Relationship Id="rId32" Type="http://schemas.openxmlformats.org/officeDocument/2006/relationships/hyperlink" Target="http://www.landjs.com/web/xxbj.aspx?dkid=42671982B5C70972E055000000000001" TargetMode="External"/><Relationship Id="rId53" Type="http://schemas.openxmlformats.org/officeDocument/2006/relationships/hyperlink" Target="http://www.landjs.com/web/cjgs_view.aspx?CJGS_GUID=3BBEF753AEE6594FE055000000000001" TargetMode="External"/><Relationship Id="rId74" Type="http://schemas.openxmlformats.org/officeDocument/2006/relationships/hyperlink" Target="http://www.landjs.com/web/xxbj.aspx?dkid=2CF8E5BF1AB278C2E055000000000001" TargetMode="External"/><Relationship Id="rId128" Type="http://schemas.openxmlformats.org/officeDocument/2006/relationships/hyperlink" Target="http://www.landjs.com/web/xxbj.aspx?dkid=2416DEFA472F6756E055000000000001" TargetMode="External"/><Relationship Id="rId149" Type="http://schemas.openxmlformats.org/officeDocument/2006/relationships/hyperlink" Target="http://www.landjs.com/web/cjgs_view.aspx?CJGS_GUID=222F8E67C31C08D0E055000000000001" TargetMode="External"/><Relationship Id="rId5" Type="http://schemas.openxmlformats.org/officeDocument/2006/relationships/hyperlink" Target="http://www.landjs.com/web/cjgs_view.aspx?CJGS_GUID=5FCA642B1F442789E055000000000001" TargetMode="External"/><Relationship Id="rId95" Type="http://schemas.openxmlformats.org/officeDocument/2006/relationships/hyperlink" Target="http://www.landjs.com/web/cjgs_view.aspx?CJGS_GUID=27B51C56A0CE209DE055000000000001" TargetMode="External"/><Relationship Id="rId160" Type="http://schemas.openxmlformats.org/officeDocument/2006/relationships/hyperlink" Target="http://www.landjs.com/web/xxbj.aspx?dkid=01771D3C0BF7483F94B67313E8EF20FC" TargetMode="External"/><Relationship Id="rId181" Type="http://schemas.openxmlformats.org/officeDocument/2006/relationships/hyperlink" Target="http://www.landjs.com/web/cjgs_view.aspx?CJGS_GUID=9D81E91DCA94444FBF43F1DBF1347378" TargetMode="External"/><Relationship Id="rId216" Type="http://schemas.openxmlformats.org/officeDocument/2006/relationships/hyperlink" Target="http://www.landjs.com/web/xxbj.aspx?dkid=760E8706C60D44318B502CE5737F386D" TargetMode="External"/><Relationship Id="rId237" Type="http://schemas.openxmlformats.org/officeDocument/2006/relationships/hyperlink" Target="http://www.landjs.com/web/cjgs_view.aspx?CJGS_GUID=79B5C51885964B1C98837F7C6E137165" TargetMode="External"/><Relationship Id="rId258" Type="http://schemas.openxmlformats.org/officeDocument/2006/relationships/hyperlink" Target="http://www.landjs.com/web/xxbj.aspx?dkid=C55AF66C73864600B9CC707583DBCBB5" TargetMode="External"/><Relationship Id="rId22" Type="http://schemas.openxmlformats.org/officeDocument/2006/relationships/hyperlink" Target="http://www.landjs.com/web/xxbj.aspx?dkid=4F9F4FD17D077A3AE055000000000001" TargetMode="External"/><Relationship Id="rId43" Type="http://schemas.openxmlformats.org/officeDocument/2006/relationships/hyperlink" Target="http://www.landjs.com/web/cjgs_view.aspx?CJGS_GUID=4321FED071985BBEE055000000000001" TargetMode="External"/><Relationship Id="rId64" Type="http://schemas.openxmlformats.org/officeDocument/2006/relationships/hyperlink" Target="http://www.landjs.com/web/xxbj.aspx?dkid=34335255EDC00BC6E055000000000001" TargetMode="External"/><Relationship Id="rId118" Type="http://schemas.openxmlformats.org/officeDocument/2006/relationships/hyperlink" Target="http://www.landjs.com/web/xxbj.aspx?dkid=252BF955BAF43791E055000000000001" TargetMode="External"/><Relationship Id="rId139" Type="http://schemas.openxmlformats.org/officeDocument/2006/relationships/hyperlink" Target="http://www.landjs.com/web/cjgs_view.aspx?CJGS_GUID=256E47514859058EE055000000000001" TargetMode="External"/><Relationship Id="rId85" Type="http://schemas.openxmlformats.org/officeDocument/2006/relationships/hyperlink" Target="http://www.landjs.com/web/cjgs_view.aspx?CJGS_GUID=2C959FC4D5475263E055000000000001" TargetMode="External"/><Relationship Id="rId150" Type="http://schemas.openxmlformats.org/officeDocument/2006/relationships/hyperlink" Target="http://www.landjs.com/web/xxbj.aspx?dkid=1EBB1DAB4F534EE8E055000000000001" TargetMode="External"/><Relationship Id="rId171" Type="http://schemas.openxmlformats.org/officeDocument/2006/relationships/hyperlink" Target="http://www.landjs.com/web/cjgs_view.aspx?CJGS_GUID=08A2D3FF9882464480B7814D43C66C8D" TargetMode="External"/><Relationship Id="rId192" Type="http://schemas.openxmlformats.org/officeDocument/2006/relationships/hyperlink" Target="http://www.landjs.com/web/xxbj.aspx?dkid=AEAA66C30EBB4005893B346314D506A0" TargetMode="External"/><Relationship Id="rId206" Type="http://schemas.openxmlformats.org/officeDocument/2006/relationships/hyperlink" Target="http://www.landjs.com/web/xxbj.aspx?dkid=D504BF47FBA94B6BBC08696C73B60E7A" TargetMode="External"/><Relationship Id="rId227" Type="http://schemas.openxmlformats.org/officeDocument/2006/relationships/hyperlink" Target="http://www.landjs.com/web/cjgs_view.aspx?CJGS_GUID=E2E431B37D9C45D6B15EDFBD786A9C6C" TargetMode="External"/><Relationship Id="rId248" Type="http://schemas.openxmlformats.org/officeDocument/2006/relationships/hyperlink" Target="http://www.landjs.com/web/xxbj.aspx?dkid=6F24687EB87147A49F3B90064BBC805C" TargetMode="External"/><Relationship Id="rId12" Type="http://schemas.openxmlformats.org/officeDocument/2006/relationships/hyperlink" Target="http://www.landjs.com/web/xxbj.aspx?dkid=5289E2E1B0E416AAE055000000000001" TargetMode="External"/><Relationship Id="rId33" Type="http://schemas.openxmlformats.org/officeDocument/2006/relationships/hyperlink" Target="http://www.landjs.com/web/cjgs_view.aspx?CJGS_GUID=44D806FD41AE4DA7E055000000000001" TargetMode="External"/><Relationship Id="rId108" Type="http://schemas.openxmlformats.org/officeDocument/2006/relationships/hyperlink" Target="http://www.landjs.com/web/xxbj.aspx?dkid=2531F5F6239C4A26E055000000000001" TargetMode="External"/><Relationship Id="rId129" Type="http://schemas.openxmlformats.org/officeDocument/2006/relationships/hyperlink" Target="http://www.landjs.com/web/cjgs_view.aspx?CJGS_GUID=2695A3B5D72C1ACDE055000000000001" TargetMode="External"/><Relationship Id="rId54" Type="http://schemas.openxmlformats.org/officeDocument/2006/relationships/hyperlink" Target="http://www.landjs.com/web/xxbj.aspx?dkid=38300A39E5AF3760E055000000000001" TargetMode="External"/><Relationship Id="rId75" Type="http://schemas.openxmlformats.org/officeDocument/2006/relationships/hyperlink" Target="http://www.landjs.com/web/cjgs_view.aspx?CJGS_GUID=2D30F7BB51CB2379E055000000000001" TargetMode="External"/><Relationship Id="rId96" Type="http://schemas.openxmlformats.org/officeDocument/2006/relationships/hyperlink" Target="http://www.landjs.com/web/xxbj.aspx?dkid=253236250A8E4AE2E055000000000001" TargetMode="External"/><Relationship Id="rId140" Type="http://schemas.openxmlformats.org/officeDocument/2006/relationships/hyperlink" Target="http://www.landjs.com/web/xxbj.aspx?dkid=22AA02B2005D04F3E055000000000001" TargetMode="External"/><Relationship Id="rId161" Type="http://schemas.openxmlformats.org/officeDocument/2006/relationships/hyperlink" Target="http://www.landjs.com/web/cjgs_view.aspx?CJGS_GUID=242BB5572C852744E055000000000001" TargetMode="External"/><Relationship Id="rId182" Type="http://schemas.openxmlformats.org/officeDocument/2006/relationships/hyperlink" Target="http://www.landjs.com/web/xxbj.aspx?dkid=C6ACDDFF4E724DD191032D3E8A83DDFE" TargetMode="External"/><Relationship Id="rId217" Type="http://schemas.openxmlformats.org/officeDocument/2006/relationships/hyperlink" Target="http://www.landjs.com/web/cjgs_view.aspx?CJGS_GUID=408FE98FCD2A476C85B01E78A5B97976" TargetMode="External"/><Relationship Id="rId1" Type="http://schemas.openxmlformats.org/officeDocument/2006/relationships/hyperlink" Target="http://www.landjs.com/web/cjgs_view.aspx?CJGS_GUID=61D60423D61676CCE055000000000001" TargetMode="External"/><Relationship Id="rId6" Type="http://schemas.openxmlformats.org/officeDocument/2006/relationships/hyperlink" Target="http://www.landjs.com/web/xxbj.aspx?dkid=5D10BF9FDE8C2CAEE055000000000001" TargetMode="External"/><Relationship Id="rId212" Type="http://schemas.openxmlformats.org/officeDocument/2006/relationships/hyperlink" Target="http://www.landjs.com/web/xxbj.aspx?dkid=AB45E132AA7E4DF19C108BD026C8D220" TargetMode="External"/><Relationship Id="rId233" Type="http://schemas.openxmlformats.org/officeDocument/2006/relationships/hyperlink" Target="http://www.landjs.com/web/cjgs_view.aspx?CJGS_GUID=FBD01EDAD1284A5C9113260EA132DA44" TargetMode="External"/><Relationship Id="rId238" Type="http://schemas.openxmlformats.org/officeDocument/2006/relationships/hyperlink" Target="http://www.landjs.com/web/xxbj.aspx?dkid=60F3DFED60BE4B2490FAAC864E4CECA5" TargetMode="External"/><Relationship Id="rId254" Type="http://schemas.openxmlformats.org/officeDocument/2006/relationships/hyperlink" Target="http://www.landjs.com/web/xxbj.aspx?dkid=FCB5CED7EE444575A0BBEC53E5AC44A8" TargetMode="External"/><Relationship Id="rId259" Type="http://schemas.openxmlformats.org/officeDocument/2006/relationships/hyperlink" Target="http://www.landjs.com/web/gg_view.aspx?GYGG_GUID=4F9F74AE1FCF7AA9E055000000000001" TargetMode="External"/><Relationship Id="rId23" Type="http://schemas.openxmlformats.org/officeDocument/2006/relationships/hyperlink" Target="http://www.landjs.com/web/cjgs_view.aspx?CJGS_GUID=4E9BC4305DDC585BE055000000000001" TargetMode="External"/><Relationship Id="rId28" Type="http://schemas.openxmlformats.org/officeDocument/2006/relationships/hyperlink" Target="http://www.landjs.com/web/xxbj.aspx?dkid=43305E14EF460A09E055000000000001" TargetMode="External"/><Relationship Id="rId49" Type="http://schemas.openxmlformats.org/officeDocument/2006/relationships/hyperlink" Target="http://www.landjs.com/web/cjgs_view.aspx?CJGS_GUID=3E78F7E7730E4913E055000000000001" TargetMode="External"/><Relationship Id="rId114" Type="http://schemas.openxmlformats.org/officeDocument/2006/relationships/hyperlink" Target="http://www.landjs.com/web/xxbj.aspx?dkid=25324EC9BF3B4B34E055000000000001" TargetMode="External"/><Relationship Id="rId119" Type="http://schemas.openxmlformats.org/officeDocument/2006/relationships/hyperlink" Target="http://www.landjs.com/web/cjgs_view.aspx?CJGS_GUID=27B0D1D666E812E8E055000000000001" TargetMode="External"/><Relationship Id="rId44" Type="http://schemas.openxmlformats.org/officeDocument/2006/relationships/hyperlink" Target="http://www.landjs.com/web/xxbj.aspx?dkid=405D9F0D08CE0E52E055000000000001" TargetMode="External"/><Relationship Id="rId60" Type="http://schemas.openxmlformats.org/officeDocument/2006/relationships/hyperlink" Target="http://www.landjs.com/web/xxbj.aspx?dkid=354C4D236C06669DE055000000000001" TargetMode="External"/><Relationship Id="rId65" Type="http://schemas.openxmlformats.org/officeDocument/2006/relationships/hyperlink" Target="http://www.landjs.com/web/cjgs_view.aspx?CJGS_GUID=3215F89C9DE2229DE055000000000001" TargetMode="External"/><Relationship Id="rId81" Type="http://schemas.openxmlformats.org/officeDocument/2006/relationships/hyperlink" Target="http://www.landjs.com/web/cjgs_view.aspx?CJGS_GUID=2C95A1809BC752DBE055000000000001" TargetMode="External"/><Relationship Id="rId86" Type="http://schemas.openxmlformats.org/officeDocument/2006/relationships/hyperlink" Target="http://www.landjs.com/web/xxbj.aspx?dkid=29D3C221DDDA79F9E055000000000001" TargetMode="External"/><Relationship Id="rId130" Type="http://schemas.openxmlformats.org/officeDocument/2006/relationships/hyperlink" Target="http://www.landjs.com/web/xxbj.aspx?dkid=241766E352B268DBE055000000000001" TargetMode="External"/><Relationship Id="rId135" Type="http://schemas.openxmlformats.org/officeDocument/2006/relationships/hyperlink" Target="http://www.landjs.com/web/cjgs_view.aspx?CJGS_GUID=256E3B515FDA04A3E055000000000001" TargetMode="External"/><Relationship Id="rId151" Type="http://schemas.openxmlformats.org/officeDocument/2006/relationships/hyperlink" Target="http://www.landjs.com/web/cjgs_view.aspx?CJGS_GUID=22BCC2FB97C44056E055000000000001" TargetMode="External"/><Relationship Id="rId156" Type="http://schemas.openxmlformats.org/officeDocument/2006/relationships/hyperlink" Target="http://www.landjs.com/web/xxbj.aspx?dkid=6298187247CF4C0E8228D5BB10CEA024" TargetMode="External"/><Relationship Id="rId177" Type="http://schemas.openxmlformats.org/officeDocument/2006/relationships/hyperlink" Target="http://www.landjs.com/web/cjgs_view.aspx?CJGS_GUID=B01C1535C6444E02BB9DCF27F070A949" TargetMode="External"/><Relationship Id="rId198" Type="http://schemas.openxmlformats.org/officeDocument/2006/relationships/hyperlink" Target="http://www.landjs.com/web/xxbj.aspx?dkid=A4DE697EDB9340B18A6D4CB5650676A0" TargetMode="External"/><Relationship Id="rId172" Type="http://schemas.openxmlformats.org/officeDocument/2006/relationships/hyperlink" Target="http://www.landjs.com/web/xxbj.aspx?dkid=5F63E08F293244238A8D60AB837A762B" TargetMode="External"/><Relationship Id="rId193" Type="http://schemas.openxmlformats.org/officeDocument/2006/relationships/hyperlink" Target="http://www.landjs.com/web/cjgs_view.aspx?CJGS_GUID=F862816266EC475A8C005D0788F5BAB2" TargetMode="External"/><Relationship Id="rId202" Type="http://schemas.openxmlformats.org/officeDocument/2006/relationships/hyperlink" Target="http://www.landjs.com/web/xxbj.aspx?dkid=C49410FDB0BA4501AA812725DC2FAD0E" TargetMode="External"/><Relationship Id="rId207" Type="http://schemas.openxmlformats.org/officeDocument/2006/relationships/hyperlink" Target="http://www.landjs.com/web/cjgs_view.aspx?CJGS_GUID=1FAD514E91354B4692F00F309D67AF90" TargetMode="External"/><Relationship Id="rId223" Type="http://schemas.openxmlformats.org/officeDocument/2006/relationships/hyperlink" Target="http://www.landjs.com/web/cjgs_view.aspx?CJGS_GUID=88AD2852F42D4FE6ACA9AD84FBD1A952" TargetMode="External"/><Relationship Id="rId228" Type="http://schemas.openxmlformats.org/officeDocument/2006/relationships/hyperlink" Target="http://www.landjs.com/web/xxbj.aspx?dkid=8DC3B863C40547E3A72F09413BC7F2F1" TargetMode="External"/><Relationship Id="rId244" Type="http://schemas.openxmlformats.org/officeDocument/2006/relationships/hyperlink" Target="http://www.landjs.com/web/xxbj.aspx?dkid=A3A51588B67A42B7B41D7F6449252A8B" TargetMode="External"/><Relationship Id="rId249" Type="http://schemas.openxmlformats.org/officeDocument/2006/relationships/hyperlink" Target="http://www.landjs.com/web/cjgs_view.aspx?CJGS_GUID=78B3C472BB5F48B5975665BBD263D15C" TargetMode="External"/><Relationship Id="rId13" Type="http://schemas.openxmlformats.org/officeDocument/2006/relationships/hyperlink" Target="http://www.landjs.com/web/cjgs_view.aspx?CJGS_GUID=55493E431636236FE055000000000001" TargetMode="External"/><Relationship Id="rId18" Type="http://schemas.openxmlformats.org/officeDocument/2006/relationships/hyperlink" Target="http://www.landjs.com/web/xxbj.aspx?dkid=5050B507C2F22C45E055000000000001" TargetMode="External"/><Relationship Id="rId39" Type="http://schemas.openxmlformats.org/officeDocument/2006/relationships/hyperlink" Target="http://www.landjs.com/web/cjgs_view.aspx?CJGS_GUID=444A07D28EAD05C2E055000000000001" TargetMode="External"/><Relationship Id="rId109" Type="http://schemas.openxmlformats.org/officeDocument/2006/relationships/hyperlink" Target="http://www.landjs.com/web/cjgs_view.aspx?CJGS_GUID=27B125DD62AC1436E055000000000001" TargetMode="External"/><Relationship Id="rId260" Type="http://schemas.openxmlformats.org/officeDocument/2006/relationships/hyperlink" Target="http://www.landjs.com/web/gg_view.aspx?GYGG_GUID=4B38589ECB4D50BBE055000000000001" TargetMode="External"/><Relationship Id="rId34" Type="http://schemas.openxmlformats.org/officeDocument/2006/relationships/hyperlink" Target="http://www.landjs.com/web/xxbj.aspx?dkid=4267358D2A68098CE055000000000001" TargetMode="External"/><Relationship Id="rId50" Type="http://schemas.openxmlformats.org/officeDocument/2006/relationships/hyperlink" Target="http://www.landjs.com/web/xxbj.aspx?dkid=3B7EE42300301752E055000000000001" TargetMode="External"/><Relationship Id="rId55" Type="http://schemas.openxmlformats.org/officeDocument/2006/relationships/hyperlink" Target="http://www.landjs.com/web/cjgs_view.aspx?CJGS_GUID=3A54CBFA327E69CEE055000000000001" TargetMode="External"/><Relationship Id="rId76" Type="http://schemas.openxmlformats.org/officeDocument/2006/relationships/hyperlink" Target="http://www.landjs.com/web/xxbj.aspx?dkid=2A5FD7608F452772E055000000000001" TargetMode="External"/><Relationship Id="rId97" Type="http://schemas.openxmlformats.org/officeDocument/2006/relationships/hyperlink" Target="http://www.landjs.com/web/cjgs_view.aspx?CJGS_GUID=27B4D63CEE611FCFE055000000000001" TargetMode="External"/><Relationship Id="rId104" Type="http://schemas.openxmlformats.org/officeDocument/2006/relationships/hyperlink" Target="http://www.landjs.com/web/xxbj.aspx?dkid=253221F773594AAEE055000000000001" TargetMode="External"/><Relationship Id="rId120" Type="http://schemas.openxmlformats.org/officeDocument/2006/relationships/hyperlink" Target="http://www.landjs.com/web/xxbj.aspx?dkid=24DBCFFB084C46A9E055000000000001" TargetMode="External"/><Relationship Id="rId125" Type="http://schemas.openxmlformats.org/officeDocument/2006/relationships/hyperlink" Target="http://www.landjs.com/web/cjgs_view.aspx?CJGS_GUID=2695A601E2431ACFE055000000000001" TargetMode="External"/><Relationship Id="rId141" Type="http://schemas.openxmlformats.org/officeDocument/2006/relationships/hyperlink" Target="http://www.landjs.com/web/cjgs_view.aspx?CJGS_GUID=24EF51070123033CE055000000000001" TargetMode="External"/><Relationship Id="rId146" Type="http://schemas.openxmlformats.org/officeDocument/2006/relationships/hyperlink" Target="http://www.landjs.com/web/xxbj.aspx?dkid=1FE9495AC74C07FFE055000000000001" TargetMode="External"/><Relationship Id="rId167" Type="http://schemas.openxmlformats.org/officeDocument/2006/relationships/hyperlink" Target="http://www.landjs.com/web/cjgs_view.aspx?CJGS_GUID=1478DB27F1FA4A6197471D8BCFAEC224" TargetMode="External"/><Relationship Id="rId188" Type="http://schemas.openxmlformats.org/officeDocument/2006/relationships/hyperlink" Target="http://www.landjs.com/web/xxbj.aspx?dkid=89ED2C909B6F45D1A6CC564D0E325A2C" TargetMode="External"/><Relationship Id="rId7" Type="http://schemas.openxmlformats.org/officeDocument/2006/relationships/hyperlink" Target="http://www.landjs.com/web/cjgs_view.aspx?CJGS_GUID=5FCA3C435A49278BE055000000000001" TargetMode="External"/><Relationship Id="rId71" Type="http://schemas.openxmlformats.org/officeDocument/2006/relationships/hyperlink" Target="http://www.landjs.com/web/cjgs_view.aspx?CJGS_GUID=3215B47B6D7D21BDE055000000000001" TargetMode="External"/><Relationship Id="rId92" Type="http://schemas.openxmlformats.org/officeDocument/2006/relationships/hyperlink" Target="http://www.landjs.com/web/xxbj.aspx?dkid=2891EE0694FA3480E055000000000001" TargetMode="External"/><Relationship Id="rId162" Type="http://schemas.openxmlformats.org/officeDocument/2006/relationships/hyperlink" Target="http://www.landjs.com/web/xxbj.aspx?dkid=5583C1C918664FA0BF50095CA0614BDB" TargetMode="External"/><Relationship Id="rId183" Type="http://schemas.openxmlformats.org/officeDocument/2006/relationships/hyperlink" Target="http://www.landjs.com/web/cjgs_view.aspx?CJGS_GUID=ED87DF7DA89E42C7AD05CF27D9C4F297" TargetMode="External"/><Relationship Id="rId213" Type="http://schemas.openxmlformats.org/officeDocument/2006/relationships/hyperlink" Target="http://www.landjs.com/web/cjgs_view.aspx?CJGS_GUID=9DEE1A3F46FD42A4AC3DA5620D1A506E" TargetMode="External"/><Relationship Id="rId218" Type="http://schemas.openxmlformats.org/officeDocument/2006/relationships/hyperlink" Target="http://www.landjs.com/web/xxbj.aspx?dkid=C309E7CF36704606BA03DCD2F4D31B2F" TargetMode="External"/><Relationship Id="rId234" Type="http://schemas.openxmlformats.org/officeDocument/2006/relationships/hyperlink" Target="http://www.landjs.com/web/xxbj.aspx?dkid=125578C6375F451092A7294572F7A0C6" TargetMode="External"/><Relationship Id="rId239" Type="http://schemas.openxmlformats.org/officeDocument/2006/relationships/hyperlink" Target="http://www.landjs.com/web/cjgs_view.aspx?CJGS_GUID=D3000AC3A42B445E84E92B1785B91386" TargetMode="External"/><Relationship Id="rId2" Type="http://schemas.openxmlformats.org/officeDocument/2006/relationships/hyperlink" Target="http://www.landjs.com/web/xxbj.aspx?dkid=5F1C22C8E3D769B8E055000000000001" TargetMode="External"/><Relationship Id="rId29" Type="http://schemas.openxmlformats.org/officeDocument/2006/relationships/hyperlink" Target="http://www.landjs.com/web/cjgs_view.aspx?CJGS_GUID=44D717188C54490AE055000000000001" TargetMode="External"/><Relationship Id="rId250" Type="http://schemas.openxmlformats.org/officeDocument/2006/relationships/hyperlink" Target="http://www.landjs.com/web/xxbj.aspx?dkid=685006A0A4F54DE29FD9A56DBEED1E37" TargetMode="External"/><Relationship Id="rId255" Type="http://schemas.openxmlformats.org/officeDocument/2006/relationships/hyperlink" Target="http://www.landjs.com/web/cjgs_view.aspx?CJGS_GUID=7E9E54500A4A4EA1974471E4861364FC" TargetMode="External"/><Relationship Id="rId24" Type="http://schemas.openxmlformats.org/officeDocument/2006/relationships/hyperlink" Target="http://www.landjs.com/web/xxbj.aspx?dkid=4E8634E9323A16E1E055000000000001" TargetMode="External"/><Relationship Id="rId40" Type="http://schemas.openxmlformats.org/officeDocument/2006/relationships/hyperlink" Target="http://www.landjs.com/web/xxbj.aspx?dkid=41CA6DBF5B0C0BEAE055000000000001" TargetMode="External"/><Relationship Id="rId45" Type="http://schemas.openxmlformats.org/officeDocument/2006/relationships/hyperlink" Target="http://www.landjs.com/web/cjgs_view.aspx?CJGS_GUID=42A3487DF3634EF2E055000000000001" TargetMode="External"/><Relationship Id="rId66" Type="http://schemas.openxmlformats.org/officeDocument/2006/relationships/hyperlink" Target="http://www.landjs.com/web/xxbj.aspx?dkid=2F3F71E186FD6CA3E055000000000001" TargetMode="External"/><Relationship Id="rId87" Type="http://schemas.openxmlformats.org/officeDocument/2006/relationships/hyperlink" Target="http://www.landjs.com/web/cjgs_view.aspx?CJGS_GUID=2C959E2312B952C3E055000000000001" TargetMode="External"/><Relationship Id="rId110" Type="http://schemas.openxmlformats.org/officeDocument/2006/relationships/hyperlink" Target="http://www.landjs.com/web/xxbj.aspx?dkid=25313A2CC9614803E055000000000001" TargetMode="External"/><Relationship Id="rId115" Type="http://schemas.openxmlformats.org/officeDocument/2006/relationships/hyperlink" Target="http://www.landjs.com/web/cjgs_view.aspx?CJGS_GUID=27B107C7D60913D0E055000000000001" TargetMode="External"/><Relationship Id="rId131" Type="http://schemas.openxmlformats.org/officeDocument/2006/relationships/hyperlink" Target="http://www.landjs.com/web/cjgs_view.aspx?CJGS_GUID=2695A601E2411ACFE055000000000001" TargetMode="External"/><Relationship Id="rId136" Type="http://schemas.openxmlformats.org/officeDocument/2006/relationships/hyperlink" Target="http://www.landjs.com/web/xxbj.aspx?dkid=22AA02B2006B04F3E055000000000001" TargetMode="External"/><Relationship Id="rId157" Type="http://schemas.openxmlformats.org/officeDocument/2006/relationships/hyperlink" Target="http://www.landjs.com/web/cjgs_view.aspx?CJGS_GUID=1E5C6400535567C2E055000000000001" TargetMode="External"/><Relationship Id="rId178" Type="http://schemas.openxmlformats.org/officeDocument/2006/relationships/hyperlink" Target="http://www.landjs.com/web/xxbj.aspx?dkid=49E82FAB9C0F413E87039967E77CF38E" TargetMode="External"/><Relationship Id="rId61" Type="http://schemas.openxmlformats.org/officeDocument/2006/relationships/hyperlink" Target="http://www.landjs.com/web/cjgs_view.aspx?CJGS_GUID=37F33EC7F48E7B63E055000000000001" TargetMode="External"/><Relationship Id="rId82" Type="http://schemas.openxmlformats.org/officeDocument/2006/relationships/hyperlink" Target="http://www.landjs.com/web/xxbj.aspx?dkid=29D3BAAAB1437A03E055000000000001" TargetMode="External"/><Relationship Id="rId152" Type="http://schemas.openxmlformats.org/officeDocument/2006/relationships/hyperlink" Target="http://www.landjs.com/web/xxbj.aspx?dkid=1F6F174DB7F20D0DE055000000000001" TargetMode="External"/><Relationship Id="rId173" Type="http://schemas.openxmlformats.org/officeDocument/2006/relationships/hyperlink" Target="http://www.landjs.com/web/cjgs_view.aspx?CJGS_GUID=FC7BD1E9FED74CA291EA1C546674E844" TargetMode="External"/><Relationship Id="rId194" Type="http://schemas.openxmlformats.org/officeDocument/2006/relationships/hyperlink" Target="http://www.landjs.com/web/xxbj.aspx?dkid=6AA99394A59F4D6E9AA613B5BD5D41EF" TargetMode="External"/><Relationship Id="rId199" Type="http://schemas.openxmlformats.org/officeDocument/2006/relationships/hyperlink" Target="http://www.landjs.com/web/cjgs_view.aspx?CJGS_GUID=8B86454C3D8F4A44A5A9161D3601AA2D" TargetMode="External"/><Relationship Id="rId203" Type="http://schemas.openxmlformats.org/officeDocument/2006/relationships/hyperlink" Target="http://www.landjs.com/web/cjgs_view.aspx?CJGS_GUID=69DE21BD75CA4C44AE339E74024DE3FE" TargetMode="External"/><Relationship Id="rId208" Type="http://schemas.openxmlformats.org/officeDocument/2006/relationships/hyperlink" Target="http://www.landjs.com/web/xxbj.aspx?dkid=8F0DA453D44B4C0F8F61EAFBFC831123" TargetMode="External"/><Relationship Id="rId229" Type="http://schemas.openxmlformats.org/officeDocument/2006/relationships/hyperlink" Target="http://www.landjs.com/web/cjgs_view.aspx?CJGS_GUID=49639FE8A1DC45AB926B5013CDAF85E1" TargetMode="External"/><Relationship Id="rId19" Type="http://schemas.openxmlformats.org/officeDocument/2006/relationships/hyperlink" Target="http://www.landjs.com/web/cjgs_view.aspx?CJGS_GUID=5360C1106AB135C9E055000000000001" TargetMode="External"/><Relationship Id="rId224" Type="http://schemas.openxmlformats.org/officeDocument/2006/relationships/hyperlink" Target="http://www.landjs.com/web/xxbj.aspx?dkid=6CAD097BD5F4404D85F9800CA270349D" TargetMode="External"/><Relationship Id="rId240" Type="http://schemas.openxmlformats.org/officeDocument/2006/relationships/hyperlink" Target="http://www.landjs.com/web/xxbj.aspx?dkid=D3520D11B648446DAC830B1CF699BF64" TargetMode="External"/><Relationship Id="rId245" Type="http://schemas.openxmlformats.org/officeDocument/2006/relationships/hyperlink" Target="http://www.landjs.com/web/cjgs_view.aspx?CJGS_GUID=AEC64B4274074485B568F89A7CB2C857" TargetMode="External"/><Relationship Id="rId261" Type="http://schemas.openxmlformats.org/officeDocument/2006/relationships/hyperlink" Target="http://www.landjs.com/web/gg_view.aspx?GYGG_GUID=28925150061E35A8E055000000000001" TargetMode="External"/><Relationship Id="rId14" Type="http://schemas.openxmlformats.org/officeDocument/2006/relationships/hyperlink" Target="http://www.landjs.com/web/xxbj.aspx?dkid=5289E2E1B0DE16AAE055000000000001" TargetMode="External"/><Relationship Id="rId30" Type="http://schemas.openxmlformats.org/officeDocument/2006/relationships/hyperlink" Target="http://www.landjs.com/web/xxbj.aspx?dkid=42671982B5C80972E055000000000001" TargetMode="External"/><Relationship Id="rId35" Type="http://schemas.openxmlformats.org/officeDocument/2006/relationships/hyperlink" Target="http://www.landjs.com/web/cjgs_view.aspx?CJGS_GUID=44D6FE66186449BDE055000000000001" TargetMode="External"/><Relationship Id="rId56" Type="http://schemas.openxmlformats.org/officeDocument/2006/relationships/hyperlink" Target="http://www.landjs.com/web/xxbj.aspx?dkid=37F45C323A9D7EFFE055000000000001" TargetMode="External"/><Relationship Id="rId77" Type="http://schemas.openxmlformats.org/officeDocument/2006/relationships/hyperlink" Target="http://www.landjs.com/web/cjgs_view.aspx?CJGS_GUID=2C95A317438A52D5E055000000000001" TargetMode="External"/><Relationship Id="rId100" Type="http://schemas.openxmlformats.org/officeDocument/2006/relationships/hyperlink" Target="http://www.landjs.com/web/xxbj.aspx?dkid=253226C7C7FD4A98E055000000000001" TargetMode="External"/><Relationship Id="rId105" Type="http://schemas.openxmlformats.org/officeDocument/2006/relationships/hyperlink" Target="http://www.landjs.com/web/cjgs_view.aspx?CJGS_GUID=27B14940F54A14C7E055000000000001" TargetMode="External"/><Relationship Id="rId126" Type="http://schemas.openxmlformats.org/officeDocument/2006/relationships/hyperlink" Target="http://www.landjs.com/web/xxbj.aspx?dkid=2417366EE45D6828E055000000000001" TargetMode="External"/><Relationship Id="rId147" Type="http://schemas.openxmlformats.org/officeDocument/2006/relationships/hyperlink" Target="http://www.landjs.com/web/cjgs_view.aspx?CJGS_GUID=23856938F14D2F45E055000000000001" TargetMode="External"/><Relationship Id="rId168" Type="http://schemas.openxmlformats.org/officeDocument/2006/relationships/hyperlink" Target="http://www.landjs.com/web/xxbj.aspx?dkid=C8DCEF0602064A9EADBEF7AF2B1580EB" TargetMode="External"/><Relationship Id="rId8" Type="http://schemas.openxmlformats.org/officeDocument/2006/relationships/hyperlink" Target="http://www.landjs.com/web/xxbj.aspx?dkid=5D0FF192D5712A2FE055000000000001" TargetMode="External"/><Relationship Id="rId51" Type="http://schemas.openxmlformats.org/officeDocument/2006/relationships/hyperlink" Target="http://www.landjs.com/web/cjgs_view.aspx?CJGS_GUID=3D600AE4D56D6709E055000000000001" TargetMode="External"/><Relationship Id="rId72" Type="http://schemas.openxmlformats.org/officeDocument/2006/relationships/hyperlink" Target="http://www.landjs.com/web/xxbj.aspx?dkid=2F3EFA99E6236B23E055000000000001" TargetMode="External"/><Relationship Id="rId93" Type="http://schemas.openxmlformats.org/officeDocument/2006/relationships/hyperlink" Target="http://www.landjs.com/web/cjgs_view.aspx?CJGS_GUID=2AAC335AC3FF0A2DE055000000000001" TargetMode="External"/><Relationship Id="rId98" Type="http://schemas.openxmlformats.org/officeDocument/2006/relationships/hyperlink" Target="http://www.landjs.com/web/xxbj.aspx?dkid=253236250A8D4AE2E055000000000001" TargetMode="External"/><Relationship Id="rId121" Type="http://schemas.openxmlformats.org/officeDocument/2006/relationships/hyperlink" Target="http://www.landjs.com/web/cjgs_view.aspx?CJGS_GUID=27B09882103B1279E055000000000001" TargetMode="External"/><Relationship Id="rId142" Type="http://schemas.openxmlformats.org/officeDocument/2006/relationships/hyperlink" Target="http://www.landjs.com/web/xxbj.aspx?dkid=22202CB8A3195B88E055000000000001" TargetMode="External"/><Relationship Id="rId163" Type="http://schemas.openxmlformats.org/officeDocument/2006/relationships/hyperlink" Target="http://www.landjs.com/web/cjgs_view.aspx?CJGS_GUID=4F07AB591B2D4814B72CF83ADB7495DF" TargetMode="External"/><Relationship Id="rId184" Type="http://schemas.openxmlformats.org/officeDocument/2006/relationships/hyperlink" Target="http://www.landjs.com/web/xxbj.aspx?dkid=5D355EB9FC3E4EEE8059E2EB7FE64619" TargetMode="External"/><Relationship Id="rId189" Type="http://schemas.openxmlformats.org/officeDocument/2006/relationships/hyperlink" Target="http://www.landjs.com/web/cjgs_view.aspx?CJGS_GUID=27615363B2604A67947BE7DB48353DA3" TargetMode="External"/><Relationship Id="rId219" Type="http://schemas.openxmlformats.org/officeDocument/2006/relationships/hyperlink" Target="http://www.landjs.com/web/cjgs_view.aspx?CJGS_GUID=36145BFC03CF48199EBC357687850813" TargetMode="External"/><Relationship Id="rId3" Type="http://schemas.openxmlformats.org/officeDocument/2006/relationships/hyperlink" Target="http://www.landjs.com/web/cjgs_view.aspx?CJGS_GUID=5FCA64AE59DB281BE055000000000001" TargetMode="External"/><Relationship Id="rId214" Type="http://schemas.openxmlformats.org/officeDocument/2006/relationships/hyperlink" Target="http://www.landjs.com/web/xxbj.aspx?dkid=E98CD1B6B97C46CA84ADF368E52CB60F" TargetMode="External"/><Relationship Id="rId230" Type="http://schemas.openxmlformats.org/officeDocument/2006/relationships/hyperlink" Target="http://www.landjs.com/web/xxbj.aspx?dkid=2FC1322DDB764232A5BD1C961D28E374" TargetMode="External"/><Relationship Id="rId235" Type="http://schemas.openxmlformats.org/officeDocument/2006/relationships/hyperlink" Target="http://www.landjs.com/web/cjgs_view.aspx?CJGS_GUID=3F916C9007CB4077B9060E1FAD473CCA" TargetMode="External"/><Relationship Id="rId251" Type="http://schemas.openxmlformats.org/officeDocument/2006/relationships/hyperlink" Target="http://www.landjs.com/web/cjgs_view.aspx?CJGS_GUID=BF40F0DBC7FB47A5A154C0911EB9377A" TargetMode="External"/><Relationship Id="rId256" Type="http://schemas.openxmlformats.org/officeDocument/2006/relationships/hyperlink" Target="http://www.landjs.com/web/xxbj.aspx?dkid=9021F1CD387A4064A051A3606B68E7E1" TargetMode="External"/><Relationship Id="rId25" Type="http://schemas.openxmlformats.org/officeDocument/2006/relationships/hyperlink" Target="http://www.landjs.com/web/cjgs_view.aspx?CJGS_GUID=4E301D38B3CD14C2E055000000000001" TargetMode="External"/><Relationship Id="rId46" Type="http://schemas.openxmlformats.org/officeDocument/2006/relationships/hyperlink" Target="http://www.landjs.com/web/xxbj.aspx?dkid=3FBCBD6A6B4B11BAE055000000000001" TargetMode="External"/><Relationship Id="rId67" Type="http://schemas.openxmlformats.org/officeDocument/2006/relationships/hyperlink" Target="http://www.landjs.com/web/cjgs_view.aspx?CJGS_GUID=3215F18CF4A1229FE055000000000001" TargetMode="External"/><Relationship Id="rId116" Type="http://schemas.openxmlformats.org/officeDocument/2006/relationships/hyperlink" Target="http://www.landjs.com/web/xxbj.aspx?dkid=252C32BE999D38A3E055000000000001" TargetMode="External"/><Relationship Id="rId137" Type="http://schemas.openxmlformats.org/officeDocument/2006/relationships/hyperlink" Target="http://www.landjs.com/web/cjgs_view.aspx?CJGS_GUID=256E494800F4057CE055000000000001" TargetMode="External"/><Relationship Id="rId158" Type="http://schemas.openxmlformats.org/officeDocument/2006/relationships/hyperlink" Target="http://www.landjs.com/web/xxbj.aspx?dkid=F653B466BC254F4784CD60015345B20F" TargetMode="External"/><Relationship Id="rId20" Type="http://schemas.openxmlformats.org/officeDocument/2006/relationships/hyperlink" Target="http://www.landjs.com/web/xxbj.aspx?dkid=505094E0415A2C2FE055000000000001" TargetMode="External"/><Relationship Id="rId41" Type="http://schemas.openxmlformats.org/officeDocument/2006/relationships/hyperlink" Target="http://www.landjs.com/web/cjgs_view.aspx?CJGS_GUID=4322AD31E8325E35E055000000000001" TargetMode="External"/><Relationship Id="rId62" Type="http://schemas.openxmlformats.org/officeDocument/2006/relationships/hyperlink" Target="http://www.landjs.com/web/xxbj.aspx?dkid=352159D5FED35E4EE055000000000001" TargetMode="External"/><Relationship Id="rId83" Type="http://schemas.openxmlformats.org/officeDocument/2006/relationships/hyperlink" Target="http://www.landjs.com/web/cjgs_view.aspx?CJGS_GUID=2C95A0A4281052B9E055000000000001" TargetMode="External"/><Relationship Id="rId88" Type="http://schemas.openxmlformats.org/officeDocument/2006/relationships/hyperlink" Target="http://www.landjs.com/web/xxbj.aspx?dkid=29D3B8937D5179FBE055000000000001" TargetMode="External"/><Relationship Id="rId111" Type="http://schemas.openxmlformats.org/officeDocument/2006/relationships/hyperlink" Target="http://www.landjs.com/web/cjgs_view.aspx?CJGS_GUID=27B12584148B1434E055000000000001" TargetMode="External"/><Relationship Id="rId132" Type="http://schemas.openxmlformats.org/officeDocument/2006/relationships/hyperlink" Target="http://www.landjs.com/web/xxbj.aspx?dkid=2416CBAD7C4B672CE055000000000001" TargetMode="External"/><Relationship Id="rId153" Type="http://schemas.openxmlformats.org/officeDocument/2006/relationships/hyperlink" Target="http://www.landjs.com/web/cjgs_view.aspx?CJGS_GUID=1F61495A862961A3E055000000000001" TargetMode="External"/><Relationship Id="rId174" Type="http://schemas.openxmlformats.org/officeDocument/2006/relationships/hyperlink" Target="http://www.landjs.com/web/xxbj.aspx?dkid=8924D04162374D3B9ADA579AAEB9999C" TargetMode="External"/><Relationship Id="rId179" Type="http://schemas.openxmlformats.org/officeDocument/2006/relationships/hyperlink" Target="http://www.landjs.com/web/cjgs_view.aspx?CJGS_GUID=A2DFF29915AB45F58867B997917AF7D5" TargetMode="External"/><Relationship Id="rId195" Type="http://schemas.openxmlformats.org/officeDocument/2006/relationships/hyperlink" Target="http://www.landjs.com/web/cjgs_view.aspx?CJGS_GUID=66AFC0EC468542E5ADA14CE975A20495" TargetMode="External"/><Relationship Id="rId209" Type="http://schemas.openxmlformats.org/officeDocument/2006/relationships/hyperlink" Target="http://www.landjs.com/web/cjgs_view.aspx?CJGS_GUID=998AB9E4220E45559A1669AD06D896B9" TargetMode="External"/><Relationship Id="rId190" Type="http://schemas.openxmlformats.org/officeDocument/2006/relationships/hyperlink" Target="http://www.landjs.com/web/xxbj.aspx?dkid=5BBEB3290C8443ABAC4ED969C8E5AB40" TargetMode="External"/><Relationship Id="rId204" Type="http://schemas.openxmlformats.org/officeDocument/2006/relationships/hyperlink" Target="http://www.landjs.com/web/xxbj.aspx?dkid=89A9DB6E4E294E8684DAE6F855948566" TargetMode="External"/><Relationship Id="rId220" Type="http://schemas.openxmlformats.org/officeDocument/2006/relationships/hyperlink" Target="http://www.landjs.com/web/xxbj.aspx?dkid=3393BBF1850B47139AFBCC1438F2CC86" TargetMode="External"/><Relationship Id="rId225" Type="http://schemas.openxmlformats.org/officeDocument/2006/relationships/hyperlink" Target="http://www.landjs.com/web/cjgs_view.aspx?CJGS_GUID=53E9248856AE49C8AE569CD23E593526" TargetMode="External"/><Relationship Id="rId241" Type="http://schemas.openxmlformats.org/officeDocument/2006/relationships/hyperlink" Target="http://www.landjs.com/web/cjgs_view.aspx?CJGS_GUID=3AC3A8814E20491198C71A6A39FD7DF4" TargetMode="External"/><Relationship Id="rId246" Type="http://schemas.openxmlformats.org/officeDocument/2006/relationships/hyperlink" Target="http://www.landjs.com/web/xxbj.aspx?dkid=CCBEB4CC844541AB8A05BB2B9C5F0A97" TargetMode="External"/><Relationship Id="rId15" Type="http://schemas.openxmlformats.org/officeDocument/2006/relationships/hyperlink" Target="http://www.landjs.com/web/cjgs_view.aspx?CJGS_GUID=5360C328CFB335E1E055000000000001" TargetMode="External"/><Relationship Id="rId36" Type="http://schemas.openxmlformats.org/officeDocument/2006/relationships/hyperlink" Target="http://www.landjs.com/web/xxbj.aspx?dkid=4267358D2A66098CE055000000000001" TargetMode="External"/><Relationship Id="rId57" Type="http://schemas.openxmlformats.org/officeDocument/2006/relationships/hyperlink" Target="http://www.landjs.com/web/cjgs_view.aspx?CJGS_GUID=39C849B7B8C9288AE055000000000001" TargetMode="External"/><Relationship Id="rId106" Type="http://schemas.openxmlformats.org/officeDocument/2006/relationships/hyperlink" Target="http://www.landjs.com/web/xxbj.aspx?dkid=2531F5F623B24A26E055000000000001" TargetMode="External"/><Relationship Id="rId127" Type="http://schemas.openxmlformats.org/officeDocument/2006/relationships/hyperlink" Target="http://www.landjs.com/web/cjgs_view.aspx?CJGS_GUID=2695BD3224671ADDE055000000000001" TargetMode="External"/><Relationship Id="rId262" Type="http://schemas.openxmlformats.org/officeDocument/2006/relationships/printerSettings" Target="../printerSettings/printerSettings1.bin"/><Relationship Id="rId10" Type="http://schemas.openxmlformats.org/officeDocument/2006/relationships/hyperlink" Target="http://www.landjs.com/web/xxbj.aspx?dkid=5D102C99279B2AA9E055000000000001" TargetMode="External"/><Relationship Id="rId31" Type="http://schemas.openxmlformats.org/officeDocument/2006/relationships/hyperlink" Target="http://www.landjs.com/web/cjgs_view.aspx?CJGS_GUID=44D7F37A65794D9DE055000000000001" TargetMode="External"/><Relationship Id="rId52" Type="http://schemas.openxmlformats.org/officeDocument/2006/relationships/hyperlink" Target="http://www.landjs.com/web/xxbj.aspx?dkid=3A17BB6125992CCAE055000000000001" TargetMode="External"/><Relationship Id="rId73" Type="http://schemas.openxmlformats.org/officeDocument/2006/relationships/hyperlink" Target="http://www.landjs.com/web/cjgs_view.aspx?CJGS_GUID=30E188D6CA715FF0E055000000000001" TargetMode="External"/><Relationship Id="rId78" Type="http://schemas.openxmlformats.org/officeDocument/2006/relationships/hyperlink" Target="http://www.landjs.com/web/xxbj.aspx?dkid=29D3EF95C9827A95E055000000000001" TargetMode="External"/><Relationship Id="rId94" Type="http://schemas.openxmlformats.org/officeDocument/2006/relationships/hyperlink" Target="http://www.landjs.com/web/xxbj.aspx?dkid=279B91BD7C4442C9E055000000000001" TargetMode="External"/><Relationship Id="rId99" Type="http://schemas.openxmlformats.org/officeDocument/2006/relationships/hyperlink" Target="http://www.landjs.com/web/cjgs_view.aspx?CJGS_GUID=27B549462130213BE055000000000001" TargetMode="External"/><Relationship Id="rId101" Type="http://schemas.openxmlformats.org/officeDocument/2006/relationships/hyperlink" Target="http://www.landjs.com/web/cjgs_view.aspx?CJGS_GUID=27B52CA2285520D3E055000000000001" TargetMode="External"/><Relationship Id="rId122" Type="http://schemas.openxmlformats.org/officeDocument/2006/relationships/hyperlink" Target="http://www.landjs.com/web/xxbj.aspx?dkid=24DB79ACCE1C459FE055000000000001" TargetMode="External"/><Relationship Id="rId143" Type="http://schemas.openxmlformats.org/officeDocument/2006/relationships/hyperlink" Target="http://www.landjs.com/web/cjgs_view.aspx?CJGS_GUID=24EF3F494CD50340E055000000000001" TargetMode="External"/><Relationship Id="rId148" Type="http://schemas.openxmlformats.org/officeDocument/2006/relationships/hyperlink" Target="http://www.landjs.com/web/xxbj.aspx?dkid=1FE94A5852B607F7E055000000000001" TargetMode="External"/><Relationship Id="rId164" Type="http://schemas.openxmlformats.org/officeDocument/2006/relationships/hyperlink" Target="http://www.landjs.com/web/xxbj.aspx?dkid=2984786F05A14F08A603BC0A0DE447BC" TargetMode="External"/><Relationship Id="rId169" Type="http://schemas.openxmlformats.org/officeDocument/2006/relationships/hyperlink" Target="http://www.landjs.com/web/cjgs_view.aspx?CJGS_GUID=3F999B2C807C453D86D1B50E34699432" TargetMode="External"/><Relationship Id="rId185" Type="http://schemas.openxmlformats.org/officeDocument/2006/relationships/hyperlink" Target="http://www.landjs.com/web/cjgs_view.aspx?CJGS_GUID=D446DFB3557E4E6A8E483B37C2722601" TargetMode="External"/><Relationship Id="rId4" Type="http://schemas.openxmlformats.org/officeDocument/2006/relationships/hyperlink" Target="http://www.landjs.com/web/xxbj.aspx?dkid=5D0FF192D5752A2FE055000000000001" TargetMode="External"/><Relationship Id="rId9" Type="http://schemas.openxmlformats.org/officeDocument/2006/relationships/hyperlink" Target="http://www.landjs.com/web/cjgs_view.aspx?CJGS_GUID=5FCA6246CD7D281DE055000000000001" TargetMode="External"/><Relationship Id="rId180" Type="http://schemas.openxmlformats.org/officeDocument/2006/relationships/hyperlink" Target="http://www.landjs.com/web/xxbj.aspx?dkid=DACB526289184BAB90F5698C0E69569E" TargetMode="External"/><Relationship Id="rId210" Type="http://schemas.openxmlformats.org/officeDocument/2006/relationships/hyperlink" Target="http://www.landjs.com/web/xxbj.aspx?dkid=6F85992247404925AD344DD040BC1877" TargetMode="External"/><Relationship Id="rId215" Type="http://schemas.openxmlformats.org/officeDocument/2006/relationships/hyperlink" Target="http://www.landjs.com/web/cjgs_view.aspx?CJGS_GUID=733DCE83B5E44B299603333CD3846DBE" TargetMode="External"/><Relationship Id="rId236" Type="http://schemas.openxmlformats.org/officeDocument/2006/relationships/hyperlink" Target="http://www.landjs.com/web/xxbj.aspx?dkid=786291A5AA7B49FBA4F9854A41C79B53" TargetMode="External"/><Relationship Id="rId257" Type="http://schemas.openxmlformats.org/officeDocument/2006/relationships/hyperlink" Target="http://www.landjs.com/web/cjgs_view.aspx?CJGS_GUID=20E453030823418DAF98B18088CDC61D" TargetMode="External"/><Relationship Id="rId26" Type="http://schemas.openxmlformats.org/officeDocument/2006/relationships/hyperlink" Target="http://www.landjs.com/web/xxbj.aspx?dkid=4B388E5622AC5166E055000000000001" TargetMode="External"/><Relationship Id="rId231" Type="http://schemas.openxmlformats.org/officeDocument/2006/relationships/hyperlink" Target="http://www.landjs.com/web/cjgs_view.aspx?CJGS_GUID=18FE80720DF5485BB5691FB7B4C5D140" TargetMode="External"/><Relationship Id="rId252" Type="http://schemas.openxmlformats.org/officeDocument/2006/relationships/hyperlink" Target="http://www.landjs.com/web/xxbj.aspx?dkid=C814865742D142E490532A1FB9DC2207" TargetMode="External"/><Relationship Id="rId47" Type="http://schemas.openxmlformats.org/officeDocument/2006/relationships/hyperlink" Target="http://www.landjs.com/web/cjgs_view.aspx?CJGS_GUID=42A3410A70564ECAE055000000000001" TargetMode="External"/><Relationship Id="rId68" Type="http://schemas.openxmlformats.org/officeDocument/2006/relationships/hyperlink" Target="http://www.landjs.com/web/xxbj.aspx?dkid=2F3F71E186FB6CA3E055000000000001" TargetMode="External"/><Relationship Id="rId89" Type="http://schemas.openxmlformats.org/officeDocument/2006/relationships/hyperlink" Target="http://www.landjs.com/web/cjgs_view.aspx?CJGS_GUID=2AED0F5ACBAC4F77E055000000000001" TargetMode="External"/><Relationship Id="rId112" Type="http://schemas.openxmlformats.org/officeDocument/2006/relationships/hyperlink" Target="http://www.landjs.com/web/xxbj.aspx?dkid=252FF4255B9643B7E055000000000001" TargetMode="External"/><Relationship Id="rId133" Type="http://schemas.openxmlformats.org/officeDocument/2006/relationships/hyperlink" Target="http://www.landjs.com/web/cjgs_view.aspx?CJGS_GUID=256E494800F5057CE055000000000001" TargetMode="External"/><Relationship Id="rId154" Type="http://schemas.openxmlformats.org/officeDocument/2006/relationships/hyperlink" Target="http://www.landjs.com/web/xxbj.aspx?dkid=02EC6FDB6F46456E8107E90F1AEC1C22" TargetMode="External"/><Relationship Id="rId175" Type="http://schemas.openxmlformats.org/officeDocument/2006/relationships/hyperlink" Target="http://www.landjs.com/web/cjgs_view.aspx?CJGS_GUID=8892621C4C6242A69DF38AA7EC9ADA38" TargetMode="External"/><Relationship Id="rId196" Type="http://schemas.openxmlformats.org/officeDocument/2006/relationships/hyperlink" Target="http://www.landjs.com/web/xxbj.aspx?dkid=BBEF9E169CFF47CE9B661CD26C134D26" TargetMode="External"/><Relationship Id="rId200" Type="http://schemas.openxmlformats.org/officeDocument/2006/relationships/hyperlink" Target="http://www.landjs.com/web/xxbj.aspx?dkid=9B4040AB5C1D4F8FB1F79FCB8AA9019D" TargetMode="External"/><Relationship Id="rId16" Type="http://schemas.openxmlformats.org/officeDocument/2006/relationships/hyperlink" Target="http://www.landjs.com/web/xxbj.aspx?dkid=5050DB415A6A2D5CE055000000000001" TargetMode="External"/><Relationship Id="rId221" Type="http://schemas.openxmlformats.org/officeDocument/2006/relationships/hyperlink" Target="http://www.landjs.com/web/cjgs_view.aspx?CJGS_GUID=64A1412CF95D45EA914F17193AC9D3A4" TargetMode="External"/><Relationship Id="rId242" Type="http://schemas.openxmlformats.org/officeDocument/2006/relationships/hyperlink" Target="http://www.landjs.com/web/xxbj.aspx?dkid=5ADCEF67EF6E4CC883C3D9881037F112" TargetMode="External"/><Relationship Id="rId263" Type="http://schemas.openxmlformats.org/officeDocument/2006/relationships/drawing" Target="../drawings/drawing1.xml"/><Relationship Id="rId37" Type="http://schemas.openxmlformats.org/officeDocument/2006/relationships/hyperlink" Target="http://www.landjs.com/web/cjgs_view.aspx?CJGS_GUID=448D6125177E607DE055000000000001" TargetMode="External"/><Relationship Id="rId58" Type="http://schemas.openxmlformats.org/officeDocument/2006/relationships/hyperlink" Target="http://www.landjs.com/web/xxbj.aspx?dkid=3766E49DDBFF45C7E055000000000001" TargetMode="External"/><Relationship Id="rId79" Type="http://schemas.openxmlformats.org/officeDocument/2006/relationships/hyperlink" Target="http://www.landjs.com/web/cjgs_view.aspx?CJGS_GUID=2C959E2312BA52C3E055000000000001" TargetMode="External"/><Relationship Id="rId102" Type="http://schemas.openxmlformats.org/officeDocument/2006/relationships/hyperlink" Target="http://www.landjs.com/web/xxbj.aspx?dkid=25325631A4C74B2EE055000000000001" TargetMode="External"/><Relationship Id="rId123" Type="http://schemas.openxmlformats.org/officeDocument/2006/relationships/hyperlink" Target="http://www.landjs.com/web/cjgs_view.aspx?CJGS_GUID=276509A0B5B01F44E055000000000001" TargetMode="External"/><Relationship Id="rId144" Type="http://schemas.openxmlformats.org/officeDocument/2006/relationships/hyperlink" Target="http://www.landjs.com/web/xxbj.aspx?dkid=221FF262536B5AB0E055000000000001" TargetMode="External"/><Relationship Id="rId90" Type="http://schemas.openxmlformats.org/officeDocument/2006/relationships/hyperlink" Target="http://www.landjs.com/web/xxbj.aspx?dkid=28928119C50E3622E055000000000001" TargetMode="External"/><Relationship Id="rId165" Type="http://schemas.openxmlformats.org/officeDocument/2006/relationships/hyperlink" Target="http://www.landjs.com/web/cjgs_view.aspx?CJGS_GUID=BD1EFFD9143D4C86B19678305C06EC79" TargetMode="External"/><Relationship Id="rId186" Type="http://schemas.openxmlformats.org/officeDocument/2006/relationships/hyperlink" Target="http://www.landjs.com/web/xxbj.aspx?dkid=3DF79EE62A5F4EE78ADFB65889982113" TargetMode="External"/><Relationship Id="rId211" Type="http://schemas.openxmlformats.org/officeDocument/2006/relationships/hyperlink" Target="http://www.landjs.com/web/cjgs_view.aspx?CJGS_GUID=C9CF7E7D135245E293A5EE3F8186E8D8" TargetMode="External"/><Relationship Id="rId232" Type="http://schemas.openxmlformats.org/officeDocument/2006/relationships/hyperlink" Target="http://www.landjs.com/web/xxbj.aspx?dkid=EE11A04024764111BA5AD7F8D69C581A" TargetMode="External"/><Relationship Id="rId253" Type="http://schemas.openxmlformats.org/officeDocument/2006/relationships/hyperlink" Target="http://www.landjs.com/web/cjgs_view.aspx?CJGS_GUID=B979398B03314FB6961B45EB515EBC80" TargetMode="External"/><Relationship Id="rId27" Type="http://schemas.openxmlformats.org/officeDocument/2006/relationships/hyperlink" Target="http://www.landjs.com/web/cjgs_view.aspx?CJGS_GUID=45F27515EAA742A2E055000000000001" TargetMode="External"/><Relationship Id="rId48" Type="http://schemas.openxmlformats.org/officeDocument/2006/relationships/hyperlink" Target="http://www.landjs.com/web/xxbj.aspx?dkid=3FBCBD6A6B4411BAE055000000000001" TargetMode="External"/><Relationship Id="rId69" Type="http://schemas.openxmlformats.org/officeDocument/2006/relationships/hyperlink" Target="http://www.landjs.com/web/cjgs_view.aspx?CJGS_GUID=3215B47B6D7E21BDE055000000000001" TargetMode="External"/><Relationship Id="rId113" Type="http://schemas.openxmlformats.org/officeDocument/2006/relationships/hyperlink" Target="http://www.landjs.com/web/cjgs_view.aspx?CJGS_GUID=27B4E2E41FCA1FD7E055000000000001" TargetMode="External"/><Relationship Id="rId134" Type="http://schemas.openxmlformats.org/officeDocument/2006/relationships/hyperlink" Target="http://www.landjs.com/web/xxbj.aspx?dkid=22AA3787225C05AFE055000000000001" TargetMode="External"/><Relationship Id="rId80" Type="http://schemas.openxmlformats.org/officeDocument/2006/relationships/hyperlink" Target="http://www.landjs.com/web/xxbj.aspx?dkid=29D3EF95C9737A95E055000000000001" TargetMode="External"/><Relationship Id="rId155" Type="http://schemas.openxmlformats.org/officeDocument/2006/relationships/hyperlink" Target="http://www.landjs.com/web/cjgs_view.aspx?CJGS_GUID=1F614F50706C61F5E055000000000001" TargetMode="External"/><Relationship Id="rId176" Type="http://schemas.openxmlformats.org/officeDocument/2006/relationships/hyperlink" Target="http://www.landjs.com/web/xxbj.aspx?dkid=05B40CC78DFF4135885B1E43124E82B5" TargetMode="External"/><Relationship Id="rId197" Type="http://schemas.openxmlformats.org/officeDocument/2006/relationships/hyperlink" Target="http://www.landjs.com/web/cjgs_view.aspx?CJGS_GUID=7D77CE031C76477484192AF3BD95E83A" TargetMode="External"/><Relationship Id="rId201" Type="http://schemas.openxmlformats.org/officeDocument/2006/relationships/hyperlink" Target="http://www.landjs.com/web/cjgs_view.aspx?CJGS_GUID=6C8188B8BACD4C8AAA63922A7B8D4F69" TargetMode="External"/><Relationship Id="rId222" Type="http://schemas.openxmlformats.org/officeDocument/2006/relationships/hyperlink" Target="http://www.landjs.com/web/xxbj.aspx?dkid=3C945673266645488DD33B3DCBC767C3" TargetMode="External"/><Relationship Id="rId243" Type="http://schemas.openxmlformats.org/officeDocument/2006/relationships/hyperlink" Target="http://www.landjs.com/web/cjgs_view.aspx?CJGS_GUID=95767964330F4CF9BCF4110ABC9E45F7" TargetMode="External"/><Relationship Id="rId17" Type="http://schemas.openxmlformats.org/officeDocument/2006/relationships/hyperlink" Target="http://www.landjs.com/web/cjgs_view.aspx?CJGS_GUID=5360C263539E35D7E055000000000001" TargetMode="External"/><Relationship Id="rId38" Type="http://schemas.openxmlformats.org/officeDocument/2006/relationships/hyperlink" Target="http://www.landjs.com/web/xxbj.aspx?dkid=43AF0F0153EE1A50E055000000000001" TargetMode="External"/><Relationship Id="rId59" Type="http://schemas.openxmlformats.org/officeDocument/2006/relationships/hyperlink" Target="http://www.landjs.com/web/cjgs_view.aspx?CJGS_GUID=3830B044FDFB39DCE055000000000001" TargetMode="External"/><Relationship Id="rId103" Type="http://schemas.openxmlformats.org/officeDocument/2006/relationships/hyperlink" Target="http://www.landjs.com/web/cjgs_view.aspx?CJGS_GUID=27B4ED4D6FAE1FB5E055000000000001" TargetMode="External"/><Relationship Id="rId124" Type="http://schemas.openxmlformats.org/officeDocument/2006/relationships/hyperlink" Target="http://www.landjs.com/web/xxbj.aspx?dkid=25542942ABFC3440E055000000000001" TargetMode="External"/><Relationship Id="rId70" Type="http://schemas.openxmlformats.org/officeDocument/2006/relationships/hyperlink" Target="http://www.landjs.com/web/xxbj.aspx?dkid=2F3F68AC6DF86C8BE055000000000001" TargetMode="External"/><Relationship Id="rId91" Type="http://schemas.openxmlformats.org/officeDocument/2006/relationships/hyperlink" Target="http://www.landjs.com/web/cjgs_view.aspx?CJGS_GUID=2AED1AF04E374FE5E055000000000001" TargetMode="External"/><Relationship Id="rId145" Type="http://schemas.openxmlformats.org/officeDocument/2006/relationships/hyperlink" Target="http://www.landjs.com/web/cjgs_view.aspx?CJGS_GUID=23856938F14E2F45E055000000000001" TargetMode="External"/><Relationship Id="rId166" Type="http://schemas.openxmlformats.org/officeDocument/2006/relationships/hyperlink" Target="http://www.landjs.com/web/xxbj.aspx?dkid=CACA9257FCBA4845A6978E8780295186" TargetMode="External"/><Relationship Id="rId187" Type="http://schemas.openxmlformats.org/officeDocument/2006/relationships/hyperlink" Target="http://www.landjs.com/web/cjgs_view.aspx?CJGS_GUID=9E6FA40AE037464FADF4BF87E4D3D9E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7FE4-1B69-4FFE-8092-3EB6190C4ED8}">
  <dimension ref="A1:T132"/>
  <sheetViews>
    <sheetView workbookViewId="0">
      <selection activeCell="A5" sqref="A5:N8"/>
    </sheetView>
  </sheetViews>
  <sheetFormatPr defaultColWidth="9" defaultRowHeight="13.8" x14ac:dyDescent="0.25"/>
  <cols>
    <col min="1" max="1" width="4.88671875" style="1" customWidth="1"/>
    <col min="2" max="2" width="8.88671875" style="1" customWidth="1"/>
    <col min="3" max="3" width="16" style="1" customWidth="1"/>
    <col min="4" max="4" width="12.88671875" style="1" customWidth="1"/>
    <col min="5" max="5" width="9.33203125" style="1" customWidth="1"/>
    <col min="6" max="6" width="10.21875" style="1" customWidth="1"/>
    <col min="7" max="7" width="8.21875" style="1" customWidth="1"/>
    <col min="8" max="8" width="8" style="1" customWidth="1"/>
    <col min="9" max="9" width="12.21875" style="1" hidden="1" customWidth="1"/>
    <col min="10" max="10" width="21.44140625" style="1" hidden="1" customWidth="1"/>
    <col min="11" max="12" width="0" style="1" hidden="1" customWidth="1"/>
    <col min="13" max="13" width="8" style="1" hidden="1" customWidth="1"/>
    <col min="14" max="16" width="9" style="1"/>
    <col min="17" max="17" width="14.88671875" style="1" customWidth="1"/>
    <col min="18" max="18" width="14.21875" style="1" customWidth="1"/>
    <col min="19" max="19" width="13.6640625" style="1" customWidth="1"/>
    <col min="20" max="20" width="17.5546875" style="1" customWidth="1"/>
    <col min="21" max="256" width="9" style="1"/>
    <col min="257" max="257" width="4.88671875" style="1" customWidth="1"/>
    <col min="258" max="258" width="8.88671875" style="1" customWidth="1"/>
    <col min="259" max="259" width="16" style="1" customWidth="1"/>
    <col min="260" max="260" width="12.88671875" style="1" customWidth="1"/>
    <col min="261" max="261" width="9.33203125" style="1" customWidth="1"/>
    <col min="262" max="262" width="10.21875" style="1" customWidth="1"/>
    <col min="263" max="263" width="8.21875" style="1" customWidth="1"/>
    <col min="264" max="264" width="8" style="1" customWidth="1"/>
    <col min="265" max="269" width="0" style="1" hidden="1" customWidth="1"/>
    <col min="270" max="512" width="9" style="1"/>
    <col min="513" max="513" width="4.88671875" style="1" customWidth="1"/>
    <col min="514" max="514" width="8.88671875" style="1" customWidth="1"/>
    <col min="515" max="515" width="16" style="1" customWidth="1"/>
    <col min="516" max="516" width="12.88671875" style="1" customWidth="1"/>
    <col min="517" max="517" width="9.33203125" style="1" customWidth="1"/>
    <col min="518" max="518" width="10.21875" style="1" customWidth="1"/>
    <col min="519" max="519" width="8.21875" style="1" customWidth="1"/>
    <col min="520" max="520" width="8" style="1" customWidth="1"/>
    <col min="521" max="525" width="0" style="1" hidden="1" customWidth="1"/>
    <col min="526" max="768" width="9" style="1"/>
    <col min="769" max="769" width="4.88671875" style="1" customWidth="1"/>
    <col min="770" max="770" width="8.88671875" style="1" customWidth="1"/>
    <col min="771" max="771" width="16" style="1" customWidth="1"/>
    <col min="772" max="772" width="12.88671875" style="1" customWidth="1"/>
    <col min="773" max="773" width="9.33203125" style="1" customWidth="1"/>
    <col min="774" max="774" width="10.21875" style="1" customWidth="1"/>
    <col min="775" max="775" width="8.21875" style="1" customWidth="1"/>
    <col min="776" max="776" width="8" style="1" customWidth="1"/>
    <col min="777" max="781" width="0" style="1" hidden="1" customWidth="1"/>
    <col min="782" max="1024" width="9" style="1"/>
    <col min="1025" max="1025" width="4.88671875" style="1" customWidth="1"/>
    <col min="1026" max="1026" width="8.88671875" style="1" customWidth="1"/>
    <col min="1027" max="1027" width="16" style="1" customWidth="1"/>
    <col min="1028" max="1028" width="12.88671875" style="1" customWidth="1"/>
    <col min="1029" max="1029" width="9.33203125" style="1" customWidth="1"/>
    <col min="1030" max="1030" width="10.21875" style="1" customWidth="1"/>
    <col min="1031" max="1031" width="8.21875" style="1" customWidth="1"/>
    <col min="1032" max="1032" width="8" style="1" customWidth="1"/>
    <col min="1033" max="1037" width="0" style="1" hidden="1" customWidth="1"/>
    <col min="1038" max="1280" width="9" style="1"/>
    <col min="1281" max="1281" width="4.88671875" style="1" customWidth="1"/>
    <col min="1282" max="1282" width="8.88671875" style="1" customWidth="1"/>
    <col min="1283" max="1283" width="16" style="1" customWidth="1"/>
    <col min="1284" max="1284" width="12.88671875" style="1" customWidth="1"/>
    <col min="1285" max="1285" width="9.33203125" style="1" customWidth="1"/>
    <col min="1286" max="1286" width="10.21875" style="1" customWidth="1"/>
    <col min="1287" max="1287" width="8.21875" style="1" customWidth="1"/>
    <col min="1288" max="1288" width="8" style="1" customWidth="1"/>
    <col min="1289" max="1293" width="0" style="1" hidden="1" customWidth="1"/>
    <col min="1294" max="1536" width="9" style="1"/>
    <col min="1537" max="1537" width="4.88671875" style="1" customWidth="1"/>
    <col min="1538" max="1538" width="8.88671875" style="1" customWidth="1"/>
    <col min="1539" max="1539" width="16" style="1" customWidth="1"/>
    <col min="1540" max="1540" width="12.88671875" style="1" customWidth="1"/>
    <col min="1541" max="1541" width="9.33203125" style="1" customWidth="1"/>
    <col min="1542" max="1542" width="10.21875" style="1" customWidth="1"/>
    <col min="1543" max="1543" width="8.21875" style="1" customWidth="1"/>
    <col min="1544" max="1544" width="8" style="1" customWidth="1"/>
    <col min="1545" max="1549" width="0" style="1" hidden="1" customWidth="1"/>
    <col min="1550" max="1792" width="9" style="1"/>
    <col min="1793" max="1793" width="4.88671875" style="1" customWidth="1"/>
    <col min="1794" max="1794" width="8.88671875" style="1" customWidth="1"/>
    <col min="1795" max="1795" width="16" style="1" customWidth="1"/>
    <col min="1796" max="1796" width="12.88671875" style="1" customWidth="1"/>
    <col min="1797" max="1797" width="9.33203125" style="1" customWidth="1"/>
    <col min="1798" max="1798" width="10.21875" style="1" customWidth="1"/>
    <col min="1799" max="1799" width="8.21875" style="1" customWidth="1"/>
    <col min="1800" max="1800" width="8" style="1" customWidth="1"/>
    <col min="1801" max="1805" width="0" style="1" hidden="1" customWidth="1"/>
    <col min="1806" max="2048" width="9" style="1"/>
    <col min="2049" max="2049" width="4.88671875" style="1" customWidth="1"/>
    <col min="2050" max="2050" width="8.88671875" style="1" customWidth="1"/>
    <col min="2051" max="2051" width="16" style="1" customWidth="1"/>
    <col min="2052" max="2052" width="12.88671875" style="1" customWidth="1"/>
    <col min="2053" max="2053" width="9.33203125" style="1" customWidth="1"/>
    <col min="2054" max="2054" width="10.21875" style="1" customWidth="1"/>
    <col min="2055" max="2055" width="8.21875" style="1" customWidth="1"/>
    <col min="2056" max="2056" width="8" style="1" customWidth="1"/>
    <col min="2057" max="2061" width="0" style="1" hidden="1" customWidth="1"/>
    <col min="2062" max="2304" width="9" style="1"/>
    <col min="2305" max="2305" width="4.88671875" style="1" customWidth="1"/>
    <col min="2306" max="2306" width="8.88671875" style="1" customWidth="1"/>
    <col min="2307" max="2307" width="16" style="1" customWidth="1"/>
    <col min="2308" max="2308" width="12.88671875" style="1" customWidth="1"/>
    <col min="2309" max="2309" width="9.33203125" style="1" customWidth="1"/>
    <col min="2310" max="2310" width="10.21875" style="1" customWidth="1"/>
    <col min="2311" max="2311" width="8.21875" style="1" customWidth="1"/>
    <col min="2312" max="2312" width="8" style="1" customWidth="1"/>
    <col min="2313" max="2317" width="0" style="1" hidden="1" customWidth="1"/>
    <col min="2318" max="2560" width="9" style="1"/>
    <col min="2561" max="2561" width="4.88671875" style="1" customWidth="1"/>
    <col min="2562" max="2562" width="8.88671875" style="1" customWidth="1"/>
    <col min="2563" max="2563" width="16" style="1" customWidth="1"/>
    <col min="2564" max="2564" width="12.88671875" style="1" customWidth="1"/>
    <col min="2565" max="2565" width="9.33203125" style="1" customWidth="1"/>
    <col min="2566" max="2566" width="10.21875" style="1" customWidth="1"/>
    <col min="2567" max="2567" width="8.21875" style="1" customWidth="1"/>
    <col min="2568" max="2568" width="8" style="1" customWidth="1"/>
    <col min="2569" max="2573" width="0" style="1" hidden="1" customWidth="1"/>
    <col min="2574" max="2816" width="9" style="1"/>
    <col min="2817" max="2817" width="4.88671875" style="1" customWidth="1"/>
    <col min="2818" max="2818" width="8.88671875" style="1" customWidth="1"/>
    <col min="2819" max="2819" width="16" style="1" customWidth="1"/>
    <col min="2820" max="2820" width="12.88671875" style="1" customWidth="1"/>
    <col min="2821" max="2821" width="9.33203125" style="1" customWidth="1"/>
    <col min="2822" max="2822" width="10.21875" style="1" customWidth="1"/>
    <col min="2823" max="2823" width="8.21875" style="1" customWidth="1"/>
    <col min="2824" max="2824" width="8" style="1" customWidth="1"/>
    <col min="2825" max="2829" width="0" style="1" hidden="1" customWidth="1"/>
    <col min="2830" max="3072" width="9" style="1"/>
    <col min="3073" max="3073" width="4.88671875" style="1" customWidth="1"/>
    <col min="3074" max="3074" width="8.88671875" style="1" customWidth="1"/>
    <col min="3075" max="3075" width="16" style="1" customWidth="1"/>
    <col min="3076" max="3076" width="12.88671875" style="1" customWidth="1"/>
    <col min="3077" max="3077" width="9.33203125" style="1" customWidth="1"/>
    <col min="3078" max="3078" width="10.21875" style="1" customWidth="1"/>
    <col min="3079" max="3079" width="8.21875" style="1" customWidth="1"/>
    <col min="3080" max="3080" width="8" style="1" customWidth="1"/>
    <col min="3081" max="3085" width="0" style="1" hidden="1" customWidth="1"/>
    <col min="3086" max="3328" width="9" style="1"/>
    <col min="3329" max="3329" width="4.88671875" style="1" customWidth="1"/>
    <col min="3330" max="3330" width="8.88671875" style="1" customWidth="1"/>
    <col min="3331" max="3331" width="16" style="1" customWidth="1"/>
    <col min="3332" max="3332" width="12.88671875" style="1" customWidth="1"/>
    <col min="3333" max="3333" width="9.33203125" style="1" customWidth="1"/>
    <col min="3334" max="3334" width="10.21875" style="1" customWidth="1"/>
    <col min="3335" max="3335" width="8.21875" style="1" customWidth="1"/>
    <col min="3336" max="3336" width="8" style="1" customWidth="1"/>
    <col min="3337" max="3341" width="0" style="1" hidden="1" customWidth="1"/>
    <col min="3342" max="3584" width="9" style="1"/>
    <col min="3585" max="3585" width="4.88671875" style="1" customWidth="1"/>
    <col min="3586" max="3586" width="8.88671875" style="1" customWidth="1"/>
    <col min="3587" max="3587" width="16" style="1" customWidth="1"/>
    <col min="3588" max="3588" width="12.88671875" style="1" customWidth="1"/>
    <col min="3589" max="3589" width="9.33203125" style="1" customWidth="1"/>
    <col min="3590" max="3590" width="10.21875" style="1" customWidth="1"/>
    <col min="3591" max="3591" width="8.21875" style="1" customWidth="1"/>
    <col min="3592" max="3592" width="8" style="1" customWidth="1"/>
    <col min="3593" max="3597" width="0" style="1" hidden="1" customWidth="1"/>
    <col min="3598" max="3840" width="9" style="1"/>
    <col min="3841" max="3841" width="4.88671875" style="1" customWidth="1"/>
    <col min="3842" max="3842" width="8.88671875" style="1" customWidth="1"/>
    <col min="3843" max="3843" width="16" style="1" customWidth="1"/>
    <col min="3844" max="3844" width="12.88671875" style="1" customWidth="1"/>
    <col min="3845" max="3845" width="9.33203125" style="1" customWidth="1"/>
    <col min="3846" max="3846" width="10.21875" style="1" customWidth="1"/>
    <col min="3847" max="3847" width="8.21875" style="1" customWidth="1"/>
    <col min="3848" max="3848" width="8" style="1" customWidth="1"/>
    <col min="3849" max="3853" width="0" style="1" hidden="1" customWidth="1"/>
    <col min="3854" max="4096" width="9" style="1"/>
    <col min="4097" max="4097" width="4.88671875" style="1" customWidth="1"/>
    <col min="4098" max="4098" width="8.88671875" style="1" customWidth="1"/>
    <col min="4099" max="4099" width="16" style="1" customWidth="1"/>
    <col min="4100" max="4100" width="12.88671875" style="1" customWidth="1"/>
    <col min="4101" max="4101" width="9.33203125" style="1" customWidth="1"/>
    <col min="4102" max="4102" width="10.21875" style="1" customWidth="1"/>
    <col min="4103" max="4103" width="8.21875" style="1" customWidth="1"/>
    <col min="4104" max="4104" width="8" style="1" customWidth="1"/>
    <col min="4105" max="4109" width="0" style="1" hidden="1" customWidth="1"/>
    <col min="4110" max="4352" width="9" style="1"/>
    <col min="4353" max="4353" width="4.88671875" style="1" customWidth="1"/>
    <col min="4354" max="4354" width="8.88671875" style="1" customWidth="1"/>
    <col min="4355" max="4355" width="16" style="1" customWidth="1"/>
    <col min="4356" max="4356" width="12.88671875" style="1" customWidth="1"/>
    <col min="4357" max="4357" width="9.33203125" style="1" customWidth="1"/>
    <col min="4358" max="4358" width="10.21875" style="1" customWidth="1"/>
    <col min="4359" max="4359" width="8.21875" style="1" customWidth="1"/>
    <col min="4360" max="4360" width="8" style="1" customWidth="1"/>
    <col min="4361" max="4365" width="0" style="1" hidden="1" customWidth="1"/>
    <col min="4366" max="4608" width="9" style="1"/>
    <col min="4609" max="4609" width="4.88671875" style="1" customWidth="1"/>
    <col min="4610" max="4610" width="8.88671875" style="1" customWidth="1"/>
    <col min="4611" max="4611" width="16" style="1" customWidth="1"/>
    <col min="4612" max="4612" width="12.88671875" style="1" customWidth="1"/>
    <col min="4613" max="4613" width="9.33203125" style="1" customWidth="1"/>
    <col min="4614" max="4614" width="10.21875" style="1" customWidth="1"/>
    <col min="4615" max="4615" width="8.21875" style="1" customWidth="1"/>
    <col min="4616" max="4616" width="8" style="1" customWidth="1"/>
    <col min="4617" max="4621" width="0" style="1" hidden="1" customWidth="1"/>
    <col min="4622" max="4864" width="9" style="1"/>
    <col min="4865" max="4865" width="4.88671875" style="1" customWidth="1"/>
    <col min="4866" max="4866" width="8.88671875" style="1" customWidth="1"/>
    <col min="4867" max="4867" width="16" style="1" customWidth="1"/>
    <col min="4868" max="4868" width="12.88671875" style="1" customWidth="1"/>
    <col min="4869" max="4869" width="9.33203125" style="1" customWidth="1"/>
    <col min="4870" max="4870" width="10.21875" style="1" customWidth="1"/>
    <col min="4871" max="4871" width="8.21875" style="1" customWidth="1"/>
    <col min="4872" max="4872" width="8" style="1" customWidth="1"/>
    <col min="4873" max="4877" width="0" style="1" hidden="1" customWidth="1"/>
    <col min="4878" max="5120" width="9" style="1"/>
    <col min="5121" max="5121" width="4.88671875" style="1" customWidth="1"/>
    <col min="5122" max="5122" width="8.88671875" style="1" customWidth="1"/>
    <col min="5123" max="5123" width="16" style="1" customWidth="1"/>
    <col min="5124" max="5124" width="12.88671875" style="1" customWidth="1"/>
    <col min="5125" max="5125" width="9.33203125" style="1" customWidth="1"/>
    <col min="5126" max="5126" width="10.21875" style="1" customWidth="1"/>
    <col min="5127" max="5127" width="8.21875" style="1" customWidth="1"/>
    <col min="5128" max="5128" width="8" style="1" customWidth="1"/>
    <col min="5129" max="5133" width="0" style="1" hidden="1" customWidth="1"/>
    <col min="5134" max="5376" width="9" style="1"/>
    <col min="5377" max="5377" width="4.88671875" style="1" customWidth="1"/>
    <col min="5378" max="5378" width="8.88671875" style="1" customWidth="1"/>
    <col min="5379" max="5379" width="16" style="1" customWidth="1"/>
    <col min="5380" max="5380" width="12.88671875" style="1" customWidth="1"/>
    <col min="5381" max="5381" width="9.33203125" style="1" customWidth="1"/>
    <col min="5382" max="5382" width="10.21875" style="1" customWidth="1"/>
    <col min="5383" max="5383" width="8.21875" style="1" customWidth="1"/>
    <col min="5384" max="5384" width="8" style="1" customWidth="1"/>
    <col min="5385" max="5389" width="0" style="1" hidden="1" customWidth="1"/>
    <col min="5390" max="5632" width="9" style="1"/>
    <col min="5633" max="5633" width="4.88671875" style="1" customWidth="1"/>
    <col min="5634" max="5634" width="8.88671875" style="1" customWidth="1"/>
    <col min="5635" max="5635" width="16" style="1" customWidth="1"/>
    <col min="5636" max="5636" width="12.88671875" style="1" customWidth="1"/>
    <col min="5637" max="5637" width="9.33203125" style="1" customWidth="1"/>
    <col min="5638" max="5638" width="10.21875" style="1" customWidth="1"/>
    <col min="5639" max="5639" width="8.21875" style="1" customWidth="1"/>
    <col min="5640" max="5640" width="8" style="1" customWidth="1"/>
    <col min="5641" max="5645" width="0" style="1" hidden="1" customWidth="1"/>
    <col min="5646" max="5888" width="9" style="1"/>
    <col min="5889" max="5889" width="4.88671875" style="1" customWidth="1"/>
    <col min="5890" max="5890" width="8.88671875" style="1" customWidth="1"/>
    <col min="5891" max="5891" width="16" style="1" customWidth="1"/>
    <col min="5892" max="5892" width="12.88671875" style="1" customWidth="1"/>
    <col min="5893" max="5893" width="9.33203125" style="1" customWidth="1"/>
    <col min="5894" max="5894" width="10.21875" style="1" customWidth="1"/>
    <col min="5895" max="5895" width="8.21875" style="1" customWidth="1"/>
    <col min="5896" max="5896" width="8" style="1" customWidth="1"/>
    <col min="5897" max="5901" width="0" style="1" hidden="1" customWidth="1"/>
    <col min="5902" max="6144" width="9" style="1"/>
    <col min="6145" max="6145" width="4.88671875" style="1" customWidth="1"/>
    <col min="6146" max="6146" width="8.88671875" style="1" customWidth="1"/>
    <col min="6147" max="6147" width="16" style="1" customWidth="1"/>
    <col min="6148" max="6148" width="12.88671875" style="1" customWidth="1"/>
    <col min="6149" max="6149" width="9.33203125" style="1" customWidth="1"/>
    <col min="6150" max="6150" width="10.21875" style="1" customWidth="1"/>
    <col min="6151" max="6151" width="8.21875" style="1" customWidth="1"/>
    <col min="6152" max="6152" width="8" style="1" customWidth="1"/>
    <col min="6153" max="6157" width="0" style="1" hidden="1" customWidth="1"/>
    <col min="6158" max="6400" width="9" style="1"/>
    <col min="6401" max="6401" width="4.88671875" style="1" customWidth="1"/>
    <col min="6402" max="6402" width="8.88671875" style="1" customWidth="1"/>
    <col min="6403" max="6403" width="16" style="1" customWidth="1"/>
    <col min="6404" max="6404" width="12.88671875" style="1" customWidth="1"/>
    <col min="6405" max="6405" width="9.33203125" style="1" customWidth="1"/>
    <col min="6406" max="6406" width="10.21875" style="1" customWidth="1"/>
    <col min="6407" max="6407" width="8.21875" style="1" customWidth="1"/>
    <col min="6408" max="6408" width="8" style="1" customWidth="1"/>
    <col min="6409" max="6413" width="0" style="1" hidden="1" customWidth="1"/>
    <col min="6414" max="6656" width="9" style="1"/>
    <col min="6657" max="6657" width="4.88671875" style="1" customWidth="1"/>
    <col min="6658" max="6658" width="8.88671875" style="1" customWidth="1"/>
    <col min="6659" max="6659" width="16" style="1" customWidth="1"/>
    <col min="6660" max="6660" width="12.88671875" style="1" customWidth="1"/>
    <col min="6661" max="6661" width="9.33203125" style="1" customWidth="1"/>
    <col min="6662" max="6662" width="10.21875" style="1" customWidth="1"/>
    <col min="6663" max="6663" width="8.21875" style="1" customWidth="1"/>
    <col min="6664" max="6664" width="8" style="1" customWidth="1"/>
    <col min="6665" max="6669" width="0" style="1" hidden="1" customWidth="1"/>
    <col min="6670" max="6912" width="9" style="1"/>
    <col min="6913" max="6913" width="4.88671875" style="1" customWidth="1"/>
    <col min="6914" max="6914" width="8.88671875" style="1" customWidth="1"/>
    <col min="6915" max="6915" width="16" style="1" customWidth="1"/>
    <col min="6916" max="6916" width="12.88671875" style="1" customWidth="1"/>
    <col min="6917" max="6917" width="9.33203125" style="1" customWidth="1"/>
    <col min="6918" max="6918" width="10.21875" style="1" customWidth="1"/>
    <col min="6919" max="6919" width="8.21875" style="1" customWidth="1"/>
    <col min="6920" max="6920" width="8" style="1" customWidth="1"/>
    <col min="6921" max="6925" width="0" style="1" hidden="1" customWidth="1"/>
    <col min="6926" max="7168" width="9" style="1"/>
    <col min="7169" max="7169" width="4.88671875" style="1" customWidth="1"/>
    <col min="7170" max="7170" width="8.88671875" style="1" customWidth="1"/>
    <col min="7171" max="7171" width="16" style="1" customWidth="1"/>
    <col min="7172" max="7172" width="12.88671875" style="1" customWidth="1"/>
    <col min="7173" max="7173" width="9.33203125" style="1" customWidth="1"/>
    <col min="7174" max="7174" width="10.21875" style="1" customWidth="1"/>
    <col min="7175" max="7175" width="8.21875" style="1" customWidth="1"/>
    <col min="7176" max="7176" width="8" style="1" customWidth="1"/>
    <col min="7177" max="7181" width="0" style="1" hidden="1" customWidth="1"/>
    <col min="7182" max="7424" width="9" style="1"/>
    <col min="7425" max="7425" width="4.88671875" style="1" customWidth="1"/>
    <col min="7426" max="7426" width="8.88671875" style="1" customWidth="1"/>
    <col min="7427" max="7427" width="16" style="1" customWidth="1"/>
    <col min="7428" max="7428" width="12.88671875" style="1" customWidth="1"/>
    <col min="7429" max="7429" width="9.33203125" style="1" customWidth="1"/>
    <col min="7430" max="7430" width="10.21875" style="1" customWidth="1"/>
    <col min="7431" max="7431" width="8.21875" style="1" customWidth="1"/>
    <col min="7432" max="7432" width="8" style="1" customWidth="1"/>
    <col min="7433" max="7437" width="0" style="1" hidden="1" customWidth="1"/>
    <col min="7438" max="7680" width="9" style="1"/>
    <col min="7681" max="7681" width="4.88671875" style="1" customWidth="1"/>
    <col min="7682" max="7682" width="8.88671875" style="1" customWidth="1"/>
    <col min="7683" max="7683" width="16" style="1" customWidth="1"/>
    <col min="7684" max="7684" width="12.88671875" style="1" customWidth="1"/>
    <col min="7685" max="7685" width="9.33203125" style="1" customWidth="1"/>
    <col min="7686" max="7686" width="10.21875" style="1" customWidth="1"/>
    <col min="7687" max="7687" width="8.21875" style="1" customWidth="1"/>
    <col min="7688" max="7688" width="8" style="1" customWidth="1"/>
    <col min="7689" max="7693" width="0" style="1" hidden="1" customWidth="1"/>
    <col min="7694" max="7936" width="9" style="1"/>
    <col min="7937" max="7937" width="4.88671875" style="1" customWidth="1"/>
    <col min="7938" max="7938" width="8.88671875" style="1" customWidth="1"/>
    <col min="7939" max="7939" width="16" style="1" customWidth="1"/>
    <col min="7940" max="7940" width="12.88671875" style="1" customWidth="1"/>
    <col min="7941" max="7941" width="9.33203125" style="1" customWidth="1"/>
    <col min="7942" max="7942" width="10.21875" style="1" customWidth="1"/>
    <col min="7943" max="7943" width="8.21875" style="1" customWidth="1"/>
    <col min="7944" max="7944" width="8" style="1" customWidth="1"/>
    <col min="7945" max="7949" width="0" style="1" hidden="1" customWidth="1"/>
    <col min="7950" max="8192" width="9" style="1"/>
    <col min="8193" max="8193" width="4.88671875" style="1" customWidth="1"/>
    <col min="8194" max="8194" width="8.88671875" style="1" customWidth="1"/>
    <col min="8195" max="8195" width="16" style="1" customWidth="1"/>
    <col min="8196" max="8196" width="12.88671875" style="1" customWidth="1"/>
    <col min="8197" max="8197" width="9.33203125" style="1" customWidth="1"/>
    <col min="8198" max="8198" width="10.21875" style="1" customWidth="1"/>
    <col min="8199" max="8199" width="8.21875" style="1" customWidth="1"/>
    <col min="8200" max="8200" width="8" style="1" customWidth="1"/>
    <col min="8201" max="8205" width="0" style="1" hidden="1" customWidth="1"/>
    <col min="8206" max="8448" width="9" style="1"/>
    <col min="8449" max="8449" width="4.88671875" style="1" customWidth="1"/>
    <col min="8450" max="8450" width="8.88671875" style="1" customWidth="1"/>
    <col min="8451" max="8451" width="16" style="1" customWidth="1"/>
    <col min="8452" max="8452" width="12.88671875" style="1" customWidth="1"/>
    <col min="8453" max="8453" width="9.33203125" style="1" customWidth="1"/>
    <col min="8454" max="8454" width="10.21875" style="1" customWidth="1"/>
    <col min="8455" max="8455" width="8.21875" style="1" customWidth="1"/>
    <col min="8456" max="8456" width="8" style="1" customWidth="1"/>
    <col min="8457" max="8461" width="0" style="1" hidden="1" customWidth="1"/>
    <col min="8462" max="8704" width="9" style="1"/>
    <col min="8705" max="8705" width="4.88671875" style="1" customWidth="1"/>
    <col min="8706" max="8706" width="8.88671875" style="1" customWidth="1"/>
    <col min="8707" max="8707" width="16" style="1" customWidth="1"/>
    <col min="8708" max="8708" width="12.88671875" style="1" customWidth="1"/>
    <col min="8709" max="8709" width="9.33203125" style="1" customWidth="1"/>
    <col min="8710" max="8710" width="10.21875" style="1" customWidth="1"/>
    <col min="8711" max="8711" width="8.21875" style="1" customWidth="1"/>
    <col min="8712" max="8712" width="8" style="1" customWidth="1"/>
    <col min="8713" max="8717" width="0" style="1" hidden="1" customWidth="1"/>
    <col min="8718" max="8960" width="9" style="1"/>
    <col min="8961" max="8961" width="4.88671875" style="1" customWidth="1"/>
    <col min="8962" max="8962" width="8.88671875" style="1" customWidth="1"/>
    <col min="8963" max="8963" width="16" style="1" customWidth="1"/>
    <col min="8964" max="8964" width="12.88671875" style="1" customWidth="1"/>
    <col min="8965" max="8965" width="9.33203125" style="1" customWidth="1"/>
    <col min="8966" max="8966" width="10.21875" style="1" customWidth="1"/>
    <col min="8967" max="8967" width="8.21875" style="1" customWidth="1"/>
    <col min="8968" max="8968" width="8" style="1" customWidth="1"/>
    <col min="8969" max="8973" width="0" style="1" hidden="1" customWidth="1"/>
    <col min="8974" max="9216" width="9" style="1"/>
    <col min="9217" max="9217" width="4.88671875" style="1" customWidth="1"/>
    <col min="9218" max="9218" width="8.88671875" style="1" customWidth="1"/>
    <col min="9219" max="9219" width="16" style="1" customWidth="1"/>
    <col min="9220" max="9220" width="12.88671875" style="1" customWidth="1"/>
    <col min="9221" max="9221" width="9.33203125" style="1" customWidth="1"/>
    <col min="9222" max="9222" width="10.21875" style="1" customWidth="1"/>
    <col min="9223" max="9223" width="8.21875" style="1" customWidth="1"/>
    <col min="9224" max="9224" width="8" style="1" customWidth="1"/>
    <col min="9225" max="9229" width="0" style="1" hidden="1" customWidth="1"/>
    <col min="9230" max="9472" width="9" style="1"/>
    <col min="9473" max="9473" width="4.88671875" style="1" customWidth="1"/>
    <col min="9474" max="9474" width="8.88671875" style="1" customWidth="1"/>
    <col min="9475" max="9475" width="16" style="1" customWidth="1"/>
    <col min="9476" max="9476" width="12.88671875" style="1" customWidth="1"/>
    <col min="9477" max="9477" width="9.33203125" style="1" customWidth="1"/>
    <col min="9478" max="9478" width="10.21875" style="1" customWidth="1"/>
    <col min="9479" max="9479" width="8.21875" style="1" customWidth="1"/>
    <col min="9480" max="9480" width="8" style="1" customWidth="1"/>
    <col min="9481" max="9485" width="0" style="1" hidden="1" customWidth="1"/>
    <col min="9486" max="9728" width="9" style="1"/>
    <col min="9729" max="9729" width="4.88671875" style="1" customWidth="1"/>
    <col min="9730" max="9730" width="8.88671875" style="1" customWidth="1"/>
    <col min="9731" max="9731" width="16" style="1" customWidth="1"/>
    <col min="9732" max="9732" width="12.88671875" style="1" customWidth="1"/>
    <col min="9733" max="9733" width="9.33203125" style="1" customWidth="1"/>
    <col min="9734" max="9734" width="10.21875" style="1" customWidth="1"/>
    <col min="9735" max="9735" width="8.21875" style="1" customWidth="1"/>
    <col min="9736" max="9736" width="8" style="1" customWidth="1"/>
    <col min="9737" max="9741" width="0" style="1" hidden="1" customWidth="1"/>
    <col min="9742" max="9984" width="9" style="1"/>
    <col min="9985" max="9985" width="4.88671875" style="1" customWidth="1"/>
    <col min="9986" max="9986" width="8.88671875" style="1" customWidth="1"/>
    <col min="9987" max="9987" width="16" style="1" customWidth="1"/>
    <col min="9988" max="9988" width="12.88671875" style="1" customWidth="1"/>
    <col min="9989" max="9989" width="9.33203125" style="1" customWidth="1"/>
    <col min="9990" max="9990" width="10.21875" style="1" customWidth="1"/>
    <col min="9991" max="9991" width="8.21875" style="1" customWidth="1"/>
    <col min="9992" max="9992" width="8" style="1" customWidth="1"/>
    <col min="9993" max="9997" width="0" style="1" hidden="1" customWidth="1"/>
    <col min="9998" max="10240" width="9" style="1"/>
    <col min="10241" max="10241" width="4.88671875" style="1" customWidth="1"/>
    <col min="10242" max="10242" width="8.88671875" style="1" customWidth="1"/>
    <col min="10243" max="10243" width="16" style="1" customWidth="1"/>
    <col min="10244" max="10244" width="12.88671875" style="1" customWidth="1"/>
    <col min="10245" max="10245" width="9.33203125" style="1" customWidth="1"/>
    <col min="10246" max="10246" width="10.21875" style="1" customWidth="1"/>
    <col min="10247" max="10247" width="8.21875" style="1" customWidth="1"/>
    <col min="10248" max="10248" width="8" style="1" customWidth="1"/>
    <col min="10249" max="10253" width="0" style="1" hidden="1" customWidth="1"/>
    <col min="10254" max="10496" width="9" style="1"/>
    <col min="10497" max="10497" width="4.88671875" style="1" customWidth="1"/>
    <col min="10498" max="10498" width="8.88671875" style="1" customWidth="1"/>
    <col min="10499" max="10499" width="16" style="1" customWidth="1"/>
    <col min="10500" max="10500" width="12.88671875" style="1" customWidth="1"/>
    <col min="10501" max="10501" width="9.33203125" style="1" customWidth="1"/>
    <col min="10502" max="10502" width="10.21875" style="1" customWidth="1"/>
    <col min="10503" max="10503" width="8.21875" style="1" customWidth="1"/>
    <col min="10504" max="10504" width="8" style="1" customWidth="1"/>
    <col min="10505" max="10509" width="0" style="1" hidden="1" customWidth="1"/>
    <col min="10510" max="10752" width="9" style="1"/>
    <col min="10753" max="10753" width="4.88671875" style="1" customWidth="1"/>
    <col min="10754" max="10754" width="8.88671875" style="1" customWidth="1"/>
    <col min="10755" max="10755" width="16" style="1" customWidth="1"/>
    <col min="10756" max="10756" width="12.88671875" style="1" customWidth="1"/>
    <col min="10757" max="10757" width="9.33203125" style="1" customWidth="1"/>
    <col min="10758" max="10758" width="10.21875" style="1" customWidth="1"/>
    <col min="10759" max="10759" width="8.21875" style="1" customWidth="1"/>
    <col min="10760" max="10760" width="8" style="1" customWidth="1"/>
    <col min="10761" max="10765" width="0" style="1" hidden="1" customWidth="1"/>
    <col min="10766" max="11008" width="9" style="1"/>
    <col min="11009" max="11009" width="4.88671875" style="1" customWidth="1"/>
    <col min="11010" max="11010" width="8.88671875" style="1" customWidth="1"/>
    <col min="11011" max="11011" width="16" style="1" customWidth="1"/>
    <col min="11012" max="11012" width="12.88671875" style="1" customWidth="1"/>
    <col min="11013" max="11013" width="9.33203125" style="1" customWidth="1"/>
    <col min="11014" max="11014" width="10.21875" style="1" customWidth="1"/>
    <col min="11015" max="11015" width="8.21875" style="1" customWidth="1"/>
    <col min="11016" max="11016" width="8" style="1" customWidth="1"/>
    <col min="11017" max="11021" width="0" style="1" hidden="1" customWidth="1"/>
    <col min="11022" max="11264" width="9" style="1"/>
    <col min="11265" max="11265" width="4.88671875" style="1" customWidth="1"/>
    <col min="11266" max="11266" width="8.88671875" style="1" customWidth="1"/>
    <col min="11267" max="11267" width="16" style="1" customWidth="1"/>
    <col min="11268" max="11268" width="12.88671875" style="1" customWidth="1"/>
    <col min="11269" max="11269" width="9.33203125" style="1" customWidth="1"/>
    <col min="11270" max="11270" width="10.21875" style="1" customWidth="1"/>
    <col min="11271" max="11271" width="8.21875" style="1" customWidth="1"/>
    <col min="11272" max="11272" width="8" style="1" customWidth="1"/>
    <col min="11273" max="11277" width="0" style="1" hidden="1" customWidth="1"/>
    <col min="11278" max="11520" width="9" style="1"/>
    <col min="11521" max="11521" width="4.88671875" style="1" customWidth="1"/>
    <col min="11522" max="11522" width="8.88671875" style="1" customWidth="1"/>
    <col min="11523" max="11523" width="16" style="1" customWidth="1"/>
    <col min="11524" max="11524" width="12.88671875" style="1" customWidth="1"/>
    <col min="11525" max="11525" width="9.33203125" style="1" customWidth="1"/>
    <col min="11526" max="11526" width="10.21875" style="1" customWidth="1"/>
    <col min="11527" max="11527" width="8.21875" style="1" customWidth="1"/>
    <col min="11528" max="11528" width="8" style="1" customWidth="1"/>
    <col min="11529" max="11533" width="0" style="1" hidden="1" customWidth="1"/>
    <col min="11534" max="11776" width="9" style="1"/>
    <col min="11777" max="11777" width="4.88671875" style="1" customWidth="1"/>
    <col min="11778" max="11778" width="8.88671875" style="1" customWidth="1"/>
    <col min="11779" max="11779" width="16" style="1" customWidth="1"/>
    <col min="11780" max="11780" width="12.88671875" style="1" customWidth="1"/>
    <col min="11781" max="11781" width="9.33203125" style="1" customWidth="1"/>
    <col min="11782" max="11782" width="10.21875" style="1" customWidth="1"/>
    <col min="11783" max="11783" width="8.21875" style="1" customWidth="1"/>
    <col min="11784" max="11784" width="8" style="1" customWidth="1"/>
    <col min="11785" max="11789" width="0" style="1" hidden="1" customWidth="1"/>
    <col min="11790" max="12032" width="9" style="1"/>
    <col min="12033" max="12033" width="4.88671875" style="1" customWidth="1"/>
    <col min="12034" max="12034" width="8.88671875" style="1" customWidth="1"/>
    <col min="12035" max="12035" width="16" style="1" customWidth="1"/>
    <col min="12036" max="12036" width="12.88671875" style="1" customWidth="1"/>
    <col min="12037" max="12037" width="9.33203125" style="1" customWidth="1"/>
    <col min="12038" max="12038" width="10.21875" style="1" customWidth="1"/>
    <col min="12039" max="12039" width="8.21875" style="1" customWidth="1"/>
    <col min="12040" max="12040" width="8" style="1" customWidth="1"/>
    <col min="12041" max="12045" width="0" style="1" hidden="1" customWidth="1"/>
    <col min="12046" max="12288" width="9" style="1"/>
    <col min="12289" max="12289" width="4.88671875" style="1" customWidth="1"/>
    <col min="12290" max="12290" width="8.88671875" style="1" customWidth="1"/>
    <col min="12291" max="12291" width="16" style="1" customWidth="1"/>
    <col min="12292" max="12292" width="12.88671875" style="1" customWidth="1"/>
    <col min="12293" max="12293" width="9.33203125" style="1" customWidth="1"/>
    <col min="12294" max="12294" width="10.21875" style="1" customWidth="1"/>
    <col min="12295" max="12295" width="8.21875" style="1" customWidth="1"/>
    <col min="12296" max="12296" width="8" style="1" customWidth="1"/>
    <col min="12297" max="12301" width="0" style="1" hidden="1" customWidth="1"/>
    <col min="12302" max="12544" width="9" style="1"/>
    <col min="12545" max="12545" width="4.88671875" style="1" customWidth="1"/>
    <col min="12546" max="12546" width="8.88671875" style="1" customWidth="1"/>
    <col min="12547" max="12547" width="16" style="1" customWidth="1"/>
    <col min="12548" max="12548" width="12.88671875" style="1" customWidth="1"/>
    <col min="12549" max="12549" width="9.33203125" style="1" customWidth="1"/>
    <col min="12550" max="12550" width="10.21875" style="1" customWidth="1"/>
    <col min="12551" max="12551" width="8.21875" style="1" customWidth="1"/>
    <col min="12552" max="12552" width="8" style="1" customWidth="1"/>
    <col min="12553" max="12557" width="0" style="1" hidden="1" customWidth="1"/>
    <col min="12558" max="12800" width="9" style="1"/>
    <col min="12801" max="12801" width="4.88671875" style="1" customWidth="1"/>
    <col min="12802" max="12802" width="8.88671875" style="1" customWidth="1"/>
    <col min="12803" max="12803" width="16" style="1" customWidth="1"/>
    <col min="12804" max="12804" width="12.88671875" style="1" customWidth="1"/>
    <col min="12805" max="12805" width="9.33203125" style="1" customWidth="1"/>
    <col min="12806" max="12806" width="10.21875" style="1" customWidth="1"/>
    <col min="12807" max="12807" width="8.21875" style="1" customWidth="1"/>
    <col min="12808" max="12808" width="8" style="1" customWidth="1"/>
    <col min="12809" max="12813" width="0" style="1" hidden="1" customWidth="1"/>
    <col min="12814" max="13056" width="9" style="1"/>
    <col min="13057" max="13057" width="4.88671875" style="1" customWidth="1"/>
    <col min="13058" max="13058" width="8.88671875" style="1" customWidth="1"/>
    <col min="13059" max="13059" width="16" style="1" customWidth="1"/>
    <col min="13060" max="13060" width="12.88671875" style="1" customWidth="1"/>
    <col min="13061" max="13061" width="9.33203125" style="1" customWidth="1"/>
    <col min="13062" max="13062" width="10.21875" style="1" customWidth="1"/>
    <col min="13063" max="13063" width="8.21875" style="1" customWidth="1"/>
    <col min="13064" max="13064" width="8" style="1" customWidth="1"/>
    <col min="13065" max="13069" width="0" style="1" hidden="1" customWidth="1"/>
    <col min="13070" max="13312" width="9" style="1"/>
    <col min="13313" max="13313" width="4.88671875" style="1" customWidth="1"/>
    <col min="13314" max="13314" width="8.88671875" style="1" customWidth="1"/>
    <col min="13315" max="13315" width="16" style="1" customWidth="1"/>
    <col min="13316" max="13316" width="12.88671875" style="1" customWidth="1"/>
    <col min="13317" max="13317" width="9.33203125" style="1" customWidth="1"/>
    <col min="13318" max="13318" width="10.21875" style="1" customWidth="1"/>
    <col min="13319" max="13319" width="8.21875" style="1" customWidth="1"/>
    <col min="13320" max="13320" width="8" style="1" customWidth="1"/>
    <col min="13321" max="13325" width="0" style="1" hidden="1" customWidth="1"/>
    <col min="13326" max="13568" width="9" style="1"/>
    <col min="13569" max="13569" width="4.88671875" style="1" customWidth="1"/>
    <col min="13570" max="13570" width="8.88671875" style="1" customWidth="1"/>
    <col min="13571" max="13571" width="16" style="1" customWidth="1"/>
    <col min="13572" max="13572" width="12.88671875" style="1" customWidth="1"/>
    <col min="13573" max="13573" width="9.33203125" style="1" customWidth="1"/>
    <col min="13574" max="13574" width="10.21875" style="1" customWidth="1"/>
    <col min="13575" max="13575" width="8.21875" style="1" customWidth="1"/>
    <col min="13576" max="13576" width="8" style="1" customWidth="1"/>
    <col min="13577" max="13581" width="0" style="1" hidden="1" customWidth="1"/>
    <col min="13582" max="13824" width="9" style="1"/>
    <col min="13825" max="13825" width="4.88671875" style="1" customWidth="1"/>
    <col min="13826" max="13826" width="8.88671875" style="1" customWidth="1"/>
    <col min="13827" max="13827" width="16" style="1" customWidth="1"/>
    <col min="13828" max="13828" width="12.88671875" style="1" customWidth="1"/>
    <col min="13829" max="13829" width="9.33203125" style="1" customWidth="1"/>
    <col min="13830" max="13830" width="10.21875" style="1" customWidth="1"/>
    <col min="13831" max="13831" width="8.21875" style="1" customWidth="1"/>
    <col min="13832" max="13832" width="8" style="1" customWidth="1"/>
    <col min="13833" max="13837" width="0" style="1" hidden="1" customWidth="1"/>
    <col min="13838" max="14080" width="9" style="1"/>
    <col min="14081" max="14081" width="4.88671875" style="1" customWidth="1"/>
    <col min="14082" max="14082" width="8.88671875" style="1" customWidth="1"/>
    <col min="14083" max="14083" width="16" style="1" customWidth="1"/>
    <col min="14084" max="14084" width="12.88671875" style="1" customWidth="1"/>
    <col min="14085" max="14085" width="9.33203125" style="1" customWidth="1"/>
    <col min="14086" max="14086" width="10.21875" style="1" customWidth="1"/>
    <col min="14087" max="14087" width="8.21875" style="1" customWidth="1"/>
    <col min="14088" max="14088" width="8" style="1" customWidth="1"/>
    <col min="14089" max="14093" width="0" style="1" hidden="1" customWidth="1"/>
    <col min="14094" max="14336" width="9" style="1"/>
    <col min="14337" max="14337" width="4.88671875" style="1" customWidth="1"/>
    <col min="14338" max="14338" width="8.88671875" style="1" customWidth="1"/>
    <col min="14339" max="14339" width="16" style="1" customWidth="1"/>
    <col min="14340" max="14340" width="12.88671875" style="1" customWidth="1"/>
    <col min="14341" max="14341" width="9.33203125" style="1" customWidth="1"/>
    <col min="14342" max="14342" width="10.21875" style="1" customWidth="1"/>
    <col min="14343" max="14343" width="8.21875" style="1" customWidth="1"/>
    <col min="14344" max="14344" width="8" style="1" customWidth="1"/>
    <col min="14345" max="14349" width="0" style="1" hidden="1" customWidth="1"/>
    <col min="14350" max="14592" width="9" style="1"/>
    <col min="14593" max="14593" width="4.88671875" style="1" customWidth="1"/>
    <col min="14594" max="14594" width="8.88671875" style="1" customWidth="1"/>
    <col min="14595" max="14595" width="16" style="1" customWidth="1"/>
    <col min="14596" max="14596" width="12.88671875" style="1" customWidth="1"/>
    <col min="14597" max="14597" width="9.33203125" style="1" customWidth="1"/>
    <col min="14598" max="14598" width="10.21875" style="1" customWidth="1"/>
    <col min="14599" max="14599" width="8.21875" style="1" customWidth="1"/>
    <col min="14600" max="14600" width="8" style="1" customWidth="1"/>
    <col min="14601" max="14605" width="0" style="1" hidden="1" customWidth="1"/>
    <col min="14606" max="14848" width="9" style="1"/>
    <col min="14849" max="14849" width="4.88671875" style="1" customWidth="1"/>
    <col min="14850" max="14850" width="8.88671875" style="1" customWidth="1"/>
    <col min="14851" max="14851" width="16" style="1" customWidth="1"/>
    <col min="14852" max="14852" width="12.88671875" style="1" customWidth="1"/>
    <col min="14853" max="14853" width="9.33203125" style="1" customWidth="1"/>
    <col min="14854" max="14854" width="10.21875" style="1" customWidth="1"/>
    <col min="14855" max="14855" width="8.21875" style="1" customWidth="1"/>
    <col min="14856" max="14856" width="8" style="1" customWidth="1"/>
    <col min="14857" max="14861" width="0" style="1" hidden="1" customWidth="1"/>
    <col min="14862" max="15104" width="9" style="1"/>
    <col min="15105" max="15105" width="4.88671875" style="1" customWidth="1"/>
    <col min="15106" max="15106" width="8.88671875" style="1" customWidth="1"/>
    <col min="15107" max="15107" width="16" style="1" customWidth="1"/>
    <col min="15108" max="15108" width="12.88671875" style="1" customWidth="1"/>
    <col min="15109" max="15109" width="9.33203125" style="1" customWidth="1"/>
    <col min="15110" max="15110" width="10.21875" style="1" customWidth="1"/>
    <col min="15111" max="15111" width="8.21875" style="1" customWidth="1"/>
    <col min="15112" max="15112" width="8" style="1" customWidth="1"/>
    <col min="15113" max="15117" width="0" style="1" hidden="1" customWidth="1"/>
    <col min="15118" max="15360" width="9" style="1"/>
    <col min="15361" max="15361" width="4.88671875" style="1" customWidth="1"/>
    <col min="15362" max="15362" width="8.88671875" style="1" customWidth="1"/>
    <col min="15363" max="15363" width="16" style="1" customWidth="1"/>
    <col min="15364" max="15364" width="12.88671875" style="1" customWidth="1"/>
    <col min="15365" max="15365" width="9.33203125" style="1" customWidth="1"/>
    <col min="15366" max="15366" width="10.21875" style="1" customWidth="1"/>
    <col min="15367" max="15367" width="8.21875" style="1" customWidth="1"/>
    <col min="15368" max="15368" width="8" style="1" customWidth="1"/>
    <col min="15369" max="15373" width="0" style="1" hidden="1" customWidth="1"/>
    <col min="15374" max="15616" width="9" style="1"/>
    <col min="15617" max="15617" width="4.88671875" style="1" customWidth="1"/>
    <col min="15618" max="15618" width="8.88671875" style="1" customWidth="1"/>
    <col min="15619" max="15619" width="16" style="1" customWidth="1"/>
    <col min="15620" max="15620" width="12.88671875" style="1" customWidth="1"/>
    <col min="15621" max="15621" width="9.33203125" style="1" customWidth="1"/>
    <col min="15622" max="15622" width="10.21875" style="1" customWidth="1"/>
    <col min="15623" max="15623" width="8.21875" style="1" customWidth="1"/>
    <col min="15624" max="15624" width="8" style="1" customWidth="1"/>
    <col min="15625" max="15629" width="0" style="1" hidden="1" customWidth="1"/>
    <col min="15630" max="15872" width="9" style="1"/>
    <col min="15873" max="15873" width="4.88671875" style="1" customWidth="1"/>
    <col min="15874" max="15874" width="8.88671875" style="1" customWidth="1"/>
    <col min="15875" max="15875" width="16" style="1" customWidth="1"/>
    <col min="15876" max="15876" width="12.88671875" style="1" customWidth="1"/>
    <col min="15877" max="15877" width="9.33203125" style="1" customWidth="1"/>
    <col min="15878" max="15878" width="10.21875" style="1" customWidth="1"/>
    <col min="15879" max="15879" width="8.21875" style="1" customWidth="1"/>
    <col min="15880" max="15880" width="8" style="1" customWidth="1"/>
    <col min="15881" max="15885" width="0" style="1" hidden="1" customWidth="1"/>
    <col min="15886" max="16128" width="9" style="1"/>
    <col min="16129" max="16129" width="4.88671875" style="1" customWidth="1"/>
    <col min="16130" max="16130" width="8.88671875" style="1" customWidth="1"/>
    <col min="16131" max="16131" width="16" style="1" customWidth="1"/>
    <col min="16132" max="16132" width="12.88671875" style="1" customWidth="1"/>
    <col min="16133" max="16133" width="9.33203125" style="1" customWidth="1"/>
    <col min="16134" max="16134" width="10.21875" style="1" customWidth="1"/>
    <col min="16135" max="16135" width="8.21875" style="1" customWidth="1"/>
    <col min="16136" max="16136" width="8" style="1" customWidth="1"/>
    <col min="16137" max="16141" width="0" style="1" hidden="1" customWidth="1"/>
    <col min="16142" max="16384" width="9" style="1"/>
  </cols>
  <sheetData>
    <row r="1" spans="1:20" ht="33.75" customHeight="1" x14ac:dyDescent="0.25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  <row r="2" spans="1:20" ht="33.75" customHeight="1" x14ac:dyDescent="0.25">
      <c r="A2" s="116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20" ht="32.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3" t="s">
        <v>10</v>
      </c>
      <c r="J3" s="4" t="s">
        <v>11</v>
      </c>
      <c r="K3" s="5" t="s">
        <v>12</v>
      </c>
      <c r="L3" s="5" t="s">
        <v>13</v>
      </c>
      <c r="N3" s="2" t="s">
        <v>14</v>
      </c>
      <c r="Q3" s="101"/>
      <c r="R3" s="101" t="s">
        <v>410</v>
      </c>
      <c r="S3" s="101"/>
      <c r="T3" s="101"/>
    </row>
    <row r="4" spans="1:20" s="15" customFormat="1" ht="24.9" customHeight="1" x14ac:dyDescent="0.25">
      <c r="A4" s="6"/>
      <c r="B4" s="6" t="s">
        <v>15</v>
      </c>
      <c r="C4" s="7" t="s">
        <v>16</v>
      </c>
      <c r="D4" s="8" t="s">
        <v>17</v>
      </c>
      <c r="E4" s="6" t="s">
        <v>18</v>
      </c>
      <c r="F4" s="9">
        <v>43103</v>
      </c>
      <c r="G4" s="10">
        <v>15.5</v>
      </c>
      <c r="H4" s="11">
        <v>20.270800000000001</v>
      </c>
      <c r="I4" s="12">
        <f>H4*10000/G4</f>
        <v>13077.94</v>
      </c>
      <c r="J4" s="13">
        <f>44.29/G4</f>
        <v>2.86</v>
      </c>
      <c r="K4" s="14">
        <v>1.5049999999999999</v>
      </c>
      <c r="N4" s="16">
        <f>H4*10000/G4</f>
        <v>13077.94</v>
      </c>
      <c r="Q4" s="102" t="s">
        <v>4</v>
      </c>
      <c r="R4" s="103" t="s">
        <v>411</v>
      </c>
      <c r="S4" s="117"/>
      <c r="T4" s="117"/>
    </row>
    <row r="5" spans="1:20" s="24" customFormat="1" ht="24.9" customHeight="1" x14ac:dyDescent="0.25">
      <c r="A5" s="17"/>
      <c r="B5" s="17" t="s">
        <v>15</v>
      </c>
      <c r="C5" s="18" t="s">
        <v>19</v>
      </c>
      <c r="D5" s="19" t="s">
        <v>20</v>
      </c>
      <c r="E5" s="17" t="s">
        <v>21</v>
      </c>
      <c r="F5" s="20">
        <v>43076</v>
      </c>
      <c r="G5" s="21">
        <v>47586</v>
      </c>
      <c r="H5" s="22">
        <v>65500</v>
      </c>
      <c r="I5" s="23">
        <f t="shared" ref="I5:I68" si="0">H5*10000/G5</f>
        <v>13764.55</v>
      </c>
      <c r="J5" s="24" t="s">
        <v>22</v>
      </c>
      <c r="L5" s="25">
        <v>1.169</v>
      </c>
      <c r="N5" s="26">
        <f t="shared" ref="N5:N50" si="1">H5*10000/G5</f>
        <v>13764.55</v>
      </c>
      <c r="Q5" s="102" t="s">
        <v>412</v>
      </c>
      <c r="R5" s="113" t="s">
        <v>413</v>
      </c>
      <c r="S5" s="113"/>
      <c r="T5" s="113"/>
    </row>
    <row r="6" spans="1:20" ht="24.9" customHeight="1" x14ac:dyDescent="0.25">
      <c r="A6" s="27"/>
      <c r="B6" s="27" t="s">
        <v>15</v>
      </c>
      <c r="C6" s="28" t="s">
        <v>23</v>
      </c>
      <c r="D6" s="29" t="s">
        <v>24</v>
      </c>
      <c r="E6" s="27" t="s">
        <v>21</v>
      </c>
      <c r="F6" s="30">
        <v>43076</v>
      </c>
      <c r="G6" s="31">
        <v>122257</v>
      </c>
      <c r="H6" s="32">
        <v>170100</v>
      </c>
      <c r="I6" s="33">
        <f t="shared" si="0"/>
        <v>13913.31</v>
      </c>
      <c r="J6" s="1" t="s">
        <v>25</v>
      </c>
      <c r="L6" s="34">
        <v>1.169</v>
      </c>
      <c r="N6" s="35">
        <f t="shared" si="1"/>
        <v>13913.31</v>
      </c>
      <c r="Q6" s="102" t="s">
        <v>414</v>
      </c>
      <c r="R6" s="118" t="s">
        <v>133</v>
      </c>
      <c r="S6" s="118"/>
      <c r="T6" s="118"/>
    </row>
    <row r="7" spans="1:20" s="24" customFormat="1" ht="24.9" customHeight="1" x14ac:dyDescent="0.25">
      <c r="A7" s="17"/>
      <c r="B7" s="17" t="s">
        <v>15</v>
      </c>
      <c r="C7" s="18" t="s">
        <v>26</v>
      </c>
      <c r="D7" s="19" t="s">
        <v>27</v>
      </c>
      <c r="E7" s="17" t="s">
        <v>21</v>
      </c>
      <c r="F7" s="20">
        <v>43076</v>
      </c>
      <c r="G7" s="21">
        <v>42150</v>
      </c>
      <c r="H7" s="22">
        <v>34800</v>
      </c>
      <c r="I7" s="23">
        <f t="shared" si="0"/>
        <v>8256.23</v>
      </c>
      <c r="J7" s="24" t="s">
        <v>28</v>
      </c>
      <c r="L7" s="25">
        <v>0.83099999999999996</v>
      </c>
      <c r="N7" s="26">
        <f t="shared" si="1"/>
        <v>8256.23</v>
      </c>
      <c r="Q7" s="102" t="s">
        <v>415</v>
      </c>
      <c r="R7" s="104">
        <v>42405</v>
      </c>
      <c r="S7" s="102" t="s">
        <v>416</v>
      </c>
      <c r="T7" s="104">
        <v>42414</v>
      </c>
    </row>
    <row r="8" spans="1:20" s="24" customFormat="1" ht="24.9" customHeight="1" x14ac:dyDescent="0.25">
      <c r="A8" s="17"/>
      <c r="B8" s="17" t="s">
        <v>15</v>
      </c>
      <c r="C8" s="18" t="s">
        <v>29</v>
      </c>
      <c r="D8" s="19" t="s">
        <v>30</v>
      </c>
      <c r="E8" s="17" t="s">
        <v>21</v>
      </c>
      <c r="F8" s="20">
        <v>43076</v>
      </c>
      <c r="G8" s="21">
        <v>112726</v>
      </c>
      <c r="H8" s="22">
        <v>120100</v>
      </c>
      <c r="I8" s="23">
        <f t="shared" si="0"/>
        <v>10654.15</v>
      </c>
      <c r="J8" s="24" t="s">
        <v>31</v>
      </c>
      <c r="L8" s="25">
        <v>1.2250000000000001</v>
      </c>
      <c r="N8" s="26">
        <f t="shared" si="1"/>
        <v>10654.15</v>
      </c>
      <c r="Q8" s="102" t="s">
        <v>417</v>
      </c>
      <c r="R8" s="105" t="s">
        <v>15</v>
      </c>
      <c r="S8" s="102" t="s">
        <v>418</v>
      </c>
      <c r="T8" s="105">
        <v>710</v>
      </c>
    </row>
    <row r="9" spans="1:20" ht="24.9" customHeight="1" x14ac:dyDescent="0.25">
      <c r="A9" s="27"/>
      <c r="B9" s="27" t="s">
        <v>15</v>
      </c>
      <c r="C9" s="28" t="s">
        <v>32</v>
      </c>
      <c r="D9" s="29" t="s">
        <v>33</v>
      </c>
      <c r="E9" s="27" t="s">
        <v>18</v>
      </c>
      <c r="F9" s="30">
        <v>42943</v>
      </c>
      <c r="G9" s="31">
        <v>17217</v>
      </c>
      <c r="H9" s="32">
        <v>4800</v>
      </c>
      <c r="I9" s="33">
        <f t="shared" si="0"/>
        <v>2787.94</v>
      </c>
      <c r="J9" s="1" t="s">
        <v>34</v>
      </c>
      <c r="K9" s="34">
        <v>1.514</v>
      </c>
      <c r="N9" s="35">
        <f t="shared" si="1"/>
        <v>2787.94</v>
      </c>
      <c r="Q9" s="102" t="s">
        <v>419</v>
      </c>
      <c r="R9" s="105"/>
      <c r="S9" s="102" t="s">
        <v>420</v>
      </c>
      <c r="T9" s="105" t="s">
        <v>18</v>
      </c>
    </row>
    <row r="10" spans="1:20" ht="24.9" customHeight="1" x14ac:dyDescent="0.25">
      <c r="A10" s="27"/>
      <c r="B10" s="27" t="s">
        <v>15</v>
      </c>
      <c r="C10" s="28" t="s">
        <v>35</v>
      </c>
      <c r="D10" s="29" t="s">
        <v>36</v>
      </c>
      <c r="E10" s="27" t="s">
        <v>18</v>
      </c>
      <c r="F10" s="30">
        <v>42943</v>
      </c>
      <c r="G10" s="31">
        <v>35621</v>
      </c>
      <c r="H10" s="32">
        <v>9600</v>
      </c>
      <c r="I10" s="33">
        <f t="shared" si="0"/>
        <v>2695.04</v>
      </c>
      <c r="J10" s="1" t="s">
        <v>37</v>
      </c>
      <c r="K10" s="34">
        <v>1.514</v>
      </c>
      <c r="N10" s="35">
        <f t="shared" si="1"/>
        <v>2695.04</v>
      </c>
      <c r="Q10" s="102" t="s">
        <v>421</v>
      </c>
      <c r="R10" s="105">
        <v>40</v>
      </c>
      <c r="S10" s="102" t="s">
        <v>346</v>
      </c>
      <c r="T10" s="105" t="s">
        <v>422</v>
      </c>
    </row>
    <row r="11" spans="1:20" ht="24.9" customHeight="1" x14ac:dyDescent="0.25">
      <c r="A11" s="27"/>
      <c r="B11" s="27" t="s">
        <v>15</v>
      </c>
      <c r="C11" s="28" t="s">
        <v>38</v>
      </c>
      <c r="D11" s="29" t="s">
        <v>39</v>
      </c>
      <c r="E11" s="27" t="s">
        <v>40</v>
      </c>
      <c r="F11" s="30">
        <v>42916</v>
      </c>
      <c r="G11" s="31">
        <v>57099</v>
      </c>
      <c r="H11" s="32">
        <v>60400</v>
      </c>
      <c r="I11" s="33">
        <f t="shared" si="0"/>
        <v>10578.12</v>
      </c>
      <c r="J11" s="1" t="s">
        <v>41</v>
      </c>
      <c r="K11" s="34">
        <v>1.2529999999999999</v>
      </c>
      <c r="L11" s="34">
        <v>1.113</v>
      </c>
      <c r="N11" s="35">
        <f t="shared" si="1"/>
        <v>10578.12</v>
      </c>
      <c r="Q11" s="102" t="s">
        <v>423</v>
      </c>
      <c r="R11" s="105">
        <v>560</v>
      </c>
      <c r="S11" s="102" t="s">
        <v>424</v>
      </c>
      <c r="T11" s="105">
        <v>600</v>
      </c>
    </row>
    <row r="12" spans="1:20" ht="24.9" customHeight="1" x14ac:dyDescent="0.25">
      <c r="A12" s="27"/>
      <c r="B12" s="27" t="s">
        <v>15</v>
      </c>
      <c r="C12" s="28" t="s">
        <v>42</v>
      </c>
      <c r="D12" s="29" t="s">
        <v>43</v>
      </c>
      <c r="E12" s="27" t="s">
        <v>21</v>
      </c>
      <c r="F12" s="30">
        <v>42916</v>
      </c>
      <c r="G12" s="31">
        <v>77609</v>
      </c>
      <c r="H12" s="32">
        <v>94400</v>
      </c>
      <c r="I12" s="33">
        <f t="shared" si="0"/>
        <v>12163.54</v>
      </c>
      <c r="J12" s="1" t="s">
        <v>44</v>
      </c>
      <c r="L12" s="34">
        <v>1.3919999999999999</v>
      </c>
      <c r="N12" s="35">
        <f t="shared" si="1"/>
        <v>12163.54</v>
      </c>
      <c r="Q12" s="102" t="s">
        <v>425</v>
      </c>
      <c r="R12" s="105" t="s">
        <v>426</v>
      </c>
      <c r="S12" s="102" t="s">
        <v>7</v>
      </c>
      <c r="T12" s="104">
        <v>42404</v>
      </c>
    </row>
    <row r="13" spans="1:20" ht="24.9" customHeight="1" x14ac:dyDescent="0.25">
      <c r="A13" s="27"/>
      <c r="B13" s="27" t="s">
        <v>15</v>
      </c>
      <c r="C13" s="28" t="s">
        <v>45</v>
      </c>
      <c r="D13" s="29" t="s">
        <v>46</v>
      </c>
      <c r="E13" s="27" t="s">
        <v>21</v>
      </c>
      <c r="F13" s="30">
        <v>42916</v>
      </c>
      <c r="G13" s="31">
        <v>56724</v>
      </c>
      <c r="H13" s="32">
        <v>66400</v>
      </c>
      <c r="I13" s="33">
        <f t="shared" si="0"/>
        <v>11705.8</v>
      </c>
      <c r="J13" s="1" t="s">
        <v>47</v>
      </c>
      <c r="L13" s="34">
        <v>1.3360000000000001</v>
      </c>
      <c r="N13" s="35">
        <f t="shared" si="1"/>
        <v>11705.8</v>
      </c>
      <c r="Q13" s="106"/>
      <c r="R13" s="107"/>
      <c r="S13" s="106"/>
      <c r="T13" s="108"/>
    </row>
    <row r="14" spans="1:20" s="15" customFormat="1" ht="24.9" customHeight="1" x14ac:dyDescent="0.25">
      <c r="A14" s="6"/>
      <c r="B14" s="6" t="s">
        <v>15</v>
      </c>
      <c r="C14" s="7" t="s">
        <v>48</v>
      </c>
      <c r="D14" s="8" t="s">
        <v>49</v>
      </c>
      <c r="E14" s="6" t="s">
        <v>18</v>
      </c>
      <c r="F14" s="9">
        <v>42908</v>
      </c>
      <c r="G14" s="10">
        <v>2943</v>
      </c>
      <c r="H14" s="11">
        <v>2600</v>
      </c>
      <c r="I14" s="12">
        <f t="shared" si="0"/>
        <v>8834.52</v>
      </c>
      <c r="J14" s="15" t="s">
        <v>50</v>
      </c>
      <c r="K14" s="15">
        <v>1.1379999999999999</v>
      </c>
      <c r="N14" s="36">
        <f t="shared" si="1"/>
        <v>8834.52</v>
      </c>
      <c r="Q14" s="101"/>
      <c r="R14" s="101" t="s">
        <v>427</v>
      </c>
      <c r="S14" s="101"/>
      <c r="T14" s="101"/>
    </row>
    <row r="15" spans="1:20" ht="24.9" customHeight="1" x14ac:dyDescent="0.25">
      <c r="A15" s="27"/>
      <c r="B15" s="27" t="s">
        <v>15</v>
      </c>
      <c r="C15" s="28" t="s">
        <v>51</v>
      </c>
      <c r="D15" s="29" t="s">
        <v>52</v>
      </c>
      <c r="E15" s="27" t="s">
        <v>21</v>
      </c>
      <c r="F15" s="30">
        <v>42858</v>
      </c>
      <c r="G15" s="31">
        <v>463.8</v>
      </c>
      <c r="H15" s="32">
        <v>51.02</v>
      </c>
      <c r="I15" s="33">
        <f t="shared" si="0"/>
        <v>1100.04</v>
      </c>
      <c r="N15" s="35">
        <f t="shared" si="1"/>
        <v>1100.04</v>
      </c>
      <c r="Q15" s="109" t="s">
        <v>4</v>
      </c>
      <c r="R15" s="110" t="s">
        <v>48</v>
      </c>
      <c r="S15" s="111"/>
      <c r="T15" s="111"/>
    </row>
    <row r="16" spans="1:20" s="15" customFormat="1" ht="24.9" customHeight="1" x14ac:dyDescent="0.25">
      <c r="A16" s="6"/>
      <c r="B16" s="6" t="s">
        <v>15</v>
      </c>
      <c r="C16" s="7" t="s">
        <v>53</v>
      </c>
      <c r="D16" s="8" t="s">
        <v>54</v>
      </c>
      <c r="E16" s="6" t="s">
        <v>18</v>
      </c>
      <c r="F16" s="9">
        <v>42852</v>
      </c>
      <c r="G16" s="10">
        <v>1507</v>
      </c>
      <c r="H16" s="11">
        <v>1280</v>
      </c>
      <c r="I16" s="12">
        <f t="shared" si="0"/>
        <v>8493.7000000000007</v>
      </c>
      <c r="J16" s="15" t="s">
        <v>55</v>
      </c>
      <c r="K16" s="15">
        <v>1.3480000000000001</v>
      </c>
      <c r="N16" s="36">
        <f t="shared" si="1"/>
        <v>8493.7000000000007</v>
      </c>
      <c r="Q16" s="109" t="s">
        <v>412</v>
      </c>
      <c r="R16" s="113" t="s">
        <v>428</v>
      </c>
      <c r="S16" s="113"/>
      <c r="T16" s="113"/>
    </row>
    <row r="17" spans="1:20" ht="24.9" customHeight="1" x14ac:dyDescent="0.25">
      <c r="A17" s="27"/>
      <c r="B17" s="27" t="s">
        <v>15</v>
      </c>
      <c r="C17" s="28" t="s">
        <v>56</v>
      </c>
      <c r="D17" s="29" t="s">
        <v>57</v>
      </c>
      <c r="E17" s="27" t="s">
        <v>18</v>
      </c>
      <c r="F17" s="30">
        <v>42747</v>
      </c>
      <c r="G17" s="31">
        <v>9248</v>
      </c>
      <c r="H17" s="32">
        <v>2500</v>
      </c>
      <c r="I17" s="33">
        <f t="shared" si="0"/>
        <v>2703.29</v>
      </c>
      <c r="J17" s="1" t="s">
        <v>58</v>
      </c>
      <c r="K17" s="34">
        <v>1.514</v>
      </c>
      <c r="N17" s="35">
        <f t="shared" si="1"/>
        <v>2703.29</v>
      </c>
      <c r="Q17" s="109" t="s">
        <v>414</v>
      </c>
      <c r="R17" s="114" t="s">
        <v>429</v>
      </c>
      <c r="S17" s="114"/>
      <c r="T17" s="114"/>
    </row>
    <row r="18" spans="1:20" ht="24.9" customHeight="1" x14ac:dyDescent="0.25">
      <c r="A18" s="27"/>
      <c r="B18" s="27" t="s">
        <v>15</v>
      </c>
      <c r="C18" s="28" t="s">
        <v>59</v>
      </c>
      <c r="D18" s="29" t="s">
        <v>60</v>
      </c>
      <c r="E18" s="27" t="s">
        <v>40</v>
      </c>
      <c r="F18" s="30">
        <v>42733</v>
      </c>
      <c r="G18" s="31">
        <v>32122</v>
      </c>
      <c r="H18" s="32">
        <v>14700</v>
      </c>
      <c r="I18" s="33">
        <f t="shared" si="0"/>
        <v>4576.3</v>
      </c>
      <c r="J18" s="1" t="s">
        <v>61</v>
      </c>
      <c r="K18" s="34">
        <v>1.2170000000000001</v>
      </c>
      <c r="L18" s="34">
        <v>1.0569999999999999</v>
      </c>
      <c r="N18" s="35">
        <f t="shared" si="1"/>
        <v>4576.3</v>
      </c>
      <c r="Q18" s="109" t="s">
        <v>415</v>
      </c>
      <c r="R18" s="104">
        <v>42913</v>
      </c>
      <c r="S18" s="102" t="s">
        <v>416</v>
      </c>
      <c r="T18" s="105"/>
    </row>
    <row r="19" spans="1:20" ht="24.9" customHeight="1" x14ac:dyDescent="0.25">
      <c r="A19" s="27"/>
      <c r="B19" s="27" t="s">
        <v>15</v>
      </c>
      <c r="C19" s="28" t="s">
        <v>62</v>
      </c>
      <c r="D19" s="29" t="s">
        <v>63</v>
      </c>
      <c r="E19" s="27" t="s">
        <v>40</v>
      </c>
      <c r="F19" s="30">
        <v>42733</v>
      </c>
      <c r="G19" s="31">
        <v>95526</v>
      </c>
      <c r="H19" s="32">
        <v>47200</v>
      </c>
      <c r="I19" s="33">
        <f t="shared" si="0"/>
        <v>4941.0600000000004</v>
      </c>
      <c r="J19" s="1" t="s">
        <v>64</v>
      </c>
      <c r="K19" s="34">
        <v>1.1379999999999999</v>
      </c>
      <c r="L19" s="34">
        <v>0.94399999999999995</v>
      </c>
      <c r="N19" s="35">
        <f t="shared" si="1"/>
        <v>4941.0600000000004</v>
      </c>
      <c r="Q19" s="109" t="s">
        <v>417</v>
      </c>
      <c r="R19" s="105" t="s">
        <v>15</v>
      </c>
      <c r="S19" s="102" t="s">
        <v>418</v>
      </c>
      <c r="T19" s="105">
        <v>2943</v>
      </c>
    </row>
    <row r="20" spans="1:20" ht="24.9" customHeight="1" x14ac:dyDescent="0.25">
      <c r="A20" s="27"/>
      <c r="B20" s="27" t="s">
        <v>15</v>
      </c>
      <c r="C20" s="28" t="s">
        <v>65</v>
      </c>
      <c r="D20" s="29" t="s">
        <v>66</v>
      </c>
      <c r="E20" s="27" t="s">
        <v>40</v>
      </c>
      <c r="F20" s="30">
        <v>42733</v>
      </c>
      <c r="G20" s="31">
        <v>52394</v>
      </c>
      <c r="H20" s="32">
        <v>21300</v>
      </c>
      <c r="I20" s="33">
        <f t="shared" si="0"/>
        <v>4065.35</v>
      </c>
      <c r="J20" s="1" t="s">
        <v>67</v>
      </c>
      <c r="K20" s="34">
        <v>1.0940000000000001</v>
      </c>
      <c r="L20" s="34">
        <v>0.88800000000000001</v>
      </c>
      <c r="N20" s="35">
        <f t="shared" si="1"/>
        <v>4065.35</v>
      </c>
      <c r="Q20" s="109" t="s">
        <v>419</v>
      </c>
      <c r="R20" s="105"/>
      <c r="S20" s="102" t="s">
        <v>420</v>
      </c>
      <c r="T20" s="105" t="s">
        <v>18</v>
      </c>
    </row>
    <row r="21" spans="1:20" ht="24.9" customHeight="1" x14ac:dyDescent="0.25">
      <c r="A21" s="27"/>
      <c r="B21" s="27" t="s">
        <v>15</v>
      </c>
      <c r="C21" s="28" t="s">
        <v>68</v>
      </c>
      <c r="D21" s="29" t="s">
        <v>69</v>
      </c>
      <c r="E21" s="27" t="s">
        <v>40</v>
      </c>
      <c r="F21" s="30">
        <v>42733</v>
      </c>
      <c r="G21" s="31">
        <v>71613</v>
      </c>
      <c r="H21" s="32">
        <v>11700</v>
      </c>
      <c r="I21" s="33">
        <f t="shared" si="0"/>
        <v>1633.78</v>
      </c>
      <c r="J21" s="1" t="s">
        <v>25</v>
      </c>
      <c r="K21" s="34">
        <v>1.2869999999999999</v>
      </c>
      <c r="L21" s="34">
        <v>1.169</v>
      </c>
      <c r="N21" s="35">
        <f t="shared" si="1"/>
        <v>1633.78</v>
      </c>
      <c r="Q21" s="109" t="s">
        <v>421</v>
      </c>
      <c r="R21" s="105">
        <v>40</v>
      </c>
      <c r="S21" s="102" t="s">
        <v>346</v>
      </c>
      <c r="T21" s="105" t="s">
        <v>422</v>
      </c>
    </row>
    <row r="22" spans="1:20" ht="24.9" customHeight="1" x14ac:dyDescent="0.25">
      <c r="A22" s="27"/>
      <c r="B22" s="27" t="s">
        <v>15</v>
      </c>
      <c r="C22" s="28" t="s">
        <v>70</v>
      </c>
      <c r="D22" s="29" t="s">
        <v>71</v>
      </c>
      <c r="E22" s="27" t="s">
        <v>18</v>
      </c>
      <c r="F22" s="30">
        <v>42730</v>
      </c>
      <c r="G22" s="31">
        <v>97.8</v>
      </c>
      <c r="H22" s="32">
        <v>34.2363</v>
      </c>
      <c r="I22" s="33">
        <f t="shared" si="0"/>
        <v>3500.64</v>
      </c>
      <c r="N22" s="35">
        <f t="shared" si="1"/>
        <v>3500.64</v>
      </c>
      <c r="Q22" s="109" t="s">
        <v>423</v>
      </c>
      <c r="R22" s="105">
        <v>2400</v>
      </c>
      <c r="S22" s="102" t="s">
        <v>424</v>
      </c>
      <c r="T22" s="105">
        <v>2600</v>
      </c>
    </row>
    <row r="23" spans="1:20" ht="24.9" customHeight="1" x14ac:dyDescent="0.25">
      <c r="A23" s="27"/>
      <c r="B23" s="27" t="s">
        <v>15</v>
      </c>
      <c r="C23" s="28" t="s">
        <v>72</v>
      </c>
      <c r="D23" s="29" t="s">
        <v>73</v>
      </c>
      <c r="E23" s="27" t="s">
        <v>18</v>
      </c>
      <c r="F23" s="30">
        <v>42726</v>
      </c>
      <c r="G23" s="31">
        <v>97720</v>
      </c>
      <c r="H23" s="32">
        <v>19000</v>
      </c>
      <c r="I23" s="33">
        <f t="shared" si="0"/>
        <v>1944.33</v>
      </c>
      <c r="J23" s="1" t="s">
        <v>74</v>
      </c>
      <c r="K23" s="1">
        <v>1.024</v>
      </c>
      <c r="N23" s="35">
        <f t="shared" si="1"/>
        <v>1944.33</v>
      </c>
      <c r="Q23" s="109" t="s">
        <v>425</v>
      </c>
      <c r="R23" s="105" t="s">
        <v>430</v>
      </c>
      <c r="S23" s="102" t="s">
        <v>7</v>
      </c>
      <c r="T23" s="104">
        <v>42908</v>
      </c>
    </row>
    <row r="24" spans="1:20" ht="24.9" customHeight="1" x14ac:dyDescent="0.25">
      <c r="A24" s="27"/>
      <c r="B24" s="27" t="s">
        <v>15</v>
      </c>
      <c r="C24" s="28" t="s">
        <v>75</v>
      </c>
      <c r="D24" s="29" t="s">
        <v>76</v>
      </c>
      <c r="E24" s="27" t="s">
        <v>18</v>
      </c>
      <c r="F24" s="30">
        <v>42712</v>
      </c>
      <c r="G24" s="31">
        <v>26740</v>
      </c>
      <c r="H24" s="32">
        <v>7600</v>
      </c>
      <c r="I24" s="33">
        <f t="shared" si="0"/>
        <v>2842.18</v>
      </c>
      <c r="J24" s="1" t="s">
        <v>77</v>
      </c>
      <c r="K24" s="34">
        <v>1.4750000000000001</v>
      </c>
      <c r="N24" s="35">
        <f t="shared" si="1"/>
        <v>2842.18</v>
      </c>
      <c r="Q24" s="112"/>
      <c r="R24" s="107"/>
      <c r="S24" s="106"/>
      <c r="T24" s="108"/>
    </row>
    <row r="25" spans="1:20" ht="24.9" customHeight="1" x14ac:dyDescent="0.25">
      <c r="A25" s="27"/>
      <c r="B25" s="27" t="s">
        <v>15</v>
      </c>
      <c r="C25" s="28" t="s">
        <v>78</v>
      </c>
      <c r="D25" s="29" t="s">
        <v>79</v>
      </c>
      <c r="E25" s="27" t="s">
        <v>21</v>
      </c>
      <c r="F25" s="30">
        <v>42712</v>
      </c>
      <c r="G25" s="31">
        <v>58082</v>
      </c>
      <c r="H25" s="32">
        <v>19900</v>
      </c>
      <c r="I25" s="33">
        <f t="shared" si="0"/>
        <v>3426.19</v>
      </c>
      <c r="J25" s="1" t="s">
        <v>80</v>
      </c>
      <c r="L25" s="34">
        <v>0.83099999999999996</v>
      </c>
      <c r="N25" s="35">
        <f t="shared" si="1"/>
        <v>3426.19</v>
      </c>
      <c r="Q25" s="101"/>
      <c r="R25" s="101" t="s">
        <v>431</v>
      </c>
      <c r="S25" s="101"/>
      <c r="T25" s="101"/>
    </row>
    <row r="26" spans="1:20" ht="24.9" customHeight="1" x14ac:dyDescent="0.25">
      <c r="A26" s="27"/>
      <c r="B26" s="27" t="s">
        <v>15</v>
      </c>
      <c r="C26" s="28" t="s">
        <v>81</v>
      </c>
      <c r="D26" s="29" t="s">
        <v>82</v>
      </c>
      <c r="E26" s="27" t="s">
        <v>18</v>
      </c>
      <c r="F26" s="30">
        <v>42705</v>
      </c>
      <c r="G26" s="31">
        <v>54652</v>
      </c>
      <c r="H26" s="32">
        <v>8300</v>
      </c>
      <c r="I26" s="33">
        <f t="shared" si="0"/>
        <v>1518.7</v>
      </c>
      <c r="J26" s="1" t="s">
        <v>83</v>
      </c>
      <c r="K26" s="34">
        <v>0.72499999999999998</v>
      </c>
      <c r="N26" s="35">
        <f t="shared" si="1"/>
        <v>1518.7</v>
      </c>
      <c r="Q26" s="109" t="s">
        <v>4</v>
      </c>
      <c r="R26" s="110" t="s">
        <v>432</v>
      </c>
      <c r="S26" s="111"/>
      <c r="T26" s="111"/>
    </row>
    <row r="27" spans="1:20" ht="24.9" customHeight="1" x14ac:dyDescent="0.25">
      <c r="A27" s="27"/>
      <c r="B27" s="27" t="s">
        <v>15</v>
      </c>
      <c r="C27" s="28" t="s">
        <v>84</v>
      </c>
      <c r="D27" s="29" t="s">
        <v>85</v>
      </c>
      <c r="E27" s="27" t="s">
        <v>21</v>
      </c>
      <c r="F27" s="30">
        <v>42705</v>
      </c>
      <c r="G27" s="31">
        <v>122113</v>
      </c>
      <c r="H27" s="32">
        <v>33200</v>
      </c>
      <c r="I27" s="33">
        <f t="shared" si="0"/>
        <v>2718.79</v>
      </c>
      <c r="J27" s="1" t="s">
        <v>86</v>
      </c>
      <c r="L27" s="34">
        <v>1.0569999999999999</v>
      </c>
      <c r="N27" s="35">
        <f t="shared" si="1"/>
        <v>2718.79</v>
      </c>
      <c r="Q27" s="109" t="s">
        <v>412</v>
      </c>
      <c r="R27" s="113" t="s">
        <v>433</v>
      </c>
      <c r="S27" s="113"/>
      <c r="T27" s="113"/>
    </row>
    <row r="28" spans="1:20" ht="24.9" customHeight="1" x14ac:dyDescent="0.25">
      <c r="A28" s="27"/>
      <c r="B28" s="27" t="s">
        <v>15</v>
      </c>
      <c r="C28" s="28" t="s">
        <v>87</v>
      </c>
      <c r="D28" s="29" t="s">
        <v>88</v>
      </c>
      <c r="E28" s="27" t="s">
        <v>18</v>
      </c>
      <c r="F28" s="30">
        <v>42643</v>
      </c>
      <c r="G28" s="31">
        <v>87</v>
      </c>
      <c r="H28" s="32">
        <v>52.194800000000001</v>
      </c>
      <c r="I28" s="33">
        <f t="shared" si="0"/>
        <v>5999.4</v>
      </c>
      <c r="N28" s="35">
        <f t="shared" si="1"/>
        <v>5999.4</v>
      </c>
      <c r="Q28" s="109" t="s">
        <v>414</v>
      </c>
      <c r="R28" s="114" t="s">
        <v>434</v>
      </c>
      <c r="S28" s="114"/>
      <c r="T28" s="114"/>
    </row>
    <row r="29" spans="1:20" ht="24.9" customHeight="1" x14ac:dyDescent="0.25">
      <c r="A29" s="27"/>
      <c r="B29" s="27" t="s">
        <v>15</v>
      </c>
      <c r="C29" s="28" t="s">
        <v>89</v>
      </c>
      <c r="D29" s="29" t="s">
        <v>90</v>
      </c>
      <c r="E29" s="27" t="s">
        <v>18</v>
      </c>
      <c r="F29" s="30">
        <v>42635</v>
      </c>
      <c r="G29" s="31">
        <v>3450</v>
      </c>
      <c r="H29" s="32">
        <v>640</v>
      </c>
      <c r="I29" s="33">
        <f t="shared" si="0"/>
        <v>1855.07</v>
      </c>
      <c r="J29" s="1" t="s">
        <v>91</v>
      </c>
      <c r="K29" s="34">
        <v>0.84199999999999997</v>
      </c>
      <c r="N29" s="35">
        <f t="shared" si="1"/>
        <v>1855.07</v>
      </c>
      <c r="Q29" s="109" t="s">
        <v>415</v>
      </c>
      <c r="R29" s="104">
        <v>42854</v>
      </c>
      <c r="S29" s="102" t="s">
        <v>416</v>
      </c>
      <c r="T29" s="105"/>
    </row>
    <row r="30" spans="1:20" ht="24.9" customHeight="1" x14ac:dyDescent="0.25">
      <c r="A30" s="27"/>
      <c r="B30" s="27" t="s">
        <v>15</v>
      </c>
      <c r="C30" s="28" t="s">
        <v>92</v>
      </c>
      <c r="D30" s="29" t="s">
        <v>93</v>
      </c>
      <c r="E30" s="27" t="s">
        <v>18</v>
      </c>
      <c r="F30" s="30">
        <v>42618</v>
      </c>
      <c r="G30" s="31">
        <v>8.0299999999999994</v>
      </c>
      <c r="H30" s="32">
        <v>19.218299999999999</v>
      </c>
      <c r="I30" s="33">
        <f t="shared" si="0"/>
        <v>23933.13</v>
      </c>
      <c r="N30" s="35">
        <f t="shared" si="1"/>
        <v>23933.13</v>
      </c>
      <c r="Q30" s="109" t="s">
        <v>417</v>
      </c>
      <c r="R30" s="105" t="s">
        <v>15</v>
      </c>
      <c r="S30" s="102" t="s">
        <v>418</v>
      </c>
      <c r="T30" s="105">
        <v>1507</v>
      </c>
    </row>
    <row r="31" spans="1:20" ht="24.9" customHeight="1" x14ac:dyDescent="0.25">
      <c r="A31" s="27"/>
      <c r="B31" s="27" t="s">
        <v>15</v>
      </c>
      <c r="C31" s="28" t="s">
        <v>94</v>
      </c>
      <c r="D31" s="29" t="s">
        <v>95</v>
      </c>
      <c r="E31" s="27" t="s">
        <v>18</v>
      </c>
      <c r="F31" s="30">
        <v>42600</v>
      </c>
      <c r="G31" s="31">
        <v>6237</v>
      </c>
      <c r="H31" s="32">
        <v>880</v>
      </c>
      <c r="I31" s="33">
        <f t="shared" si="0"/>
        <v>1410.93</v>
      </c>
      <c r="J31" s="1" t="s">
        <v>96</v>
      </c>
      <c r="K31" s="1">
        <v>0.59799999999999998</v>
      </c>
      <c r="N31" s="35">
        <f t="shared" si="1"/>
        <v>1410.93</v>
      </c>
      <c r="Q31" s="109" t="s">
        <v>419</v>
      </c>
      <c r="R31" s="105"/>
      <c r="S31" s="102" t="s">
        <v>420</v>
      </c>
      <c r="T31" s="105" t="s">
        <v>18</v>
      </c>
    </row>
    <row r="32" spans="1:20" ht="24.9" customHeight="1" x14ac:dyDescent="0.25">
      <c r="A32" s="27"/>
      <c r="B32" s="27" t="s">
        <v>15</v>
      </c>
      <c r="C32" s="28" t="s">
        <v>97</v>
      </c>
      <c r="D32" s="29" t="s">
        <v>98</v>
      </c>
      <c r="E32" s="27" t="s">
        <v>18</v>
      </c>
      <c r="F32" s="30">
        <v>42593</v>
      </c>
      <c r="G32" s="31">
        <v>7702</v>
      </c>
      <c r="H32" s="32">
        <v>2650</v>
      </c>
      <c r="I32" s="33">
        <f t="shared" si="0"/>
        <v>3440.66</v>
      </c>
      <c r="J32" s="1" t="s">
        <v>99</v>
      </c>
      <c r="K32" s="34">
        <v>1.4419999999999999</v>
      </c>
      <c r="N32" s="35">
        <f t="shared" si="1"/>
        <v>3440.66</v>
      </c>
      <c r="Q32" s="109" t="s">
        <v>421</v>
      </c>
      <c r="R32" s="105">
        <v>40</v>
      </c>
      <c r="S32" s="102" t="s">
        <v>346</v>
      </c>
      <c r="T32" s="105" t="s">
        <v>422</v>
      </c>
    </row>
    <row r="33" spans="1:20" ht="24.9" customHeight="1" x14ac:dyDescent="0.25">
      <c r="A33" s="27"/>
      <c r="B33" s="27" t="s">
        <v>15</v>
      </c>
      <c r="C33" s="28" t="s">
        <v>100</v>
      </c>
      <c r="D33" s="29" t="s">
        <v>101</v>
      </c>
      <c r="E33" s="27" t="s">
        <v>40</v>
      </c>
      <c r="F33" s="30">
        <v>42572</v>
      </c>
      <c r="G33" s="31">
        <v>82170</v>
      </c>
      <c r="H33" s="32">
        <v>24100</v>
      </c>
      <c r="I33" s="33">
        <f t="shared" si="0"/>
        <v>2932.94</v>
      </c>
      <c r="J33" s="1" t="s">
        <v>102</v>
      </c>
      <c r="K33" s="34">
        <v>1.0940000000000001</v>
      </c>
      <c r="L33" s="34">
        <v>0.88800000000000001</v>
      </c>
      <c r="N33" s="35">
        <f t="shared" si="1"/>
        <v>2932.94</v>
      </c>
      <c r="Q33" s="109" t="s">
        <v>423</v>
      </c>
      <c r="R33" s="105">
        <v>1220</v>
      </c>
      <c r="S33" s="102" t="s">
        <v>424</v>
      </c>
      <c r="T33" s="105">
        <v>1280</v>
      </c>
    </row>
    <row r="34" spans="1:20" ht="24.9" customHeight="1" x14ac:dyDescent="0.25">
      <c r="A34" s="27"/>
      <c r="B34" s="27" t="s">
        <v>15</v>
      </c>
      <c r="C34" s="28" t="s">
        <v>103</v>
      </c>
      <c r="D34" s="29" t="s">
        <v>104</v>
      </c>
      <c r="E34" s="27" t="s">
        <v>40</v>
      </c>
      <c r="F34" s="30">
        <v>42565</v>
      </c>
      <c r="G34" s="31">
        <v>74170</v>
      </c>
      <c r="H34" s="32">
        <v>2700</v>
      </c>
      <c r="I34" s="33">
        <f t="shared" si="0"/>
        <v>364.03</v>
      </c>
      <c r="J34" s="1" t="s">
        <v>44</v>
      </c>
      <c r="K34" s="34">
        <v>1.4</v>
      </c>
      <c r="L34" s="34">
        <v>1.3919999999999999</v>
      </c>
      <c r="N34" s="35">
        <f t="shared" si="1"/>
        <v>364.03</v>
      </c>
      <c r="Q34" s="109" t="s">
        <v>425</v>
      </c>
      <c r="R34" s="105" t="s">
        <v>435</v>
      </c>
      <c r="S34" s="102" t="s">
        <v>7</v>
      </c>
      <c r="T34" s="104">
        <v>42852</v>
      </c>
    </row>
    <row r="35" spans="1:20" ht="24.9" customHeight="1" x14ac:dyDescent="0.25">
      <c r="A35" s="27"/>
      <c r="B35" s="27" t="s">
        <v>15</v>
      </c>
      <c r="C35" s="28" t="s">
        <v>105</v>
      </c>
      <c r="D35" s="29" t="s">
        <v>106</v>
      </c>
      <c r="E35" s="27" t="s">
        <v>18</v>
      </c>
      <c r="F35" s="30">
        <v>42538</v>
      </c>
      <c r="G35" s="31">
        <v>40.58</v>
      </c>
      <c r="H35" s="32">
        <v>93.468400000000003</v>
      </c>
      <c r="I35" s="33">
        <f t="shared" si="0"/>
        <v>23033.119999999999</v>
      </c>
      <c r="N35" s="35">
        <f t="shared" si="1"/>
        <v>23033.119999999999</v>
      </c>
    </row>
    <row r="36" spans="1:20" ht="24.9" customHeight="1" x14ac:dyDescent="0.25">
      <c r="A36" s="27"/>
      <c r="B36" s="27" t="s">
        <v>15</v>
      </c>
      <c r="C36" s="28" t="s">
        <v>107</v>
      </c>
      <c r="D36" s="29" t="s">
        <v>108</v>
      </c>
      <c r="E36" s="27" t="s">
        <v>21</v>
      </c>
      <c r="F36" s="30">
        <v>42495</v>
      </c>
      <c r="G36" s="31">
        <v>26218</v>
      </c>
      <c r="H36" s="32">
        <v>11700</v>
      </c>
      <c r="I36" s="33">
        <f t="shared" si="0"/>
        <v>4462.58</v>
      </c>
      <c r="J36" s="1" t="s">
        <v>109</v>
      </c>
      <c r="L36" s="34">
        <v>1.831</v>
      </c>
      <c r="N36" s="35">
        <f t="shared" si="1"/>
        <v>4462.58</v>
      </c>
    </row>
    <row r="37" spans="1:20" ht="24.9" customHeight="1" x14ac:dyDescent="0.25">
      <c r="A37" s="27"/>
      <c r="B37" s="27" t="s">
        <v>15</v>
      </c>
      <c r="C37" s="28" t="s">
        <v>110</v>
      </c>
      <c r="D37" s="29" t="s">
        <v>111</v>
      </c>
      <c r="E37" s="27" t="s">
        <v>21</v>
      </c>
      <c r="F37" s="30">
        <v>42495</v>
      </c>
      <c r="G37" s="31">
        <v>34380</v>
      </c>
      <c r="H37" s="32">
        <v>15300</v>
      </c>
      <c r="I37" s="33">
        <f t="shared" si="0"/>
        <v>4450.26</v>
      </c>
      <c r="J37" s="1" t="s">
        <v>109</v>
      </c>
      <c r="L37" s="34">
        <v>1.831</v>
      </c>
      <c r="N37" s="35">
        <f t="shared" si="1"/>
        <v>4450.26</v>
      </c>
    </row>
    <row r="38" spans="1:20" ht="24.9" customHeight="1" x14ac:dyDescent="0.25">
      <c r="A38" s="27"/>
      <c r="B38" s="27" t="s">
        <v>15</v>
      </c>
      <c r="C38" s="28" t="s">
        <v>112</v>
      </c>
      <c r="D38" s="29" t="s">
        <v>113</v>
      </c>
      <c r="E38" s="27" t="s">
        <v>21</v>
      </c>
      <c r="F38" s="30">
        <v>42495</v>
      </c>
      <c r="G38" s="31">
        <v>58141</v>
      </c>
      <c r="H38" s="32">
        <v>26600</v>
      </c>
      <c r="I38" s="33">
        <f t="shared" si="0"/>
        <v>4575.08</v>
      </c>
      <c r="J38" s="1" t="s">
        <v>109</v>
      </c>
      <c r="L38" s="34">
        <v>1.831</v>
      </c>
      <c r="N38" s="35">
        <f t="shared" si="1"/>
        <v>4575.08</v>
      </c>
    </row>
    <row r="39" spans="1:20" ht="24.9" customHeight="1" x14ac:dyDescent="0.25">
      <c r="A39" s="27"/>
      <c r="B39" s="27" t="s">
        <v>15</v>
      </c>
      <c r="C39" s="28" t="s">
        <v>114</v>
      </c>
      <c r="D39" s="29" t="s">
        <v>115</v>
      </c>
      <c r="E39" s="27" t="s">
        <v>21</v>
      </c>
      <c r="F39" s="30">
        <v>42495</v>
      </c>
      <c r="G39" s="31">
        <v>61693</v>
      </c>
      <c r="H39" s="32">
        <v>28000</v>
      </c>
      <c r="I39" s="33">
        <f t="shared" si="0"/>
        <v>4538.6000000000004</v>
      </c>
      <c r="J39" s="1" t="s">
        <v>109</v>
      </c>
      <c r="L39" s="34">
        <v>1.831</v>
      </c>
      <c r="N39" s="35">
        <f t="shared" si="1"/>
        <v>4538.6000000000004</v>
      </c>
    </row>
    <row r="40" spans="1:20" ht="24.9" customHeight="1" x14ac:dyDescent="0.25">
      <c r="A40" s="27"/>
      <c r="B40" s="27" t="s">
        <v>15</v>
      </c>
      <c r="C40" s="28" t="s">
        <v>116</v>
      </c>
      <c r="D40" s="29" t="s">
        <v>117</v>
      </c>
      <c r="E40" s="27" t="s">
        <v>18</v>
      </c>
      <c r="F40" s="30">
        <v>42475</v>
      </c>
      <c r="G40" s="31">
        <v>261.83</v>
      </c>
      <c r="H40" s="32">
        <v>84.272599999999997</v>
      </c>
      <c r="I40" s="33">
        <f t="shared" si="0"/>
        <v>3218.6</v>
      </c>
      <c r="N40" s="35">
        <f t="shared" si="1"/>
        <v>3218.6</v>
      </c>
    </row>
    <row r="41" spans="1:20" ht="24.9" customHeight="1" x14ac:dyDescent="0.25">
      <c r="A41" s="27"/>
      <c r="B41" s="27" t="s">
        <v>15</v>
      </c>
      <c r="C41" s="28" t="s">
        <v>118</v>
      </c>
      <c r="D41" s="29" t="s">
        <v>119</v>
      </c>
      <c r="E41" s="27" t="s">
        <v>18</v>
      </c>
      <c r="F41" s="30">
        <v>42432</v>
      </c>
      <c r="G41" s="31">
        <v>10648</v>
      </c>
      <c r="H41" s="32">
        <v>2250</v>
      </c>
      <c r="I41" s="33">
        <f t="shared" si="0"/>
        <v>2113.0700000000002</v>
      </c>
      <c r="J41" s="1" t="s">
        <v>67</v>
      </c>
      <c r="K41" s="34">
        <v>1.0940000000000001</v>
      </c>
      <c r="N41" s="35">
        <f t="shared" si="1"/>
        <v>2113.0700000000002</v>
      </c>
    </row>
    <row r="42" spans="1:20" ht="24.9" customHeight="1" x14ac:dyDescent="0.25">
      <c r="A42" s="27"/>
      <c r="B42" s="27" t="s">
        <v>15</v>
      </c>
      <c r="C42" s="28" t="s">
        <v>120</v>
      </c>
      <c r="D42" s="29" t="s">
        <v>121</v>
      </c>
      <c r="E42" s="27" t="s">
        <v>40</v>
      </c>
      <c r="F42" s="30">
        <v>42425</v>
      </c>
      <c r="G42" s="31">
        <v>4764</v>
      </c>
      <c r="H42" s="32">
        <v>1170</v>
      </c>
      <c r="I42" s="33">
        <f t="shared" si="0"/>
        <v>2455.92</v>
      </c>
      <c r="J42" s="1" t="s">
        <v>109</v>
      </c>
      <c r="K42" s="34">
        <v>1.5109999999999999</v>
      </c>
      <c r="L42" s="34">
        <v>1.831</v>
      </c>
      <c r="N42" s="35">
        <f t="shared" si="1"/>
        <v>2455.92</v>
      </c>
    </row>
    <row r="43" spans="1:20" ht="24.9" customHeight="1" x14ac:dyDescent="0.25">
      <c r="A43" s="27"/>
      <c r="B43" s="27" t="s">
        <v>15</v>
      </c>
      <c r="C43" s="28" t="s">
        <v>122</v>
      </c>
      <c r="D43" s="29" t="s">
        <v>123</v>
      </c>
      <c r="E43" s="27" t="s">
        <v>40</v>
      </c>
      <c r="F43" s="30">
        <v>42425</v>
      </c>
      <c r="G43" s="31">
        <v>22269</v>
      </c>
      <c r="H43" s="32">
        <v>6500</v>
      </c>
      <c r="I43" s="33">
        <f t="shared" si="0"/>
        <v>2918.86</v>
      </c>
      <c r="J43" s="1" t="s">
        <v>109</v>
      </c>
      <c r="K43" s="34">
        <v>1.5109999999999999</v>
      </c>
      <c r="L43" s="34">
        <v>1.831</v>
      </c>
      <c r="N43" s="35">
        <f t="shared" si="1"/>
        <v>2918.86</v>
      </c>
    </row>
    <row r="44" spans="1:20" ht="24.9" customHeight="1" x14ac:dyDescent="0.25">
      <c r="A44" s="27"/>
      <c r="B44" s="27" t="s">
        <v>15</v>
      </c>
      <c r="C44" s="28" t="s">
        <v>124</v>
      </c>
      <c r="D44" s="29" t="s">
        <v>125</v>
      </c>
      <c r="E44" s="27" t="s">
        <v>40</v>
      </c>
      <c r="F44" s="30">
        <v>42425</v>
      </c>
      <c r="G44" s="31">
        <v>15808</v>
      </c>
      <c r="H44" s="32">
        <v>6500</v>
      </c>
      <c r="I44" s="33">
        <f t="shared" si="0"/>
        <v>4111.84</v>
      </c>
      <c r="J44" s="1" t="s">
        <v>109</v>
      </c>
      <c r="K44" s="34">
        <v>1.5109999999999999</v>
      </c>
      <c r="L44" s="34">
        <v>1.831</v>
      </c>
      <c r="N44" s="35">
        <f t="shared" si="1"/>
        <v>4111.84</v>
      </c>
    </row>
    <row r="45" spans="1:20" ht="24.9" customHeight="1" x14ac:dyDescent="0.25">
      <c r="A45" s="27"/>
      <c r="B45" s="27" t="s">
        <v>15</v>
      </c>
      <c r="C45" s="28" t="s">
        <v>126</v>
      </c>
      <c r="D45" s="29" t="s">
        <v>127</v>
      </c>
      <c r="E45" s="27" t="s">
        <v>40</v>
      </c>
      <c r="F45" s="30">
        <v>42425</v>
      </c>
      <c r="G45" s="31">
        <v>16864</v>
      </c>
      <c r="H45" s="32">
        <v>7000</v>
      </c>
      <c r="I45" s="33">
        <f t="shared" si="0"/>
        <v>4150.8500000000004</v>
      </c>
      <c r="J45" s="1" t="s">
        <v>109</v>
      </c>
      <c r="K45" s="34">
        <v>1.5109999999999999</v>
      </c>
      <c r="L45" s="34">
        <v>1.831</v>
      </c>
      <c r="N45" s="35">
        <f t="shared" si="1"/>
        <v>4150.8500000000004</v>
      </c>
    </row>
    <row r="46" spans="1:20" ht="24.9" customHeight="1" x14ac:dyDescent="0.25">
      <c r="A46" s="27"/>
      <c r="B46" s="27" t="s">
        <v>15</v>
      </c>
      <c r="C46" s="28" t="s">
        <v>128</v>
      </c>
      <c r="D46" s="29" t="s">
        <v>129</v>
      </c>
      <c r="E46" s="27" t="s">
        <v>40</v>
      </c>
      <c r="F46" s="30">
        <v>42425</v>
      </c>
      <c r="G46" s="31">
        <v>50721</v>
      </c>
      <c r="H46" s="32">
        <v>13800</v>
      </c>
      <c r="I46" s="33">
        <f t="shared" si="0"/>
        <v>2720.77</v>
      </c>
      <c r="J46" s="1" t="s">
        <v>109</v>
      </c>
      <c r="K46" s="34">
        <v>1.5109999999999999</v>
      </c>
      <c r="L46" s="34">
        <v>1.831</v>
      </c>
      <c r="N46" s="35">
        <f t="shared" si="1"/>
        <v>2720.77</v>
      </c>
    </row>
    <row r="47" spans="1:20" ht="24.9" customHeight="1" x14ac:dyDescent="0.25">
      <c r="A47" s="27"/>
      <c r="B47" s="27" t="s">
        <v>15</v>
      </c>
      <c r="C47" s="28" t="s">
        <v>130</v>
      </c>
      <c r="D47" s="29" t="s">
        <v>131</v>
      </c>
      <c r="E47" s="27" t="s">
        <v>40</v>
      </c>
      <c r="F47" s="30">
        <v>42425</v>
      </c>
      <c r="G47" s="31">
        <v>47336</v>
      </c>
      <c r="H47" s="32">
        <v>25700</v>
      </c>
      <c r="I47" s="33">
        <f t="shared" si="0"/>
        <v>5429.27</v>
      </c>
      <c r="J47" s="1" t="s">
        <v>109</v>
      </c>
      <c r="K47" s="34">
        <v>1.5109999999999999</v>
      </c>
      <c r="L47" s="34">
        <v>1.831</v>
      </c>
      <c r="N47" s="35">
        <f t="shared" si="1"/>
        <v>5429.27</v>
      </c>
    </row>
    <row r="48" spans="1:20" s="15" customFormat="1" ht="24.9" customHeight="1" x14ac:dyDescent="0.25">
      <c r="A48" s="6"/>
      <c r="B48" s="6" t="s">
        <v>15</v>
      </c>
      <c r="C48" s="7" t="s">
        <v>132</v>
      </c>
      <c r="D48" s="8" t="s">
        <v>133</v>
      </c>
      <c r="E48" s="6" t="s">
        <v>18</v>
      </c>
      <c r="F48" s="9">
        <v>42404</v>
      </c>
      <c r="G48" s="10">
        <v>710</v>
      </c>
      <c r="H48" s="11">
        <v>600</v>
      </c>
      <c r="I48" s="12">
        <f t="shared" si="0"/>
        <v>8450.7000000000007</v>
      </c>
      <c r="J48" s="15" t="s">
        <v>134</v>
      </c>
      <c r="K48" s="15">
        <v>0.97499999999999998</v>
      </c>
      <c r="M48" s="15">
        <f>0.89+0.99</f>
        <v>1.88</v>
      </c>
      <c r="N48" s="36">
        <f t="shared" si="1"/>
        <v>8450.7000000000007</v>
      </c>
    </row>
    <row r="49" spans="1:14" ht="24.9" customHeight="1" x14ac:dyDescent="0.25">
      <c r="A49" s="27"/>
      <c r="B49" s="27" t="s">
        <v>15</v>
      </c>
      <c r="C49" s="28" t="s">
        <v>135</v>
      </c>
      <c r="D49" s="29" t="s">
        <v>136</v>
      </c>
      <c r="E49" s="27" t="s">
        <v>18</v>
      </c>
      <c r="F49" s="30">
        <v>42404</v>
      </c>
      <c r="G49" s="31">
        <v>2963</v>
      </c>
      <c r="H49" s="32">
        <v>2300</v>
      </c>
      <c r="I49" s="33">
        <f t="shared" si="0"/>
        <v>7762.4</v>
      </c>
      <c r="J49" s="1" t="s">
        <v>137</v>
      </c>
      <c r="K49" s="1">
        <v>0.84199999999999997</v>
      </c>
      <c r="N49" s="35">
        <f t="shared" si="1"/>
        <v>7762.4</v>
      </c>
    </row>
    <row r="50" spans="1:14" ht="24.9" customHeight="1" x14ac:dyDescent="0.25">
      <c r="A50" s="27"/>
      <c r="B50" s="27" t="s">
        <v>15</v>
      </c>
      <c r="C50" s="28" t="s">
        <v>138</v>
      </c>
      <c r="D50" s="29" t="s">
        <v>139</v>
      </c>
      <c r="E50" s="27" t="s">
        <v>40</v>
      </c>
      <c r="F50" s="30">
        <v>42397</v>
      </c>
      <c r="G50" s="31">
        <v>47245</v>
      </c>
      <c r="H50" s="32">
        <v>10700</v>
      </c>
      <c r="I50" s="33">
        <f t="shared" si="0"/>
        <v>2264.79</v>
      </c>
      <c r="J50" s="1" t="s">
        <v>140</v>
      </c>
      <c r="K50" s="34">
        <v>1.3480000000000001</v>
      </c>
      <c r="L50" s="34">
        <v>1.28</v>
      </c>
      <c r="N50" s="35">
        <f t="shared" si="1"/>
        <v>2264.79</v>
      </c>
    </row>
    <row r="51" spans="1:14" ht="32.4" hidden="1" x14ac:dyDescent="0.25">
      <c r="A51" s="27"/>
      <c r="B51" s="27" t="s">
        <v>15</v>
      </c>
      <c r="C51" s="28" t="s">
        <v>141</v>
      </c>
      <c r="D51" s="37" t="s">
        <v>142</v>
      </c>
      <c r="E51" s="27" t="s">
        <v>40</v>
      </c>
      <c r="F51" s="30">
        <v>42362</v>
      </c>
      <c r="G51" s="31">
        <v>30143</v>
      </c>
      <c r="H51" s="32">
        <v>16300</v>
      </c>
      <c r="I51" s="33">
        <f t="shared" si="0"/>
        <v>5407.56</v>
      </c>
      <c r="J51" s="1" t="s">
        <v>109</v>
      </c>
      <c r="K51" s="34">
        <v>1.5109999999999999</v>
      </c>
      <c r="L51" s="34">
        <v>1.831</v>
      </c>
    </row>
    <row r="52" spans="1:14" ht="32.4" hidden="1" x14ac:dyDescent="0.25">
      <c r="A52" s="27"/>
      <c r="B52" s="27" t="s">
        <v>15</v>
      </c>
      <c r="C52" s="28" t="s">
        <v>143</v>
      </c>
      <c r="D52" s="37" t="s">
        <v>144</v>
      </c>
      <c r="E52" s="27" t="s">
        <v>40</v>
      </c>
      <c r="F52" s="30">
        <v>42362</v>
      </c>
      <c r="G52" s="31">
        <v>36992</v>
      </c>
      <c r="H52" s="32">
        <v>20000</v>
      </c>
      <c r="I52" s="33">
        <f t="shared" si="0"/>
        <v>5406.57</v>
      </c>
      <c r="J52" s="1" t="s">
        <v>109</v>
      </c>
      <c r="K52" s="34">
        <v>1.5109999999999999</v>
      </c>
      <c r="L52" s="34">
        <v>1.831</v>
      </c>
    </row>
    <row r="53" spans="1:14" ht="32.4" hidden="1" x14ac:dyDescent="0.25">
      <c r="A53" s="27"/>
      <c r="B53" s="27" t="s">
        <v>15</v>
      </c>
      <c r="C53" s="28" t="s">
        <v>145</v>
      </c>
      <c r="D53" s="37" t="s">
        <v>146</v>
      </c>
      <c r="E53" s="27" t="s">
        <v>40</v>
      </c>
      <c r="F53" s="30">
        <v>42362</v>
      </c>
      <c r="G53" s="31">
        <v>53261</v>
      </c>
      <c r="H53" s="32">
        <v>24800</v>
      </c>
      <c r="I53" s="33">
        <f t="shared" si="0"/>
        <v>4656.32</v>
      </c>
      <c r="J53" s="1" t="s">
        <v>109</v>
      </c>
      <c r="K53" s="34">
        <v>1.5109999999999999</v>
      </c>
      <c r="L53" s="34">
        <v>1.831</v>
      </c>
    </row>
    <row r="54" spans="1:14" ht="32.4" hidden="1" x14ac:dyDescent="0.25">
      <c r="A54" s="27"/>
      <c r="B54" s="27" t="s">
        <v>15</v>
      </c>
      <c r="C54" s="28" t="s">
        <v>147</v>
      </c>
      <c r="D54" s="37" t="s">
        <v>148</v>
      </c>
      <c r="E54" s="27" t="s">
        <v>40</v>
      </c>
      <c r="F54" s="30">
        <v>42362</v>
      </c>
      <c r="G54" s="31">
        <v>13605</v>
      </c>
      <c r="H54" s="32">
        <v>7400</v>
      </c>
      <c r="I54" s="33">
        <f t="shared" si="0"/>
        <v>5439.18</v>
      </c>
      <c r="J54" s="1" t="s">
        <v>109</v>
      </c>
      <c r="K54" s="34">
        <v>1.5109999999999999</v>
      </c>
      <c r="L54" s="34">
        <v>1.831</v>
      </c>
    </row>
    <row r="55" spans="1:14" ht="32.4" hidden="1" x14ac:dyDescent="0.25">
      <c r="A55" s="27"/>
      <c r="B55" s="27" t="s">
        <v>15</v>
      </c>
      <c r="C55" s="28" t="s">
        <v>149</v>
      </c>
      <c r="D55" s="37" t="s">
        <v>150</v>
      </c>
      <c r="E55" s="27" t="s">
        <v>40</v>
      </c>
      <c r="F55" s="30">
        <v>42362</v>
      </c>
      <c r="G55" s="31">
        <v>90230</v>
      </c>
      <c r="H55" s="32">
        <v>39200</v>
      </c>
      <c r="I55" s="33">
        <f t="shared" si="0"/>
        <v>4344.45</v>
      </c>
      <c r="J55" s="1" t="s">
        <v>109</v>
      </c>
      <c r="K55" s="34">
        <v>1.5109999999999999</v>
      </c>
      <c r="L55" s="34">
        <v>1.831</v>
      </c>
    </row>
    <row r="56" spans="1:14" ht="32.4" hidden="1" x14ac:dyDescent="0.25">
      <c r="A56" s="27"/>
      <c r="B56" s="27" t="s">
        <v>15</v>
      </c>
      <c r="C56" s="28" t="s">
        <v>151</v>
      </c>
      <c r="D56" s="37" t="s">
        <v>152</v>
      </c>
      <c r="E56" s="27" t="s">
        <v>40</v>
      </c>
      <c r="F56" s="30">
        <v>42362</v>
      </c>
      <c r="G56" s="31">
        <v>28921</v>
      </c>
      <c r="H56" s="32">
        <v>10900</v>
      </c>
      <c r="I56" s="33">
        <f t="shared" si="0"/>
        <v>3768.89</v>
      </c>
      <c r="J56" s="1" t="s">
        <v>109</v>
      </c>
      <c r="K56" s="34">
        <v>1.5109999999999999</v>
      </c>
      <c r="L56" s="34">
        <v>1.831</v>
      </c>
    </row>
    <row r="57" spans="1:14" ht="32.4" hidden="1" x14ac:dyDescent="0.25">
      <c r="A57" s="27"/>
      <c r="B57" s="27" t="s">
        <v>15</v>
      </c>
      <c r="C57" s="28" t="s">
        <v>153</v>
      </c>
      <c r="D57" s="37" t="s">
        <v>154</v>
      </c>
      <c r="E57" s="27" t="s">
        <v>40</v>
      </c>
      <c r="F57" s="30">
        <v>42362</v>
      </c>
      <c r="G57" s="31">
        <v>34456</v>
      </c>
      <c r="H57" s="32">
        <v>13000</v>
      </c>
      <c r="I57" s="33">
        <f t="shared" si="0"/>
        <v>3772.93</v>
      </c>
      <c r="J57" s="1" t="s">
        <v>109</v>
      </c>
      <c r="K57" s="34">
        <v>1.5109999999999999</v>
      </c>
      <c r="L57" s="34">
        <v>1.831</v>
      </c>
    </row>
    <row r="58" spans="1:14" ht="32.4" hidden="1" x14ac:dyDescent="0.25">
      <c r="A58" s="27"/>
      <c r="B58" s="27" t="s">
        <v>15</v>
      </c>
      <c r="C58" s="28" t="s">
        <v>155</v>
      </c>
      <c r="D58" s="37" t="s">
        <v>156</v>
      </c>
      <c r="E58" s="27" t="s">
        <v>40</v>
      </c>
      <c r="F58" s="30">
        <v>42362</v>
      </c>
      <c r="G58" s="31">
        <v>49452</v>
      </c>
      <c r="H58" s="32">
        <v>19300</v>
      </c>
      <c r="I58" s="33">
        <f t="shared" si="0"/>
        <v>3902.77</v>
      </c>
      <c r="J58" s="1" t="s">
        <v>109</v>
      </c>
      <c r="K58" s="34">
        <v>1.5109999999999999</v>
      </c>
      <c r="L58" s="34">
        <v>1.831</v>
      </c>
    </row>
    <row r="59" spans="1:14" ht="32.4" hidden="1" x14ac:dyDescent="0.25">
      <c r="A59" s="27"/>
      <c r="B59" s="27" t="s">
        <v>15</v>
      </c>
      <c r="C59" s="28" t="s">
        <v>157</v>
      </c>
      <c r="D59" s="37" t="s">
        <v>158</v>
      </c>
      <c r="E59" s="27" t="s">
        <v>40</v>
      </c>
      <c r="F59" s="30">
        <v>42362</v>
      </c>
      <c r="G59" s="31">
        <v>63219</v>
      </c>
      <c r="H59" s="32">
        <v>23300</v>
      </c>
      <c r="I59" s="33">
        <f t="shared" si="0"/>
        <v>3685.6</v>
      </c>
      <c r="J59" s="1" t="s">
        <v>109</v>
      </c>
      <c r="K59" s="34">
        <v>1.5109999999999999</v>
      </c>
      <c r="L59" s="34">
        <v>1.831</v>
      </c>
    </row>
    <row r="60" spans="1:14" ht="32.4" hidden="1" x14ac:dyDescent="0.25">
      <c r="A60" s="27"/>
      <c r="B60" s="27" t="s">
        <v>15</v>
      </c>
      <c r="C60" s="28" t="s">
        <v>159</v>
      </c>
      <c r="D60" s="37" t="s">
        <v>160</v>
      </c>
      <c r="E60" s="27" t="s">
        <v>40</v>
      </c>
      <c r="F60" s="30">
        <v>42362</v>
      </c>
      <c r="G60" s="31">
        <v>20683</v>
      </c>
      <c r="H60" s="32">
        <v>11200</v>
      </c>
      <c r="I60" s="33">
        <f t="shared" si="0"/>
        <v>5415.08</v>
      </c>
      <c r="J60" s="1" t="s">
        <v>109</v>
      </c>
      <c r="K60" s="34">
        <v>1.5109999999999999</v>
      </c>
      <c r="L60" s="34">
        <v>1.831</v>
      </c>
    </row>
    <row r="61" spans="1:14" ht="32.4" hidden="1" x14ac:dyDescent="0.25">
      <c r="A61" s="27"/>
      <c r="B61" s="27" t="s">
        <v>15</v>
      </c>
      <c r="C61" s="28" t="s">
        <v>161</v>
      </c>
      <c r="D61" s="37" t="s">
        <v>162</v>
      </c>
      <c r="E61" s="27" t="s">
        <v>18</v>
      </c>
      <c r="F61" s="30">
        <v>42362</v>
      </c>
      <c r="G61" s="31">
        <v>7399</v>
      </c>
      <c r="H61" s="32">
        <v>3250</v>
      </c>
      <c r="I61" s="33">
        <f t="shared" si="0"/>
        <v>4392.49</v>
      </c>
      <c r="J61" s="1" t="s">
        <v>91</v>
      </c>
      <c r="K61" s="34">
        <v>0.84199999999999997</v>
      </c>
    </row>
    <row r="62" spans="1:14" ht="32.4" hidden="1" x14ac:dyDescent="0.25">
      <c r="A62" s="27"/>
      <c r="B62" s="27" t="s">
        <v>15</v>
      </c>
      <c r="C62" s="28" t="s">
        <v>163</v>
      </c>
      <c r="D62" s="37" t="s">
        <v>164</v>
      </c>
      <c r="E62" s="27" t="s">
        <v>21</v>
      </c>
      <c r="F62" s="30">
        <v>42362</v>
      </c>
      <c r="G62" s="31">
        <v>85989</v>
      </c>
      <c r="H62" s="32">
        <v>40000</v>
      </c>
      <c r="I62" s="33">
        <f t="shared" si="0"/>
        <v>4651.76</v>
      </c>
      <c r="J62" s="1" t="s">
        <v>165</v>
      </c>
      <c r="L62" s="34">
        <v>1.994</v>
      </c>
    </row>
    <row r="63" spans="1:14" ht="32.4" hidden="1" x14ac:dyDescent="0.25">
      <c r="A63" s="27"/>
      <c r="B63" s="27" t="s">
        <v>15</v>
      </c>
      <c r="C63" s="28" t="s">
        <v>166</v>
      </c>
      <c r="D63" s="37" t="s">
        <v>167</v>
      </c>
      <c r="E63" s="27" t="s">
        <v>40</v>
      </c>
      <c r="F63" s="30">
        <v>42362</v>
      </c>
      <c r="G63" s="31">
        <v>49981</v>
      </c>
      <c r="H63" s="32">
        <v>20200</v>
      </c>
      <c r="I63" s="33">
        <f t="shared" si="0"/>
        <v>4041.54</v>
      </c>
      <c r="J63" s="1" t="s">
        <v>109</v>
      </c>
      <c r="K63" s="34">
        <v>1.5109999999999999</v>
      </c>
      <c r="L63" s="34">
        <v>1.831</v>
      </c>
    </row>
    <row r="64" spans="1:14" ht="32.4" hidden="1" x14ac:dyDescent="0.25">
      <c r="A64" s="27"/>
      <c r="B64" s="27" t="s">
        <v>15</v>
      </c>
      <c r="C64" s="28" t="s">
        <v>168</v>
      </c>
      <c r="D64" s="37" t="s">
        <v>169</v>
      </c>
      <c r="E64" s="27" t="s">
        <v>40</v>
      </c>
      <c r="F64" s="30">
        <v>42362</v>
      </c>
      <c r="G64" s="31">
        <v>136714</v>
      </c>
      <c r="H64" s="32">
        <v>54600</v>
      </c>
      <c r="I64" s="33">
        <f t="shared" si="0"/>
        <v>3993.74</v>
      </c>
      <c r="J64" s="1" t="s">
        <v>109</v>
      </c>
      <c r="K64" s="34">
        <v>1.5109999999999999</v>
      </c>
      <c r="L64" s="34">
        <v>1.831</v>
      </c>
    </row>
    <row r="65" spans="1:12" ht="21.6" hidden="1" x14ac:dyDescent="0.25">
      <c r="A65" s="27"/>
      <c r="B65" s="27" t="s">
        <v>15</v>
      </c>
      <c r="C65" s="28" t="s">
        <v>170</v>
      </c>
      <c r="D65" s="37" t="s">
        <v>171</v>
      </c>
      <c r="E65" s="27" t="s">
        <v>18</v>
      </c>
      <c r="F65" s="30">
        <v>42359</v>
      </c>
      <c r="G65" s="31">
        <v>6.7</v>
      </c>
      <c r="H65" s="32">
        <v>19.153500000000001</v>
      </c>
      <c r="I65" s="33">
        <f t="shared" si="0"/>
        <v>28587.31</v>
      </c>
    </row>
    <row r="66" spans="1:12" ht="32.4" hidden="1" x14ac:dyDescent="0.25">
      <c r="A66" s="27"/>
      <c r="B66" s="27" t="s">
        <v>15</v>
      </c>
      <c r="C66" s="28" t="s">
        <v>172</v>
      </c>
      <c r="D66" s="37" t="s">
        <v>173</v>
      </c>
      <c r="E66" s="27" t="s">
        <v>18</v>
      </c>
      <c r="F66" s="30">
        <v>42348</v>
      </c>
      <c r="G66" s="31">
        <v>13955</v>
      </c>
      <c r="H66" s="32">
        <v>2833</v>
      </c>
      <c r="I66" s="33">
        <f t="shared" si="0"/>
        <v>2030.1</v>
      </c>
      <c r="J66" s="1" t="s">
        <v>140</v>
      </c>
      <c r="K66" s="34">
        <v>1.3480000000000001</v>
      </c>
    </row>
    <row r="67" spans="1:12" ht="32.4" hidden="1" x14ac:dyDescent="0.25">
      <c r="A67" s="27"/>
      <c r="B67" s="27" t="s">
        <v>15</v>
      </c>
      <c r="C67" s="28" t="s">
        <v>174</v>
      </c>
      <c r="D67" s="37" t="s">
        <v>175</v>
      </c>
      <c r="E67" s="27" t="s">
        <v>18</v>
      </c>
      <c r="F67" s="30">
        <v>42348</v>
      </c>
      <c r="G67" s="31">
        <v>14422</v>
      </c>
      <c r="H67" s="32">
        <v>2930</v>
      </c>
      <c r="I67" s="33">
        <f t="shared" si="0"/>
        <v>2031.62</v>
      </c>
      <c r="J67" s="1" t="s">
        <v>140</v>
      </c>
      <c r="K67" s="34">
        <v>1.3480000000000001</v>
      </c>
    </row>
    <row r="68" spans="1:12" ht="32.4" hidden="1" x14ac:dyDescent="0.25">
      <c r="A68" s="27"/>
      <c r="B68" s="27" t="s">
        <v>15</v>
      </c>
      <c r="C68" s="28" t="s">
        <v>176</v>
      </c>
      <c r="D68" s="37" t="s">
        <v>177</v>
      </c>
      <c r="E68" s="27" t="s">
        <v>18</v>
      </c>
      <c r="F68" s="30">
        <v>42348</v>
      </c>
      <c r="G68" s="31">
        <v>2840</v>
      </c>
      <c r="H68" s="32">
        <v>1220</v>
      </c>
      <c r="I68" s="33">
        <f t="shared" si="0"/>
        <v>4295.7700000000004</v>
      </c>
      <c r="J68" s="1" t="s">
        <v>178</v>
      </c>
      <c r="K68" s="34">
        <v>1.2869999999999999</v>
      </c>
    </row>
    <row r="69" spans="1:12" ht="32.4" hidden="1" x14ac:dyDescent="0.25">
      <c r="A69" s="27"/>
      <c r="B69" s="27" t="s">
        <v>15</v>
      </c>
      <c r="C69" s="28" t="s">
        <v>179</v>
      </c>
      <c r="D69" s="37" t="s">
        <v>180</v>
      </c>
      <c r="E69" s="27" t="s">
        <v>18</v>
      </c>
      <c r="F69" s="30">
        <v>42348</v>
      </c>
      <c r="G69" s="31">
        <v>14656</v>
      </c>
      <c r="H69" s="32">
        <v>1780</v>
      </c>
      <c r="I69" s="33">
        <f t="shared" ref="I69:I132" si="2">H69*10000/G69</f>
        <v>1214.52</v>
      </c>
      <c r="J69" s="1" t="s">
        <v>41</v>
      </c>
      <c r="K69" s="34">
        <v>1.2529999999999999</v>
      </c>
    </row>
    <row r="70" spans="1:12" ht="32.4" hidden="1" x14ac:dyDescent="0.25">
      <c r="A70" s="27"/>
      <c r="B70" s="27" t="s">
        <v>15</v>
      </c>
      <c r="C70" s="28" t="s">
        <v>181</v>
      </c>
      <c r="D70" s="37" t="s">
        <v>182</v>
      </c>
      <c r="E70" s="27" t="s">
        <v>40</v>
      </c>
      <c r="F70" s="30">
        <v>42334</v>
      </c>
      <c r="G70" s="31">
        <v>15965</v>
      </c>
      <c r="H70" s="32">
        <v>8000</v>
      </c>
      <c r="I70" s="33">
        <f t="shared" si="2"/>
        <v>5010.96</v>
      </c>
      <c r="J70" s="1" t="s">
        <v>109</v>
      </c>
      <c r="K70" s="34">
        <v>1.5109999999999999</v>
      </c>
      <c r="L70" s="34">
        <v>1.831</v>
      </c>
    </row>
    <row r="71" spans="1:12" ht="32.4" hidden="1" x14ac:dyDescent="0.25">
      <c r="A71" s="27"/>
      <c r="B71" s="27" t="s">
        <v>15</v>
      </c>
      <c r="C71" s="28" t="s">
        <v>183</v>
      </c>
      <c r="D71" s="37" t="s">
        <v>184</v>
      </c>
      <c r="E71" s="27" t="s">
        <v>40</v>
      </c>
      <c r="F71" s="30">
        <v>42334</v>
      </c>
      <c r="G71" s="31">
        <v>56850</v>
      </c>
      <c r="H71" s="32">
        <v>29300</v>
      </c>
      <c r="I71" s="33">
        <f t="shared" si="2"/>
        <v>5153.91</v>
      </c>
      <c r="J71" s="1" t="s">
        <v>109</v>
      </c>
      <c r="K71" s="34">
        <v>1.5109999999999999</v>
      </c>
      <c r="L71" s="34">
        <v>1.831</v>
      </c>
    </row>
    <row r="72" spans="1:12" ht="32.4" hidden="1" x14ac:dyDescent="0.25">
      <c r="A72" s="27"/>
      <c r="B72" s="27" t="s">
        <v>15</v>
      </c>
      <c r="C72" s="28" t="s">
        <v>185</v>
      </c>
      <c r="D72" s="37" t="s">
        <v>186</v>
      </c>
      <c r="E72" s="27" t="s">
        <v>40</v>
      </c>
      <c r="F72" s="30">
        <v>42334</v>
      </c>
      <c r="G72" s="31">
        <v>62539</v>
      </c>
      <c r="H72" s="32">
        <v>32300</v>
      </c>
      <c r="I72" s="33">
        <f t="shared" si="2"/>
        <v>5164.78</v>
      </c>
      <c r="J72" s="1" t="s">
        <v>109</v>
      </c>
      <c r="K72" s="34">
        <v>1.5109999999999999</v>
      </c>
      <c r="L72" s="34">
        <v>1.831</v>
      </c>
    </row>
    <row r="73" spans="1:12" ht="32.4" hidden="1" x14ac:dyDescent="0.25">
      <c r="A73" s="27"/>
      <c r="B73" s="27" t="s">
        <v>15</v>
      </c>
      <c r="C73" s="28" t="s">
        <v>187</v>
      </c>
      <c r="D73" s="37" t="s">
        <v>188</v>
      </c>
      <c r="E73" s="27" t="s">
        <v>40</v>
      </c>
      <c r="F73" s="30">
        <v>42334</v>
      </c>
      <c r="G73" s="31">
        <v>92295</v>
      </c>
      <c r="H73" s="32">
        <v>45000</v>
      </c>
      <c r="I73" s="33">
        <f t="shared" si="2"/>
        <v>4875.67</v>
      </c>
      <c r="J73" s="1" t="s">
        <v>109</v>
      </c>
      <c r="K73" s="34">
        <v>1.5109999999999999</v>
      </c>
      <c r="L73" s="34">
        <v>1.831</v>
      </c>
    </row>
    <row r="74" spans="1:12" ht="32.4" hidden="1" x14ac:dyDescent="0.25">
      <c r="A74" s="27"/>
      <c r="B74" s="27" t="s">
        <v>15</v>
      </c>
      <c r="C74" s="28" t="s">
        <v>189</v>
      </c>
      <c r="D74" s="37" t="s">
        <v>190</v>
      </c>
      <c r="E74" s="27" t="s">
        <v>40</v>
      </c>
      <c r="F74" s="30">
        <v>42327</v>
      </c>
      <c r="G74" s="31">
        <v>91438</v>
      </c>
      <c r="H74" s="32">
        <v>40000</v>
      </c>
      <c r="I74" s="33">
        <f t="shared" si="2"/>
        <v>4374.55</v>
      </c>
      <c r="J74" s="1" t="s">
        <v>109</v>
      </c>
      <c r="K74" s="34">
        <v>1.5109999999999999</v>
      </c>
      <c r="L74" s="34">
        <v>1.831</v>
      </c>
    </row>
    <row r="75" spans="1:12" ht="32.4" hidden="1" x14ac:dyDescent="0.25">
      <c r="A75" s="27"/>
      <c r="B75" s="27" t="s">
        <v>15</v>
      </c>
      <c r="C75" s="28" t="s">
        <v>191</v>
      </c>
      <c r="D75" s="37" t="s">
        <v>192</v>
      </c>
      <c r="E75" s="27" t="s">
        <v>40</v>
      </c>
      <c r="F75" s="30">
        <v>42327</v>
      </c>
      <c r="G75" s="31">
        <v>133336</v>
      </c>
      <c r="H75" s="32">
        <v>58300</v>
      </c>
      <c r="I75" s="33">
        <f t="shared" si="2"/>
        <v>4372.41</v>
      </c>
      <c r="J75" s="1" t="s">
        <v>109</v>
      </c>
      <c r="K75" s="34">
        <v>1.5109999999999999</v>
      </c>
      <c r="L75" s="34">
        <v>1.831</v>
      </c>
    </row>
    <row r="76" spans="1:12" ht="32.4" hidden="1" x14ac:dyDescent="0.25">
      <c r="A76" s="27"/>
      <c r="B76" s="27" t="s">
        <v>15</v>
      </c>
      <c r="C76" s="28" t="s">
        <v>193</v>
      </c>
      <c r="D76" s="37" t="s">
        <v>194</v>
      </c>
      <c r="E76" s="27" t="s">
        <v>40</v>
      </c>
      <c r="F76" s="30">
        <v>42306</v>
      </c>
      <c r="G76" s="31">
        <v>13724</v>
      </c>
      <c r="H76" s="32">
        <v>4850</v>
      </c>
      <c r="I76" s="33">
        <f t="shared" si="2"/>
        <v>3533.96</v>
      </c>
      <c r="J76" s="1" t="s">
        <v>109</v>
      </c>
      <c r="K76" s="34">
        <v>1.5109999999999999</v>
      </c>
      <c r="L76" s="34">
        <v>1.831</v>
      </c>
    </row>
    <row r="77" spans="1:12" ht="32.4" hidden="1" x14ac:dyDescent="0.25">
      <c r="A77" s="27"/>
      <c r="B77" s="27" t="s">
        <v>15</v>
      </c>
      <c r="C77" s="28" t="s">
        <v>195</v>
      </c>
      <c r="D77" s="37" t="s">
        <v>196</v>
      </c>
      <c r="E77" s="27" t="s">
        <v>40</v>
      </c>
      <c r="F77" s="30">
        <v>42306</v>
      </c>
      <c r="G77" s="31">
        <v>40594</v>
      </c>
      <c r="H77" s="32">
        <v>14600</v>
      </c>
      <c r="I77" s="33">
        <f t="shared" si="2"/>
        <v>3596.59</v>
      </c>
      <c r="J77" s="1" t="s">
        <v>109</v>
      </c>
      <c r="K77" s="34">
        <v>1.5109999999999999</v>
      </c>
      <c r="L77" s="34">
        <v>1.831</v>
      </c>
    </row>
    <row r="78" spans="1:12" ht="32.4" hidden="1" x14ac:dyDescent="0.25">
      <c r="A78" s="27"/>
      <c r="B78" s="27" t="s">
        <v>15</v>
      </c>
      <c r="C78" s="28" t="s">
        <v>197</v>
      </c>
      <c r="D78" s="37" t="s">
        <v>198</v>
      </c>
      <c r="E78" s="27" t="s">
        <v>40</v>
      </c>
      <c r="F78" s="30">
        <v>42292</v>
      </c>
      <c r="G78" s="31">
        <v>95013</v>
      </c>
      <c r="H78" s="32">
        <v>19000</v>
      </c>
      <c r="I78" s="33">
        <f t="shared" si="2"/>
        <v>1999.73</v>
      </c>
      <c r="J78" s="1" t="s">
        <v>41</v>
      </c>
      <c r="K78" s="34">
        <v>1.2529999999999999</v>
      </c>
      <c r="L78" s="34">
        <v>1.113</v>
      </c>
    </row>
    <row r="79" spans="1:12" ht="21.6" hidden="1" x14ac:dyDescent="0.25">
      <c r="A79" s="27"/>
      <c r="B79" s="27" t="s">
        <v>15</v>
      </c>
      <c r="C79" s="28" t="s">
        <v>199</v>
      </c>
      <c r="D79" s="37" t="s">
        <v>200</v>
      </c>
      <c r="E79" s="27" t="s">
        <v>18</v>
      </c>
      <c r="F79" s="30">
        <v>42277</v>
      </c>
      <c r="G79" s="31">
        <v>8</v>
      </c>
      <c r="H79" s="32">
        <v>19.161799999999999</v>
      </c>
      <c r="I79" s="33">
        <f t="shared" si="2"/>
        <v>23952.25</v>
      </c>
      <c r="J79" s="1" t="s">
        <v>201</v>
      </c>
      <c r="K79" s="34">
        <v>1.514</v>
      </c>
    </row>
    <row r="80" spans="1:12" ht="32.4" hidden="1" x14ac:dyDescent="0.25">
      <c r="A80" s="27"/>
      <c r="B80" s="27" t="s">
        <v>15</v>
      </c>
      <c r="C80" s="28" t="s">
        <v>202</v>
      </c>
      <c r="D80" s="37" t="s">
        <v>203</v>
      </c>
      <c r="E80" s="27" t="s">
        <v>40</v>
      </c>
      <c r="F80" s="30">
        <v>42257</v>
      </c>
      <c r="G80" s="31">
        <v>58789</v>
      </c>
      <c r="H80" s="32">
        <v>30700</v>
      </c>
      <c r="I80" s="33">
        <f t="shared" si="2"/>
        <v>5222.07</v>
      </c>
      <c r="J80" s="1" t="s">
        <v>109</v>
      </c>
      <c r="K80" s="34">
        <v>1.5109999999999999</v>
      </c>
      <c r="L80" s="34">
        <v>1.831</v>
      </c>
    </row>
    <row r="81" spans="1:12" ht="32.4" hidden="1" x14ac:dyDescent="0.25">
      <c r="A81" s="27"/>
      <c r="B81" s="27" t="s">
        <v>15</v>
      </c>
      <c r="C81" s="28" t="s">
        <v>204</v>
      </c>
      <c r="D81" s="37" t="s">
        <v>205</v>
      </c>
      <c r="E81" s="27" t="s">
        <v>40</v>
      </c>
      <c r="F81" s="30">
        <v>42257</v>
      </c>
      <c r="G81" s="31">
        <v>113367</v>
      </c>
      <c r="H81" s="32">
        <v>59300</v>
      </c>
      <c r="I81" s="33">
        <f t="shared" si="2"/>
        <v>5230.8</v>
      </c>
      <c r="J81" s="1" t="s">
        <v>109</v>
      </c>
      <c r="K81" s="34">
        <v>1.5109999999999999</v>
      </c>
      <c r="L81" s="34">
        <v>1.831</v>
      </c>
    </row>
    <row r="82" spans="1:12" ht="32.4" hidden="1" x14ac:dyDescent="0.25">
      <c r="A82" s="27"/>
      <c r="B82" s="27" t="s">
        <v>15</v>
      </c>
      <c r="C82" s="28" t="s">
        <v>206</v>
      </c>
      <c r="D82" s="37" t="s">
        <v>207</v>
      </c>
      <c r="E82" s="27" t="s">
        <v>18</v>
      </c>
      <c r="F82" s="30">
        <v>42244</v>
      </c>
      <c r="G82" s="31">
        <v>11713</v>
      </c>
      <c r="H82" s="32">
        <v>1460</v>
      </c>
      <c r="I82" s="33">
        <f t="shared" si="2"/>
        <v>1246.48</v>
      </c>
      <c r="J82" s="1" t="s">
        <v>25</v>
      </c>
      <c r="K82" s="34">
        <v>1.2869999999999999</v>
      </c>
    </row>
    <row r="83" spans="1:12" ht="32.4" hidden="1" x14ac:dyDescent="0.25">
      <c r="A83" s="27"/>
      <c r="B83" s="27" t="s">
        <v>15</v>
      </c>
      <c r="C83" s="28" t="s">
        <v>208</v>
      </c>
      <c r="D83" s="37" t="s">
        <v>209</v>
      </c>
      <c r="E83" s="27" t="s">
        <v>40</v>
      </c>
      <c r="F83" s="30">
        <v>42243</v>
      </c>
      <c r="G83" s="31">
        <v>34799</v>
      </c>
      <c r="H83" s="32">
        <v>4700</v>
      </c>
      <c r="I83" s="33">
        <f t="shared" si="2"/>
        <v>1350.61</v>
      </c>
      <c r="J83" s="1" t="s">
        <v>210</v>
      </c>
      <c r="K83" s="34">
        <v>1.2</v>
      </c>
      <c r="L83" s="34">
        <v>1.03</v>
      </c>
    </row>
    <row r="84" spans="1:12" ht="21.6" hidden="1" x14ac:dyDescent="0.25">
      <c r="A84" s="27"/>
      <c r="B84" s="27" t="s">
        <v>15</v>
      </c>
      <c r="C84" s="28" t="s">
        <v>211</v>
      </c>
      <c r="D84" s="37" t="s">
        <v>212</v>
      </c>
      <c r="E84" s="27" t="s">
        <v>18</v>
      </c>
      <c r="F84" s="30">
        <v>42233</v>
      </c>
      <c r="G84" s="31">
        <v>125.6</v>
      </c>
      <c r="H84" s="32">
        <v>54.628500000000003</v>
      </c>
      <c r="I84" s="33">
        <f t="shared" si="2"/>
        <v>4349.3999999999996</v>
      </c>
      <c r="J84" s="1" t="s">
        <v>213</v>
      </c>
      <c r="K84" s="34">
        <v>1.5049999999999999</v>
      </c>
    </row>
    <row r="85" spans="1:12" ht="32.4" hidden="1" x14ac:dyDescent="0.25">
      <c r="A85" s="27"/>
      <c r="B85" s="27" t="s">
        <v>15</v>
      </c>
      <c r="C85" s="28" t="s">
        <v>214</v>
      </c>
      <c r="D85" s="37" t="s">
        <v>215</v>
      </c>
      <c r="E85" s="27" t="s">
        <v>21</v>
      </c>
      <c r="F85" s="30">
        <v>42201</v>
      </c>
      <c r="G85" s="31">
        <v>96376</v>
      </c>
      <c r="H85" s="32">
        <v>26000</v>
      </c>
      <c r="I85" s="33">
        <f t="shared" si="2"/>
        <v>2697.77</v>
      </c>
      <c r="J85" s="1" t="s">
        <v>140</v>
      </c>
      <c r="L85" s="34">
        <v>1.28</v>
      </c>
    </row>
    <row r="86" spans="1:12" ht="32.4" hidden="1" x14ac:dyDescent="0.25">
      <c r="A86" s="27"/>
      <c r="B86" s="27" t="s">
        <v>15</v>
      </c>
      <c r="C86" s="28" t="s">
        <v>216</v>
      </c>
      <c r="D86" s="37" t="s">
        <v>217</v>
      </c>
      <c r="E86" s="27" t="s">
        <v>40</v>
      </c>
      <c r="F86" s="30">
        <v>42173</v>
      </c>
      <c r="G86" s="31">
        <v>72805</v>
      </c>
      <c r="H86" s="32">
        <v>30600</v>
      </c>
      <c r="I86" s="33">
        <f t="shared" si="2"/>
        <v>4203.01</v>
      </c>
      <c r="J86" s="1" t="s">
        <v>109</v>
      </c>
      <c r="K86" s="34">
        <v>1.5109999999999999</v>
      </c>
      <c r="L86" s="34">
        <v>1.831</v>
      </c>
    </row>
    <row r="87" spans="1:12" ht="32.4" hidden="1" x14ac:dyDescent="0.25">
      <c r="A87" s="27"/>
      <c r="B87" s="27" t="s">
        <v>15</v>
      </c>
      <c r="C87" s="28" t="s">
        <v>218</v>
      </c>
      <c r="D87" s="37" t="s">
        <v>219</v>
      </c>
      <c r="E87" s="27" t="s">
        <v>40</v>
      </c>
      <c r="F87" s="30">
        <v>42173</v>
      </c>
      <c r="G87" s="31">
        <v>74701</v>
      </c>
      <c r="H87" s="32">
        <v>31400</v>
      </c>
      <c r="I87" s="33">
        <f t="shared" si="2"/>
        <v>4203.42</v>
      </c>
      <c r="J87" s="1" t="s">
        <v>109</v>
      </c>
      <c r="K87" s="34">
        <v>1.5109999999999999</v>
      </c>
      <c r="L87" s="34">
        <v>1.831</v>
      </c>
    </row>
    <row r="88" spans="1:12" ht="32.4" hidden="1" x14ac:dyDescent="0.25">
      <c r="A88" s="27"/>
      <c r="B88" s="27" t="s">
        <v>15</v>
      </c>
      <c r="C88" s="28" t="s">
        <v>220</v>
      </c>
      <c r="D88" s="37" t="s">
        <v>221</v>
      </c>
      <c r="E88" s="27" t="s">
        <v>21</v>
      </c>
      <c r="F88" s="30">
        <v>42158</v>
      </c>
      <c r="G88" s="31">
        <v>3479.1</v>
      </c>
      <c r="H88" s="32">
        <v>105.76464</v>
      </c>
      <c r="I88" s="33">
        <f t="shared" si="2"/>
        <v>304</v>
      </c>
      <c r="J88" s="1" t="s">
        <v>222</v>
      </c>
      <c r="L88" s="34">
        <v>1.831</v>
      </c>
    </row>
    <row r="89" spans="1:12" ht="32.4" hidden="1" x14ac:dyDescent="0.25">
      <c r="A89" s="27"/>
      <c r="B89" s="27" t="s">
        <v>15</v>
      </c>
      <c r="C89" s="28" t="s">
        <v>223</v>
      </c>
      <c r="D89" s="37" t="s">
        <v>224</v>
      </c>
      <c r="E89" s="27" t="s">
        <v>40</v>
      </c>
      <c r="F89" s="30">
        <v>42117</v>
      </c>
      <c r="G89" s="31">
        <v>61597</v>
      </c>
      <c r="H89" s="32">
        <v>12906</v>
      </c>
      <c r="I89" s="33">
        <f t="shared" si="2"/>
        <v>2095.23</v>
      </c>
      <c r="J89" s="1" t="s">
        <v>140</v>
      </c>
      <c r="K89" s="34">
        <v>1.3480000000000001</v>
      </c>
      <c r="L89" s="34">
        <v>1.28</v>
      </c>
    </row>
    <row r="90" spans="1:12" ht="21.6" hidden="1" x14ac:dyDescent="0.25">
      <c r="A90" s="27"/>
      <c r="B90" s="27" t="s">
        <v>15</v>
      </c>
      <c r="C90" s="28" t="s">
        <v>225</v>
      </c>
      <c r="D90" s="37" t="s">
        <v>226</v>
      </c>
      <c r="E90" s="27" t="s">
        <v>21</v>
      </c>
      <c r="F90" s="30">
        <v>42082</v>
      </c>
      <c r="G90" s="31">
        <v>67375</v>
      </c>
      <c r="H90" s="32">
        <v>7100</v>
      </c>
      <c r="I90" s="33">
        <f t="shared" si="2"/>
        <v>1053.8</v>
      </c>
      <c r="J90" s="1" t="s">
        <v>227</v>
      </c>
      <c r="L90" s="34">
        <v>0.77400000000000002</v>
      </c>
    </row>
    <row r="91" spans="1:12" ht="32.4" hidden="1" x14ac:dyDescent="0.25">
      <c r="A91" s="27"/>
      <c r="B91" s="27" t="s">
        <v>15</v>
      </c>
      <c r="C91" s="28" t="s">
        <v>228</v>
      </c>
      <c r="D91" s="37" t="s">
        <v>229</v>
      </c>
      <c r="E91" s="27" t="s">
        <v>40</v>
      </c>
      <c r="F91" s="30">
        <v>42082</v>
      </c>
      <c r="G91" s="31">
        <v>72606</v>
      </c>
      <c r="H91" s="32">
        <v>16500</v>
      </c>
      <c r="I91" s="33">
        <f t="shared" si="2"/>
        <v>2272.54</v>
      </c>
      <c r="J91" s="1" t="s">
        <v>230</v>
      </c>
      <c r="K91" s="34">
        <v>1.2170000000000001</v>
      </c>
      <c r="L91" s="34">
        <v>1.0569999999999999</v>
      </c>
    </row>
    <row r="92" spans="1:12" ht="32.4" hidden="1" x14ac:dyDescent="0.25">
      <c r="A92" s="27"/>
      <c r="B92" s="27" t="s">
        <v>15</v>
      </c>
      <c r="C92" s="28" t="s">
        <v>231</v>
      </c>
      <c r="D92" s="37" t="s">
        <v>232</v>
      </c>
      <c r="E92" s="27" t="s">
        <v>18</v>
      </c>
      <c r="F92" s="30">
        <v>42075</v>
      </c>
      <c r="G92" s="31">
        <v>14654</v>
      </c>
      <c r="H92" s="32">
        <v>2250</v>
      </c>
      <c r="I92" s="33">
        <f t="shared" si="2"/>
        <v>1535.42</v>
      </c>
      <c r="J92" s="1" t="s">
        <v>233</v>
      </c>
      <c r="K92" s="34">
        <v>1.048</v>
      </c>
    </row>
    <row r="93" spans="1:12" ht="32.4" hidden="1" x14ac:dyDescent="0.25">
      <c r="A93" s="27"/>
      <c r="B93" s="27" t="s">
        <v>15</v>
      </c>
      <c r="C93" s="28" t="s">
        <v>234</v>
      </c>
      <c r="D93" s="37" t="s">
        <v>235</v>
      </c>
      <c r="E93" s="27" t="s">
        <v>18</v>
      </c>
      <c r="F93" s="30">
        <v>42075</v>
      </c>
      <c r="G93" s="31">
        <v>4024</v>
      </c>
      <c r="H93" s="32">
        <v>580</v>
      </c>
      <c r="I93" s="33">
        <f t="shared" si="2"/>
        <v>1441.35</v>
      </c>
      <c r="J93" s="1" t="s">
        <v>236</v>
      </c>
      <c r="K93" s="34">
        <v>0.66300000000000003</v>
      </c>
    </row>
    <row r="94" spans="1:12" ht="32.4" hidden="1" x14ac:dyDescent="0.25">
      <c r="A94" s="27"/>
      <c r="B94" s="27" t="s">
        <v>15</v>
      </c>
      <c r="C94" s="28" t="s">
        <v>237</v>
      </c>
      <c r="D94" s="37" t="s">
        <v>238</v>
      </c>
      <c r="E94" s="27" t="s">
        <v>18</v>
      </c>
      <c r="F94" s="30">
        <v>42075</v>
      </c>
      <c r="G94" s="31">
        <v>12208</v>
      </c>
      <c r="H94" s="32">
        <v>2950</v>
      </c>
      <c r="I94" s="33">
        <f t="shared" si="2"/>
        <v>2416.4499999999998</v>
      </c>
      <c r="J94" s="1" t="s">
        <v>239</v>
      </c>
      <c r="K94" s="34">
        <v>1.4</v>
      </c>
    </row>
    <row r="95" spans="1:12" ht="32.4" hidden="1" x14ac:dyDescent="0.25">
      <c r="A95" s="27"/>
      <c r="B95" s="27" t="s">
        <v>15</v>
      </c>
      <c r="C95" s="28" t="s">
        <v>240</v>
      </c>
      <c r="D95" s="37" t="s">
        <v>241</v>
      </c>
      <c r="E95" s="27" t="s">
        <v>18</v>
      </c>
      <c r="F95" s="30">
        <v>42075</v>
      </c>
      <c r="G95" s="31">
        <v>4382</v>
      </c>
      <c r="H95" s="32">
        <v>3250</v>
      </c>
      <c r="I95" s="33">
        <f t="shared" si="2"/>
        <v>7416.7</v>
      </c>
      <c r="J95" s="1" t="s">
        <v>242</v>
      </c>
      <c r="K95" s="1">
        <v>1.1379999999999999</v>
      </c>
    </row>
    <row r="96" spans="1:12" ht="32.4" hidden="1" x14ac:dyDescent="0.25">
      <c r="A96" s="27"/>
      <c r="B96" s="27" t="s">
        <v>15</v>
      </c>
      <c r="C96" s="28" t="s">
        <v>243</v>
      </c>
      <c r="D96" s="37" t="s">
        <v>244</v>
      </c>
      <c r="E96" s="27" t="s">
        <v>18</v>
      </c>
      <c r="F96" s="30">
        <v>42075</v>
      </c>
      <c r="G96" s="31">
        <v>2436</v>
      </c>
      <c r="H96" s="32">
        <v>380</v>
      </c>
      <c r="I96" s="33">
        <f t="shared" si="2"/>
        <v>1559.93</v>
      </c>
      <c r="J96" s="1" t="s">
        <v>245</v>
      </c>
      <c r="K96" s="34">
        <v>1.4219999999999999</v>
      </c>
    </row>
    <row r="97" spans="1:12" ht="32.4" hidden="1" x14ac:dyDescent="0.25">
      <c r="A97" s="27"/>
      <c r="B97" s="27" t="s">
        <v>15</v>
      </c>
      <c r="C97" s="28" t="s">
        <v>246</v>
      </c>
      <c r="D97" s="37" t="s">
        <v>247</v>
      </c>
      <c r="E97" s="27" t="s">
        <v>40</v>
      </c>
      <c r="F97" s="30">
        <v>42068</v>
      </c>
      <c r="G97" s="31">
        <v>109586</v>
      </c>
      <c r="H97" s="32">
        <v>48000</v>
      </c>
      <c r="I97" s="33">
        <f t="shared" si="2"/>
        <v>4380.12</v>
      </c>
      <c r="J97" s="1" t="s">
        <v>109</v>
      </c>
      <c r="K97" s="34">
        <v>1.5109999999999999</v>
      </c>
      <c r="L97" s="34">
        <v>1.831</v>
      </c>
    </row>
    <row r="98" spans="1:12" ht="32.4" hidden="1" x14ac:dyDescent="0.25">
      <c r="A98" s="27"/>
      <c r="B98" s="27" t="s">
        <v>15</v>
      </c>
      <c r="C98" s="28" t="s">
        <v>248</v>
      </c>
      <c r="D98" s="37" t="s">
        <v>249</v>
      </c>
      <c r="E98" s="27" t="s">
        <v>40</v>
      </c>
      <c r="F98" s="30">
        <v>42068</v>
      </c>
      <c r="G98" s="31">
        <v>153145</v>
      </c>
      <c r="H98" s="32">
        <v>64300</v>
      </c>
      <c r="I98" s="33">
        <f t="shared" si="2"/>
        <v>4198.6400000000003</v>
      </c>
      <c r="J98" s="1" t="s">
        <v>109</v>
      </c>
      <c r="K98" s="34">
        <v>1.5109999999999999</v>
      </c>
      <c r="L98" s="34">
        <v>1.831</v>
      </c>
    </row>
    <row r="99" spans="1:12" ht="32.4" hidden="1" x14ac:dyDescent="0.25">
      <c r="A99" s="27"/>
      <c r="B99" s="27" t="s">
        <v>15</v>
      </c>
      <c r="C99" s="28" t="s">
        <v>250</v>
      </c>
      <c r="D99" s="37" t="s">
        <v>251</v>
      </c>
      <c r="E99" s="27" t="s">
        <v>40</v>
      </c>
      <c r="F99" s="30">
        <v>42068</v>
      </c>
      <c r="G99" s="31">
        <v>11286</v>
      </c>
      <c r="H99" s="32">
        <v>4450</v>
      </c>
      <c r="I99" s="33">
        <f t="shared" si="2"/>
        <v>3942.94</v>
      </c>
      <c r="J99" s="1" t="s">
        <v>109</v>
      </c>
      <c r="K99" s="34">
        <v>1.5109999999999999</v>
      </c>
      <c r="L99" s="34">
        <v>1.831</v>
      </c>
    </row>
    <row r="100" spans="1:12" ht="21.6" hidden="1" x14ac:dyDescent="0.25">
      <c r="A100" s="27"/>
      <c r="B100" s="27" t="s">
        <v>15</v>
      </c>
      <c r="C100" s="28" t="s">
        <v>252</v>
      </c>
      <c r="D100" s="37" t="s">
        <v>253</v>
      </c>
      <c r="E100" s="27" t="s">
        <v>40</v>
      </c>
      <c r="F100" s="30">
        <v>42068</v>
      </c>
      <c r="G100" s="31">
        <v>17421</v>
      </c>
      <c r="H100" s="32">
        <v>6500</v>
      </c>
      <c r="I100" s="33">
        <f t="shared" si="2"/>
        <v>3731.13</v>
      </c>
      <c r="J100" s="1" t="s">
        <v>109</v>
      </c>
      <c r="K100" s="34">
        <v>1.5109999999999999</v>
      </c>
      <c r="L100" s="34">
        <v>1.831</v>
      </c>
    </row>
    <row r="101" spans="1:12" ht="32.4" hidden="1" x14ac:dyDescent="0.25">
      <c r="A101" s="27"/>
      <c r="B101" s="27" t="s">
        <v>15</v>
      </c>
      <c r="C101" s="28" t="s">
        <v>254</v>
      </c>
      <c r="D101" s="37" t="s">
        <v>255</v>
      </c>
      <c r="E101" s="27" t="s">
        <v>40</v>
      </c>
      <c r="F101" s="30">
        <v>42068</v>
      </c>
      <c r="G101" s="31">
        <v>62258</v>
      </c>
      <c r="H101" s="32">
        <v>22000</v>
      </c>
      <c r="I101" s="33">
        <f t="shared" si="2"/>
        <v>3533.68</v>
      </c>
      <c r="J101" s="1" t="s">
        <v>256</v>
      </c>
      <c r="K101" s="34">
        <v>1.5109999999999999</v>
      </c>
      <c r="L101" s="34">
        <v>1.831</v>
      </c>
    </row>
    <row r="102" spans="1:12" ht="21.6" hidden="1" x14ac:dyDescent="0.25">
      <c r="A102" s="27"/>
      <c r="B102" s="27" t="s">
        <v>15</v>
      </c>
      <c r="C102" s="28" t="s">
        <v>257</v>
      </c>
      <c r="D102" s="37" t="s">
        <v>258</v>
      </c>
      <c r="E102" s="27" t="s">
        <v>40</v>
      </c>
      <c r="F102" s="30">
        <v>42068</v>
      </c>
      <c r="G102" s="31">
        <v>65518</v>
      </c>
      <c r="H102" s="32">
        <v>22900</v>
      </c>
      <c r="I102" s="33">
        <f t="shared" si="2"/>
        <v>3495.22</v>
      </c>
      <c r="J102" s="1" t="s">
        <v>109</v>
      </c>
      <c r="K102" s="34">
        <v>1.5109999999999999</v>
      </c>
      <c r="L102" s="34">
        <v>1.831</v>
      </c>
    </row>
    <row r="103" spans="1:12" ht="21.6" hidden="1" x14ac:dyDescent="0.25">
      <c r="A103" s="27"/>
      <c r="B103" s="27" t="s">
        <v>15</v>
      </c>
      <c r="C103" s="28" t="s">
        <v>259</v>
      </c>
      <c r="D103" s="37" t="s">
        <v>260</v>
      </c>
      <c r="E103" s="27" t="s">
        <v>40</v>
      </c>
      <c r="F103" s="30">
        <v>42068</v>
      </c>
      <c r="G103" s="31">
        <v>39411</v>
      </c>
      <c r="H103" s="32">
        <v>27300</v>
      </c>
      <c r="I103" s="33">
        <f t="shared" si="2"/>
        <v>6927</v>
      </c>
      <c r="J103" s="1" t="s">
        <v>109</v>
      </c>
      <c r="K103" s="34">
        <v>1.5109999999999999</v>
      </c>
      <c r="L103" s="34">
        <v>1.831</v>
      </c>
    </row>
    <row r="104" spans="1:12" ht="32.4" hidden="1" x14ac:dyDescent="0.25">
      <c r="A104" s="27"/>
      <c r="B104" s="27" t="s">
        <v>15</v>
      </c>
      <c r="C104" s="28" t="s">
        <v>261</v>
      </c>
      <c r="D104" s="37" t="s">
        <v>262</v>
      </c>
      <c r="E104" s="27" t="s">
        <v>40</v>
      </c>
      <c r="F104" s="30">
        <v>42068</v>
      </c>
      <c r="G104" s="31">
        <v>66890</v>
      </c>
      <c r="H104" s="32">
        <v>28600</v>
      </c>
      <c r="I104" s="33">
        <f t="shared" si="2"/>
        <v>4275.68</v>
      </c>
      <c r="J104" s="1" t="s">
        <v>109</v>
      </c>
      <c r="K104" s="34">
        <v>1.5109999999999999</v>
      </c>
      <c r="L104" s="34">
        <v>1.831</v>
      </c>
    </row>
    <row r="105" spans="1:12" ht="21.6" hidden="1" x14ac:dyDescent="0.25">
      <c r="A105" s="27"/>
      <c r="B105" s="27" t="s">
        <v>15</v>
      </c>
      <c r="C105" s="28" t="s">
        <v>263</v>
      </c>
      <c r="D105" s="37" t="s">
        <v>264</v>
      </c>
      <c r="E105" s="27" t="s">
        <v>40</v>
      </c>
      <c r="F105" s="30">
        <v>42068</v>
      </c>
      <c r="G105" s="31">
        <v>43006</v>
      </c>
      <c r="H105" s="32">
        <v>29700</v>
      </c>
      <c r="I105" s="33">
        <f t="shared" si="2"/>
        <v>6906.01</v>
      </c>
      <c r="J105" s="1" t="s">
        <v>109</v>
      </c>
      <c r="K105" s="34">
        <v>1.5109999999999999</v>
      </c>
      <c r="L105" s="34">
        <v>1.831</v>
      </c>
    </row>
    <row r="106" spans="1:12" ht="32.4" hidden="1" x14ac:dyDescent="0.25">
      <c r="A106" s="27"/>
      <c r="B106" s="27" t="s">
        <v>15</v>
      </c>
      <c r="C106" s="28" t="s">
        <v>265</v>
      </c>
      <c r="D106" s="37" t="s">
        <v>266</v>
      </c>
      <c r="E106" s="27" t="s">
        <v>40</v>
      </c>
      <c r="F106" s="30">
        <v>42068</v>
      </c>
      <c r="G106" s="31">
        <v>27979</v>
      </c>
      <c r="H106" s="32">
        <v>9700</v>
      </c>
      <c r="I106" s="33">
        <f t="shared" si="2"/>
        <v>3466.89</v>
      </c>
      <c r="J106" s="1" t="s">
        <v>267</v>
      </c>
      <c r="K106" s="34">
        <v>1.5109999999999999</v>
      </c>
      <c r="L106" s="34">
        <v>1.831</v>
      </c>
    </row>
    <row r="107" spans="1:12" ht="32.4" hidden="1" x14ac:dyDescent="0.25">
      <c r="A107" s="27"/>
      <c r="B107" s="27" t="s">
        <v>15</v>
      </c>
      <c r="C107" s="28" t="s">
        <v>268</v>
      </c>
      <c r="D107" s="37" t="s">
        <v>269</v>
      </c>
      <c r="E107" s="27" t="s">
        <v>40</v>
      </c>
      <c r="F107" s="30">
        <v>42068</v>
      </c>
      <c r="G107" s="31">
        <v>49402</v>
      </c>
      <c r="H107" s="32">
        <v>17800</v>
      </c>
      <c r="I107" s="33">
        <f t="shared" si="2"/>
        <v>3603.09</v>
      </c>
      <c r="J107" s="1" t="s">
        <v>109</v>
      </c>
      <c r="K107" s="34">
        <v>1.5109999999999999</v>
      </c>
      <c r="L107" s="34">
        <v>1.831</v>
      </c>
    </row>
    <row r="108" spans="1:12" ht="32.4" hidden="1" x14ac:dyDescent="0.25">
      <c r="A108" s="27"/>
      <c r="B108" s="27" t="s">
        <v>15</v>
      </c>
      <c r="C108" s="28" t="s">
        <v>270</v>
      </c>
      <c r="D108" s="37" t="s">
        <v>271</v>
      </c>
      <c r="E108" s="27" t="s">
        <v>40</v>
      </c>
      <c r="F108" s="30">
        <v>42068</v>
      </c>
      <c r="G108" s="31">
        <v>65208</v>
      </c>
      <c r="H108" s="32">
        <v>24300</v>
      </c>
      <c r="I108" s="33">
        <f t="shared" si="2"/>
        <v>3726.54</v>
      </c>
      <c r="J108" s="1" t="s">
        <v>109</v>
      </c>
      <c r="K108" s="34">
        <v>1.5109999999999999</v>
      </c>
      <c r="L108" s="34">
        <v>1.831</v>
      </c>
    </row>
    <row r="109" spans="1:12" ht="32.4" hidden="1" x14ac:dyDescent="0.25">
      <c r="A109" s="27"/>
      <c r="B109" s="27" t="s">
        <v>15</v>
      </c>
      <c r="C109" s="28" t="s">
        <v>272</v>
      </c>
      <c r="D109" s="37" t="s">
        <v>273</v>
      </c>
      <c r="E109" s="27" t="s">
        <v>40</v>
      </c>
      <c r="F109" s="30">
        <v>42068</v>
      </c>
      <c r="G109" s="31">
        <v>119531</v>
      </c>
      <c r="H109" s="32">
        <v>41700</v>
      </c>
      <c r="I109" s="33">
        <f t="shared" si="2"/>
        <v>3488.63</v>
      </c>
      <c r="J109" s="1" t="s">
        <v>109</v>
      </c>
      <c r="K109" s="34">
        <v>1.5109999999999999</v>
      </c>
      <c r="L109" s="34">
        <v>1.831</v>
      </c>
    </row>
    <row r="110" spans="1:12" ht="32.4" hidden="1" x14ac:dyDescent="0.25">
      <c r="A110" s="27"/>
      <c r="B110" s="27" t="s">
        <v>15</v>
      </c>
      <c r="C110" s="28" t="s">
        <v>274</v>
      </c>
      <c r="D110" s="37" t="s">
        <v>275</v>
      </c>
      <c r="E110" s="27" t="s">
        <v>40</v>
      </c>
      <c r="F110" s="30">
        <v>42068</v>
      </c>
      <c r="G110" s="31">
        <v>50804</v>
      </c>
      <c r="H110" s="32">
        <v>21300</v>
      </c>
      <c r="I110" s="33">
        <f t="shared" si="2"/>
        <v>4192.58</v>
      </c>
      <c r="J110" s="1" t="s">
        <v>109</v>
      </c>
      <c r="K110" s="34">
        <v>1.5109999999999999</v>
      </c>
      <c r="L110" s="34">
        <v>1.831</v>
      </c>
    </row>
    <row r="111" spans="1:12" ht="32.4" hidden="1" x14ac:dyDescent="0.25">
      <c r="A111" s="27"/>
      <c r="B111" s="27" t="s">
        <v>15</v>
      </c>
      <c r="C111" s="28" t="s">
        <v>276</v>
      </c>
      <c r="D111" s="37" t="s">
        <v>277</v>
      </c>
      <c r="E111" s="27" t="s">
        <v>40</v>
      </c>
      <c r="F111" s="30">
        <v>42068</v>
      </c>
      <c r="G111" s="31">
        <v>73957</v>
      </c>
      <c r="H111" s="32">
        <v>31200</v>
      </c>
      <c r="I111" s="33">
        <f t="shared" si="2"/>
        <v>4218.67</v>
      </c>
      <c r="J111" s="1" t="s">
        <v>109</v>
      </c>
      <c r="K111" s="34">
        <v>1.5109999999999999</v>
      </c>
      <c r="L111" s="34">
        <v>1.831</v>
      </c>
    </row>
    <row r="112" spans="1:12" ht="32.4" hidden="1" x14ac:dyDescent="0.25">
      <c r="A112" s="27"/>
      <c r="B112" s="27" t="s">
        <v>15</v>
      </c>
      <c r="C112" s="28" t="s">
        <v>278</v>
      </c>
      <c r="D112" s="37" t="s">
        <v>279</v>
      </c>
      <c r="E112" s="27" t="s">
        <v>40</v>
      </c>
      <c r="F112" s="30">
        <v>42068</v>
      </c>
      <c r="G112" s="31">
        <v>88316</v>
      </c>
      <c r="H112" s="32">
        <v>37200</v>
      </c>
      <c r="I112" s="33">
        <f t="shared" si="2"/>
        <v>4212.1499999999996</v>
      </c>
      <c r="J112" s="1" t="s">
        <v>109</v>
      </c>
      <c r="K112" s="34">
        <v>1.5109999999999999</v>
      </c>
      <c r="L112" s="34">
        <v>1.831</v>
      </c>
    </row>
    <row r="113" spans="1:12" ht="32.4" hidden="1" x14ac:dyDescent="0.25">
      <c r="A113" s="27"/>
      <c r="B113" s="27" t="s">
        <v>15</v>
      </c>
      <c r="C113" s="28" t="s">
        <v>280</v>
      </c>
      <c r="D113" s="37" t="s">
        <v>281</v>
      </c>
      <c r="E113" s="27" t="s">
        <v>40</v>
      </c>
      <c r="F113" s="30">
        <v>42047</v>
      </c>
      <c r="G113" s="31">
        <v>120371</v>
      </c>
      <c r="H113" s="32">
        <v>15500</v>
      </c>
      <c r="I113" s="33">
        <f t="shared" si="2"/>
        <v>1287.69</v>
      </c>
      <c r="J113" s="1" t="s">
        <v>282</v>
      </c>
      <c r="K113" s="34">
        <v>1.2170000000000001</v>
      </c>
      <c r="L113" s="34">
        <v>1.0569999999999999</v>
      </c>
    </row>
    <row r="114" spans="1:12" ht="32.4" hidden="1" x14ac:dyDescent="0.25">
      <c r="A114" s="27"/>
      <c r="B114" s="27" t="s">
        <v>15</v>
      </c>
      <c r="C114" s="28" t="s">
        <v>283</v>
      </c>
      <c r="D114" s="37" t="s">
        <v>284</v>
      </c>
      <c r="E114" s="27" t="s">
        <v>18</v>
      </c>
      <c r="F114" s="30">
        <v>42047</v>
      </c>
      <c r="G114" s="31">
        <v>32499</v>
      </c>
      <c r="H114" s="32">
        <v>7200</v>
      </c>
      <c r="I114" s="33">
        <f t="shared" si="2"/>
        <v>2215.4499999999998</v>
      </c>
      <c r="J114" s="1" t="s">
        <v>285</v>
      </c>
      <c r="K114" s="1">
        <v>1.41</v>
      </c>
    </row>
    <row r="115" spans="1:12" ht="32.4" hidden="1" x14ac:dyDescent="0.25">
      <c r="A115" s="27"/>
      <c r="B115" s="27" t="s">
        <v>15</v>
      </c>
      <c r="C115" s="28" t="s">
        <v>286</v>
      </c>
      <c r="D115" s="37" t="s">
        <v>287</v>
      </c>
      <c r="E115" s="27" t="s">
        <v>40</v>
      </c>
      <c r="F115" s="30">
        <v>42047</v>
      </c>
      <c r="G115" s="31">
        <v>23947</v>
      </c>
      <c r="H115" s="32">
        <v>5500</v>
      </c>
      <c r="I115" s="33">
        <f t="shared" si="2"/>
        <v>2296.7399999999998</v>
      </c>
      <c r="J115" s="1" t="s">
        <v>140</v>
      </c>
      <c r="K115" s="34">
        <v>1.3480000000000001</v>
      </c>
      <c r="L115" s="34">
        <v>1.28</v>
      </c>
    </row>
    <row r="116" spans="1:12" ht="22.8" hidden="1" x14ac:dyDescent="0.25">
      <c r="A116" s="27"/>
      <c r="B116" s="27" t="s">
        <v>15</v>
      </c>
      <c r="C116" s="28" t="s">
        <v>288</v>
      </c>
      <c r="D116" s="37" t="s">
        <v>289</v>
      </c>
      <c r="E116" s="27" t="s">
        <v>18</v>
      </c>
      <c r="F116" s="30">
        <v>42012</v>
      </c>
      <c r="G116" s="31">
        <v>125.2</v>
      </c>
      <c r="H116" s="32">
        <v>31.857399999999998</v>
      </c>
      <c r="I116" s="33">
        <f t="shared" si="2"/>
        <v>2544.52</v>
      </c>
    </row>
    <row r="117" spans="1:12" ht="22.8" hidden="1" x14ac:dyDescent="0.25">
      <c r="A117" s="27"/>
      <c r="B117" s="27" t="s">
        <v>15</v>
      </c>
      <c r="C117" s="28" t="s">
        <v>290</v>
      </c>
      <c r="D117" s="37" t="s">
        <v>291</v>
      </c>
      <c r="E117" s="27" t="s">
        <v>18</v>
      </c>
      <c r="F117" s="30">
        <v>42012</v>
      </c>
      <c r="G117" s="31">
        <v>3106.5</v>
      </c>
      <c r="H117" s="32">
        <v>401.0367</v>
      </c>
      <c r="I117" s="33">
        <f t="shared" si="2"/>
        <v>1290.96</v>
      </c>
    </row>
    <row r="118" spans="1:12" ht="32.4" hidden="1" x14ac:dyDescent="0.25">
      <c r="A118" s="27"/>
      <c r="B118" s="27" t="s">
        <v>15</v>
      </c>
      <c r="C118" s="28" t="s">
        <v>292</v>
      </c>
      <c r="D118" s="37" t="s">
        <v>293</v>
      </c>
      <c r="E118" s="27" t="s">
        <v>40</v>
      </c>
      <c r="F118" s="30">
        <v>42012</v>
      </c>
      <c r="G118" s="31">
        <v>51065</v>
      </c>
      <c r="H118" s="32">
        <v>20000</v>
      </c>
      <c r="I118" s="33">
        <f t="shared" si="2"/>
        <v>3916.58</v>
      </c>
      <c r="J118" s="1" t="s">
        <v>109</v>
      </c>
      <c r="K118" s="34">
        <v>1.5109999999999999</v>
      </c>
      <c r="L118" s="34">
        <v>1.831</v>
      </c>
    </row>
    <row r="119" spans="1:12" ht="32.4" hidden="1" x14ac:dyDescent="0.25">
      <c r="A119" s="27"/>
      <c r="B119" s="27" t="s">
        <v>15</v>
      </c>
      <c r="C119" s="28" t="s">
        <v>294</v>
      </c>
      <c r="D119" s="37" t="s">
        <v>295</v>
      </c>
      <c r="E119" s="27" t="s">
        <v>40</v>
      </c>
      <c r="F119" s="30">
        <v>42012</v>
      </c>
      <c r="G119" s="31">
        <v>73834</v>
      </c>
      <c r="H119" s="32">
        <v>29100</v>
      </c>
      <c r="I119" s="33">
        <f t="shared" si="2"/>
        <v>3941.27</v>
      </c>
      <c r="J119" s="1" t="s">
        <v>256</v>
      </c>
      <c r="K119" s="34">
        <v>1.5109999999999999</v>
      </c>
      <c r="L119" s="34">
        <v>1.831</v>
      </c>
    </row>
    <row r="120" spans="1:12" ht="32.4" hidden="1" x14ac:dyDescent="0.25">
      <c r="A120" s="27"/>
      <c r="B120" s="27" t="s">
        <v>15</v>
      </c>
      <c r="C120" s="28" t="s">
        <v>296</v>
      </c>
      <c r="D120" s="37" t="s">
        <v>297</v>
      </c>
      <c r="E120" s="27" t="s">
        <v>40</v>
      </c>
      <c r="F120" s="30">
        <v>42012</v>
      </c>
      <c r="G120" s="31">
        <v>75104</v>
      </c>
      <c r="H120" s="32">
        <v>30700</v>
      </c>
      <c r="I120" s="33">
        <f t="shared" si="2"/>
        <v>4087.67</v>
      </c>
      <c r="J120" s="1" t="s">
        <v>109</v>
      </c>
      <c r="K120" s="34">
        <v>1.5109999999999999</v>
      </c>
      <c r="L120" s="34">
        <v>1.831</v>
      </c>
    </row>
    <row r="121" spans="1:12" ht="32.4" hidden="1" x14ac:dyDescent="0.25">
      <c r="A121" s="27"/>
      <c r="B121" s="27" t="s">
        <v>15</v>
      </c>
      <c r="C121" s="28" t="s">
        <v>298</v>
      </c>
      <c r="D121" s="37" t="s">
        <v>299</v>
      </c>
      <c r="E121" s="27" t="s">
        <v>40</v>
      </c>
      <c r="F121" s="30">
        <v>42012</v>
      </c>
      <c r="G121" s="31">
        <v>16190</v>
      </c>
      <c r="H121" s="32">
        <v>4450</v>
      </c>
      <c r="I121" s="33">
        <f t="shared" si="2"/>
        <v>2748.61</v>
      </c>
      <c r="J121" s="1" t="s">
        <v>109</v>
      </c>
      <c r="K121" s="34">
        <v>1.5109999999999999</v>
      </c>
      <c r="L121" s="34">
        <v>1.831</v>
      </c>
    </row>
    <row r="122" spans="1:12" ht="32.4" hidden="1" x14ac:dyDescent="0.25">
      <c r="A122" s="27"/>
      <c r="B122" s="27" t="s">
        <v>15</v>
      </c>
      <c r="C122" s="28" t="s">
        <v>300</v>
      </c>
      <c r="D122" s="37" t="s">
        <v>301</v>
      </c>
      <c r="E122" s="27" t="s">
        <v>40</v>
      </c>
      <c r="F122" s="30">
        <v>42012</v>
      </c>
      <c r="G122" s="31">
        <v>12108</v>
      </c>
      <c r="H122" s="32">
        <v>4850</v>
      </c>
      <c r="I122" s="33">
        <f t="shared" si="2"/>
        <v>4005.62</v>
      </c>
      <c r="J122" s="1" t="s">
        <v>109</v>
      </c>
      <c r="K122" s="34">
        <v>1.5109999999999999</v>
      </c>
      <c r="L122" s="34">
        <v>1.831</v>
      </c>
    </row>
    <row r="123" spans="1:12" ht="32.4" hidden="1" x14ac:dyDescent="0.25">
      <c r="A123" s="27"/>
      <c r="B123" s="27" t="s">
        <v>15</v>
      </c>
      <c r="C123" s="28" t="s">
        <v>302</v>
      </c>
      <c r="D123" s="37" t="s">
        <v>303</v>
      </c>
      <c r="E123" s="27" t="s">
        <v>40</v>
      </c>
      <c r="F123" s="30">
        <v>42012</v>
      </c>
      <c r="G123" s="31">
        <v>21803</v>
      </c>
      <c r="H123" s="32">
        <v>10100</v>
      </c>
      <c r="I123" s="33">
        <f t="shared" si="2"/>
        <v>4632.3900000000003</v>
      </c>
      <c r="J123" s="1" t="s">
        <v>109</v>
      </c>
      <c r="K123" s="34">
        <v>1.5109999999999999</v>
      </c>
      <c r="L123" s="34">
        <v>1.831</v>
      </c>
    </row>
    <row r="124" spans="1:12" ht="32.4" hidden="1" x14ac:dyDescent="0.25">
      <c r="A124" s="27"/>
      <c r="B124" s="27" t="s">
        <v>15</v>
      </c>
      <c r="C124" s="28" t="s">
        <v>304</v>
      </c>
      <c r="D124" s="37" t="s">
        <v>305</v>
      </c>
      <c r="E124" s="27" t="s">
        <v>40</v>
      </c>
      <c r="F124" s="30">
        <v>42012</v>
      </c>
      <c r="G124" s="31">
        <v>32839</v>
      </c>
      <c r="H124" s="32">
        <v>5600</v>
      </c>
      <c r="I124" s="33">
        <f t="shared" si="2"/>
        <v>1705.29</v>
      </c>
      <c r="J124" s="1" t="s">
        <v>37</v>
      </c>
      <c r="K124" s="34">
        <v>1.514</v>
      </c>
      <c r="L124" s="34">
        <v>2.1019999999999999</v>
      </c>
    </row>
    <row r="125" spans="1:12" ht="32.4" hidden="1" x14ac:dyDescent="0.25">
      <c r="A125" s="27"/>
      <c r="B125" s="27" t="s">
        <v>15</v>
      </c>
      <c r="C125" s="28" t="s">
        <v>306</v>
      </c>
      <c r="D125" s="37" t="s">
        <v>307</v>
      </c>
      <c r="E125" s="27" t="s">
        <v>40</v>
      </c>
      <c r="F125" s="30">
        <v>42012</v>
      </c>
      <c r="G125" s="31">
        <v>20756</v>
      </c>
      <c r="H125" s="32">
        <v>11000</v>
      </c>
      <c r="I125" s="33">
        <f t="shared" si="2"/>
        <v>5299.67</v>
      </c>
      <c r="J125" s="1" t="s">
        <v>308</v>
      </c>
      <c r="K125" s="34">
        <v>1.514</v>
      </c>
      <c r="L125" s="34">
        <v>2.1560000000000001</v>
      </c>
    </row>
    <row r="126" spans="1:12" ht="21.6" hidden="1" x14ac:dyDescent="0.25">
      <c r="A126" s="27"/>
      <c r="B126" s="27" t="s">
        <v>15</v>
      </c>
      <c r="C126" s="28" t="s">
        <v>309</v>
      </c>
      <c r="D126" s="37" t="s">
        <v>310</v>
      </c>
      <c r="E126" s="27" t="s">
        <v>40</v>
      </c>
      <c r="F126" s="30">
        <v>42012</v>
      </c>
      <c r="G126" s="31">
        <v>71320</v>
      </c>
      <c r="H126" s="32">
        <v>57500</v>
      </c>
      <c r="I126" s="33">
        <f t="shared" si="2"/>
        <v>8062.25</v>
      </c>
      <c r="J126" s="1" t="s">
        <v>37</v>
      </c>
      <c r="K126" s="34">
        <v>1.514</v>
      </c>
      <c r="L126" s="34">
        <v>2.1019999999999999</v>
      </c>
    </row>
    <row r="127" spans="1:12" ht="32.4" hidden="1" x14ac:dyDescent="0.25">
      <c r="A127" s="27"/>
      <c r="B127" s="27" t="s">
        <v>15</v>
      </c>
      <c r="C127" s="28" t="s">
        <v>311</v>
      </c>
      <c r="D127" s="37" t="s">
        <v>312</v>
      </c>
      <c r="E127" s="27" t="s">
        <v>40</v>
      </c>
      <c r="F127" s="30">
        <v>42012</v>
      </c>
      <c r="G127" s="31">
        <v>76194</v>
      </c>
      <c r="H127" s="32">
        <v>36000</v>
      </c>
      <c r="I127" s="33">
        <f t="shared" si="2"/>
        <v>4724.78</v>
      </c>
      <c r="J127" s="1" t="s">
        <v>109</v>
      </c>
      <c r="K127" s="34">
        <v>1.5109999999999999</v>
      </c>
      <c r="L127" s="34">
        <v>1.831</v>
      </c>
    </row>
    <row r="128" spans="1:12" ht="32.4" hidden="1" x14ac:dyDescent="0.25">
      <c r="A128" s="27"/>
      <c r="B128" s="27" t="s">
        <v>15</v>
      </c>
      <c r="C128" s="28" t="s">
        <v>313</v>
      </c>
      <c r="D128" s="37" t="s">
        <v>314</v>
      </c>
      <c r="E128" s="27" t="s">
        <v>40</v>
      </c>
      <c r="F128" s="30">
        <v>42012</v>
      </c>
      <c r="G128" s="31">
        <v>82057</v>
      </c>
      <c r="H128" s="32">
        <v>38900</v>
      </c>
      <c r="I128" s="33">
        <f t="shared" si="2"/>
        <v>4740.6099999999997</v>
      </c>
      <c r="J128" s="1" t="s">
        <v>315</v>
      </c>
      <c r="K128" s="34">
        <v>1.5109999999999999</v>
      </c>
      <c r="L128" s="34">
        <v>1.831</v>
      </c>
    </row>
    <row r="129" spans="1:12" ht="32.4" hidden="1" x14ac:dyDescent="0.25">
      <c r="A129" s="27"/>
      <c r="B129" s="27" t="s">
        <v>15</v>
      </c>
      <c r="C129" s="28" t="s">
        <v>316</v>
      </c>
      <c r="D129" s="37" t="s">
        <v>317</v>
      </c>
      <c r="E129" s="27" t="s">
        <v>40</v>
      </c>
      <c r="F129" s="30">
        <v>42012</v>
      </c>
      <c r="G129" s="31">
        <v>26929</v>
      </c>
      <c r="H129" s="32">
        <v>11500</v>
      </c>
      <c r="I129" s="33">
        <f t="shared" si="2"/>
        <v>4270.49</v>
      </c>
      <c r="J129" s="1" t="s">
        <v>109</v>
      </c>
      <c r="K129" s="34">
        <v>1.5109999999999999</v>
      </c>
      <c r="L129" s="34">
        <v>1.831</v>
      </c>
    </row>
    <row r="130" spans="1:12" ht="32.4" hidden="1" x14ac:dyDescent="0.25">
      <c r="A130" s="27"/>
      <c r="B130" s="27" t="s">
        <v>15</v>
      </c>
      <c r="C130" s="28" t="s">
        <v>318</v>
      </c>
      <c r="D130" s="37" t="s">
        <v>319</v>
      </c>
      <c r="E130" s="27" t="s">
        <v>40</v>
      </c>
      <c r="F130" s="30">
        <v>42012</v>
      </c>
      <c r="G130" s="31">
        <v>30106</v>
      </c>
      <c r="H130" s="32">
        <v>12200</v>
      </c>
      <c r="I130" s="33">
        <f t="shared" si="2"/>
        <v>4052.35</v>
      </c>
      <c r="J130" s="1" t="s">
        <v>109</v>
      </c>
      <c r="K130" s="34">
        <v>1.5109999999999999</v>
      </c>
      <c r="L130" s="34">
        <v>1.831</v>
      </c>
    </row>
    <row r="131" spans="1:12" ht="32.4" hidden="1" x14ac:dyDescent="0.25">
      <c r="A131" s="27"/>
      <c r="B131" s="27" t="s">
        <v>15</v>
      </c>
      <c r="C131" s="28" t="s">
        <v>320</v>
      </c>
      <c r="D131" s="37" t="s">
        <v>321</v>
      </c>
      <c r="E131" s="27" t="s">
        <v>40</v>
      </c>
      <c r="F131" s="30">
        <v>42012</v>
      </c>
      <c r="G131" s="31">
        <v>46974</v>
      </c>
      <c r="H131" s="32">
        <v>18600</v>
      </c>
      <c r="I131" s="33">
        <f t="shared" si="2"/>
        <v>3959.64</v>
      </c>
      <c r="J131" s="1" t="s">
        <v>109</v>
      </c>
      <c r="K131" s="34">
        <v>1.5109999999999999</v>
      </c>
      <c r="L131" s="34">
        <v>1.831</v>
      </c>
    </row>
    <row r="132" spans="1:12" ht="32.4" hidden="1" x14ac:dyDescent="0.25">
      <c r="A132" s="27"/>
      <c r="B132" s="27" t="s">
        <v>15</v>
      </c>
      <c r="C132" s="28" t="s">
        <v>322</v>
      </c>
      <c r="D132" s="37" t="s">
        <v>323</v>
      </c>
      <c r="E132" s="27" t="s">
        <v>40</v>
      </c>
      <c r="F132" s="30">
        <v>42012</v>
      </c>
      <c r="G132" s="31">
        <v>48100</v>
      </c>
      <c r="H132" s="32">
        <v>18900</v>
      </c>
      <c r="I132" s="33">
        <f t="shared" si="2"/>
        <v>3929.31</v>
      </c>
      <c r="J132" s="1" t="s">
        <v>324</v>
      </c>
      <c r="K132" s="34">
        <v>1.514</v>
      </c>
      <c r="L132" s="34">
        <v>1.8859999999999999</v>
      </c>
    </row>
  </sheetData>
  <autoFilter ref="A3:L132" xr:uid="{53590DD6-4DF0-48FB-8814-B4108FBA596F}"/>
  <mergeCells count="9">
    <mergeCell ref="R16:T16"/>
    <mergeCell ref="R17:T17"/>
    <mergeCell ref="R27:T27"/>
    <mergeCell ref="R28:T28"/>
    <mergeCell ref="A1:N1"/>
    <mergeCell ref="A2:N2"/>
    <mergeCell ref="S4:T4"/>
    <mergeCell ref="R5:T5"/>
    <mergeCell ref="R6:T6"/>
  </mergeCells>
  <phoneticPr fontId="3" type="noConversion"/>
  <hyperlinks>
    <hyperlink ref="C4" r:id="rId1" display="http://www.landjs.com/web/cjgs_view.aspx?CJGS_GUID=61D60423D61676CCE055000000000001" xr:uid="{CCD4B572-A3BA-4497-9D5B-7E725A5F7675}"/>
    <hyperlink ref="H4" r:id="rId2" display="http://www.landjs.com/web/xxbj.aspx?dkid=5F1C22C8E3D769B8E055000000000001" xr:uid="{5C55DBE1-41EC-4A9F-B7F0-AB7F40E3501C}"/>
    <hyperlink ref="C5" r:id="rId3" display="http://www.landjs.com/web/cjgs_view.aspx?CJGS_GUID=5FCA64AE59DB281BE055000000000001" xr:uid="{6D53DA34-C2AD-448A-8041-23E1BF7268C0}"/>
    <hyperlink ref="H5" r:id="rId4" display="http://www.landjs.com/web/xxbj.aspx?dkid=5D0FF192D5752A2FE055000000000001" xr:uid="{E34E977B-3F46-4895-96CC-9BDA4AAF419A}"/>
    <hyperlink ref="C6" r:id="rId5" display="http://www.landjs.com/web/cjgs_view.aspx?CJGS_GUID=5FCA642B1F442789E055000000000001" xr:uid="{B5C37E0C-0E80-47C0-8CF0-7F46CA5C8DE5}"/>
    <hyperlink ref="H6" r:id="rId6" display="http://www.landjs.com/web/xxbj.aspx?dkid=5D10BF9FDE8C2CAEE055000000000001" xr:uid="{9390814F-90F9-4715-B1A0-67AEF9BBFBAB}"/>
    <hyperlink ref="C7" r:id="rId7" display="http://www.landjs.com/web/cjgs_view.aspx?CJGS_GUID=5FCA3C435A49278BE055000000000001" xr:uid="{B05BB9CF-7C86-4C4A-AF8E-9159C3AF5DDA}"/>
    <hyperlink ref="H7" r:id="rId8" display="http://www.landjs.com/web/xxbj.aspx?dkid=5D0FF192D5712A2FE055000000000001" xr:uid="{8D6B5132-9DD1-4BEA-A2C8-E7E4135302A9}"/>
    <hyperlink ref="C8" r:id="rId9" display="http://www.landjs.com/web/cjgs_view.aspx?CJGS_GUID=5FCA6246CD7D281DE055000000000001" xr:uid="{6464CA1C-E708-4AD6-8269-A054ABFE70E5}"/>
    <hyperlink ref="H8" r:id="rId10" display="http://www.landjs.com/web/xxbj.aspx?dkid=5D102C99279B2AA9E055000000000001" xr:uid="{4DE05BBB-3D04-4861-9473-187CDD7107A5}"/>
    <hyperlink ref="C9" r:id="rId11" display="http://www.landjs.com/web/cjgs_view.aspx?CJGS_GUID=554986ED23AB2447E055000000000001" xr:uid="{57A9338B-1C7B-462B-B89A-6F29BE77327D}"/>
    <hyperlink ref="H9" r:id="rId12" display="http://www.landjs.com/web/xxbj.aspx?dkid=5289E2E1B0E416AAE055000000000001" xr:uid="{1BC947BD-6D1D-443D-9ABB-571F133F638E}"/>
    <hyperlink ref="C10" r:id="rId13" display="http://www.landjs.com/web/cjgs_view.aspx?CJGS_GUID=55493E431636236FE055000000000001" xr:uid="{38984BEA-80AC-42B6-B99B-882FC9003191}"/>
    <hyperlink ref="H10" r:id="rId14" display="http://www.landjs.com/web/xxbj.aspx?dkid=5289E2E1B0DE16AAE055000000000001" xr:uid="{65EEF0E1-C550-47D0-B13A-799A47A55E22}"/>
    <hyperlink ref="C11" r:id="rId15" display="http://www.landjs.com/web/cjgs_view.aspx?CJGS_GUID=5360C328CFB335E1E055000000000001" xr:uid="{592FDFD7-8D12-4D93-A23E-C0D298BB5FD8}"/>
    <hyperlink ref="H11" r:id="rId16" display="http://www.landjs.com/web/xxbj.aspx?dkid=5050DB415A6A2D5CE055000000000001" xr:uid="{D1B74B9A-C452-446C-A6D8-2B5F546F2D59}"/>
    <hyperlink ref="C12" r:id="rId17" display="http://www.landjs.com/web/cjgs_view.aspx?CJGS_GUID=5360C263539E35D7E055000000000001" xr:uid="{2BB48758-8100-41FC-A71D-B8607AF8F628}"/>
    <hyperlink ref="H12" r:id="rId18" display="http://www.landjs.com/web/xxbj.aspx?dkid=5050B507C2F22C45E055000000000001" xr:uid="{4FA6B48E-76F8-4431-995F-60E5307D3986}"/>
    <hyperlink ref="C13" r:id="rId19" display="http://www.landjs.com/web/cjgs_view.aspx?CJGS_GUID=5360C1106AB135C9E055000000000001" xr:uid="{D25463F4-379F-4041-B984-D252272A2AEE}"/>
    <hyperlink ref="H13" r:id="rId20" display="http://www.landjs.com/web/xxbj.aspx?dkid=505094E0415A2C2FE055000000000001" xr:uid="{0788BBC0-0DAD-4922-9985-107177BFC347}"/>
    <hyperlink ref="C14" r:id="rId21" display="http://www.landjs.com/web/cjgs_view.aspx?CJGS_GUID=52D4B0DE0F52762DE055000000000001" xr:uid="{01C63BCD-C8E7-4F69-82AA-D1231625A916}"/>
    <hyperlink ref="H14" r:id="rId22" display="http://www.landjs.com/web/xxbj.aspx?dkid=4F9F4FD17D077A3AE055000000000001" xr:uid="{696A0460-467E-49AC-AB6D-DA6FDFF39BC9}"/>
    <hyperlink ref="C15" r:id="rId23" display="http://www.landjs.com/web/cjgs_view.aspx?CJGS_GUID=4E9BC4305DDC585BE055000000000001" xr:uid="{B9580D66-2660-423C-81E0-28A69E514C6D}"/>
    <hyperlink ref="H15" r:id="rId24" display="http://www.landjs.com/web/xxbj.aspx?dkid=4E8634E9323A16E1E055000000000001" xr:uid="{CBE5A6FD-2648-44EF-B74D-567EAB1D8E9B}"/>
    <hyperlink ref="C16" r:id="rId25" display="http://www.landjs.com/web/cjgs_view.aspx?CJGS_GUID=4E301D38B3CD14C2E055000000000001" xr:uid="{9D5E708B-BC75-460B-812D-D135CDCA575E}"/>
    <hyperlink ref="H16" r:id="rId26" display="http://www.landjs.com/web/xxbj.aspx?dkid=4B388E5622AC5166E055000000000001" xr:uid="{34B14736-9E1B-45E1-A484-3A592BC9F2D8}"/>
    <hyperlink ref="C17" r:id="rId27" display="http://www.landjs.com/web/cjgs_view.aspx?CJGS_GUID=45F27515EAA742A2E055000000000001" xr:uid="{9E82715B-1F9E-446A-A9F5-BC520174DD1C}"/>
    <hyperlink ref="H17" r:id="rId28" display="http://www.landjs.com/web/xxbj.aspx?dkid=43305E14EF460A09E055000000000001" xr:uid="{C12B5446-316D-46F0-A288-ACCA04D1B053}"/>
    <hyperlink ref="C18" r:id="rId29" display="http://www.landjs.com/web/cjgs_view.aspx?CJGS_GUID=44D717188C54490AE055000000000001" xr:uid="{EDFC4343-6DA6-4C98-9426-5F1184F1AB8B}"/>
    <hyperlink ref="H18" r:id="rId30" display="http://www.landjs.com/web/xxbj.aspx?dkid=42671982B5C80972E055000000000001" xr:uid="{E078D6AB-A0DB-428E-B022-0AC79F23C908}"/>
    <hyperlink ref="C19" r:id="rId31" display="http://www.landjs.com/web/cjgs_view.aspx?CJGS_GUID=44D7F37A65794D9DE055000000000001" xr:uid="{F134AAE0-B9A9-4F8C-A8F9-B8F035145C61}"/>
    <hyperlink ref="H19" r:id="rId32" display="http://www.landjs.com/web/xxbj.aspx?dkid=42671982B5C70972E055000000000001" xr:uid="{2DF5CB2E-C5DD-40C5-95C8-DEB5AEBCC544}"/>
    <hyperlink ref="C20" r:id="rId33" display="http://www.landjs.com/web/cjgs_view.aspx?CJGS_GUID=44D806FD41AE4DA7E055000000000001" xr:uid="{9B639BD9-B9FC-470E-B220-12BAE3AD6CB6}"/>
    <hyperlink ref="H20" r:id="rId34" display="http://www.landjs.com/web/xxbj.aspx?dkid=4267358D2A68098CE055000000000001" xr:uid="{672CC6A8-9A3F-4AA2-9927-AADA9A757C3A}"/>
    <hyperlink ref="C21" r:id="rId35" display="http://www.landjs.com/web/cjgs_view.aspx?CJGS_GUID=44D6FE66186449BDE055000000000001" xr:uid="{7B6025EC-876D-4D70-99D1-62E6BEF9AD44}"/>
    <hyperlink ref="H21" r:id="rId36" display="http://www.landjs.com/web/xxbj.aspx?dkid=4267358D2A66098CE055000000000001" xr:uid="{95AC872D-1391-4590-A67D-50B7898B6A25}"/>
    <hyperlink ref="C22" r:id="rId37" display="http://www.landjs.com/web/cjgs_view.aspx?CJGS_GUID=448D6125177E607DE055000000000001" xr:uid="{3DE7C294-BE2D-4717-8A3D-405D5E231F83}"/>
    <hyperlink ref="H22" r:id="rId38" display="http://www.landjs.com/web/xxbj.aspx?dkid=43AF0F0153EE1A50E055000000000001" xr:uid="{9ABCD22B-CE69-4D86-9BC7-3C5AC1D67342}"/>
    <hyperlink ref="C23" r:id="rId39" display="http://www.landjs.com/web/cjgs_view.aspx?CJGS_GUID=444A07D28EAD05C2E055000000000001" xr:uid="{13D83BC0-A795-4579-AEE8-BC7523EF7894}"/>
    <hyperlink ref="H23" r:id="rId40" display="http://www.landjs.com/web/xxbj.aspx?dkid=41CA6DBF5B0C0BEAE055000000000001" xr:uid="{C32240AD-7F8B-4CF8-BFB0-9C39F52235DB}"/>
    <hyperlink ref="C24" r:id="rId41" display="http://www.landjs.com/web/cjgs_view.aspx?CJGS_GUID=4322AD31E8325E35E055000000000001" xr:uid="{2435739A-E0E3-4C08-948F-6ADE93BFAE81}"/>
    <hyperlink ref="H24" r:id="rId42" display="http://www.landjs.com/web/xxbj.aspx?dkid=405D9F0D08D40E52E055000000000001" xr:uid="{EF29C09E-C7BD-4025-AF64-67AED46212ED}"/>
    <hyperlink ref="C25" r:id="rId43" display="http://www.landjs.com/web/cjgs_view.aspx?CJGS_GUID=4321FED071985BBEE055000000000001" xr:uid="{9922192D-1D30-4CFF-B1BD-46095EFFBC34}"/>
    <hyperlink ref="H25" r:id="rId44" display="http://www.landjs.com/web/xxbj.aspx?dkid=405D9F0D08CE0E52E055000000000001" xr:uid="{00637A24-13C5-43E7-B559-DDF689CA1ECD}"/>
    <hyperlink ref="C26" r:id="rId45" display="http://www.landjs.com/web/cjgs_view.aspx?CJGS_GUID=42A3487DF3634EF2E055000000000001" xr:uid="{EAFE46EF-3BB9-470D-968A-8EC9C450A27C}"/>
    <hyperlink ref="H26" r:id="rId46" display="http://www.landjs.com/web/xxbj.aspx?dkid=3FBCBD6A6B4B11BAE055000000000001" xr:uid="{9499B126-50C1-4CEC-998B-439D17A53545}"/>
    <hyperlink ref="C27" r:id="rId47" display="http://www.landjs.com/web/cjgs_view.aspx?CJGS_GUID=42A3410A70564ECAE055000000000001" xr:uid="{A09AAA86-23B2-4FA1-8935-8ACEF4738B3E}"/>
    <hyperlink ref="H27" r:id="rId48" display="http://www.landjs.com/web/xxbj.aspx?dkid=3FBCBD6A6B4411BAE055000000000001" xr:uid="{4C0FF76D-1206-49AD-BA7E-7EF2971858B6}"/>
    <hyperlink ref="C28" r:id="rId49" display="http://www.landjs.com/web/cjgs_view.aspx?CJGS_GUID=3E78F7E7730E4913E055000000000001" xr:uid="{BF0A2CD4-E970-404D-BC46-47AE9F983541}"/>
    <hyperlink ref="H28" r:id="rId50" display="http://www.landjs.com/web/xxbj.aspx?dkid=3B7EE42300301752E055000000000001" xr:uid="{875FAF50-9509-4513-B94C-134CDEC695ED}"/>
    <hyperlink ref="C29" r:id="rId51" display="http://www.landjs.com/web/cjgs_view.aspx?CJGS_GUID=3D600AE4D56D6709E055000000000001" xr:uid="{A1FA2E26-3BEF-4F14-8024-A122F5DF8ACC}"/>
    <hyperlink ref="H29" r:id="rId52" display="http://www.landjs.com/web/xxbj.aspx?dkid=3A17BB6125992CCAE055000000000001" xr:uid="{13B7C0A4-B24C-4720-8B3C-8D062F51EF45}"/>
    <hyperlink ref="C30" r:id="rId53" display="http://www.landjs.com/web/cjgs_view.aspx?CJGS_GUID=3BBEF753AEE6594FE055000000000001" xr:uid="{8AF8AC44-408B-4877-B6E5-C8B907775E99}"/>
    <hyperlink ref="H30" r:id="rId54" display="http://www.landjs.com/web/xxbj.aspx?dkid=38300A39E5AF3760E055000000000001" xr:uid="{2D397FB2-6689-4CA0-B2AB-35F28DB5F01B}"/>
    <hyperlink ref="C31" r:id="rId55" display="http://www.landjs.com/web/cjgs_view.aspx?CJGS_GUID=3A54CBFA327E69CEE055000000000001" xr:uid="{9A7BC9F5-9A29-4DC2-9D83-4B74D0E5F996}"/>
    <hyperlink ref="H31" r:id="rId56" display="http://www.landjs.com/web/xxbj.aspx?dkid=37F45C323A9D7EFFE055000000000001" xr:uid="{3626B975-63DB-43A6-A943-5D13F17558BB}"/>
    <hyperlink ref="C32" r:id="rId57" display="http://www.landjs.com/web/cjgs_view.aspx?CJGS_GUID=39C849B7B8C9288AE055000000000001" xr:uid="{046E60DA-9F02-4053-BF6A-75D73EF25107}"/>
    <hyperlink ref="H32" r:id="rId58" display="http://www.landjs.com/web/xxbj.aspx?dkid=3766E49DDBFF45C7E055000000000001" xr:uid="{C73CCA8F-F0AC-48BC-A661-8707820E9997}"/>
    <hyperlink ref="C33" r:id="rId59" display="http://www.landjs.com/web/cjgs_view.aspx?CJGS_GUID=3830B044FDFB39DCE055000000000001" xr:uid="{73801DC1-BCF0-4E5C-AD5A-CA2392E831A3}"/>
    <hyperlink ref="H33" r:id="rId60" display="http://www.landjs.com/web/xxbj.aspx?dkid=354C4D236C06669DE055000000000001" xr:uid="{9D66F7D7-C07A-420C-A5C4-9F83FE41B814}"/>
    <hyperlink ref="C34" r:id="rId61" display="http://www.landjs.com/web/cjgs_view.aspx?CJGS_GUID=37F33EC7F48E7B63E055000000000001" xr:uid="{5826CDD5-6EE6-4887-9FBC-17B2BBDB88F2}"/>
    <hyperlink ref="H34" r:id="rId62" display="http://www.landjs.com/web/xxbj.aspx?dkid=352159D5FED35E4EE055000000000001" xr:uid="{83150481-3C1F-4C98-ADDA-19AEB9E26B6C}"/>
    <hyperlink ref="C35" r:id="rId63" display="http://www.landjs.com/web/cjgs_view.aspx?CJGS_GUID=35D88731C08737CEE055000000000001" xr:uid="{CC1B3B44-3BA8-43E8-AE11-08B9387D7FFF}"/>
    <hyperlink ref="H35" r:id="rId64" display="http://www.landjs.com/web/xxbj.aspx?dkid=34335255EDC00BC6E055000000000001" xr:uid="{64F40EB1-E105-4AA6-BA96-4CC6EDB47804}"/>
    <hyperlink ref="C36" r:id="rId65" display="http://www.landjs.com/web/cjgs_view.aspx?CJGS_GUID=3215F89C9DE2229DE055000000000001" xr:uid="{D52B5BB3-9EBD-4BE5-B247-4B1E7CF07F13}"/>
    <hyperlink ref="H36" r:id="rId66" display="http://www.landjs.com/web/xxbj.aspx?dkid=2F3F71E186FD6CA3E055000000000001" xr:uid="{0C37EB81-07A4-4E3D-AF56-6009BB842A0B}"/>
    <hyperlink ref="C37" r:id="rId67" display="http://www.landjs.com/web/cjgs_view.aspx?CJGS_GUID=3215F18CF4A1229FE055000000000001" xr:uid="{C9BAC306-6F2E-4EEF-BDE3-D8B9AE31C99D}"/>
    <hyperlink ref="H37" r:id="rId68" display="http://www.landjs.com/web/xxbj.aspx?dkid=2F3F71E186FB6CA3E055000000000001" xr:uid="{40771125-C457-42AF-A170-C46BC3C14F38}"/>
    <hyperlink ref="C38" r:id="rId69" display="http://www.landjs.com/web/cjgs_view.aspx?CJGS_GUID=3215B47B6D7E21BDE055000000000001" xr:uid="{C581E0A0-9EFB-4748-B6B8-E3342018A0BD}"/>
    <hyperlink ref="H38" r:id="rId70" display="http://www.landjs.com/web/xxbj.aspx?dkid=2F3F68AC6DF86C8BE055000000000001" xr:uid="{C278E2A0-5BDB-459E-A546-29E5A8821FF4}"/>
    <hyperlink ref="C39" r:id="rId71" display="http://www.landjs.com/web/cjgs_view.aspx?CJGS_GUID=3215B47B6D7D21BDE055000000000001" xr:uid="{E7A18CB3-A978-45A4-96BF-84F753483CEB}"/>
    <hyperlink ref="H39" r:id="rId72" display="http://www.landjs.com/web/xxbj.aspx?dkid=2F3EFA99E6236B23E055000000000001" xr:uid="{165F81FE-9E13-474F-9DB6-91F876A0EBCF}"/>
    <hyperlink ref="C40" r:id="rId73" display="http://www.landjs.com/web/cjgs_view.aspx?CJGS_GUID=30E188D6CA715FF0E055000000000001" xr:uid="{1D70540F-DC96-426C-8912-928A6BC7E10D}"/>
    <hyperlink ref="H40" r:id="rId74" display="http://www.landjs.com/web/xxbj.aspx?dkid=2CF8E5BF1AB278C2E055000000000001" xr:uid="{8DFD30A4-561B-46D1-9852-D4058FA70CCC}"/>
    <hyperlink ref="C41" r:id="rId75" display="http://www.landjs.com/web/cjgs_view.aspx?CJGS_GUID=2D30F7BB51CB2379E055000000000001" xr:uid="{46AE50B2-41ED-49D3-A1A4-A88C3C88A563}"/>
    <hyperlink ref="H41" r:id="rId76" display="http://www.landjs.com/web/xxbj.aspx?dkid=2A5FD7608F452772E055000000000001" xr:uid="{CB7AC441-139D-48C3-9C42-56C9C951C65C}"/>
    <hyperlink ref="C42" r:id="rId77" display="http://www.landjs.com/web/cjgs_view.aspx?CJGS_GUID=2C95A317438A52D5E055000000000001" xr:uid="{4ED78FA5-05C1-4A70-B76E-E0CE4AD5764A}"/>
    <hyperlink ref="H42" r:id="rId78" display="http://www.landjs.com/web/xxbj.aspx?dkid=29D3EF95C9827A95E055000000000001" xr:uid="{33FB9660-DFE8-4218-87CA-8CB9A5FC18B2}"/>
    <hyperlink ref="C43" r:id="rId79" display="http://www.landjs.com/web/cjgs_view.aspx?CJGS_GUID=2C959E2312BA52C3E055000000000001" xr:uid="{F335F25E-8A0F-4CCF-890B-1A83DE404CCD}"/>
    <hyperlink ref="H43" r:id="rId80" display="http://www.landjs.com/web/xxbj.aspx?dkid=29D3EF95C9737A95E055000000000001" xr:uid="{CA9A53FE-3B65-4DD0-9158-82B670D54494}"/>
    <hyperlink ref="C44" r:id="rId81" display="http://www.landjs.com/web/cjgs_view.aspx?CJGS_GUID=2C95A1809BC752DBE055000000000001" xr:uid="{59F21F36-EB12-4C9C-950F-6BCE522DDC12}"/>
    <hyperlink ref="H44" r:id="rId82" display="http://www.landjs.com/web/xxbj.aspx?dkid=29D3BAAAB1437A03E055000000000001" xr:uid="{87F4942D-CF95-4F21-B119-E59B04FF0794}"/>
    <hyperlink ref="C45" r:id="rId83" display="http://www.landjs.com/web/cjgs_view.aspx?CJGS_GUID=2C95A0A4281052B9E055000000000001" xr:uid="{6D8886CA-6C3A-4D67-9D5B-2D210B2108E0}"/>
    <hyperlink ref="H45" r:id="rId84" display="http://www.landjs.com/web/xxbj.aspx?dkid=29D3C3FB9F687A01E055000000000001" xr:uid="{7BDC058D-7D2A-4BCC-A2D3-13D0852F00E5}"/>
    <hyperlink ref="C46" r:id="rId85" display="http://www.landjs.com/web/cjgs_view.aspx?CJGS_GUID=2C959FC4D5475263E055000000000001" xr:uid="{BA618577-A710-48A4-9226-BE5CF65FA3DF}"/>
    <hyperlink ref="H46" r:id="rId86" display="http://www.landjs.com/web/xxbj.aspx?dkid=29D3C221DDDA79F9E055000000000001" xr:uid="{DFCEAF1B-9449-4706-BADF-49EB17318CDB}"/>
    <hyperlink ref="C47" r:id="rId87" display="http://www.landjs.com/web/cjgs_view.aspx?CJGS_GUID=2C959E2312B952C3E055000000000001" xr:uid="{D49BE137-68F8-49BD-A6D5-CF4ADF7A9048}"/>
    <hyperlink ref="H47" r:id="rId88" display="http://www.landjs.com/web/xxbj.aspx?dkid=29D3B8937D5179FBE055000000000001" xr:uid="{BE546FD8-78AF-46E5-9722-49898B98B41E}"/>
    <hyperlink ref="C48" r:id="rId89" display="http://www.landjs.com/web/cjgs_view.aspx?CJGS_GUID=2AED0F5ACBAC4F77E055000000000001" xr:uid="{93D6B1F8-8E27-40A4-86BA-A193B0AFBF0B}"/>
    <hyperlink ref="H48" r:id="rId90" display="http://www.landjs.com/web/xxbj.aspx?dkid=28928119C50E3622E055000000000001" xr:uid="{8D1538D7-78B8-4CDC-924C-5868F5ABC69A}"/>
    <hyperlink ref="C49" r:id="rId91" display="http://www.landjs.com/web/cjgs_view.aspx?CJGS_GUID=2AED1AF04E374FE5E055000000000001" xr:uid="{2D6C41F7-B8DE-414F-B01F-95957696547C}"/>
    <hyperlink ref="H49" r:id="rId92" display="http://www.landjs.com/web/xxbj.aspx?dkid=2891EE0694FA3480E055000000000001" xr:uid="{DD9BC66D-07C3-4E3F-936C-4D32016F305C}"/>
    <hyperlink ref="C50" r:id="rId93" display="http://www.landjs.com/web/cjgs_view.aspx?CJGS_GUID=2AAC335AC3FF0A2DE055000000000001" xr:uid="{03A687B5-2088-4078-88BA-369C6A368589}"/>
    <hyperlink ref="H50" r:id="rId94" display="http://www.landjs.com/web/xxbj.aspx?dkid=279B91BD7C4442C9E055000000000001" xr:uid="{81D1F9AF-9F92-4B82-BF52-732500DAEA2A}"/>
    <hyperlink ref="C51" r:id="rId95" display="http://www.landjs.com/web/cjgs_view.aspx?CJGS_GUID=27B51C56A0CE209DE055000000000001" xr:uid="{537772A1-D07A-4DAA-AA65-4AA2AA97419F}"/>
    <hyperlink ref="H51" r:id="rId96" display="http://www.landjs.com/web/xxbj.aspx?dkid=253236250A8E4AE2E055000000000001" xr:uid="{0BE4ED82-244C-430F-8B3C-218E75E5C93F}"/>
    <hyperlink ref="C52" r:id="rId97" display="http://www.landjs.com/web/cjgs_view.aspx?CJGS_GUID=27B4D63CEE611FCFE055000000000001" xr:uid="{E99098B3-26CD-4690-BB54-996BDC4E11F9}"/>
    <hyperlink ref="H52" r:id="rId98" display="http://www.landjs.com/web/xxbj.aspx?dkid=253236250A8D4AE2E055000000000001" xr:uid="{DFE8A020-8452-420C-9277-53D76D3CD5B9}"/>
    <hyperlink ref="C53" r:id="rId99" display="http://www.landjs.com/web/cjgs_view.aspx?CJGS_GUID=27B549462130213BE055000000000001" xr:uid="{D7DCE0FA-6DD0-42D2-9411-46242DBC6DE6}"/>
    <hyperlink ref="H53" r:id="rId100" display="http://www.landjs.com/web/xxbj.aspx?dkid=253226C7C7FD4A98E055000000000001" xr:uid="{F6084EF6-44F2-4EF9-8BDC-F3716DD2DF41}"/>
    <hyperlink ref="C54" r:id="rId101" display="http://www.landjs.com/web/cjgs_view.aspx?CJGS_GUID=27B52CA2285520D3E055000000000001" xr:uid="{679A9AF4-1751-4E71-BE92-3C083C6A163F}"/>
    <hyperlink ref="H54" r:id="rId102" display="http://www.landjs.com/web/xxbj.aspx?dkid=25325631A4C74B2EE055000000000001" xr:uid="{E2BDA605-A048-4121-BC41-10CCA8FAB42F}"/>
    <hyperlink ref="C55" r:id="rId103" display="http://www.landjs.com/web/cjgs_view.aspx?CJGS_GUID=27B4ED4D6FAE1FB5E055000000000001" xr:uid="{64A3E6C7-8807-442E-9846-4F0AC07DDC49}"/>
    <hyperlink ref="H55" r:id="rId104" display="http://www.landjs.com/web/xxbj.aspx?dkid=253221F773594AAEE055000000000001" xr:uid="{F030C61D-C4F9-48DF-80A9-A7B478FAA358}"/>
    <hyperlink ref="C56" r:id="rId105" display="http://www.landjs.com/web/cjgs_view.aspx?CJGS_GUID=27B14940F54A14C7E055000000000001" xr:uid="{4814A5EC-0414-4747-A9CF-EE224556913D}"/>
    <hyperlink ref="H56" r:id="rId106" display="http://www.landjs.com/web/xxbj.aspx?dkid=2531F5F623B24A26E055000000000001" xr:uid="{5BEF0025-9B49-4CE8-B968-CCB0C14ECB5A}"/>
    <hyperlink ref="C57" r:id="rId107" display="http://www.landjs.com/web/cjgs_view.aspx?CJGS_GUID=27B148FD37AA14C5E055000000000001" xr:uid="{27E7790A-983F-49E7-8437-73C0A26E746F}"/>
    <hyperlink ref="H57" r:id="rId108" display="http://www.landjs.com/web/xxbj.aspx?dkid=2531F5F6239C4A26E055000000000001" xr:uid="{E945EABE-5297-463D-8FD5-E3CF8CF1838F}"/>
    <hyperlink ref="C58" r:id="rId109" display="http://www.landjs.com/web/cjgs_view.aspx?CJGS_GUID=27B125DD62AC1436E055000000000001" xr:uid="{DBD166EA-9DB4-454A-A3E4-A7147ABC85D0}"/>
    <hyperlink ref="H58" r:id="rId110" display="http://www.landjs.com/web/xxbj.aspx?dkid=25313A2CC9614803E055000000000001" xr:uid="{5AC3BFD9-80E0-4AEE-8645-866EC6A4D1AE}"/>
    <hyperlink ref="C59" r:id="rId111" display="http://www.landjs.com/web/cjgs_view.aspx?CJGS_GUID=27B12584148B1434E055000000000001" xr:uid="{FFAFC4CE-8BC0-44B6-80BC-E3E98BD463C0}"/>
    <hyperlink ref="H59" r:id="rId112" display="http://www.landjs.com/web/xxbj.aspx?dkid=252FF4255B9643B7E055000000000001" xr:uid="{E6F6FA74-8A9B-478F-8C52-E65A59574FA8}"/>
    <hyperlink ref="C60" r:id="rId113" display="http://www.landjs.com/web/cjgs_view.aspx?CJGS_GUID=27B4E2E41FCA1FD7E055000000000001" xr:uid="{C0C8F4D9-78AF-4260-8A26-6E3357530D89}"/>
    <hyperlink ref="H60" r:id="rId114" display="http://www.landjs.com/web/xxbj.aspx?dkid=25324EC9BF3B4B34E055000000000001" xr:uid="{C0BADF71-E2F9-4F5A-9076-52883D02CB9F}"/>
    <hyperlink ref="C61" r:id="rId115" display="http://www.landjs.com/web/cjgs_view.aspx?CJGS_GUID=27B107C7D60913D0E055000000000001" xr:uid="{DDD18ADC-1B98-43A0-A5A4-9E5D17DE7E1E}"/>
    <hyperlink ref="H61" r:id="rId116" display="http://www.landjs.com/web/xxbj.aspx?dkid=252C32BE999D38A3E055000000000001" xr:uid="{71997EE1-B04E-47F0-A62D-EB624A695D65}"/>
    <hyperlink ref="C62" r:id="rId117" display="http://www.landjs.com/web/cjgs_view.aspx?CJGS_GUID=27B1038D9F30139AE055000000000001" xr:uid="{06DB28DD-5A9E-4C88-BC1F-2510E49DE699}"/>
    <hyperlink ref="H62" r:id="rId118" display="http://www.landjs.com/web/xxbj.aspx?dkid=252BF955BAF43791E055000000000001" xr:uid="{388F5613-5793-4C22-90A1-1CF734558E68}"/>
    <hyperlink ref="C63" r:id="rId119" display="http://www.landjs.com/web/cjgs_view.aspx?CJGS_GUID=27B0D1D666E812E8E055000000000001" xr:uid="{14CD241D-C25F-416B-BA3E-CC285692A6E3}"/>
    <hyperlink ref="H63" r:id="rId120" display="http://www.landjs.com/web/xxbj.aspx?dkid=24DBCFFB084C46A9E055000000000001" xr:uid="{B94C2ED5-0428-4055-9650-9CB9B93CCF9F}"/>
    <hyperlink ref="C64" r:id="rId121" display="http://www.landjs.com/web/cjgs_view.aspx?CJGS_GUID=27B09882103B1279E055000000000001" xr:uid="{B29BD9ED-4E0F-4DC7-82B6-E09070C74222}"/>
    <hyperlink ref="H64" r:id="rId122" display="http://www.landjs.com/web/xxbj.aspx?dkid=24DB79ACCE1C459FE055000000000001" xr:uid="{6DD86329-FE09-413A-BAE6-D8B286DA920D}"/>
    <hyperlink ref="C65" r:id="rId123" display="http://www.landjs.com/web/cjgs_view.aspx?CJGS_GUID=276509A0B5B01F44E055000000000001" xr:uid="{B7B37CC7-2BCE-4BB7-B4B5-3D419D5409AC}"/>
    <hyperlink ref="H65" r:id="rId124" display="http://www.landjs.com/web/xxbj.aspx?dkid=25542942ABFC3440E055000000000001" xr:uid="{745A8470-7B20-49D5-B5A4-7447F608CD6B}"/>
    <hyperlink ref="C66" r:id="rId125" display="http://www.landjs.com/web/cjgs_view.aspx?CJGS_GUID=2695A601E2431ACFE055000000000001" xr:uid="{18A95D95-90CC-423C-A659-4AC14563A670}"/>
    <hyperlink ref="H66" r:id="rId126" display="http://www.landjs.com/web/xxbj.aspx?dkid=2417366EE45D6828E055000000000001" xr:uid="{F2DA08B4-DA11-40CA-94DA-3BCD0492C3F7}"/>
    <hyperlink ref="C67" r:id="rId127" display="http://www.landjs.com/web/cjgs_view.aspx?CJGS_GUID=2695BD3224671ADDE055000000000001" xr:uid="{E83CB9CF-BC3C-4CDC-AA9B-C3316529658D}"/>
    <hyperlink ref="H67" r:id="rId128" display="http://www.landjs.com/web/xxbj.aspx?dkid=2416DEFA472F6756E055000000000001" xr:uid="{E1A2A2F4-000F-43EA-AB4E-44F951D3801D}"/>
    <hyperlink ref="C68" r:id="rId129" display="http://www.landjs.com/web/cjgs_view.aspx?CJGS_GUID=2695A3B5D72C1ACDE055000000000001" xr:uid="{875B06F4-A78E-4F5C-BC59-6CE87CBCFECA}"/>
    <hyperlink ref="H68" r:id="rId130" display="http://www.landjs.com/web/xxbj.aspx?dkid=241766E352B268DBE055000000000001" xr:uid="{C72527B3-912A-4C1F-909E-D3D479FC5AB9}"/>
    <hyperlink ref="C69" r:id="rId131" display="http://www.landjs.com/web/cjgs_view.aspx?CJGS_GUID=2695A601E2411ACFE055000000000001" xr:uid="{DDFD6DB0-9DBB-44A5-B2BA-4990E8530302}"/>
    <hyperlink ref="H69" r:id="rId132" display="http://www.landjs.com/web/xxbj.aspx?dkid=2416CBAD7C4B672CE055000000000001" xr:uid="{00F5485D-1DD9-487A-BAC1-DBB8995B6742}"/>
    <hyperlink ref="C70" r:id="rId133" display="http://www.landjs.com/web/cjgs_view.aspx?CJGS_GUID=256E494800F5057CE055000000000001" xr:uid="{CF550212-8658-4E15-A5DA-B313562CABA8}"/>
    <hyperlink ref="H70" r:id="rId134" display="http://www.landjs.com/web/xxbj.aspx?dkid=22AA3787225C05AFE055000000000001" xr:uid="{CC768359-33CC-493B-A7CA-D68CC5411700}"/>
    <hyperlink ref="C71" r:id="rId135" display="http://www.landjs.com/web/cjgs_view.aspx?CJGS_GUID=256E3B515FDA04A3E055000000000001" xr:uid="{4BDEA477-146A-41FB-BC5B-454B9933B2AA}"/>
    <hyperlink ref="H71" r:id="rId136" display="http://www.landjs.com/web/xxbj.aspx?dkid=22AA02B2006B04F3E055000000000001" xr:uid="{16EFC8C1-A4CF-4E17-ADC8-CD5B05632BB8}"/>
    <hyperlink ref="C72" r:id="rId137" display="http://www.landjs.com/web/cjgs_view.aspx?CJGS_GUID=256E494800F4057CE055000000000001" xr:uid="{43B35774-7E32-4C68-A518-E0C671F1C331}"/>
    <hyperlink ref="H72" r:id="rId138" display="http://www.landjs.com/web/xxbj.aspx?dkid=22AA02B2006104F3E055000000000001" xr:uid="{18799531-20A4-42B2-ABC9-261354799826}"/>
    <hyperlink ref="C73" r:id="rId139" display="http://www.landjs.com/web/cjgs_view.aspx?CJGS_GUID=256E47514859058EE055000000000001" xr:uid="{A7F89340-E1D9-4280-908E-DE77BE86165B}"/>
    <hyperlink ref="H73" r:id="rId140" display="http://www.landjs.com/web/xxbj.aspx?dkid=22AA02B2005D04F3E055000000000001" xr:uid="{93A07539-1AA9-401C-8719-1D5A13A15A29}"/>
    <hyperlink ref="C74" r:id="rId141" display="http://www.landjs.com/web/cjgs_view.aspx?CJGS_GUID=24EF51070123033CE055000000000001" xr:uid="{15741276-2ABE-4AE8-B3C1-3F5DC2C7675C}"/>
    <hyperlink ref="H74" r:id="rId142" display="http://www.landjs.com/web/xxbj.aspx?dkid=22202CB8A3195B88E055000000000001" xr:uid="{43552624-E410-4647-8174-D9D5031AA13C}"/>
    <hyperlink ref="C75" r:id="rId143" display="http://www.landjs.com/web/cjgs_view.aspx?CJGS_GUID=24EF3F494CD50340E055000000000001" xr:uid="{5585E4A2-ABDF-4D11-AE45-8D476F124B52}"/>
    <hyperlink ref="H75" r:id="rId144" display="http://www.landjs.com/web/xxbj.aspx?dkid=221FF262536B5AB0E055000000000001" xr:uid="{F0E968EF-1FAD-4F0C-9971-1B632E6C2197}"/>
    <hyperlink ref="C76" r:id="rId145" display="http://www.landjs.com/web/cjgs_view.aspx?CJGS_GUID=23856938F14E2F45E055000000000001" xr:uid="{7CF1CFFD-4843-4AFB-B4E4-813485674C0E}"/>
    <hyperlink ref="H76" r:id="rId146" display="http://www.landjs.com/web/xxbj.aspx?dkid=1FE9495AC74C07FFE055000000000001" xr:uid="{55711862-54FC-4B3B-85B9-BCE0AD3FD191}"/>
    <hyperlink ref="C77" r:id="rId147" display="http://www.landjs.com/web/cjgs_view.aspx?CJGS_GUID=23856938F14D2F45E055000000000001" xr:uid="{DE2A7B45-1878-4F61-8799-DD0EE8E7418B}"/>
    <hyperlink ref="H77" r:id="rId148" display="http://www.landjs.com/web/xxbj.aspx?dkid=1FE94A5852B607F7E055000000000001" xr:uid="{B035DB5B-1F7F-44DA-940F-AB8A94751CEA}"/>
    <hyperlink ref="C78" r:id="rId149" display="http://www.landjs.com/web/cjgs_view.aspx?CJGS_GUID=222F8E67C31C08D0E055000000000001" xr:uid="{924112EA-17AB-4951-A1D5-2A53FDD1D291}"/>
    <hyperlink ref="H78" r:id="rId150" display="http://www.landjs.com/web/xxbj.aspx?dkid=1EBB1DAB4F534EE8E055000000000001" xr:uid="{EF7B7EC2-74A2-4715-8C59-925B584E7C6A}"/>
    <hyperlink ref="C79" r:id="rId151" display="http://www.landjs.com/web/cjgs_view.aspx?CJGS_GUID=22BCC2FB97C44056E055000000000001" xr:uid="{31A0C2C3-8EC5-4AD7-B88F-5758DD03BD82}"/>
    <hyperlink ref="H79" r:id="rId152" display="http://www.landjs.com/web/xxbj.aspx?dkid=1F6F174DB7F20D0DE055000000000001" xr:uid="{33A8819A-5022-48D7-8FE9-CFE7D1EE6A8A}"/>
    <hyperlink ref="C80" r:id="rId153" display="http://www.landjs.com/web/cjgs_view.aspx?CJGS_GUID=1F61495A862961A3E055000000000001" xr:uid="{924EE12D-9FFE-4F41-B090-4A32DA57C20E}"/>
    <hyperlink ref="H80" r:id="rId154" display="http://www.landjs.com/web/xxbj.aspx?dkid=02EC6FDB6F46456E8107E90F1AEC1C22" xr:uid="{CD6AF5FF-53F4-4376-89A6-4B019DDD8E5F}"/>
    <hyperlink ref="C81" r:id="rId155" display="http://www.landjs.com/web/cjgs_view.aspx?CJGS_GUID=1F614F50706C61F5E055000000000001" xr:uid="{BDC3ED68-190D-40DF-9013-FB94D1A3CBDB}"/>
    <hyperlink ref="H81" r:id="rId156" display="http://www.landjs.com/web/xxbj.aspx?dkid=6298187247CF4C0E8228D5BB10CEA024" xr:uid="{06D352D8-C9C3-4A62-A227-EE47F9A17E6C}"/>
    <hyperlink ref="C82" r:id="rId157" display="http://www.landjs.com/web/cjgs_view.aspx?CJGS_GUID=1E5C6400535567C2E055000000000001" xr:uid="{44FA9886-5DA1-46F9-8F75-C0E1FC75A57D}"/>
    <hyperlink ref="H82" r:id="rId158" display="http://www.landjs.com/web/xxbj.aspx?dkid=F653B466BC254F4784CD60015345B20F" xr:uid="{CB875C22-7B5F-460A-BA47-2A4A7766CAC7}"/>
    <hyperlink ref="C83" r:id="rId159" display="http://www.landjs.com/web/cjgs_view.aspx?CJGS_GUID=1E5C7C79E03E695BE055000000000001" xr:uid="{E35C8DD7-0662-4490-9AD0-2117E5C02A93}"/>
    <hyperlink ref="H83" r:id="rId160" display="http://www.landjs.com/web/xxbj.aspx?dkid=01771D3C0BF7483F94B67313E8EF20FC" xr:uid="{AFC329DD-E4FC-41D5-8252-7626281E3BC2}"/>
    <hyperlink ref="C84" r:id="rId161" display="http://www.landjs.com/web/cjgs_view.aspx?CJGS_GUID=242BB5572C852744E055000000000001" xr:uid="{ABB7E66A-D688-44F7-8215-EAFBE059303E}"/>
    <hyperlink ref="H84" r:id="rId162" display="http://www.landjs.com/web/xxbj.aspx?dkid=5583C1C918664FA0BF50095CA0614BDB" xr:uid="{8946417E-6109-439C-9443-0630A7F13739}"/>
    <hyperlink ref="C85" r:id="rId163" display="http://www.landjs.com/web/cjgs_view.aspx?CJGS_GUID=4F07AB591B2D4814B72CF83ADB7495DF" xr:uid="{5B5775F4-B3AF-4F10-84FE-CF48F59FC9C8}"/>
    <hyperlink ref="H85" r:id="rId164" display="http://www.landjs.com/web/xxbj.aspx?dkid=2984786F05A14F08A603BC0A0DE447BC" xr:uid="{F8A7DC86-7515-4F30-884D-4ADCFE463419}"/>
    <hyperlink ref="C86" r:id="rId165" display="http://www.landjs.com/web/cjgs_view.aspx?CJGS_GUID=BD1EFFD9143D4C86B19678305C06EC79" xr:uid="{DD289451-82CB-4481-AFBB-B9DD1A8B965D}"/>
    <hyperlink ref="H86" r:id="rId166" display="http://www.landjs.com/web/xxbj.aspx?dkid=CACA9257FCBA4845A6978E8780295186" xr:uid="{975B24AB-514C-4E15-A51A-443D76891BA9}"/>
    <hyperlink ref="C87" r:id="rId167" display="http://www.landjs.com/web/cjgs_view.aspx?CJGS_GUID=1478DB27F1FA4A6197471D8BCFAEC224" xr:uid="{D1DE9177-1706-414C-9774-081A4061FDEB}"/>
    <hyperlink ref="H87" r:id="rId168" display="http://www.landjs.com/web/xxbj.aspx?dkid=C8DCEF0602064A9EADBEF7AF2B1580EB" xr:uid="{6B44E008-084F-4067-A0F1-D8C883A6F2DF}"/>
    <hyperlink ref="C88" r:id="rId169" display="http://www.landjs.com/web/cjgs_view.aspx?CJGS_GUID=3F999B2C807C453D86D1B50E34699432" xr:uid="{119FF70A-491D-418B-93FA-3626D7CBDE69}"/>
    <hyperlink ref="H88" r:id="rId170" display="http://www.landjs.com/web/xxbj.aspx?dkid=3286D9E7E2054CA681C595896ADDC71E" xr:uid="{6510B89B-E674-4582-ACDC-5ED312BB1E8D}"/>
    <hyperlink ref="C89" r:id="rId171" display="http://www.landjs.com/web/cjgs_view.aspx?CJGS_GUID=08A2D3FF9882464480B7814D43C66C8D" xr:uid="{4823FBFF-09D3-4DB4-8353-A5E597EFB8DB}"/>
    <hyperlink ref="H89" r:id="rId172" display="http://www.landjs.com/web/xxbj.aspx?dkid=5F63E08F293244238A8D60AB837A762B" xr:uid="{6E58025C-C31A-4986-8B6A-284EC84D07CF}"/>
    <hyperlink ref="C90" r:id="rId173" display="http://www.landjs.com/web/cjgs_view.aspx?CJGS_GUID=FC7BD1E9FED74CA291EA1C546674E844" xr:uid="{EDDC5360-A9D6-4CB7-8E07-8CCA653919D7}"/>
    <hyperlink ref="H90" r:id="rId174" display="http://www.landjs.com/web/xxbj.aspx?dkid=8924D04162374D3B9ADA579AAEB9999C" xr:uid="{042BE744-437F-4948-9F87-081FC1131615}"/>
    <hyperlink ref="C91" r:id="rId175" display="http://www.landjs.com/web/cjgs_view.aspx?CJGS_GUID=8892621C4C6242A69DF38AA7EC9ADA38" xr:uid="{D99DFF52-9F26-42CF-906C-43070C755A19}"/>
    <hyperlink ref="H91" r:id="rId176" display="http://www.landjs.com/web/xxbj.aspx?dkid=05B40CC78DFF4135885B1E43124E82B5" xr:uid="{90F13986-5553-43C2-A9D2-F07DECFE73A0}"/>
    <hyperlink ref="C92" r:id="rId177" display="http://www.landjs.com/web/cjgs_view.aspx?CJGS_GUID=B01C1535C6444E02BB9DCF27F070A949" xr:uid="{0887E431-82A4-43A1-87FA-09AD9CCDE614}"/>
    <hyperlink ref="H92" r:id="rId178" display="http://www.landjs.com/web/xxbj.aspx?dkid=49E82FAB9C0F413E87039967E77CF38E" xr:uid="{E11618C6-2636-4C64-9723-7F574621E491}"/>
    <hyperlink ref="C93" r:id="rId179" display="http://www.landjs.com/web/cjgs_view.aspx?CJGS_GUID=A2DFF29915AB45F58867B997917AF7D5" xr:uid="{B0A0948C-DC48-43C0-972C-49DF852C0BF0}"/>
    <hyperlink ref="H93" r:id="rId180" display="http://www.landjs.com/web/xxbj.aspx?dkid=DACB526289184BAB90F5698C0E69569E" xr:uid="{CAF9F09E-E04F-4B7D-BAFC-D166D3FBBBF7}"/>
    <hyperlink ref="C94" r:id="rId181" display="http://www.landjs.com/web/cjgs_view.aspx?CJGS_GUID=9D81E91DCA94444FBF43F1DBF1347378" xr:uid="{05B8B063-4D39-4382-A087-06093358420F}"/>
    <hyperlink ref="H94" r:id="rId182" display="http://www.landjs.com/web/xxbj.aspx?dkid=C6ACDDFF4E724DD191032D3E8A83DDFE" xr:uid="{A25B5408-3A99-44DC-85E9-36E7CB8D0C1A}"/>
    <hyperlink ref="C95" r:id="rId183" display="http://www.landjs.com/web/cjgs_view.aspx?CJGS_GUID=ED87DF7DA89E42C7AD05CF27D9C4F297" xr:uid="{51F488FA-4F9C-43AE-B51D-E4979D1EE3A9}"/>
    <hyperlink ref="H95" r:id="rId184" display="http://www.landjs.com/web/xxbj.aspx?dkid=5D355EB9FC3E4EEE8059E2EB7FE64619" xr:uid="{1411D679-432F-4382-BD8A-90D734AFCCE4}"/>
    <hyperlink ref="C96" r:id="rId185" display="http://www.landjs.com/web/cjgs_view.aspx?CJGS_GUID=D446DFB3557E4E6A8E483B37C2722601" xr:uid="{60E0AC5C-D017-452F-AA21-AE835D247F94}"/>
    <hyperlink ref="H96" r:id="rId186" display="http://www.landjs.com/web/xxbj.aspx?dkid=3DF79EE62A5F4EE78ADFB65889982113" xr:uid="{826C6894-D629-4769-85F9-FF5B9363102E}"/>
    <hyperlink ref="C97" r:id="rId187" display="http://www.landjs.com/web/cjgs_view.aspx?CJGS_GUID=9E6FA40AE037464FADF4BF87E4D3D9ED" xr:uid="{34F18F40-E669-4E50-80FD-310CA5DD6DEF}"/>
    <hyperlink ref="H97" r:id="rId188" display="http://www.landjs.com/web/xxbj.aspx?dkid=89ED2C909B6F45D1A6CC564D0E325A2C" xr:uid="{77341918-D348-4147-A04F-6CE962474DEC}"/>
    <hyperlink ref="C98" r:id="rId189" display="http://www.landjs.com/web/cjgs_view.aspx?CJGS_GUID=27615363B2604A67947BE7DB48353DA3" xr:uid="{36CC689E-DF72-4192-AD7F-2520A084A2B0}"/>
    <hyperlink ref="H98" r:id="rId190" display="http://www.landjs.com/web/xxbj.aspx?dkid=5BBEB3290C8443ABAC4ED969C8E5AB40" xr:uid="{2ED26492-CFA1-4565-9B83-644818C1D117}"/>
    <hyperlink ref="C99" r:id="rId191" display="http://www.landjs.com/web/cjgs_view.aspx?CJGS_GUID=77FE181251AF4A2ABA536ED39E64DE96" xr:uid="{263DA9D3-48C6-4BBF-B006-542BD89EFA2E}"/>
    <hyperlink ref="H99" r:id="rId192" display="http://www.landjs.com/web/xxbj.aspx?dkid=AEAA66C30EBB4005893B346314D506A0" xr:uid="{7BA749AF-997B-424C-88F9-A98F07F47BA0}"/>
    <hyperlink ref="C100" r:id="rId193" display="http://www.landjs.com/web/cjgs_view.aspx?CJGS_GUID=F862816266EC475A8C005D0788F5BAB2" xr:uid="{52D9E8B1-6501-4E51-8AF4-08D8F57A0E99}"/>
    <hyperlink ref="H100" r:id="rId194" display="http://www.landjs.com/web/xxbj.aspx?dkid=6AA99394A59F4D6E9AA613B5BD5D41EF" xr:uid="{56744C3B-F2B5-403D-AAFA-0DB3CDC3B8BC}"/>
    <hyperlink ref="C101" r:id="rId195" display="http://www.landjs.com/web/cjgs_view.aspx?CJGS_GUID=66AFC0EC468542E5ADA14CE975A20495" xr:uid="{601844DE-1308-48A0-B6EC-C3ECC40CC65F}"/>
    <hyperlink ref="H101" r:id="rId196" display="http://www.landjs.com/web/xxbj.aspx?dkid=BBEF9E169CFF47CE9B661CD26C134D26" xr:uid="{7B0852CC-0D3D-446C-96EC-FEFCC5FBA093}"/>
    <hyperlink ref="C102" r:id="rId197" display="http://www.landjs.com/web/cjgs_view.aspx?CJGS_GUID=7D77CE031C76477484192AF3BD95E83A" xr:uid="{DB71CBDF-37BF-4C69-8E45-4CB6B9F2327F}"/>
    <hyperlink ref="H102" r:id="rId198" display="http://www.landjs.com/web/xxbj.aspx?dkid=A4DE697EDB9340B18A6D4CB5650676A0" xr:uid="{DB5304CD-F5CB-4DD7-BDE4-1FB294486C92}"/>
    <hyperlink ref="C103" r:id="rId199" display="http://www.landjs.com/web/cjgs_view.aspx?CJGS_GUID=8B86454C3D8F4A44A5A9161D3601AA2D" xr:uid="{CFD63D16-47FB-4D86-8A00-640703FB3902}"/>
    <hyperlink ref="H103" r:id="rId200" display="http://www.landjs.com/web/xxbj.aspx?dkid=9B4040AB5C1D4F8FB1F79FCB8AA9019D" xr:uid="{C339D1F5-D5B6-4BBE-B81E-FB815B00949B}"/>
    <hyperlink ref="C104" r:id="rId201" display="http://www.landjs.com/web/cjgs_view.aspx?CJGS_GUID=6C8188B8BACD4C8AAA63922A7B8D4F69" xr:uid="{DA7517ED-80BF-4AC4-A397-EB08E7CAF6DF}"/>
    <hyperlink ref="H104" r:id="rId202" display="http://www.landjs.com/web/xxbj.aspx?dkid=C49410FDB0BA4501AA812725DC2FAD0E" xr:uid="{97A96D97-D931-43CB-A787-42E6F82CA287}"/>
    <hyperlink ref="C105" r:id="rId203" display="http://www.landjs.com/web/cjgs_view.aspx?CJGS_GUID=69DE21BD75CA4C44AE339E74024DE3FE" xr:uid="{63503959-4261-4062-B710-F73DD1FF85CD}"/>
    <hyperlink ref="H105" r:id="rId204" display="http://www.landjs.com/web/xxbj.aspx?dkid=89A9DB6E4E294E8684DAE6F855948566" xr:uid="{0CABC02C-1D6D-42B1-BAE2-D0219496FA76}"/>
    <hyperlink ref="C106" r:id="rId205" display="http://www.landjs.com/web/cjgs_view.aspx?CJGS_GUID=9A57C51BF7524FF98282BB18AE5C3FAB" xr:uid="{41789DD2-A738-4BCD-833B-BCB3148EC7E9}"/>
    <hyperlink ref="H106" r:id="rId206" display="http://www.landjs.com/web/xxbj.aspx?dkid=D504BF47FBA94B6BBC08696C73B60E7A" xr:uid="{9AB41BD9-1621-495F-AE65-B12C4524221D}"/>
    <hyperlink ref="C107" r:id="rId207" display="http://www.landjs.com/web/cjgs_view.aspx?CJGS_GUID=1FAD514E91354B4692F00F309D67AF90" xr:uid="{9B528F57-9A31-40EF-9A0A-41D9A7CF6F01}"/>
    <hyperlink ref="H107" r:id="rId208" display="http://www.landjs.com/web/xxbj.aspx?dkid=8F0DA453D44B4C0F8F61EAFBFC831123" xr:uid="{1E3AD119-3EA8-4012-A574-50CD72A56C0B}"/>
    <hyperlink ref="C108" r:id="rId209" display="http://www.landjs.com/web/cjgs_view.aspx?CJGS_GUID=998AB9E4220E45559A1669AD06D896B9" xr:uid="{611CC90E-2814-46D7-9048-B6E537C55A82}"/>
    <hyperlink ref="H108" r:id="rId210" display="http://www.landjs.com/web/xxbj.aspx?dkid=6F85992247404925AD344DD040BC1877" xr:uid="{2579470C-CADB-4316-B9E0-1806BB136579}"/>
    <hyperlink ref="C109" r:id="rId211" display="http://www.landjs.com/web/cjgs_view.aspx?CJGS_GUID=C9CF7E7D135245E293A5EE3F8186E8D8" xr:uid="{76A63BB2-FD37-4B76-9684-EF5576C2DBB4}"/>
    <hyperlink ref="H109" r:id="rId212" display="http://www.landjs.com/web/xxbj.aspx?dkid=AB45E132AA7E4DF19C108BD026C8D220" xr:uid="{05A30801-72DE-45B2-AD60-D36ED402D1A6}"/>
    <hyperlink ref="C110" r:id="rId213" display="http://www.landjs.com/web/cjgs_view.aspx?CJGS_GUID=9DEE1A3F46FD42A4AC3DA5620D1A506E" xr:uid="{6B576F31-243A-4299-AAA1-8973058B656C}"/>
    <hyperlink ref="H110" r:id="rId214" display="http://www.landjs.com/web/xxbj.aspx?dkid=E98CD1B6B97C46CA84ADF368E52CB60F" xr:uid="{BE797EA8-29D9-4299-9236-E6C53966E523}"/>
    <hyperlink ref="C111" r:id="rId215" display="http://www.landjs.com/web/cjgs_view.aspx?CJGS_GUID=733DCE83B5E44B299603333CD3846DBE" xr:uid="{83D63BBD-4B2A-4F7C-82E1-A4F040FC64C9}"/>
    <hyperlink ref="H111" r:id="rId216" display="http://www.landjs.com/web/xxbj.aspx?dkid=760E8706C60D44318B502CE5737F386D" xr:uid="{BA708477-C5B9-4401-B5D2-1FFB9076C2A4}"/>
    <hyperlink ref="C112" r:id="rId217" display="http://www.landjs.com/web/cjgs_view.aspx?CJGS_GUID=408FE98FCD2A476C85B01E78A5B97976" xr:uid="{4E3AA827-9E56-4464-9BA5-03C0BEDFCBF5}"/>
    <hyperlink ref="H112" r:id="rId218" display="http://www.landjs.com/web/xxbj.aspx?dkid=C309E7CF36704606BA03DCD2F4D31B2F" xr:uid="{4B7334D3-0508-4DE0-8372-817072755EB1}"/>
    <hyperlink ref="C113" r:id="rId219" display="http://www.landjs.com/web/cjgs_view.aspx?CJGS_GUID=36145BFC03CF48199EBC357687850813" xr:uid="{1EC34C6A-EA23-4B47-A95C-5B9A8D22A11F}"/>
    <hyperlink ref="H113" r:id="rId220" display="http://www.landjs.com/web/xxbj.aspx?dkid=3393BBF1850B47139AFBCC1438F2CC86" xr:uid="{8CB7C91F-9D08-4F48-B4FC-9EE22DEC2ADB}"/>
    <hyperlink ref="C114" r:id="rId221" display="http://www.landjs.com/web/cjgs_view.aspx?CJGS_GUID=64A1412CF95D45EA914F17193AC9D3A4" xr:uid="{957E95DA-BF2C-4A5D-9B73-2A3E80311524}"/>
    <hyperlink ref="H114" r:id="rId222" display="http://www.landjs.com/web/xxbj.aspx?dkid=3C945673266645488DD33B3DCBC767C3" xr:uid="{F2765B6A-2C65-4CE9-ACC7-CFA3F17541E5}"/>
    <hyperlink ref="C115" r:id="rId223" display="http://www.landjs.com/web/cjgs_view.aspx?CJGS_GUID=88AD2852F42D4FE6ACA9AD84FBD1A952" xr:uid="{929AFC2F-90F9-4757-98A1-573681940FDE}"/>
    <hyperlink ref="H115" r:id="rId224" display="http://www.landjs.com/web/xxbj.aspx?dkid=6CAD097BD5F4404D85F9800CA270349D" xr:uid="{F85A97CC-F0B1-478F-9D4F-9B21E6C96973}"/>
    <hyperlink ref="C116" r:id="rId225" display="http://www.landjs.com/web/cjgs_view.aspx?CJGS_GUID=53E9248856AE49C8AE569CD23E593526" xr:uid="{7A637CB1-2231-4ECC-AD2C-15B4B47337F8}"/>
    <hyperlink ref="H116" r:id="rId226" display="http://www.landjs.com/web/xxbj.aspx?dkid=FC2CE883864445E4885AB5C75F462F8B" xr:uid="{B6BC9D62-60E4-43F4-9AD4-D8C092BD22B2}"/>
    <hyperlink ref="C117" r:id="rId227" display="http://www.landjs.com/web/cjgs_view.aspx?CJGS_GUID=E2E431B37D9C45D6B15EDFBD786A9C6C" xr:uid="{23624344-B955-48A5-852B-254B7F87E918}"/>
    <hyperlink ref="H117" r:id="rId228" display="http://www.landjs.com/web/xxbj.aspx?dkid=8DC3B863C40547E3A72F09413BC7F2F1" xr:uid="{7FE887A4-57C6-457F-96B1-4739B5DE2C2D}"/>
    <hyperlink ref="C118" r:id="rId229" display="http://www.landjs.com/web/cjgs_view.aspx?CJGS_GUID=49639FE8A1DC45AB926B5013CDAF85E1" xr:uid="{04C92537-3446-499C-BF29-9E64C5B80A46}"/>
    <hyperlink ref="H118" r:id="rId230" display="http://www.landjs.com/web/xxbj.aspx?dkid=2FC1322DDB764232A5BD1C961D28E374" xr:uid="{31137955-9E75-4CEE-ADC9-21C1C9E364C9}"/>
    <hyperlink ref="C119" r:id="rId231" display="http://www.landjs.com/web/cjgs_view.aspx?CJGS_GUID=18FE80720DF5485BB5691FB7B4C5D140" xr:uid="{1F69C6E5-247C-4E01-9227-B0F25676F1C2}"/>
    <hyperlink ref="H119" r:id="rId232" display="http://www.landjs.com/web/xxbj.aspx?dkid=EE11A04024764111BA5AD7F8D69C581A" xr:uid="{0F77B5A0-97D9-4C4E-B9DA-B3D573C1D34B}"/>
    <hyperlink ref="C120" r:id="rId233" display="http://www.landjs.com/web/cjgs_view.aspx?CJGS_GUID=FBD01EDAD1284A5C9113260EA132DA44" xr:uid="{A5EBBA16-414E-48C6-9AEB-8D08FD25743E}"/>
    <hyperlink ref="H120" r:id="rId234" display="http://www.landjs.com/web/xxbj.aspx?dkid=125578C6375F451092A7294572F7A0C6" xr:uid="{1BC6C00E-F2D3-4169-9FB1-8570840D5674}"/>
    <hyperlink ref="C121" r:id="rId235" display="http://www.landjs.com/web/cjgs_view.aspx?CJGS_GUID=3F916C9007CB4077B9060E1FAD473CCA" xr:uid="{CCA91761-F945-4550-94CA-60E1C91BFA63}"/>
    <hyperlink ref="H121" r:id="rId236" display="http://www.landjs.com/web/xxbj.aspx?dkid=786291A5AA7B49FBA4F9854A41C79B53" xr:uid="{B4364FE7-08B7-4E5D-BE8C-308978CA49E9}"/>
    <hyperlink ref="C122" r:id="rId237" display="http://www.landjs.com/web/cjgs_view.aspx?CJGS_GUID=79B5C51885964B1C98837F7C6E137165" xr:uid="{870D3E5D-A263-4412-B887-9C0BD88BCD7B}"/>
    <hyperlink ref="H122" r:id="rId238" display="http://www.landjs.com/web/xxbj.aspx?dkid=60F3DFED60BE4B2490FAAC864E4CECA5" xr:uid="{9B89DF11-7B3B-4E5F-ACF6-0EB41791B222}"/>
    <hyperlink ref="C123" r:id="rId239" display="http://www.landjs.com/web/cjgs_view.aspx?CJGS_GUID=D3000AC3A42B445E84E92B1785B91386" xr:uid="{6A41D472-29FE-420D-A36E-6ACD42F7D532}"/>
    <hyperlink ref="H123" r:id="rId240" display="http://www.landjs.com/web/xxbj.aspx?dkid=D3520D11B648446DAC830B1CF699BF64" xr:uid="{9D365BD6-F4D4-4CFC-B918-F40C0D82A906}"/>
    <hyperlink ref="C124" r:id="rId241" display="http://www.landjs.com/web/cjgs_view.aspx?CJGS_GUID=3AC3A8814E20491198C71A6A39FD7DF4" xr:uid="{99A091DC-C18F-4F83-8F95-900BADE6AE30}"/>
    <hyperlink ref="H124" r:id="rId242" display="http://www.landjs.com/web/xxbj.aspx?dkid=5ADCEF67EF6E4CC883C3D9881037F112" xr:uid="{28AF2D57-2E70-4C20-9D36-D61981A98B21}"/>
    <hyperlink ref="C125" r:id="rId243" display="http://www.landjs.com/web/cjgs_view.aspx?CJGS_GUID=95767964330F4CF9BCF4110ABC9E45F7" xr:uid="{4214126C-E08A-4A6D-9A45-FB1CC5945B24}"/>
    <hyperlink ref="H125" r:id="rId244" display="http://www.landjs.com/web/xxbj.aspx?dkid=A3A51588B67A42B7B41D7F6449252A8B" xr:uid="{0D384258-4E1D-430E-B5B8-A0634204CD4B}"/>
    <hyperlink ref="C126" r:id="rId245" display="http://www.landjs.com/web/cjgs_view.aspx?CJGS_GUID=AEC64B4274074485B568F89A7CB2C857" xr:uid="{B1BA8A78-A8B9-498B-9D5C-F4BE860A4700}"/>
    <hyperlink ref="H126" r:id="rId246" display="http://www.landjs.com/web/xxbj.aspx?dkid=CCBEB4CC844541AB8A05BB2B9C5F0A97" xr:uid="{19E7F57A-6837-4013-BA91-0F117FF17DF5}"/>
    <hyperlink ref="C127" r:id="rId247" display="http://www.landjs.com/web/cjgs_view.aspx?CJGS_GUID=09EBE17D8440494D805785B03DF49705" xr:uid="{4BCECE18-7449-42F3-B24B-2150F35BEC8A}"/>
    <hyperlink ref="H127" r:id="rId248" display="http://www.landjs.com/web/xxbj.aspx?dkid=6F24687EB87147A49F3B90064BBC805C" xr:uid="{3DBBCC50-0D5D-4093-B0E7-F7D6F701EB23}"/>
    <hyperlink ref="C128" r:id="rId249" display="http://www.landjs.com/web/cjgs_view.aspx?CJGS_GUID=78B3C472BB5F48B5975665BBD263D15C" xr:uid="{FB3B0E4C-D617-45B0-9549-0839EB6A5DF4}"/>
    <hyperlink ref="H128" r:id="rId250" display="http://www.landjs.com/web/xxbj.aspx?dkid=685006A0A4F54DE29FD9A56DBEED1E37" xr:uid="{BD394587-A700-4CBC-B70E-0620DACEAF31}"/>
    <hyperlink ref="C129" r:id="rId251" display="http://www.landjs.com/web/cjgs_view.aspx?CJGS_GUID=BF40F0DBC7FB47A5A154C0911EB9377A" xr:uid="{C6675DE7-5B38-4A40-AB86-F8454663047D}"/>
    <hyperlink ref="H129" r:id="rId252" display="http://www.landjs.com/web/xxbj.aspx?dkid=C814865742D142E490532A1FB9DC2207" xr:uid="{4BE0AF7D-C7B2-4DD9-837B-851578C4D5E4}"/>
    <hyperlink ref="C130" r:id="rId253" display="http://www.landjs.com/web/cjgs_view.aspx?CJGS_GUID=B979398B03314FB6961B45EB515EBC80" xr:uid="{E610638C-2931-4643-8410-1CBCA6C70C78}"/>
    <hyperlink ref="H130" r:id="rId254" display="http://www.landjs.com/web/xxbj.aspx?dkid=FCB5CED7EE444575A0BBEC53E5AC44A8" xr:uid="{C506999D-0278-44B3-8B56-79ED680E4A88}"/>
    <hyperlink ref="C131" r:id="rId255" display="http://www.landjs.com/web/cjgs_view.aspx?CJGS_GUID=7E9E54500A4A4EA1974471E4861364FC" xr:uid="{16EE7427-CAB3-485F-AE86-447C86F4A5AC}"/>
    <hyperlink ref="H131" r:id="rId256" display="http://www.landjs.com/web/xxbj.aspx?dkid=9021F1CD387A4064A051A3606B68E7E1" xr:uid="{0A656302-3856-4673-B317-0540C92BD7D3}"/>
    <hyperlink ref="C132" r:id="rId257" display="http://www.landjs.com/web/cjgs_view.aspx?CJGS_GUID=20E453030823418DAF98B18088CDC61D" xr:uid="{AC0A9C69-FB50-40C8-9E35-89F8A7BE782A}"/>
    <hyperlink ref="H132" r:id="rId258" display="http://www.landjs.com/web/xxbj.aspx?dkid=C55AF66C73864600B9CC707583DBCBB5" xr:uid="{8A218576-95BC-42D6-9C12-377EAA861C22}"/>
    <hyperlink ref="R16" r:id="rId259" display="http://www.landjs.com/web/gg_view.aspx?GYGG_GUID=4F9F74AE1FCF7AA9E055000000000001" xr:uid="{7C92B380-72BD-4431-8BA0-E915114450AA}"/>
    <hyperlink ref="R27" r:id="rId260" display="http://www.landjs.com/web/gg_view.aspx?GYGG_GUID=4B38589ECB4D50BBE055000000000001" xr:uid="{2B16B48C-BC7E-4252-9CC2-13A71A1B1012}"/>
    <hyperlink ref="R5" r:id="rId261" display="http://www.landjs.com/web/gg_view.aspx?GYGG_GUID=28925150061E35A8E055000000000001" xr:uid="{54B477A1-24F3-438C-BBE5-B444548323BB}"/>
  </hyperlinks>
  <pageMargins left="0.70866141732283472" right="0.70866141732283472" top="0.74803149606299213" bottom="0.74803149606299213" header="0.31496062992125984" footer="0.31496062992125984"/>
  <pageSetup paperSize="9" orientation="portrait" verticalDpi="0" r:id="rId262"/>
  <headerFooter>
    <oddFooter>&amp;C第&amp;P页共&amp;N页</oddFooter>
  </headerFooter>
  <drawing r:id="rId2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BDA8-F028-46D6-86A2-630B1EAD1025}">
  <dimension ref="A1:R126"/>
  <sheetViews>
    <sheetView tabSelected="1" view="pageBreakPreview" zoomScaleNormal="100" zoomScaleSheetLayoutView="100" workbookViewId="0">
      <selection activeCell="D1" sqref="D1"/>
    </sheetView>
  </sheetViews>
  <sheetFormatPr defaultColWidth="9" defaultRowHeight="13.8" x14ac:dyDescent="0.25"/>
  <cols>
    <col min="1" max="1" width="12.88671875" style="1" bestFit="1" customWidth="1"/>
    <col min="2" max="2" width="13.44140625" style="1" customWidth="1"/>
    <col min="3" max="3" width="17.6640625" style="1" customWidth="1"/>
    <col min="4" max="4" width="18.88671875" style="1" customWidth="1"/>
    <col min="5" max="5" width="19.5546875" style="1" customWidth="1"/>
    <col min="6" max="6" width="19.33203125" style="1" customWidth="1"/>
    <col min="7" max="11" width="9" style="1"/>
    <col min="12" max="12" width="11.44140625" style="1" bestFit="1" customWidth="1"/>
    <col min="13" max="15" width="9" style="1"/>
    <col min="16" max="16" width="10.77734375" style="1" bestFit="1" customWidth="1"/>
    <col min="17" max="256" width="9" style="1"/>
    <col min="257" max="257" width="12.88671875" style="1" bestFit="1" customWidth="1"/>
    <col min="258" max="258" width="13.44140625" style="1" customWidth="1"/>
    <col min="259" max="259" width="15.109375" style="1" customWidth="1"/>
    <col min="260" max="260" width="15.77734375" style="1" customWidth="1"/>
    <col min="261" max="261" width="15.44140625" style="1" customWidth="1"/>
    <col min="262" max="262" width="15.88671875" style="1" customWidth="1"/>
    <col min="263" max="267" width="9" style="1"/>
    <col min="268" max="268" width="11.44140625" style="1" bestFit="1" customWidth="1"/>
    <col min="269" max="271" width="9" style="1"/>
    <col min="272" max="272" width="10.77734375" style="1" bestFit="1" customWidth="1"/>
    <col min="273" max="512" width="9" style="1"/>
    <col min="513" max="513" width="12.88671875" style="1" bestFit="1" customWidth="1"/>
    <col min="514" max="514" width="13.44140625" style="1" customWidth="1"/>
    <col min="515" max="515" width="15.109375" style="1" customWidth="1"/>
    <col min="516" max="516" width="15.77734375" style="1" customWidth="1"/>
    <col min="517" max="517" width="15.44140625" style="1" customWidth="1"/>
    <col min="518" max="518" width="15.88671875" style="1" customWidth="1"/>
    <col min="519" max="523" width="9" style="1"/>
    <col min="524" max="524" width="11.44140625" style="1" bestFit="1" customWidth="1"/>
    <col min="525" max="527" width="9" style="1"/>
    <col min="528" max="528" width="10.77734375" style="1" bestFit="1" customWidth="1"/>
    <col min="529" max="768" width="9" style="1"/>
    <col min="769" max="769" width="12.88671875" style="1" bestFit="1" customWidth="1"/>
    <col min="770" max="770" width="13.44140625" style="1" customWidth="1"/>
    <col min="771" max="771" width="15.109375" style="1" customWidth="1"/>
    <col min="772" max="772" width="15.77734375" style="1" customWidth="1"/>
    <col min="773" max="773" width="15.44140625" style="1" customWidth="1"/>
    <col min="774" max="774" width="15.88671875" style="1" customWidth="1"/>
    <col min="775" max="779" width="9" style="1"/>
    <col min="780" max="780" width="11.44140625" style="1" bestFit="1" customWidth="1"/>
    <col min="781" max="783" width="9" style="1"/>
    <col min="784" max="784" width="10.77734375" style="1" bestFit="1" customWidth="1"/>
    <col min="785" max="1024" width="9" style="1"/>
    <col min="1025" max="1025" width="12.88671875" style="1" bestFit="1" customWidth="1"/>
    <col min="1026" max="1026" width="13.44140625" style="1" customWidth="1"/>
    <col min="1027" max="1027" width="15.109375" style="1" customWidth="1"/>
    <col min="1028" max="1028" width="15.77734375" style="1" customWidth="1"/>
    <col min="1029" max="1029" width="15.44140625" style="1" customWidth="1"/>
    <col min="1030" max="1030" width="15.88671875" style="1" customWidth="1"/>
    <col min="1031" max="1035" width="9" style="1"/>
    <col min="1036" max="1036" width="11.44140625" style="1" bestFit="1" customWidth="1"/>
    <col min="1037" max="1039" width="9" style="1"/>
    <col min="1040" max="1040" width="10.77734375" style="1" bestFit="1" customWidth="1"/>
    <col min="1041" max="1280" width="9" style="1"/>
    <col min="1281" max="1281" width="12.88671875" style="1" bestFit="1" customWidth="1"/>
    <col min="1282" max="1282" width="13.44140625" style="1" customWidth="1"/>
    <col min="1283" max="1283" width="15.109375" style="1" customWidth="1"/>
    <col min="1284" max="1284" width="15.77734375" style="1" customWidth="1"/>
    <col min="1285" max="1285" width="15.44140625" style="1" customWidth="1"/>
    <col min="1286" max="1286" width="15.88671875" style="1" customWidth="1"/>
    <col min="1287" max="1291" width="9" style="1"/>
    <col min="1292" max="1292" width="11.44140625" style="1" bestFit="1" customWidth="1"/>
    <col min="1293" max="1295" width="9" style="1"/>
    <col min="1296" max="1296" width="10.77734375" style="1" bestFit="1" customWidth="1"/>
    <col min="1297" max="1536" width="9" style="1"/>
    <col min="1537" max="1537" width="12.88671875" style="1" bestFit="1" customWidth="1"/>
    <col min="1538" max="1538" width="13.44140625" style="1" customWidth="1"/>
    <col min="1539" max="1539" width="15.109375" style="1" customWidth="1"/>
    <col min="1540" max="1540" width="15.77734375" style="1" customWidth="1"/>
    <col min="1541" max="1541" width="15.44140625" style="1" customWidth="1"/>
    <col min="1542" max="1542" width="15.88671875" style="1" customWidth="1"/>
    <col min="1543" max="1547" width="9" style="1"/>
    <col min="1548" max="1548" width="11.44140625" style="1" bestFit="1" customWidth="1"/>
    <col min="1549" max="1551" width="9" style="1"/>
    <col min="1552" max="1552" width="10.77734375" style="1" bestFit="1" customWidth="1"/>
    <col min="1553" max="1792" width="9" style="1"/>
    <col min="1793" max="1793" width="12.88671875" style="1" bestFit="1" customWidth="1"/>
    <col min="1794" max="1794" width="13.44140625" style="1" customWidth="1"/>
    <col min="1795" max="1795" width="15.109375" style="1" customWidth="1"/>
    <col min="1796" max="1796" width="15.77734375" style="1" customWidth="1"/>
    <col min="1797" max="1797" width="15.44140625" style="1" customWidth="1"/>
    <col min="1798" max="1798" width="15.88671875" style="1" customWidth="1"/>
    <col min="1799" max="1803" width="9" style="1"/>
    <col min="1804" max="1804" width="11.44140625" style="1" bestFit="1" customWidth="1"/>
    <col min="1805" max="1807" width="9" style="1"/>
    <col min="1808" max="1808" width="10.77734375" style="1" bestFit="1" customWidth="1"/>
    <col min="1809" max="2048" width="9" style="1"/>
    <col min="2049" max="2049" width="12.88671875" style="1" bestFit="1" customWidth="1"/>
    <col min="2050" max="2050" width="13.44140625" style="1" customWidth="1"/>
    <col min="2051" max="2051" width="15.109375" style="1" customWidth="1"/>
    <col min="2052" max="2052" width="15.77734375" style="1" customWidth="1"/>
    <col min="2053" max="2053" width="15.44140625" style="1" customWidth="1"/>
    <col min="2054" max="2054" width="15.88671875" style="1" customWidth="1"/>
    <col min="2055" max="2059" width="9" style="1"/>
    <col min="2060" max="2060" width="11.44140625" style="1" bestFit="1" customWidth="1"/>
    <col min="2061" max="2063" width="9" style="1"/>
    <col min="2064" max="2064" width="10.77734375" style="1" bestFit="1" customWidth="1"/>
    <col min="2065" max="2304" width="9" style="1"/>
    <col min="2305" max="2305" width="12.88671875" style="1" bestFit="1" customWidth="1"/>
    <col min="2306" max="2306" width="13.44140625" style="1" customWidth="1"/>
    <col min="2307" max="2307" width="15.109375" style="1" customWidth="1"/>
    <col min="2308" max="2308" width="15.77734375" style="1" customWidth="1"/>
    <col min="2309" max="2309" width="15.44140625" style="1" customWidth="1"/>
    <col min="2310" max="2310" width="15.88671875" style="1" customWidth="1"/>
    <col min="2311" max="2315" width="9" style="1"/>
    <col min="2316" max="2316" width="11.44140625" style="1" bestFit="1" customWidth="1"/>
    <col min="2317" max="2319" width="9" style="1"/>
    <col min="2320" max="2320" width="10.77734375" style="1" bestFit="1" customWidth="1"/>
    <col min="2321" max="2560" width="9" style="1"/>
    <col min="2561" max="2561" width="12.88671875" style="1" bestFit="1" customWidth="1"/>
    <col min="2562" max="2562" width="13.44140625" style="1" customWidth="1"/>
    <col min="2563" max="2563" width="15.109375" style="1" customWidth="1"/>
    <col min="2564" max="2564" width="15.77734375" style="1" customWidth="1"/>
    <col min="2565" max="2565" width="15.44140625" style="1" customWidth="1"/>
    <col min="2566" max="2566" width="15.88671875" style="1" customWidth="1"/>
    <col min="2567" max="2571" width="9" style="1"/>
    <col min="2572" max="2572" width="11.44140625" style="1" bestFit="1" customWidth="1"/>
    <col min="2573" max="2575" width="9" style="1"/>
    <col min="2576" max="2576" width="10.77734375" style="1" bestFit="1" customWidth="1"/>
    <col min="2577" max="2816" width="9" style="1"/>
    <col min="2817" max="2817" width="12.88671875" style="1" bestFit="1" customWidth="1"/>
    <col min="2818" max="2818" width="13.44140625" style="1" customWidth="1"/>
    <col min="2819" max="2819" width="15.109375" style="1" customWidth="1"/>
    <col min="2820" max="2820" width="15.77734375" style="1" customWidth="1"/>
    <col min="2821" max="2821" width="15.44140625" style="1" customWidth="1"/>
    <col min="2822" max="2822" width="15.88671875" style="1" customWidth="1"/>
    <col min="2823" max="2827" width="9" style="1"/>
    <col min="2828" max="2828" width="11.44140625" style="1" bestFit="1" customWidth="1"/>
    <col min="2829" max="2831" width="9" style="1"/>
    <col min="2832" max="2832" width="10.77734375" style="1" bestFit="1" customWidth="1"/>
    <col min="2833" max="3072" width="9" style="1"/>
    <col min="3073" max="3073" width="12.88671875" style="1" bestFit="1" customWidth="1"/>
    <col min="3074" max="3074" width="13.44140625" style="1" customWidth="1"/>
    <col min="3075" max="3075" width="15.109375" style="1" customWidth="1"/>
    <col min="3076" max="3076" width="15.77734375" style="1" customWidth="1"/>
    <col min="3077" max="3077" width="15.44140625" style="1" customWidth="1"/>
    <col min="3078" max="3078" width="15.88671875" style="1" customWidth="1"/>
    <col min="3079" max="3083" width="9" style="1"/>
    <col min="3084" max="3084" width="11.44140625" style="1" bestFit="1" customWidth="1"/>
    <col min="3085" max="3087" width="9" style="1"/>
    <col min="3088" max="3088" width="10.77734375" style="1" bestFit="1" customWidth="1"/>
    <col min="3089" max="3328" width="9" style="1"/>
    <col min="3329" max="3329" width="12.88671875" style="1" bestFit="1" customWidth="1"/>
    <col min="3330" max="3330" width="13.44140625" style="1" customWidth="1"/>
    <col min="3331" max="3331" width="15.109375" style="1" customWidth="1"/>
    <col min="3332" max="3332" width="15.77734375" style="1" customWidth="1"/>
    <col min="3333" max="3333" width="15.44140625" style="1" customWidth="1"/>
    <col min="3334" max="3334" width="15.88671875" style="1" customWidth="1"/>
    <col min="3335" max="3339" width="9" style="1"/>
    <col min="3340" max="3340" width="11.44140625" style="1" bestFit="1" customWidth="1"/>
    <col min="3341" max="3343" width="9" style="1"/>
    <col min="3344" max="3344" width="10.77734375" style="1" bestFit="1" customWidth="1"/>
    <col min="3345" max="3584" width="9" style="1"/>
    <col min="3585" max="3585" width="12.88671875" style="1" bestFit="1" customWidth="1"/>
    <col min="3586" max="3586" width="13.44140625" style="1" customWidth="1"/>
    <col min="3587" max="3587" width="15.109375" style="1" customWidth="1"/>
    <col min="3588" max="3588" width="15.77734375" style="1" customWidth="1"/>
    <col min="3589" max="3589" width="15.44140625" style="1" customWidth="1"/>
    <col min="3590" max="3590" width="15.88671875" style="1" customWidth="1"/>
    <col min="3591" max="3595" width="9" style="1"/>
    <col min="3596" max="3596" width="11.44140625" style="1" bestFit="1" customWidth="1"/>
    <col min="3597" max="3599" width="9" style="1"/>
    <col min="3600" max="3600" width="10.77734375" style="1" bestFit="1" customWidth="1"/>
    <col min="3601" max="3840" width="9" style="1"/>
    <col min="3841" max="3841" width="12.88671875" style="1" bestFit="1" customWidth="1"/>
    <col min="3842" max="3842" width="13.44140625" style="1" customWidth="1"/>
    <col min="3843" max="3843" width="15.109375" style="1" customWidth="1"/>
    <col min="3844" max="3844" width="15.77734375" style="1" customWidth="1"/>
    <col min="3845" max="3845" width="15.44140625" style="1" customWidth="1"/>
    <col min="3846" max="3846" width="15.88671875" style="1" customWidth="1"/>
    <col min="3847" max="3851" width="9" style="1"/>
    <col min="3852" max="3852" width="11.44140625" style="1" bestFit="1" customWidth="1"/>
    <col min="3853" max="3855" width="9" style="1"/>
    <col min="3856" max="3856" width="10.77734375" style="1" bestFit="1" customWidth="1"/>
    <col min="3857" max="4096" width="9" style="1"/>
    <col min="4097" max="4097" width="12.88671875" style="1" bestFit="1" customWidth="1"/>
    <col min="4098" max="4098" width="13.44140625" style="1" customWidth="1"/>
    <col min="4099" max="4099" width="15.109375" style="1" customWidth="1"/>
    <col min="4100" max="4100" width="15.77734375" style="1" customWidth="1"/>
    <col min="4101" max="4101" width="15.44140625" style="1" customWidth="1"/>
    <col min="4102" max="4102" width="15.88671875" style="1" customWidth="1"/>
    <col min="4103" max="4107" width="9" style="1"/>
    <col min="4108" max="4108" width="11.44140625" style="1" bestFit="1" customWidth="1"/>
    <col min="4109" max="4111" width="9" style="1"/>
    <col min="4112" max="4112" width="10.77734375" style="1" bestFit="1" customWidth="1"/>
    <col min="4113" max="4352" width="9" style="1"/>
    <col min="4353" max="4353" width="12.88671875" style="1" bestFit="1" customWidth="1"/>
    <col min="4354" max="4354" width="13.44140625" style="1" customWidth="1"/>
    <col min="4355" max="4355" width="15.109375" style="1" customWidth="1"/>
    <col min="4356" max="4356" width="15.77734375" style="1" customWidth="1"/>
    <col min="4357" max="4357" width="15.44140625" style="1" customWidth="1"/>
    <col min="4358" max="4358" width="15.88671875" style="1" customWidth="1"/>
    <col min="4359" max="4363" width="9" style="1"/>
    <col min="4364" max="4364" width="11.44140625" style="1" bestFit="1" customWidth="1"/>
    <col min="4365" max="4367" width="9" style="1"/>
    <col min="4368" max="4368" width="10.77734375" style="1" bestFit="1" customWidth="1"/>
    <col min="4369" max="4608" width="9" style="1"/>
    <col min="4609" max="4609" width="12.88671875" style="1" bestFit="1" customWidth="1"/>
    <col min="4610" max="4610" width="13.44140625" style="1" customWidth="1"/>
    <col min="4611" max="4611" width="15.109375" style="1" customWidth="1"/>
    <col min="4612" max="4612" width="15.77734375" style="1" customWidth="1"/>
    <col min="4613" max="4613" width="15.44140625" style="1" customWidth="1"/>
    <col min="4614" max="4614" width="15.88671875" style="1" customWidth="1"/>
    <col min="4615" max="4619" width="9" style="1"/>
    <col min="4620" max="4620" width="11.44140625" style="1" bestFit="1" customWidth="1"/>
    <col min="4621" max="4623" width="9" style="1"/>
    <col min="4624" max="4624" width="10.77734375" style="1" bestFit="1" customWidth="1"/>
    <col min="4625" max="4864" width="9" style="1"/>
    <col min="4865" max="4865" width="12.88671875" style="1" bestFit="1" customWidth="1"/>
    <col min="4866" max="4866" width="13.44140625" style="1" customWidth="1"/>
    <col min="4867" max="4867" width="15.109375" style="1" customWidth="1"/>
    <col min="4868" max="4868" width="15.77734375" style="1" customWidth="1"/>
    <col min="4869" max="4869" width="15.44140625" style="1" customWidth="1"/>
    <col min="4870" max="4870" width="15.88671875" style="1" customWidth="1"/>
    <col min="4871" max="4875" width="9" style="1"/>
    <col min="4876" max="4876" width="11.44140625" style="1" bestFit="1" customWidth="1"/>
    <col min="4877" max="4879" width="9" style="1"/>
    <col min="4880" max="4880" width="10.77734375" style="1" bestFit="1" customWidth="1"/>
    <col min="4881" max="5120" width="9" style="1"/>
    <col min="5121" max="5121" width="12.88671875" style="1" bestFit="1" customWidth="1"/>
    <col min="5122" max="5122" width="13.44140625" style="1" customWidth="1"/>
    <col min="5123" max="5123" width="15.109375" style="1" customWidth="1"/>
    <col min="5124" max="5124" width="15.77734375" style="1" customWidth="1"/>
    <col min="5125" max="5125" width="15.44140625" style="1" customWidth="1"/>
    <col min="5126" max="5126" width="15.88671875" style="1" customWidth="1"/>
    <col min="5127" max="5131" width="9" style="1"/>
    <col min="5132" max="5132" width="11.44140625" style="1" bestFit="1" customWidth="1"/>
    <col min="5133" max="5135" width="9" style="1"/>
    <col min="5136" max="5136" width="10.77734375" style="1" bestFit="1" customWidth="1"/>
    <col min="5137" max="5376" width="9" style="1"/>
    <col min="5377" max="5377" width="12.88671875" style="1" bestFit="1" customWidth="1"/>
    <col min="5378" max="5378" width="13.44140625" style="1" customWidth="1"/>
    <col min="5379" max="5379" width="15.109375" style="1" customWidth="1"/>
    <col min="5380" max="5380" width="15.77734375" style="1" customWidth="1"/>
    <col min="5381" max="5381" width="15.44140625" style="1" customWidth="1"/>
    <col min="5382" max="5382" width="15.88671875" style="1" customWidth="1"/>
    <col min="5383" max="5387" width="9" style="1"/>
    <col min="5388" max="5388" width="11.44140625" style="1" bestFit="1" customWidth="1"/>
    <col min="5389" max="5391" width="9" style="1"/>
    <col min="5392" max="5392" width="10.77734375" style="1" bestFit="1" customWidth="1"/>
    <col min="5393" max="5632" width="9" style="1"/>
    <col min="5633" max="5633" width="12.88671875" style="1" bestFit="1" customWidth="1"/>
    <col min="5634" max="5634" width="13.44140625" style="1" customWidth="1"/>
    <col min="5635" max="5635" width="15.109375" style="1" customWidth="1"/>
    <col min="5636" max="5636" width="15.77734375" style="1" customWidth="1"/>
    <col min="5637" max="5637" width="15.44140625" style="1" customWidth="1"/>
    <col min="5638" max="5638" width="15.88671875" style="1" customWidth="1"/>
    <col min="5639" max="5643" width="9" style="1"/>
    <col min="5644" max="5644" width="11.44140625" style="1" bestFit="1" customWidth="1"/>
    <col min="5645" max="5647" width="9" style="1"/>
    <col min="5648" max="5648" width="10.77734375" style="1" bestFit="1" customWidth="1"/>
    <col min="5649" max="5888" width="9" style="1"/>
    <col min="5889" max="5889" width="12.88671875" style="1" bestFit="1" customWidth="1"/>
    <col min="5890" max="5890" width="13.44140625" style="1" customWidth="1"/>
    <col min="5891" max="5891" width="15.109375" style="1" customWidth="1"/>
    <col min="5892" max="5892" width="15.77734375" style="1" customWidth="1"/>
    <col min="5893" max="5893" width="15.44140625" style="1" customWidth="1"/>
    <col min="5894" max="5894" width="15.88671875" style="1" customWidth="1"/>
    <col min="5895" max="5899" width="9" style="1"/>
    <col min="5900" max="5900" width="11.44140625" style="1" bestFit="1" customWidth="1"/>
    <col min="5901" max="5903" width="9" style="1"/>
    <col min="5904" max="5904" width="10.77734375" style="1" bestFit="1" customWidth="1"/>
    <col min="5905" max="6144" width="9" style="1"/>
    <col min="6145" max="6145" width="12.88671875" style="1" bestFit="1" customWidth="1"/>
    <col min="6146" max="6146" width="13.44140625" style="1" customWidth="1"/>
    <col min="6147" max="6147" width="15.109375" style="1" customWidth="1"/>
    <col min="6148" max="6148" width="15.77734375" style="1" customWidth="1"/>
    <col min="6149" max="6149" width="15.44140625" style="1" customWidth="1"/>
    <col min="6150" max="6150" width="15.88671875" style="1" customWidth="1"/>
    <col min="6151" max="6155" width="9" style="1"/>
    <col min="6156" max="6156" width="11.44140625" style="1" bestFit="1" customWidth="1"/>
    <col min="6157" max="6159" width="9" style="1"/>
    <col min="6160" max="6160" width="10.77734375" style="1" bestFit="1" customWidth="1"/>
    <col min="6161" max="6400" width="9" style="1"/>
    <col min="6401" max="6401" width="12.88671875" style="1" bestFit="1" customWidth="1"/>
    <col min="6402" max="6402" width="13.44140625" style="1" customWidth="1"/>
    <col min="6403" max="6403" width="15.109375" style="1" customWidth="1"/>
    <col min="6404" max="6404" width="15.77734375" style="1" customWidth="1"/>
    <col min="6405" max="6405" width="15.44140625" style="1" customWidth="1"/>
    <col min="6406" max="6406" width="15.88671875" style="1" customWidth="1"/>
    <col min="6407" max="6411" width="9" style="1"/>
    <col min="6412" max="6412" width="11.44140625" style="1" bestFit="1" customWidth="1"/>
    <col min="6413" max="6415" width="9" style="1"/>
    <col min="6416" max="6416" width="10.77734375" style="1" bestFit="1" customWidth="1"/>
    <col min="6417" max="6656" width="9" style="1"/>
    <col min="6657" max="6657" width="12.88671875" style="1" bestFit="1" customWidth="1"/>
    <col min="6658" max="6658" width="13.44140625" style="1" customWidth="1"/>
    <col min="6659" max="6659" width="15.109375" style="1" customWidth="1"/>
    <col min="6660" max="6660" width="15.77734375" style="1" customWidth="1"/>
    <col min="6661" max="6661" width="15.44140625" style="1" customWidth="1"/>
    <col min="6662" max="6662" width="15.88671875" style="1" customWidth="1"/>
    <col min="6663" max="6667" width="9" style="1"/>
    <col min="6668" max="6668" width="11.44140625" style="1" bestFit="1" customWidth="1"/>
    <col min="6669" max="6671" width="9" style="1"/>
    <col min="6672" max="6672" width="10.77734375" style="1" bestFit="1" customWidth="1"/>
    <col min="6673" max="6912" width="9" style="1"/>
    <col min="6913" max="6913" width="12.88671875" style="1" bestFit="1" customWidth="1"/>
    <col min="6914" max="6914" width="13.44140625" style="1" customWidth="1"/>
    <col min="6915" max="6915" width="15.109375" style="1" customWidth="1"/>
    <col min="6916" max="6916" width="15.77734375" style="1" customWidth="1"/>
    <col min="6917" max="6917" width="15.44140625" style="1" customWidth="1"/>
    <col min="6918" max="6918" width="15.88671875" style="1" customWidth="1"/>
    <col min="6919" max="6923" width="9" style="1"/>
    <col min="6924" max="6924" width="11.44140625" style="1" bestFit="1" customWidth="1"/>
    <col min="6925" max="6927" width="9" style="1"/>
    <col min="6928" max="6928" width="10.77734375" style="1" bestFit="1" customWidth="1"/>
    <col min="6929" max="7168" width="9" style="1"/>
    <col min="7169" max="7169" width="12.88671875" style="1" bestFit="1" customWidth="1"/>
    <col min="7170" max="7170" width="13.44140625" style="1" customWidth="1"/>
    <col min="7171" max="7171" width="15.109375" style="1" customWidth="1"/>
    <col min="7172" max="7172" width="15.77734375" style="1" customWidth="1"/>
    <col min="7173" max="7173" width="15.44140625" style="1" customWidth="1"/>
    <col min="7174" max="7174" width="15.88671875" style="1" customWidth="1"/>
    <col min="7175" max="7179" width="9" style="1"/>
    <col min="7180" max="7180" width="11.44140625" style="1" bestFit="1" customWidth="1"/>
    <col min="7181" max="7183" width="9" style="1"/>
    <col min="7184" max="7184" width="10.77734375" style="1" bestFit="1" customWidth="1"/>
    <col min="7185" max="7424" width="9" style="1"/>
    <col min="7425" max="7425" width="12.88671875" style="1" bestFit="1" customWidth="1"/>
    <col min="7426" max="7426" width="13.44140625" style="1" customWidth="1"/>
    <col min="7427" max="7427" width="15.109375" style="1" customWidth="1"/>
    <col min="7428" max="7428" width="15.77734375" style="1" customWidth="1"/>
    <col min="7429" max="7429" width="15.44140625" style="1" customWidth="1"/>
    <col min="7430" max="7430" width="15.88671875" style="1" customWidth="1"/>
    <col min="7431" max="7435" width="9" style="1"/>
    <col min="7436" max="7436" width="11.44140625" style="1" bestFit="1" customWidth="1"/>
    <col min="7437" max="7439" width="9" style="1"/>
    <col min="7440" max="7440" width="10.77734375" style="1" bestFit="1" customWidth="1"/>
    <col min="7441" max="7680" width="9" style="1"/>
    <col min="7681" max="7681" width="12.88671875" style="1" bestFit="1" customWidth="1"/>
    <col min="7682" max="7682" width="13.44140625" style="1" customWidth="1"/>
    <col min="7683" max="7683" width="15.109375" style="1" customWidth="1"/>
    <col min="7684" max="7684" width="15.77734375" style="1" customWidth="1"/>
    <col min="7685" max="7685" width="15.44140625" style="1" customWidth="1"/>
    <col min="7686" max="7686" width="15.88671875" style="1" customWidth="1"/>
    <col min="7687" max="7691" width="9" style="1"/>
    <col min="7692" max="7692" width="11.44140625" style="1" bestFit="1" customWidth="1"/>
    <col min="7693" max="7695" width="9" style="1"/>
    <col min="7696" max="7696" width="10.77734375" style="1" bestFit="1" customWidth="1"/>
    <col min="7697" max="7936" width="9" style="1"/>
    <col min="7937" max="7937" width="12.88671875" style="1" bestFit="1" customWidth="1"/>
    <col min="7938" max="7938" width="13.44140625" style="1" customWidth="1"/>
    <col min="7939" max="7939" width="15.109375" style="1" customWidth="1"/>
    <col min="7940" max="7940" width="15.77734375" style="1" customWidth="1"/>
    <col min="7941" max="7941" width="15.44140625" style="1" customWidth="1"/>
    <col min="7942" max="7942" width="15.88671875" style="1" customWidth="1"/>
    <col min="7943" max="7947" width="9" style="1"/>
    <col min="7948" max="7948" width="11.44140625" style="1" bestFit="1" customWidth="1"/>
    <col min="7949" max="7951" width="9" style="1"/>
    <col min="7952" max="7952" width="10.77734375" style="1" bestFit="1" customWidth="1"/>
    <col min="7953" max="8192" width="9" style="1"/>
    <col min="8193" max="8193" width="12.88671875" style="1" bestFit="1" customWidth="1"/>
    <col min="8194" max="8194" width="13.44140625" style="1" customWidth="1"/>
    <col min="8195" max="8195" width="15.109375" style="1" customWidth="1"/>
    <col min="8196" max="8196" width="15.77734375" style="1" customWidth="1"/>
    <col min="8197" max="8197" width="15.44140625" style="1" customWidth="1"/>
    <col min="8198" max="8198" width="15.88671875" style="1" customWidth="1"/>
    <col min="8199" max="8203" width="9" style="1"/>
    <col min="8204" max="8204" width="11.44140625" style="1" bestFit="1" customWidth="1"/>
    <col min="8205" max="8207" width="9" style="1"/>
    <col min="8208" max="8208" width="10.77734375" style="1" bestFit="1" customWidth="1"/>
    <col min="8209" max="8448" width="9" style="1"/>
    <col min="8449" max="8449" width="12.88671875" style="1" bestFit="1" customWidth="1"/>
    <col min="8450" max="8450" width="13.44140625" style="1" customWidth="1"/>
    <col min="8451" max="8451" width="15.109375" style="1" customWidth="1"/>
    <col min="8452" max="8452" width="15.77734375" style="1" customWidth="1"/>
    <col min="8453" max="8453" width="15.44140625" style="1" customWidth="1"/>
    <col min="8454" max="8454" width="15.88671875" style="1" customWidth="1"/>
    <col min="8455" max="8459" width="9" style="1"/>
    <col min="8460" max="8460" width="11.44140625" style="1" bestFit="1" customWidth="1"/>
    <col min="8461" max="8463" width="9" style="1"/>
    <col min="8464" max="8464" width="10.77734375" style="1" bestFit="1" customWidth="1"/>
    <col min="8465" max="8704" width="9" style="1"/>
    <col min="8705" max="8705" width="12.88671875" style="1" bestFit="1" customWidth="1"/>
    <col min="8706" max="8706" width="13.44140625" style="1" customWidth="1"/>
    <col min="8707" max="8707" width="15.109375" style="1" customWidth="1"/>
    <col min="8708" max="8708" width="15.77734375" style="1" customWidth="1"/>
    <col min="8709" max="8709" width="15.44140625" style="1" customWidth="1"/>
    <col min="8710" max="8710" width="15.88671875" style="1" customWidth="1"/>
    <col min="8711" max="8715" width="9" style="1"/>
    <col min="8716" max="8716" width="11.44140625" style="1" bestFit="1" customWidth="1"/>
    <col min="8717" max="8719" width="9" style="1"/>
    <col min="8720" max="8720" width="10.77734375" style="1" bestFit="1" customWidth="1"/>
    <col min="8721" max="8960" width="9" style="1"/>
    <col min="8961" max="8961" width="12.88671875" style="1" bestFit="1" customWidth="1"/>
    <col min="8962" max="8962" width="13.44140625" style="1" customWidth="1"/>
    <col min="8963" max="8963" width="15.109375" style="1" customWidth="1"/>
    <col min="8964" max="8964" width="15.77734375" style="1" customWidth="1"/>
    <col min="8965" max="8965" width="15.44140625" style="1" customWidth="1"/>
    <col min="8966" max="8966" width="15.88671875" style="1" customWidth="1"/>
    <col min="8967" max="8971" width="9" style="1"/>
    <col min="8972" max="8972" width="11.44140625" style="1" bestFit="1" customWidth="1"/>
    <col min="8973" max="8975" width="9" style="1"/>
    <col min="8976" max="8976" width="10.77734375" style="1" bestFit="1" customWidth="1"/>
    <col min="8977" max="9216" width="9" style="1"/>
    <col min="9217" max="9217" width="12.88671875" style="1" bestFit="1" customWidth="1"/>
    <col min="9218" max="9218" width="13.44140625" style="1" customWidth="1"/>
    <col min="9219" max="9219" width="15.109375" style="1" customWidth="1"/>
    <col min="9220" max="9220" width="15.77734375" style="1" customWidth="1"/>
    <col min="9221" max="9221" width="15.44140625" style="1" customWidth="1"/>
    <col min="9222" max="9222" width="15.88671875" style="1" customWidth="1"/>
    <col min="9223" max="9227" width="9" style="1"/>
    <col min="9228" max="9228" width="11.44140625" style="1" bestFit="1" customWidth="1"/>
    <col min="9229" max="9231" width="9" style="1"/>
    <col min="9232" max="9232" width="10.77734375" style="1" bestFit="1" customWidth="1"/>
    <col min="9233" max="9472" width="9" style="1"/>
    <col min="9473" max="9473" width="12.88671875" style="1" bestFit="1" customWidth="1"/>
    <col min="9474" max="9474" width="13.44140625" style="1" customWidth="1"/>
    <col min="9475" max="9475" width="15.109375" style="1" customWidth="1"/>
    <col min="9476" max="9476" width="15.77734375" style="1" customWidth="1"/>
    <col min="9477" max="9477" width="15.44140625" style="1" customWidth="1"/>
    <col min="9478" max="9478" width="15.88671875" style="1" customWidth="1"/>
    <col min="9479" max="9483" width="9" style="1"/>
    <col min="9484" max="9484" width="11.44140625" style="1" bestFit="1" customWidth="1"/>
    <col min="9485" max="9487" width="9" style="1"/>
    <col min="9488" max="9488" width="10.77734375" style="1" bestFit="1" customWidth="1"/>
    <col min="9489" max="9728" width="9" style="1"/>
    <col min="9729" max="9729" width="12.88671875" style="1" bestFit="1" customWidth="1"/>
    <col min="9730" max="9730" width="13.44140625" style="1" customWidth="1"/>
    <col min="9731" max="9731" width="15.109375" style="1" customWidth="1"/>
    <col min="9732" max="9732" width="15.77734375" style="1" customWidth="1"/>
    <col min="9733" max="9733" width="15.44140625" style="1" customWidth="1"/>
    <col min="9734" max="9734" width="15.88671875" style="1" customWidth="1"/>
    <col min="9735" max="9739" width="9" style="1"/>
    <col min="9740" max="9740" width="11.44140625" style="1" bestFit="1" customWidth="1"/>
    <col min="9741" max="9743" width="9" style="1"/>
    <col min="9744" max="9744" width="10.77734375" style="1" bestFit="1" customWidth="1"/>
    <col min="9745" max="9984" width="9" style="1"/>
    <col min="9985" max="9985" width="12.88671875" style="1" bestFit="1" customWidth="1"/>
    <col min="9986" max="9986" width="13.44140625" style="1" customWidth="1"/>
    <col min="9987" max="9987" width="15.109375" style="1" customWidth="1"/>
    <col min="9988" max="9988" width="15.77734375" style="1" customWidth="1"/>
    <col min="9989" max="9989" width="15.44140625" style="1" customWidth="1"/>
    <col min="9990" max="9990" width="15.88671875" style="1" customWidth="1"/>
    <col min="9991" max="9995" width="9" style="1"/>
    <col min="9996" max="9996" width="11.44140625" style="1" bestFit="1" customWidth="1"/>
    <col min="9997" max="9999" width="9" style="1"/>
    <col min="10000" max="10000" width="10.77734375" style="1" bestFit="1" customWidth="1"/>
    <col min="10001" max="10240" width="9" style="1"/>
    <col min="10241" max="10241" width="12.88671875" style="1" bestFit="1" customWidth="1"/>
    <col min="10242" max="10242" width="13.44140625" style="1" customWidth="1"/>
    <col min="10243" max="10243" width="15.109375" style="1" customWidth="1"/>
    <col min="10244" max="10244" width="15.77734375" style="1" customWidth="1"/>
    <col min="10245" max="10245" width="15.44140625" style="1" customWidth="1"/>
    <col min="10246" max="10246" width="15.88671875" style="1" customWidth="1"/>
    <col min="10247" max="10251" width="9" style="1"/>
    <col min="10252" max="10252" width="11.44140625" style="1" bestFit="1" customWidth="1"/>
    <col min="10253" max="10255" width="9" style="1"/>
    <col min="10256" max="10256" width="10.77734375" style="1" bestFit="1" customWidth="1"/>
    <col min="10257" max="10496" width="9" style="1"/>
    <col min="10497" max="10497" width="12.88671875" style="1" bestFit="1" customWidth="1"/>
    <col min="10498" max="10498" width="13.44140625" style="1" customWidth="1"/>
    <col min="10499" max="10499" width="15.109375" style="1" customWidth="1"/>
    <col min="10500" max="10500" width="15.77734375" style="1" customWidth="1"/>
    <col min="10501" max="10501" width="15.44140625" style="1" customWidth="1"/>
    <col min="10502" max="10502" width="15.88671875" style="1" customWidth="1"/>
    <col min="10503" max="10507" width="9" style="1"/>
    <col min="10508" max="10508" width="11.44140625" style="1" bestFit="1" customWidth="1"/>
    <col min="10509" max="10511" width="9" style="1"/>
    <col min="10512" max="10512" width="10.77734375" style="1" bestFit="1" customWidth="1"/>
    <col min="10513" max="10752" width="9" style="1"/>
    <col min="10753" max="10753" width="12.88671875" style="1" bestFit="1" customWidth="1"/>
    <col min="10754" max="10754" width="13.44140625" style="1" customWidth="1"/>
    <col min="10755" max="10755" width="15.109375" style="1" customWidth="1"/>
    <col min="10756" max="10756" width="15.77734375" style="1" customWidth="1"/>
    <col min="10757" max="10757" width="15.44140625" style="1" customWidth="1"/>
    <col min="10758" max="10758" width="15.88671875" style="1" customWidth="1"/>
    <col min="10759" max="10763" width="9" style="1"/>
    <col min="10764" max="10764" width="11.44140625" style="1" bestFit="1" customWidth="1"/>
    <col min="10765" max="10767" width="9" style="1"/>
    <col min="10768" max="10768" width="10.77734375" style="1" bestFit="1" customWidth="1"/>
    <col min="10769" max="11008" width="9" style="1"/>
    <col min="11009" max="11009" width="12.88671875" style="1" bestFit="1" customWidth="1"/>
    <col min="11010" max="11010" width="13.44140625" style="1" customWidth="1"/>
    <col min="11011" max="11011" width="15.109375" style="1" customWidth="1"/>
    <col min="11012" max="11012" width="15.77734375" style="1" customWidth="1"/>
    <col min="11013" max="11013" width="15.44140625" style="1" customWidth="1"/>
    <col min="11014" max="11014" width="15.88671875" style="1" customWidth="1"/>
    <col min="11015" max="11019" width="9" style="1"/>
    <col min="11020" max="11020" width="11.44140625" style="1" bestFit="1" customWidth="1"/>
    <col min="11021" max="11023" width="9" style="1"/>
    <col min="11024" max="11024" width="10.77734375" style="1" bestFit="1" customWidth="1"/>
    <col min="11025" max="11264" width="9" style="1"/>
    <col min="11265" max="11265" width="12.88671875" style="1" bestFit="1" customWidth="1"/>
    <col min="11266" max="11266" width="13.44140625" style="1" customWidth="1"/>
    <col min="11267" max="11267" width="15.109375" style="1" customWidth="1"/>
    <col min="11268" max="11268" width="15.77734375" style="1" customWidth="1"/>
    <col min="11269" max="11269" width="15.44140625" style="1" customWidth="1"/>
    <col min="11270" max="11270" width="15.88671875" style="1" customWidth="1"/>
    <col min="11271" max="11275" width="9" style="1"/>
    <col min="11276" max="11276" width="11.44140625" style="1" bestFit="1" customWidth="1"/>
    <col min="11277" max="11279" width="9" style="1"/>
    <col min="11280" max="11280" width="10.77734375" style="1" bestFit="1" customWidth="1"/>
    <col min="11281" max="11520" width="9" style="1"/>
    <col min="11521" max="11521" width="12.88671875" style="1" bestFit="1" customWidth="1"/>
    <col min="11522" max="11522" width="13.44140625" style="1" customWidth="1"/>
    <col min="11523" max="11523" width="15.109375" style="1" customWidth="1"/>
    <col min="11524" max="11524" width="15.77734375" style="1" customWidth="1"/>
    <col min="11525" max="11525" width="15.44140625" style="1" customWidth="1"/>
    <col min="11526" max="11526" width="15.88671875" style="1" customWidth="1"/>
    <col min="11527" max="11531" width="9" style="1"/>
    <col min="11532" max="11532" width="11.44140625" style="1" bestFit="1" customWidth="1"/>
    <col min="11533" max="11535" width="9" style="1"/>
    <col min="11536" max="11536" width="10.77734375" style="1" bestFit="1" customWidth="1"/>
    <col min="11537" max="11776" width="9" style="1"/>
    <col min="11777" max="11777" width="12.88671875" style="1" bestFit="1" customWidth="1"/>
    <col min="11778" max="11778" width="13.44140625" style="1" customWidth="1"/>
    <col min="11779" max="11779" width="15.109375" style="1" customWidth="1"/>
    <col min="11780" max="11780" width="15.77734375" style="1" customWidth="1"/>
    <col min="11781" max="11781" width="15.44140625" style="1" customWidth="1"/>
    <col min="11782" max="11782" width="15.88671875" style="1" customWidth="1"/>
    <col min="11783" max="11787" width="9" style="1"/>
    <col min="11788" max="11788" width="11.44140625" style="1" bestFit="1" customWidth="1"/>
    <col min="11789" max="11791" width="9" style="1"/>
    <col min="11792" max="11792" width="10.77734375" style="1" bestFit="1" customWidth="1"/>
    <col min="11793" max="12032" width="9" style="1"/>
    <col min="12033" max="12033" width="12.88671875" style="1" bestFit="1" customWidth="1"/>
    <col min="12034" max="12034" width="13.44140625" style="1" customWidth="1"/>
    <col min="12035" max="12035" width="15.109375" style="1" customWidth="1"/>
    <col min="12036" max="12036" width="15.77734375" style="1" customWidth="1"/>
    <col min="12037" max="12037" width="15.44140625" style="1" customWidth="1"/>
    <col min="12038" max="12038" width="15.88671875" style="1" customWidth="1"/>
    <col min="12039" max="12043" width="9" style="1"/>
    <col min="12044" max="12044" width="11.44140625" style="1" bestFit="1" customWidth="1"/>
    <col min="12045" max="12047" width="9" style="1"/>
    <col min="12048" max="12048" width="10.77734375" style="1" bestFit="1" customWidth="1"/>
    <col min="12049" max="12288" width="9" style="1"/>
    <col min="12289" max="12289" width="12.88671875" style="1" bestFit="1" customWidth="1"/>
    <col min="12290" max="12290" width="13.44140625" style="1" customWidth="1"/>
    <col min="12291" max="12291" width="15.109375" style="1" customWidth="1"/>
    <col min="12292" max="12292" width="15.77734375" style="1" customWidth="1"/>
    <col min="12293" max="12293" width="15.44140625" style="1" customWidth="1"/>
    <col min="12294" max="12294" width="15.88671875" style="1" customWidth="1"/>
    <col min="12295" max="12299" width="9" style="1"/>
    <col min="12300" max="12300" width="11.44140625" style="1" bestFit="1" customWidth="1"/>
    <col min="12301" max="12303" width="9" style="1"/>
    <col min="12304" max="12304" width="10.77734375" style="1" bestFit="1" customWidth="1"/>
    <col min="12305" max="12544" width="9" style="1"/>
    <col min="12545" max="12545" width="12.88671875" style="1" bestFit="1" customWidth="1"/>
    <col min="12546" max="12546" width="13.44140625" style="1" customWidth="1"/>
    <col min="12547" max="12547" width="15.109375" style="1" customWidth="1"/>
    <col min="12548" max="12548" width="15.77734375" style="1" customWidth="1"/>
    <col min="12549" max="12549" width="15.44140625" style="1" customWidth="1"/>
    <col min="12550" max="12550" width="15.88671875" style="1" customWidth="1"/>
    <col min="12551" max="12555" width="9" style="1"/>
    <col min="12556" max="12556" width="11.44140625" style="1" bestFit="1" customWidth="1"/>
    <col min="12557" max="12559" width="9" style="1"/>
    <col min="12560" max="12560" width="10.77734375" style="1" bestFit="1" customWidth="1"/>
    <col min="12561" max="12800" width="9" style="1"/>
    <col min="12801" max="12801" width="12.88671875" style="1" bestFit="1" customWidth="1"/>
    <col min="12802" max="12802" width="13.44140625" style="1" customWidth="1"/>
    <col min="12803" max="12803" width="15.109375" style="1" customWidth="1"/>
    <col min="12804" max="12804" width="15.77734375" style="1" customWidth="1"/>
    <col min="12805" max="12805" width="15.44140625" style="1" customWidth="1"/>
    <col min="12806" max="12806" width="15.88671875" style="1" customWidth="1"/>
    <col min="12807" max="12811" width="9" style="1"/>
    <col min="12812" max="12812" width="11.44140625" style="1" bestFit="1" customWidth="1"/>
    <col min="12813" max="12815" width="9" style="1"/>
    <col min="12816" max="12816" width="10.77734375" style="1" bestFit="1" customWidth="1"/>
    <col min="12817" max="13056" width="9" style="1"/>
    <col min="13057" max="13057" width="12.88671875" style="1" bestFit="1" customWidth="1"/>
    <col min="13058" max="13058" width="13.44140625" style="1" customWidth="1"/>
    <col min="13059" max="13059" width="15.109375" style="1" customWidth="1"/>
    <col min="13060" max="13060" width="15.77734375" style="1" customWidth="1"/>
    <col min="13061" max="13061" width="15.44140625" style="1" customWidth="1"/>
    <col min="13062" max="13062" width="15.88671875" style="1" customWidth="1"/>
    <col min="13063" max="13067" width="9" style="1"/>
    <col min="13068" max="13068" width="11.44140625" style="1" bestFit="1" customWidth="1"/>
    <col min="13069" max="13071" width="9" style="1"/>
    <col min="13072" max="13072" width="10.77734375" style="1" bestFit="1" customWidth="1"/>
    <col min="13073" max="13312" width="9" style="1"/>
    <col min="13313" max="13313" width="12.88671875" style="1" bestFit="1" customWidth="1"/>
    <col min="13314" max="13314" width="13.44140625" style="1" customWidth="1"/>
    <col min="13315" max="13315" width="15.109375" style="1" customWidth="1"/>
    <col min="13316" max="13316" width="15.77734375" style="1" customWidth="1"/>
    <col min="13317" max="13317" width="15.44140625" style="1" customWidth="1"/>
    <col min="13318" max="13318" width="15.88671875" style="1" customWidth="1"/>
    <col min="13319" max="13323" width="9" style="1"/>
    <col min="13324" max="13324" width="11.44140625" style="1" bestFit="1" customWidth="1"/>
    <col min="13325" max="13327" width="9" style="1"/>
    <col min="13328" max="13328" width="10.77734375" style="1" bestFit="1" customWidth="1"/>
    <col min="13329" max="13568" width="9" style="1"/>
    <col min="13569" max="13569" width="12.88671875" style="1" bestFit="1" customWidth="1"/>
    <col min="13570" max="13570" width="13.44140625" style="1" customWidth="1"/>
    <col min="13571" max="13571" width="15.109375" style="1" customWidth="1"/>
    <col min="13572" max="13572" width="15.77734375" style="1" customWidth="1"/>
    <col min="13573" max="13573" width="15.44140625" style="1" customWidth="1"/>
    <col min="13574" max="13574" width="15.88671875" style="1" customWidth="1"/>
    <col min="13575" max="13579" width="9" style="1"/>
    <col min="13580" max="13580" width="11.44140625" style="1" bestFit="1" customWidth="1"/>
    <col min="13581" max="13583" width="9" style="1"/>
    <col min="13584" max="13584" width="10.77734375" style="1" bestFit="1" customWidth="1"/>
    <col min="13585" max="13824" width="9" style="1"/>
    <col min="13825" max="13825" width="12.88671875" style="1" bestFit="1" customWidth="1"/>
    <col min="13826" max="13826" width="13.44140625" style="1" customWidth="1"/>
    <col min="13827" max="13827" width="15.109375" style="1" customWidth="1"/>
    <col min="13828" max="13828" width="15.77734375" style="1" customWidth="1"/>
    <col min="13829" max="13829" width="15.44140625" style="1" customWidth="1"/>
    <col min="13830" max="13830" width="15.88671875" style="1" customWidth="1"/>
    <col min="13831" max="13835" width="9" style="1"/>
    <col min="13836" max="13836" width="11.44140625" style="1" bestFit="1" customWidth="1"/>
    <col min="13837" max="13839" width="9" style="1"/>
    <col min="13840" max="13840" width="10.77734375" style="1" bestFit="1" customWidth="1"/>
    <col min="13841" max="14080" width="9" style="1"/>
    <col min="14081" max="14081" width="12.88671875" style="1" bestFit="1" customWidth="1"/>
    <col min="14082" max="14082" width="13.44140625" style="1" customWidth="1"/>
    <col min="14083" max="14083" width="15.109375" style="1" customWidth="1"/>
    <col min="14084" max="14084" width="15.77734375" style="1" customWidth="1"/>
    <col min="14085" max="14085" width="15.44140625" style="1" customWidth="1"/>
    <col min="14086" max="14086" width="15.88671875" style="1" customWidth="1"/>
    <col min="14087" max="14091" width="9" style="1"/>
    <col min="14092" max="14092" width="11.44140625" style="1" bestFit="1" customWidth="1"/>
    <col min="14093" max="14095" width="9" style="1"/>
    <col min="14096" max="14096" width="10.77734375" style="1" bestFit="1" customWidth="1"/>
    <col min="14097" max="14336" width="9" style="1"/>
    <col min="14337" max="14337" width="12.88671875" style="1" bestFit="1" customWidth="1"/>
    <col min="14338" max="14338" width="13.44140625" style="1" customWidth="1"/>
    <col min="14339" max="14339" width="15.109375" style="1" customWidth="1"/>
    <col min="14340" max="14340" width="15.77734375" style="1" customWidth="1"/>
    <col min="14341" max="14341" width="15.44140625" style="1" customWidth="1"/>
    <col min="14342" max="14342" width="15.88671875" style="1" customWidth="1"/>
    <col min="14343" max="14347" width="9" style="1"/>
    <col min="14348" max="14348" width="11.44140625" style="1" bestFit="1" customWidth="1"/>
    <col min="14349" max="14351" width="9" style="1"/>
    <col min="14352" max="14352" width="10.77734375" style="1" bestFit="1" customWidth="1"/>
    <col min="14353" max="14592" width="9" style="1"/>
    <col min="14593" max="14593" width="12.88671875" style="1" bestFit="1" customWidth="1"/>
    <col min="14594" max="14594" width="13.44140625" style="1" customWidth="1"/>
    <col min="14595" max="14595" width="15.109375" style="1" customWidth="1"/>
    <col min="14596" max="14596" width="15.77734375" style="1" customWidth="1"/>
    <col min="14597" max="14597" width="15.44140625" style="1" customWidth="1"/>
    <col min="14598" max="14598" width="15.88671875" style="1" customWidth="1"/>
    <col min="14599" max="14603" width="9" style="1"/>
    <col min="14604" max="14604" width="11.44140625" style="1" bestFit="1" customWidth="1"/>
    <col min="14605" max="14607" width="9" style="1"/>
    <col min="14608" max="14608" width="10.77734375" style="1" bestFit="1" customWidth="1"/>
    <col min="14609" max="14848" width="9" style="1"/>
    <col min="14849" max="14849" width="12.88671875" style="1" bestFit="1" customWidth="1"/>
    <col min="14850" max="14850" width="13.44140625" style="1" customWidth="1"/>
    <col min="14851" max="14851" width="15.109375" style="1" customWidth="1"/>
    <col min="14852" max="14852" width="15.77734375" style="1" customWidth="1"/>
    <col min="14853" max="14853" width="15.44140625" style="1" customWidth="1"/>
    <col min="14854" max="14854" width="15.88671875" style="1" customWidth="1"/>
    <col min="14855" max="14859" width="9" style="1"/>
    <col min="14860" max="14860" width="11.44140625" style="1" bestFit="1" customWidth="1"/>
    <col min="14861" max="14863" width="9" style="1"/>
    <col min="14864" max="14864" width="10.77734375" style="1" bestFit="1" customWidth="1"/>
    <col min="14865" max="15104" width="9" style="1"/>
    <col min="15105" max="15105" width="12.88671875" style="1" bestFit="1" customWidth="1"/>
    <col min="15106" max="15106" width="13.44140625" style="1" customWidth="1"/>
    <col min="15107" max="15107" width="15.109375" style="1" customWidth="1"/>
    <col min="15108" max="15108" width="15.77734375" style="1" customWidth="1"/>
    <col min="15109" max="15109" width="15.44140625" style="1" customWidth="1"/>
    <col min="15110" max="15110" width="15.88671875" style="1" customWidth="1"/>
    <col min="15111" max="15115" width="9" style="1"/>
    <col min="15116" max="15116" width="11.44140625" style="1" bestFit="1" customWidth="1"/>
    <col min="15117" max="15119" width="9" style="1"/>
    <col min="15120" max="15120" width="10.77734375" style="1" bestFit="1" customWidth="1"/>
    <col min="15121" max="15360" width="9" style="1"/>
    <col min="15361" max="15361" width="12.88671875" style="1" bestFit="1" customWidth="1"/>
    <col min="15362" max="15362" width="13.44140625" style="1" customWidth="1"/>
    <col min="15363" max="15363" width="15.109375" style="1" customWidth="1"/>
    <col min="15364" max="15364" width="15.77734375" style="1" customWidth="1"/>
    <col min="15365" max="15365" width="15.44140625" style="1" customWidth="1"/>
    <col min="15366" max="15366" width="15.88671875" style="1" customWidth="1"/>
    <col min="15367" max="15371" width="9" style="1"/>
    <col min="15372" max="15372" width="11.44140625" style="1" bestFit="1" customWidth="1"/>
    <col min="15373" max="15375" width="9" style="1"/>
    <col min="15376" max="15376" width="10.77734375" style="1" bestFit="1" customWidth="1"/>
    <col min="15377" max="15616" width="9" style="1"/>
    <col min="15617" max="15617" width="12.88671875" style="1" bestFit="1" customWidth="1"/>
    <col min="15618" max="15618" width="13.44140625" style="1" customWidth="1"/>
    <col min="15619" max="15619" width="15.109375" style="1" customWidth="1"/>
    <col min="15620" max="15620" width="15.77734375" style="1" customWidth="1"/>
    <col min="15621" max="15621" width="15.44140625" style="1" customWidth="1"/>
    <col min="15622" max="15622" width="15.88671875" style="1" customWidth="1"/>
    <col min="15623" max="15627" width="9" style="1"/>
    <col min="15628" max="15628" width="11.44140625" style="1" bestFit="1" customWidth="1"/>
    <col min="15629" max="15631" width="9" style="1"/>
    <col min="15632" max="15632" width="10.77734375" style="1" bestFit="1" customWidth="1"/>
    <col min="15633" max="15872" width="9" style="1"/>
    <col min="15873" max="15873" width="12.88671875" style="1" bestFit="1" customWidth="1"/>
    <col min="15874" max="15874" width="13.44140625" style="1" customWidth="1"/>
    <col min="15875" max="15875" width="15.109375" style="1" customWidth="1"/>
    <col min="15876" max="15876" width="15.77734375" style="1" customWidth="1"/>
    <col min="15877" max="15877" width="15.44140625" style="1" customWidth="1"/>
    <col min="15878" max="15878" width="15.88671875" style="1" customWidth="1"/>
    <col min="15879" max="15883" width="9" style="1"/>
    <col min="15884" max="15884" width="11.44140625" style="1" bestFit="1" customWidth="1"/>
    <col min="15885" max="15887" width="9" style="1"/>
    <col min="15888" max="15888" width="10.77734375" style="1" bestFit="1" customWidth="1"/>
    <col min="15889" max="16128" width="9" style="1"/>
    <col min="16129" max="16129" width="12.88671875" style="1" bestFit="1" customWidth="1"/>
    <col min="16130" max="16130" width="13.44140625" style="1" customWidth="1"/>
    <col min="16131" max="16131" width="15.109375" style="1" customWidth="1"/>
    <col min="16132" max="16132" width="15.77734375" style="1" customWidth="1"/>
    <col min="16133" max="16133" width="15.44140625" style="1" customWidth="1"/>
    <col min="16134" max="16134" width="15.88671875" style="1" customWidth="1"/>
    <col min="16135" max="16139" width="9" style="1"/>
    <col min="16140" max="16140" width="11.44140625" style="1" bestFit="1" customWidth="1"/>
    <col min="16141" max="16143" width="9" style="1"/>
    <col min="16144" max="16144" width="10.77734375" style="1" bestFit="1" customWidth="1"/>
    <col min="16145" max="16384" width="9" style="1"/>
  </cols>
  <sheetData>
    <row r="1" spans="1:18" ht="29.4" customHeight="1" x14ac:dyDescent="0.25">
      <c r="A1" s="95" t="s">
        <v>402</v>
      </c>
      <c r="B1" s="95" t="s">
        <v>409</v>
      </c>
      <c r="C1" s="95" t="s">
        <v>403</v>
      </c>
      <c r="D1" s="96"/>
      <c r="E1" s="97" t="s">
        <v>404</v>
      </c>
      <c r="F1" s="98" t="s">
        <v>405</v>
      </c>
    </row>
    <row r="2" spans="1:18" ht="30.6" customHeight="1" x14ac:dyDescent="0.25">
      <c r="A2" s="95" t="s">
        <v>406</v>
      </c>
      <c r="B2" s="99">
        <v>43167</v>
      </c>
      <c r="C2" s="95" t="s">
        <v>407</v>
      </c>
      <c r="D2" s="96" t="str">
        <f>[5]步骤复核表!B5</f>
        <v/>
      </c>
      <c r="E2" s="97" t="s">
        <v>408</v>
      </c>
      <c r="F2" s="98"/>
    </row>
    <row r="3" spans="1:18" ht="28.8" customHeight="1" x14ac:dyDescent="0.25">
      <c r="A3" s="133" t="s">
        <v>328</v>
      </c>
      <c r="B3" s="133"/>
      <c r="C3" s="133"/>
      <c r="D3" s="133"/>
      <c r="E3" s="133"/>
      <c r="F3" s="133"/>
      <c r="G3" s="42"/>
    </row>
    <row r="4" spans="1:18" ht="22.05" customHeight="1" x14ac:dyDescent="0.25">
      <c r="A4" s="134" t="s">
        <v>330</v>
      </c>
      <c r="B4" s="134"/>
      <c r="C4" s="100" t="s">
        <v>331</v>
      </c>
      <c r="D4" s="100" t="s">
        <v>332</v>
      </c>
      <c r="E4" s="100" t="s">
        <v>333</v>
      </c>
      <c r="F4" s="100" t="s">
        <v>334</v>
      </c>
      <c r="G4" s="42"/>
      <c r="I4" s="43" t="s">
        <v>329</v>
      </c>
      <c r="J4" s="44"/>
      <c r="K4" s="44"/>
      <c r="L4" s="44"/>
      <c r="M4" s="44"/>
      <c r="N4" s="44"/>
      <c r="O4" s="44"/>
      <c r="P4" s="44"/>
      <c r="Q4" s="44"/>
    </row>
    <row r="5" spans="1:18" ht="22.05" customHeight="1" x14ac:dyDescent="0.25">
      <c r="A5" s="130" t="s">
        <v>336</v>
      </c>
      <c r="B5" s="131"/>
      <c r="C5" s="49" t="s">
        <v>337</v>
      </c>
      <c r="D5" s="50">
        <f>[4]评估案例!I48</f>
        <v>8450.7000000000007</v>
      </c>
      <c r="E5" s="50">
        <f>[4]评估案例!I14</f>
        <v>8834.52</v>
      </c>
      <c r="F5" s="50">
        <f>[4]评估案例!I16</f>
        <v>8493.7000000000007</v>
      </c>
      <c r="G5" s="42"/>
      <c r="I5" s="46" t="s">
        <v>335</v>
      </c>
      <c r="J5" s="47"/>
      <c r="K5" s="47"/>
      <c r="L5" s="47"/>
      <c r="M5" s="47"/>
      <c r="N5" s="47"/>
      <c r="O5" s="47"/>
      <c r="P5" s="47"/>
      <c r="Q5" s="47"/>
      <c r="R5" s="48"/>
    </row>
    <row r="6" spans="1:18" ht="22.05" customHeight="1" x14ac:dyDescent="0.25">
      <c r="A6" s="127" t="s">
        <v>339</v>
      </c>
      <c r="B6" s="127"/>
      <c r="C6" s="53" t="s">
        <v>398</v>
      </c>
      <c r="D6" s="53">
        <f>[4]评估案例!F48</f>
        <v>42404</v>
      </c>
      <c r="E6" s="53">
        <f>[4]评估案例!F14</f>
        <v>42908</v>
      </c>
      <c r="F6" s="53">
        <f>[4]评估案例!F16</f>
        <v>42852</v>
      </c>
      <c r="G6" s="42"/>
      <c r="I6" s="44" t="s">
        <v>325</v>
      </c>
      <c r="J6" s="51"/>
      <c r="K6" s="51"/>
      <c r="L6" s="51"/>
      <c r="M6" s="51"/>
      <c r="N6" s="51" t="s">
        <v>338</v>
      </c>
      <c r="O6" s="44"/>
      <c r="P6" s="44"/>
      <c r="Q6" s="44"/>
    </row>
    <row r="7" spans="1:18" ht="22.05" customHeight="1" x14ac:dyDescent="0.25">
      <c r="A7" s="127" t="s">
        <v>344</v>
      </c>
      <c r="B7" s="127"/>
      <c r="C7" s="49" t="s">
        <v>345</v>
      </c>
      <c r="D7" s="49" t="s">
        <v>345</v>
      </c>
      <c r="E7" s="49" t="s">
        <v>345</v>
      </c>
      <c r="F7" s="49" t="s">
        <v>345</v>
      </c>
      <c r="G7" s="42"/>
      <c r="I7" s="51" t="s">
        <v>340</v>
      </c>
      <c r="J7" s="51" t="s">
        <v>341</v>
      </c>
      <c r="K7" s="51" t="s">
        <v>342</v>
      </c>
      <c r="L7" s="51" t="s">
        <v>343</v>
      </c>
      <c r="M7" s="51"/>
      <c r="N7" s="51" t="s">
        <v>340</v>
      </c>
      <c r="O7" s="44" t="s">
        <v>341</v>
      </c>
      <c r="P7" s="44" t="s">
        <v>342</v>
      </c>
      <c r="Q7" s="44" t="s">
        <v>343</v>
      </c>
    </row>
    <row r="8" spans="1:18" ht="22.05" customHeight="1" x14ac:dyDescent="0.25">
      <c r="A8" s="127" t="s">
        <v>346</v>
      </c>
      <c r="B8" s="127"/>
      <c r="C8" s="49" t="s">
        <v>347</v>
      </c>
      <c r="D8" s="49" t="s">
        <v>347</v>
      </c>
      <c r="E8" s="49" t="s">
        <v>347</v>
      </c>
      <c r="F8" s="49" t="s">
        <v>347</v>
      </c>
      <c r="G8" s="42"/>
      <c r="I8" s="51"/>
      <c r="J8" s="51"/>
      <c r="K8" s="51"/>
      <c r="L8" s="51"/>
      <c r="M8" s="51"/>
      <c r="N8" s="51"/>
      <c r="O8" s="44"/>
      <c r="P8" s="44"/>
      <c r="Q8" s="51"/>
    </row>
    <row r="9" spans="1:18" ht="22.05" customHeight="1" x14ac:dyDescent="0.25">
      <c r="A9" s="127" t="s">
        <v>6</v>
      </c>
      <c r="B9" s="127"/>
      <c r="C9" s="49" t="s">
        <v>325</v>
      </c>
      <c r="D9" s="49" t="s">
        <v>325</v>
      </c>
      <c r="E9" s="49" t="s">
        <v>325</v>
      </c>
      <c r="F9" s="49" t="s">
        <v>325</v>
      </c>
      <c r="G9" s="42"/>
      <c r="I9" s="51">
        <v>2017.1</v>
      </c>
      <c r="J9" s="51">
        <v>2679</v>
      </c>
      <c r="K9" s="51">
        <v>0.19</v>
      </c>
      <c r="L9" s="51">
        <f>ROUND(J9/$J$12*100,2)</f>
        <v>99.19</v>
      </c>
      <c r="M9" s="51"/>
      <c r="N9" s="51">
        <v>2017.1</v>
      </c>
      <c r="O9" s="44">
        <v>1818</v>
      </c>
      <c r="P9" s="44">
        <v>2.02</v>
      </c>
      <c r="Q9" s="51">
        <f>ROUND(O9/$O$12*100,2)</f>
        <v>97.53</v>
      </c>
    </row>
    <row r="10" spans="1:18" ht="22.05" customHeight="1" x14ac:dyDescent="0.25">
      <c r="A10" s="127" t="s">
        <v>348</v>
      </c>
      <c r="B10" s="127"/>
      <c r="C10" s="54">
        <f>C52</f>
        <v>35.85</v>
      </c>
      <c r="D10" s="55">
        <v>40</v>
      </c>
      <c r="E10" s="55">
        <v>40</v>
      </c>
      <c r="F10" s="55">
        <v>40</v>
      </c>
      <c r="G10" s="42"/>
      <c r="I10" s="51">
        <v>2017.2</v>
      </c>
      <c r="J10" s="51">
        <v>2685</v>
      </c>
      <c r="K10" s="51">
        <v>0.22</v>
      </c>
      <c r="L10" s="51">
        <f>ROUND(J10/$J$12*100,2)</f>
        <v>99.41</v>
      </c>
      <c r="M10" s="51"/>
      <c r="N10" s="51">
        <v>2017.2</v>
      </c>
      <c r="O10" s="44">
        <v>1826</v>
      </c>
      <c r="P10" s="44">
        <v>0.44</v>
      </c>
      <c r="Q10" s="51">
        <f>ROUND(O10/$O$12*100,2)</f>
        <v>97.96</v>
      </c>
    </row>
    <row r="11" spans="1:18" ht="49.2" customHeight="1" x14ac:dyDescent="0.25">
      <c r="A11" s="127" t="s">
        <v>349</v>
      </c>
      <c r="B11" s="49" t="s">
        <v>350</v>
      </c>
      <c r="C11" s="57" t="s">
        <v>351</v>
      </c>
      <c r="D11" s="57" t="s">
        <v>352</v>
      </c>
      <c r="E11" s="57" t="s">
        <v>353</v>
      </c>
      <c r="F11" s="57" t="s">
        <v>354</v>
      </c>
      <c r="G11" s="56"/>
      <c r="I11" s="51">
        <v>2017.3</v>
      </c>
      <c r="J11" s="51">
        <v>2694</v>
      </c>
      <c r="K11" s="51">
        <v>0.34</v>
      </c>
      <c r="L11" s="51">
        <f>ROUND(J11/$J$12*100,2)</f>
        <v>99.74</v>
      </c>
      <c r="M11" s="51"/>
      <c r="N11" s="51">
        <v>2017.3</v>
      </c>
      <c r="O11" s="44">
        <v>1834</v>
      </c>
      <c r="P11" s="44">
        <v>0.44</v>
      </c>
      <c r="Q11" s="51">
        <f>ROUND(O11/$O$12*100,2)</f>
        <v>98.39</v>
      </c>
    </row>
    <row r="12" spans="1:18" ht="34.200000000000003" customHeight="1" x14ac:dyDescent="0.25">
      <c r="A12" s="127"/>
      <c r="B12" s="49" t="s">
        <v>355</v>
      </c>
      <c r="C12" s="49" t="s">
        <v>356</v>
      </c>
      <c r="D12" s="49" t="s">
        <v>357</v>
      </c>
      <c r="E12" s="49" t="s">
        <v>358</v>
      </c>
      <c r="F12" s="49" t="s">
        <v>359</v>
      </c>
      <c r="G12" s="56"/>
      <c r="I12" s="51">
        <v>2017.4</v>
      </c>
      <c r="J12" s="51">
        <v>2701</v>
      </c>
      <c r="K12" s="51">
        <v>0.26</v>
      </c>
      <c r="L12" s="51">
        <v>100</v>
      </c>
      <c r="M12" s="51"/>
      <c r="N12" s="51">
        <v>2017.4</v>
      </c>
      <c r="O12" s="44">
        <v>1864</v>
      </c>
      <c r="P12" s="44">
        <v>1.64</v>
      </c>
      <c r="Q12" s="51">
        <v>100</v>
      </c>
    </row>
    <row r="13" spans="1:18" ht="57.6" x14ac:dyDescent="0.25">
      <c r="A13" s="127"/>
      <c r="B13" s="49" t="s">
        <v>360</v>
      </c>
      <c r="C13" s="49" t="s">
        <v>361</v>
      </c>
      <c r="D13" s="49" t="s">
        <v>362</v>
      </c>
      <c r="E13" s="49" t="s">
        <v>363</v>
      </c>
      <c r="F13" s="49" t="s">
        <v>364</v>
      </c>
      <c r="G13" s="56"/>
      <c r="I13" s="51">
        <v>2015.4</v>
      </c>
      <c r="J13" s="51">
        <v>2666</v>
      </c>
      <c r="K13" s="51">
        <v>0.04</v>
      </c>
      <c r="L13" s="51">
        <f>ROUND(J13/$J$12*100,2)</f>
        <v>98.7</v>
      </c>
      <c r="M13" s="51"/>
      <c r="N13" s="51">
        <v>2015.4</v>
      </c>
      <c r="O13" s="44">
        <v>1778</v>
      </c>
      <c r="P13" s="44">
        <v>-0.06</v>
      </c>
      <c r="Q13" s="51">
        <f>ROUND(O13/$O$12*100,2)</f>
        <v>95.39</v>
      </c>
    </row>
    <row r="14" spans="1:18" ht="65.400000000000006" customHeight="1" x14ac:dyDescent="0.25">
      <c r="A14" s="127"/>
      <c r="B14" s="49" t="s">
        <v>365</v>
      </c>
      <c r="C14" s="58" t="s">
        <v>366</v>
      </c>
      <c r="D14" s="58" t="s">
        <v>366</v>
      </c>
      <c r="E14" s="58" t="s">
        <v>366</v>
      </c>
      <c r="F14" s="58" t="s">
        <v>367</v>
      </c>
      <c r="G14" s="56"/>
      <c r="I14" s="51">
        <v>2016.1</v>
      </c>
      <c r="J14" s="51">
        <v>2665</v>
      </c>
      <c r="K14" s="51">
        <v>-0.04</v>
      </c>
      <c r="L14" s="51">
        <f>ROUND(J14/$J$12*100,2)</f>
        <v>98.67</v>
      </c>
      <c r="M14" s="51"/>
      <c r="N14" s="51">
        <v>2016.1</v>
      </c>
      <c r="O14" s="44">
        <v>1776</v>
      </c>
      <c r="P14" s="44">
        <v>-0.11</v>
      </c>
      <c r="Q14" s="51">
        <f>ROUND(O14/$O$12*100,2)</f>
        <v>95.28</v>
      </c>
    </row>
    <row r="15" spans="1:18" ht="57.6" x14ac:dyDescent="0.25">
      <c r="A15" s="127"/>
      <c r="B15" s="49" t="s">
        <v>368</v>
      </c>
      <c r="C15" s="49" t="s">
        <v>369</v>
      </c>
      <c r="D15" s="49" t="s">
        <v>369</v>
      </c>
      <c r="E15" s="49" t="s">
        <v>369</v>
      </c>
      <c r="F15" s="49" t="s">
        <v>369</v>
      </c>
      <c r="G15" s="56"/>
      <c r="I15" s="51">
        <v>2016.2</v>
      </c>
      <c r="J15" s="51">
        <v>2666</v>
      </c>
      <c r="K15" s="51">
        <v>0.04</v>
      </c>
      <c r="L15" s="51">
        <f>ROUND(J15/$J$12*100,2)</f>
        <v>98.7</v>
      </c>
      <c r="M15" s="51"/>
      <c r="N15" s="51">
        <v>2016.2</v>
      </c>
      <c r="O15" s="44">
        <v>1776</v>
      </c>
      <c r="P15" s="44">
        <v>0</v>
      </c>
      <c r="Q15" s="51">
        <f>ROUND(O15/$O$12*100,2)</f>
        <v>95.28</v>
      </c>
    </row>
    <row r="16" spans="1:18" ht="28.8" x14ac:dyDescent="0.25">
      <c r="A16" s="127"/>
      <c r="B16" s="49" t="s">
        <v>370</v>
      </c>
      <c r="C16" s="49" t="s">
        <v>371</v>
      </c>
      <c r="D16" s="49" t="s">
        <v>371</v>
      </c>
      <c r="E16" s="49" t="s">
        <v>371</v>
      </c>
      <c r="F16" s="49" t="s">
        <v>371</v>
      </c>
      <c r="G16" s="56"/>
      <c r="I16" s="51">
        <v>2016.3</v>
      </c>
      <c r="J16" s="51">
        <v>2668</v>
      </c>
      <c r="K16" s="51">
        <v>0.08</v>
      </c>
      <c r="L16" s="51">
        <f>ROUND(J16/$J$12*100,2)</f>
        <v>98.78</v>
      </c>
      <c r="M16" s="51"/>
      <c r="N16" s="51">
        <v>2016.3</v>
      </c>
      <c r="O16" s="44">
        <v>1777</v>
      </c>
      <c r="P16" s="44">
        <v>0.06</v>
      </c>
      <c r="Q16" s="51">
        <f>ROUND(O16/$O$12*100,2)</f>
        <v>95.33</v>
      </c>
    </row>
    <row r="17" spans="1:17" ht="26.4" customHeight="1" x14ac:dyDescent="0.25">
      <c r="A17" s="127"/>
      <c r="B17" s="49" t="s">
        <v>372</v>
      </c>
      <c r="C17" s="49" t="s">
        <v>373</v>
      </c>
      <c r="D17" s="49" t="s">
        <v>373</v>
      </c>
      <c r="E17" s="49" t="s">
        <v>373</v>
      </c>
      <c r="F17" s="49" t="s">
        <v>373</v>
      </c>
      <c r="G17" s="56"/>
      <c r="I17" s="51">
        <v>2016.4</v>
      </c>
      <c r="J17" s="51">
        <v>2674</v>
      </c>
      <c r="K17" s="51">
        <v>0.22</v>
      </c>
      <c r="L17" s="51">
        <f>ROUND(J17/$J$12*100,2)</f>
        <v>99</v>
      </c>
      <c r="M17" s="51"/>
      <c r="N17" s="51">
        <v>2016.4</v>
      </c>
      <c r="O17" s="44">
        <v>1782</v>
      </c>
      <c r="P17" s="44">
        <v>0.28000000000000003</v>
      </c>
      <c r="Q17" s="51">
        <f>ROUND(O17/$O$12*100,2)</f>
        <v>95.6</v>
      </c>
    </row>
    <row r="18" spans="1:17" ht="42.6" customHeight="1" x14ac:dyDescent="0.25">
      <c r="A18" s="127" t="s">
        <v>374</v>
      </c>
      <c r="B18" s="49" t="s">
        <v>5</v>
      </c>
      <c r="C18" s="57" t="s">
        <v>375</v>
      </c>
      <c r="D18" s="57" t="s">
        <v>376</v>
      </c>
      <c r="E18" s="57" t="s">
        <v>377</v>
      </c>
      <c r="F18" s="57" t="s">
        <v>378</v>
      </c>
      <c r="G18" s="56"/>
      <c r="I18" s="59"/>
      <c r="J18" s="59"/>
      <c r="K18" s="59"/>
      <c r="L18" s="59"/>
      <c r="M18" s="59"/>
      <c r="N18" s="59"/>
    </row>
    <row r="19" spans="1:17" ht="25.8" customHeight="1" x14ac:dyDescent="0.25">
      <c r="A19" s="127"/>
      <c r="B19" s="49" t="s">
        <v>379</v>
      </c>
      <c r="C19" s="49" t="s">
        <v>380</v>
      </c>
      <c r="D19" s="49" t="s">
        <v>380</v>
      </c>
      <c r="E19" s="49" t="s">
        <v>380</v>
      </c>
      <c r="F19" s="49" t="s">
        <v>380</v>
      </c>
      <c r="G19" s="56"/>
      <c r="I19" s="60"/>
      <c r="J19" s="60"/>
      <c r="K19" s="60"/>
      <c r="L19" s="60"/>
      <c r="M19" s="60"/>
      <c r="N19" s="60"/>
    </row>
    <row r="20" spans="1:17" ht="26.4" customHeight="1" x14ac:dyDescent="0.25">
      <c r="A20" s="127"/>
      <c r="B20" s="49" t="s">
        <v>381</v>
      </c>
      <c r="C20" s="49" t="s">
        <v>382</v>
      </c>
      <c r="D20" s="49" t="s">
        <v>382</v>
      </c>
      <c r="E20" s="49" t="s">
        <v>382</v>
      </c>
      <c r="F20" s="49" t="s">
        <v>382</v>
      </c>
      <c r="G20" s="56"/>
      <c r="I20" s="60"/>
      <c r="J20" s="60"/>
      <c r="K20" s="60"/>
      <c r="L20" s="60"/>
      <c r="M20" s="60"/>
      <c r="N20" s="60"/>
    </row>
    <row r="21" spans="1:17" ht="26.4" customHeight="1" x14ac:dyDescent="0.25">
      <c r="A21" s="127"/>
      <c r="B21" s="49" t="s">
        <v>383</v>
      </c>
      <c r="C21" s="49" t="s">
        <v>384</v>
      </c>
      <c r="D21" s="49" t="s">
        <v>384</v>
      </c>
      <c r="E21" s="49" t="s">
        <v>384</v>
      </c>
      <c r="F21" s="49" t="s">
        <v>384</v>
      </c>
      <c r="G21" s="56"/>
      <c r="I21" s="60"/>
      <c r="J21" s="60"/>
      <c r="K21" s="60"/>
      <c r="L21" s="60"/>
      <c r="M21" s="60"/>
      <c r="N21" s="60"/>
    </row>
    <row r="22" spans="1:17" ht="34.799999999999997" customHeight="1" x14ac:dyDescent="0.25">
      <c r="A22" s="127"/>
      <c r="B22" s="49" t="s">
        <v>385</v>
      </c>
      <c r="C22" s="49" t="s">
        <v>386</v>
      </c>
      <c r="D22" s="49" t="s">
        <v>386</v>
      </c>
      <c r="E22" s="49" t="s">
        <v>386</v>
      </c>
      <c r="F22" s="49" t="s">
        <v>386</v>
      </c>
      <c r="G22" s="42"/>
      <c r="I22" s="60"/>
      <c r="J22" s="60"/>
      <c r="K22" s="60"/>
      <c r="L22" s="60"/>
      <c r="M22" s="60"/>
      <c r="N22" s="60"/>
    </row>
    <row r="23" spans="1:17" ht="31.8" customHeight="1" x14ac:dyDescent="0.25">
      <c r="A23" s="127"/>
      <c r="B23" s="49" t="s">
        <v>387</v>
      </c>
      <c r="C23" s="61" t="s">
        <v>388</v>
      </c>
      <c r="D23" s="61" t="s">
        <v>134</v>
      </c>
      <c r="E23" s="61" t="s">
        <v>50</v>
      </c>
      <c r="F23" s="61" t="s">
        <v>55</v>
      </c>
      <c r="G23" s="42"/>
      <c r="I23" s="60"/>
      <c r="J23" s="60"/>
      <c r="K23" s="60"/>
      <c r="L23" s="60"/>
      <c r="M23" s="60"/>
      <c r="N23" s="60"/>
    </row>
    <row r="24" spans="1:17" ht="26.4" customHeight="1" x14ac:dyDescent="0.25">
      <c r="A24" s="62"/>
      <c r="B24" s="62"/>
      <c r="C24" s="62"/>
      <c r="D24" s="62"/>
      <c r="E24" s="62"/>
      <c r="F24" s="62"/>
      <c r="G24" s="42"/>
      <c r="I24" s="60"/>
      <c r="J24" s="60"/>
      <c r="K24" s="60"/>
      <c r="L24" s="60"/>
      <c r="M24" s="60"/>
      <c r="N24" s="60"/>
    </row>
    <row r="25" spans="1:17" ht="22.8" customHeight="1" x14ac:dyDescent="0.25">
      <c r="A25" s="132" t="s">
        <v>330</v>
      </c>
      <c r="B25" s="132"/>
      <c r="C25" s="45" t="s">
        <v>331</v>
      </c>
      <c r="D25" s="45" t="s">
        <v>332</v>
      </c>
      <c r="E25" s="45" t="s">
        <v>333</v>
      </c>
      <c r="F25" s="45" t="s">
        <v>334</v>
      </c>
      <c r="G25" s="42"/>
    </row>
    <row r="26" spans="1:17" s="38" customFormat="1" ht="25.05" customHeight="1" x14ac:dyDescent="0.25">
      <c r="A26" s="122" t="s">
        <v>336</v>
      </c>
      <c r="B26" s="123"/>
      <c r="C26" s="52" t="s">
        <v>337</v>
      </c>
      <c r="D26" s="50">
        <f>D5</f>
        <v>8450.7000000000007</v>
      </c>
      <c r="E26" s="50">
        <f>E5</f>
        <v>8834.52</v>
      </c>
      <c r="F26" s="50">
        <f>F5</f>
        <v>8493.7000000000007</v>
      </c>
    </row>
    <row r="27" spans="1:17" s="38" customFormat="1" ht="25.05" customHeight="1" x14ac:dyDescent="0.25">
      <c r="A27" s="127" t="s">
        <v>339</v>
      </c>
      <c r="B27" s="127"/>
      <c r="C27" s="64">
        <v>100</v>
      </c>
      <c r="D27" s="88">
        <v>98.67</v>
      </c>
      <c r="E27" s="88">
        <v>99.41</v>
      </c>
      <c r="F27" s="88">
        <v>99.41</v>
      </c>
    </row>
    <row r="28" spans="1:17" s="38" customFormat="1" ht="25.05" customHeight="1" x14ac:dyDescent="0.25">
      <c r="A28" s="127" t="s">
        <v>344</v>
      </c>
      <c r="B28" s="127"/>
      <c r="C28" s="89">
        <v>100</v>
      </c>
      <c r="D28" s="89">
        <v>100</v>
      </c>
      <c r="E28" s="89">
        <v>100</v>
      </c>
      <c r="F28" s="89">
        <v>100</v>
      </c>
    </row>
    <row r="29" spans="1:17" s="38" customFormat="1" ht="25.05" customHeight="1" x14ac:dyDescent="0.25">
      <c r="A29" s="127" t="s">
        <v>346</v>
      </c>
      <c r="B29" s="127"/>
      <c r="C29" s="89">
        <v>100</v>
      </c>
      <c r="D29" s="89">
        <v>100</v>
      </c>
      <c r="E29" s="89">
        <v>100</v>
      </c>
      <c r="F29" s="89">
        <v>100</v>
      </c>
    </row>
    <row r="30" spans="1:17" s="38" customFormat="1" ht="25.05" customHeight="1" x14ac:dyDescent="0.25">
      <c r="A30" s="127" t="s">
        <v>6</v>
      </c>
      <c r="B30" s="127"/>
      <c r="C30" s="89">
        <v>100</v>
      </c>
      <c r="D30" s="89">
        <v>100</v>
      </c>
      <c r="E30" s="89">
        <v>100</v>
      </c>
      <c r="F30" s="89">
        <v>100</v>
      </c>
    </row>
    <row r="31" spans="1:17" s="38" customFormat="1" ht="25.05" customHeight="1" x14ac:dyDescent="0.25">
      <c r="A31" s="127" t="s">
        <v>327</v>
      </c>
      <c r="B31" s="127"/>
      <c r="C31" s="91">
        <f>C53</f>
        <v>0.93659999999999999</v>
      </c>
      <c r="D31" s="92">
        <f>ROUND(1-1/(1+0.08)^40,4)</f>
        <v>0.95399999999999996</v>
      </c>
      <c r="E31" s="92">
        <f>ROUND(1-1/(1+0.08)^40,4)</f>
        <v>0.95399999999999996</v>
      </c>
      <c r="F31" s="92">
        <f>ROUND(1-1/(1+0.08)^40,4)</f>
        <v>0.95399999999999996</v>
      </c>
      <c r="G31" s="90"/>
    </row>
    <row r="32" spans="1:17" s="38" customFormat="1" ht="25.05" customHeight="1" x14ac:dyDescent="0.25">
      <c r="A32" s="127" t="s">
        <v>349</v>
      </c>
      <c r="B32" s="52" t="s">
        <v>350</v>
      </c>
      <c r="C32" s="89">
        <v>100</v>
      </c>
      <c r="D32" s="89">
        <v>100</v>
      </c>
      <c r="E32" s="89">
        <v>95</v>
      </c>
      <c r="F32" s="89">
        <v>95</v>
      </c>
      <c r="G32" s="90"/>
    </row>
    <row r="33" spans="1:7" s="38" customFormat="1" ht="25.05" customHeight="1" x14ac:dyDescent="0.25">
      <c r="A33" s="127"/>
      <c r="B33" s="52" t="s">
        <v>355</v>
      </c>
      <c r="C33" s="89">
        <v>100</v>
      </c>
      <c r="D33" s="89">
        <v>100</v>
      </c>
      <c r="E33" s="89">
        <v>95</v>
      </c>
      <c r="F33" s="89">
        <v>95</v>
      </c>
      <c r="G33" s="90"/>
    </row>
    <row r="34" spans="1:7" s="38" customFormat="1" ht="25.05" customHeight="1" x14ac:dyDescent="0.25">
      <c r="A34" s="127"/>
      <c r="B34" s="52" t="s">
        <v>360</v>
      </c>
      <c r="C34" s="89">
        <v>100</v>
      </c>
      <c r="D34" s="89">
        <v>100</v>
      </c>
      <c r="E34" s="89">
        <v>100</v>
      </c>
      <c r="F34" s="89">
        <v>95</v>
      </c>
      <c r="G34" s="90"/>
    </row>
    <row r="35" spans="1:7" s="38" customFormat="1" ht="25.05" customHeight="1" x14ac:dyDescent="0.25">
      <c r="A35" s="127"/>
      <c r="B35" s="52" t="s">
        <v>389</v>
      </c>
      <c r="C35" s="89">
        <v>100</v>
      </c>
      <c r="D35" s="89">
        <v>100</v>
      </c>
      <c r="E35" s="89">
        <v>100</v>
      </c>
      <c r="F35" s="89">
        <v>95</v>
      </c>
      <c r="G35" s="90"/>
    </row>
    <row r="36" spans="1:7" s="38" customFormat="1" ht="25.05" customHeight="1" x14ac:dyDescent="0.25">
      <c r="A36" s="127"/>
      <c r="B36" s="52" t="s">
        <v>368</v>
      </c>
      <c r="C36" s="89">
        <v>100</v>
      </c>
      <c r="D36" s="89">
        <v>100</v>
      </c>
      <c r="E36" s="89">
        <v>100</v>
      </c>
      <c r="F36" s="89">
        <v>100</v>
      </c>
      <c r="G36" s="90"/>
    </row>
    <row r="37" spans="1:7" s="38" customFormat="1" ht="25.05" customHeight="1" x14ac:dyDescent="0.25">
      <c r="A37" s="127"/>
      <c r="B37" s="52" t="s">
        <v>370</v>
      </c>
      <c r="C37" s="89">
        <v>100</v>
      </c>
      <c r="D37" s="89">
        <v>100</v>
      </c>
      <c r="E37" s="89">
        <v>100</v>
      </c>
      <c r="F37" s="89">
        <v>100</v>
      </c>
      <c r="G37" s="90"/>
    </row>
    <row r="38" spans="1:7" s="38" customFormat="1" ht="25.05" customHeight="1" x14ac:dyDescent="0.25">
      <c r="A38" s="127"/>
      <c r="B38" s="52" t="s">
        <v>390</v>
      </c>
      <c r="C38" s="89">
        <v>100</v>
      </c>
      <c r="D38" s="89">
        <v>100</v>
      </c>
      <c r="E38" s="89">
        <v>100</v>
      </c>
      <c r="F38" s="89">
        <v>100</v>
      </c>
      <c r="G38" s="90"/>
    </row>
    <row r="39" spans="1:7" s="38" customFormat="1" ht="25.05" customHeight="1" x14ac:dyDescent="0.25">
      <c r="A39" s="127" t="s">
        <v>374</v>
      </c>
      <c r="B39" s="52" t="s">
        <v>5</v>
      </c>
      <c r="C39" s="89">
        <v>100</v>
      </c>
      <c r="D39" s="89">
        <v>100</v>
      </c>
      <c r="E39" s="89">
        <v>100</v>
      </c>
      <c r="F39" s="89">
        <v>100</v>
      </c>
      <c r="G39" s="90"/>
    </row>
    <row r="40" spans="1:7" s="38" customFormat="1" ht="25.05" customHeight="1" x14ac:dyDescent="0.25">
      <c r="A40" s="127"/>
      <c r="B40" s="52" t="s">
        <v>379</v>
      </c>
      <c r="C40" s="89">
        <v>100</v>
      </c>
      <c r="D40" s="89">
        <v>100</v>
      </c>
      <c r="E40" s="89">
        <v>100</v>
      </c>
      <c r="F40" s="89">
        <v>100</v>
      </c>
      <c r="G40" s="90"/>
    </row>
    <row r="41" spans="1:7" s="38" customFormat="1" ht="25.05" customHeight="1" x14ac:dyDescent="0.25">
      <c r="A41" s="127"/>
      <c r="B41" s="52" t="s">
        <v>381</v>
      </c>
      <c r="C41" s="89">
        <v>100</v>
      </c>
      <c r="D41" s="89">
        <v>100</v>
      </c>
      <c r="E41" s="89">
        <v>100</v>
      </c>
      <c r="F41" s="89">
        <v>100</v>
      </c>
      <c r="G41" s="90"/>
    </row>
    <row r="42" spans="1:7" s="38" customFormat="1" ht="25.05" customHeight="1" x14ac:dyDescent="0.25">
      <c r="A42" s="127"/>
      <c r="B42" s="52" t="s">
        <v>383</v>
      </c>
      <c r="C42" s="89">
        <v>100</v>
      </c>
      <c r="D42" s="89">
        <v>100</v>
      </c>
      <c r="E42" s="89">
        <v>100</v>
      </c>
      <c r="F42" s="89">
        <v>100</v>
      </c>
      <c r="G42" s="90"/>
    </row>
    <row r="43" spans="1:7" s="38" customFormat="1" ht="25.05" customHeight="1" x14ac:dyDescent="0.25">
      <c r="A43" s="127"/>
      <c r="B43" s="52" t="s">
        <v>385</v>
      </c>
      <c r="C43" s="89">
        <v>100</v>
      </c>
      <c r="D43" s="89">
        <v>100</v>
      </c>
      <c r="E43" s="89">
        <v>100</v>
      </c>
      <c r="F43" s="89">
        <v>100</v>
      </c>
      <c r="G43" s="90"/>
    </row>
    <row r="44" spans="1:7" s="38" customFormat="1" ht="25.05" customHeight="1" x14ac:dyDescent="0.25">
      <c r="A44" s="127"/>
      <c r="B44" s="52" t="s">
        <v>391</v>
      </c>
      <c r="C44" s="89">
        <v>1.5109999999999999</v>
      </c>
      <c r="D44" s="89">
        <v>0.97499999999999998</v>
      </c>
      <c r="E44" s="89">
        <v>1.1379999999999999</v>
      </c>
      <c r="F44" s="89">
        <v>1.3480000000000001</v>
      </c>
      <c r="G44" s="90"/>
    </row>
    <row r="45" spans="1:7" s="38" customFormat="1" ht="25.05" customHeight="1" x14ac:dyDescent="0.25">
      <c r="A45" s="122" t="s">
        <v>393</v>
      </c>
      <c r="B45" s="123"/>
      <c r="C45" s="64"/>
      <c r="D45" s="65">
        <f>ROUND(PRODUCT($C28:$C44)/PRODUCT(D28:D44)*D26*C27/D27,0)</f>
        <v>13031</v>
      </c>
      <c r="E45" s="65">
        <f>ROUND(PRODUCT($C28:$C44)/PRODUCT(E28:E44)*E26*C27/E27,0)</f>
        <v>12836</v>
      </c>
      <c r="F45" s="65">
        <f>ROUND(PRODUCT($C28:$C44)/PRODUCT(F28:F44)*F26*C27/F27,0)</f>
        <v>11544</v>
      </c>
      <c r="G45" s="90"/>
    </row>
    <row r="46" spans="1:7" s="38" customFormat="1" ht="25.05" customHeight="1" x14ac:dyDescent="0.25">
      <c r="A46" s="122" t="s">
        <v>394</v>
      </c>
      <c r="B46" s="123"/>
      <c r="C46" s="64"/>
      <c r="D46" s="65"/>
      <c r="E46" s="87">
        <f>AVERAGE(D45:F45)</f>
        <v>12470</v>
      </c>
      <c r="F46" s="65"/>
    </row>
    <row r="47" spans="1:7" s="38" customFormat="1" ht="25.05" customHeight="1" x14ac:dyDescent="0.25">
      <c r="A47" s="122" t="s">
        <v>395</v>
      </c>
      <c r="B47" s="123"/>
      <c r="C47" s="64"/>
      <c r="D47" s="65"/>
      <c r="E47" s="87">
        <v>2796</v>
      </c>
      <c r="F47" s="65"/>
      <c r="G47" s="38">
        <v>12470</v>
      </c>
    </row>
    <row r="48" spans="1:7" s="38" customFormat="1" ht="25.05" customHeight="1" x14ac:dyDescent="0.25">
      <c r="A48" s="122" t="s">
        <v>396</v>
      </c>
      <c r="B48" s="123"/>
      <c r="C48" s="64"/>
      <c r="D48" s="65"/>
      <c r="E48" s="65">
        <f>ROUND(E46*E47,-2)</f>
        <v>34866100</v>
      </c>
      <c r="F48" s="65"/>
    </row>
    <row r="49" spans="1:7" s="38" customFormat="1" ht="25.05" customHeight="1" x14ac:dyDescent="0.25">
      <c r="A49" s="84"/>
      <c r="B49" s="84"/>
      <c r="C49" s="85"/>
      <c r="D49" s="86"/>
      <c r="E49" s="86"/>
      <c r="F49" s="86"/>
    </row>
    <row r="50" spans="1:7" s="38" customFormat="1" ht="25.05" customHeight="1" x14ac:dyDescent="0.25">
      <c r="A50" s="84"/>
      <c r="B50" s="1" t="s">
        <v>326</v>
      </c>
      <c r="C50" s="94">
        <v>56194</v>
      </c>
      <c r="D50" s="86"/>
      <c r="E50" s="86"/>
      <c r="F50" s="86"/>
    </row>
    <row r="51" spans="1:7" s="38" customFormat="1" ht="25.05" customHeight="1" x14ac:dyDescent="0.25">
      <c r="A51" s="84"/>
      <c r="B51" s="1" t="s">
        <v>399</v>
      </c>
      <c r="C51" s="39" t="str">
        <f>C6</f>
        <v>2017/12/31</v>
      </c>
      <c r="D51" s="86"/>
      <c r="E51" s="86"/>
      <c r="F51" s="86"/>
    </row>
    <row r="52" spans="1:7" s="38" customFormat="1" ht="25.05" customHeight="1" x14ac:dyDescent="0.25">
      <c r="A52" s="84"/>
      <c r="B52" s="1" t="s">
        <v>400</v>
      </c>
      <c r="C52" s="40">
        <f>ROUND(DAYS360(C51,C50)/360,2)</f>
        <v>35.85</v>
      </c>
      <c r="D52" s="86"/>
      <c r="E52" s="86"/>
      <c r="F52" s="86"/>
    </row>
    <row r="53" spans="1:7" s="38" customFormat="1" ht="25.05" customHeight="1" x14ac:dyDescent="0.25">
      <c r="A53" s="84"/>
      <c r="B53" s="1" t="s">
        <v>401</v>
      </c>
      <c r="C53" s="41">
        <f>ROUND(1-1/(1+0.08)^C52,4)</f>
        <v>0.93659999999999999</v>
      </c>
      <c r="D53" s="86"/>
      <c r="E53" s="86"/>
      <c r="F53" s="86"/>
    </row>
    <row r="54" spans="1:7" s="38" customFormat="1" ht="25.05" customHeight="1" x14ac:dyDescent="0.25">
      <c r="A54" s="84"/>
      <c r="B54" s="1"/>
      <c r="C54" s="41"/>
      <c r="D54" s="86"/>
      <c r="E54" s="86"/>
      <c r="F54" s="86"/>
    </row>
    <row r="55" spans="1:7" s="38" customFormat="1" ht="25.05" customHeight="1" x14ac:dyDescent="0.25">
      <c r="A55" s="62"/>
      <c r="B55" s="93" t="s">
        <v>397</v>
      </c>
      <c r="C55" s="62"/>
      <c r="D55" s="62"/>
      <c r="E55" s="62"/>
      <c r="F55" s="62"/>
    </row>
    <row r="56" spans="1:7" ht="31.8" customHeight="1" x14ac:dyDescent="0.25">
      <c r="A56" s="128" t="s">
        <v>330</v>
      </c>
      <c r="B56" s="129"/>
      <c r="C56" s="45" t="s">
        <v>332</v>
      </c>
      <c r="D56" s="45" t="s">
        <v>333</v>
      </c>
      <c r="E56" s="45" t="s">
        <v>334</v>
      </c>
      <c r="F56" s="62"/>
      <c r="G56" s="42"/>
    </row>
    <row r="57" spans="1:7" ht="30.6" customHeight="1" x14ac:dyDescent="0.25">
      <c r="A57" s="130" t="s">
        <v>336</v>
      </c>
      <c r="B57" s="131"/>
      <c r="C57" s="50">
        <f>D26</f>
        <v>8450.7000000000007</v>
      </c>
      <c r="D57" s="50">
        <f>E26</f>
        <v>8834.52</v>
      </c>
      <c r="E57" s="50">
        <f>F26</f>
        <v>8493.7000000000007</v>
      </c>
      <c r="F57" s="66"/>
      <c r="G57" s="42"/>
    </row>
    <row r="58" spans="1:7" ht="15.6" x14ac:dyDescent="0.25">
      <c r="A58" s="122" t="s">
        <v>339</v>
      </c>
      <c r="B58" s="123"/>
      <c r="C58" s="68" t="str">
        <f>CONCATENATE(D27,"/",$C27)</f>
        <v>98.67/100</v>
      </c>
      <c r="D58" s="68" t="str">
        <f>CONCATENATE(E27,"/",$C27)</f>
        <v>99.41/100</v>
      </c>
      <c r="E58" s="68" t="str">
        <f>CONCATENATE(F27,"/",$C27)</f>
        <v>99.41/100</v>
      </c>
      <c r="F58" s="62"/>
      <c r="G58" s="67"/>
    </row>
    <row r="59" spans="1:7" ht="15.6" x14ac:dyDescent="0.25">
      <c r="A59" s="122" t="s">
        <v>344</v>
      </c>
      <c r="B59" s="123"/>
      <c r="C59" s="68" t="str">
        <f t="shared" ref="C59:E74" si="0">CONCATENATE($C28,"/",D28)</f>
        <v>100/100</v>
      </c>
      <c r="D59" s="68" t="str">
        <f t="shared" si="0"/>
        <v>100/100</v>
      </c>
      <c r="E59" s="68" t="str">
        <f t="shared" si="0"/>
        <v>100/100</v>
      </c>
      <c r="F59" s="62"/>
      <c r="G59" s="67"/>
    </row>
    <row r="60" spans="1:7" ht="15.6" x14ac:dyDescent="0.25">
      <c r="A60" s="122" t="s">
        <v>346</v>
      </c>
      <c r="B60" s="123"/>
      <c r="C60" s="68" t="str">
        <f t="shared" si="0"/>
        <v>100/100</v>
      </c>
      <c r="D60" s="68" t="str">
        <f t="shared" si="0"/>
        <v>100/100</v>
      </c>
      <c r="E60" s="68" t="str">
        <f t="shared" si="0"/>
        <v>100/100</v>
      </c>
      <c r="F60" s="62"/>
      <c r="G60" s="69"/>
    </row>
    <row r="61" spans="1:7" ht="15.6" x14ac:dyDescent="0.25">
      <c r="A61" s="122" t="s">
        <v>6</v>
      </c>
      <c r="B61" s="123"/>
      <c r="C61" s="68" t="str">
        <f t="shared" si="0"/>
        <v>100/100</v>
      </c>
      <c r="D61" s="68" t="str">
        <f t="shared" si="0"/>
        <v>100/100</v>
      </c>
      <c r="E61" s="68" t="str">
        <f t="shared" si="0"/>
        <v>100/100</v>
      </c>
      <c r="F61" s="62"/>
      <c r="G61" s="69"/>
    </row>
    <row r="62" spans="1:7" ht="15.6" x14ac:dyDescent="0.25">
      <c r="A62" s="122" t="s">
        <v>348</v>
      </c>
      <c r="B62" s="123"/>
      <c r="C62" s="68" t="str">
        <f>CONCATENATE($C31,"/",D31)</f>
        <v>0.9366/0.954</v>
      </c>
      <c r="D62" s="68" t="str">
        <f t="shared" si="0"/>
        <v>0.9366/0.954</v>
      </c>
      <c r="E62" s="68" t="str">
        <f t="shared" si="0"/>
        <v>0.9366/0.954</v>
      </c>
      <c r="F62" s="70"/>
      <c r="G62" s="69"/>
    </row>
    <row r="63" spans="1:7" ht="15.6" x14ac:dyDescent="0.25">
      <c r="A63" s="124" t="s">
        <v>349</v>
      </c>
      <c r="B63" s="63" t="s">
        <v>350</v>
      </c>
      <c r="C63" s="68" t="str">
        <f t="shared" si="0"/>
        <v>100/100</v>
      </c>
      <c r="D63" s="68" t="str">
        <f t="shared" si="0"/>
        <v>100/95</v>
      </c>
      <c r="E63" s="68" t="str">
        <f t="shared" si="0"/>
        <v>100/95</v>
      </c>
      <c r="F63" s="62"/>
      <c r="G63" s="69"/>
    </row>
    <row r="64" spans="1:7" ht="15.6" x14ac:dyDescent="0.25">
      <c r="A64" s="125"/>
      <c r="B64" s="49" t="s">
        <v>355</v>
      </c>
      <c r="C64" s="68" t="str">
        <f t="shared" si="0"/>
        <v>100/100</v>
      </c>
      <c r="D64" s="68" t="str">
        <f t="shared" si="0"/>
        <v>100/95</v>
      </c>
      <c r="E64" s="68" t="str">
        <f t="shared" si="0"/>
        <v>100/95</v>
      </c>
      <c r="F64" s="62"/>
      <c r="G64" s="69"/>
    </row>
    <row r="65" spans="1:7" ht="15.6" x14ac:dyDescent="0.25">
      <c r="A65" s="125"/>
      <c r="B65" s="49" t="s">
        <v>360</v>
      </c>
      <c r="C65" s="68" t="str">
        <f t="shared" si="0"/>
        <v>100/100</v>
      </c>
      <c r="D65" s="68" t="str">
        <f t="shared" si="0"/>
        <v>100/100</v>
      </c>
      <c r="E65" s="68" t="str">
        <f t="shared" si="0"/>
        <v>100/95</v>
      </c>
      <c r="F65" s="62"/>
      <c r="G65" s="69"/>
    </row>
    <row r="66" spans="1:7" ht="15.6" x14ac:dyDescent="0.25">
      <c r="A66" s="125"/>
      <c r="B66" s="63" t="s">
        <v>389</v>
      </c>
      <c r="C66" s="68" t="str">
        <f t="shared" si="0"/>
        <v>100/100</v>
      </c>
      <c r="D66" s="68" t="str">
        <f t="shared" si="0"/>
        <v>100/100</v>
      </c>
      <c r="E66" s="68" t="str">
        <f t="shared" si="0"/>
        <v>100/95</v>
      </c>
      <c r="F66" s="62"/>
      <c r="G66" s="69"/>
    </row>
    <row r="67" spans="1:7" ht="15.6" x14ac:dyDescent="0.25">
      <c r="A67" s="125"/>
      <c r="B67" s="63" t="s">
        <v>368</v>
      </c>
      <c r="C67" s="68" t="str">
        <f t="shared" si="0"/>
        <v>100/100</v>
      </c>
      <c r="D67" s="68" t="str">
        <f t="shared" si="0"/>
        <v>100/100</v>
      </c>
      <c r="E67" s="68" t="str">
        <f t="shared" si="0"/>
        <v>100/100</v>
      </c>
      <c r="F67" s="62"/>
      <c r="G67" s="71"/>
    </row>
    <row r="68" spans="1:7" ht="15.6" x14ac:dyDescent="0.25">
      <c r="A68" s="125"/>
      <c r="B68" s="63" t="s">
        <v>370</v>
      </c>
      <c r="C68" s="68" t="str">
        <f t="shared" si="0"/>
        <v>100/100</v>
      </c>
      <c r="D68" s="68" t="str">
        <f t="shared" si="0"/>
        <v>100/100</v>
      </c>
      <c r="E68" s="68" t="str">
        <f t="shared" si="0"/>
        <v>100/100</v>
      </c>
      <c r="F68" s="62"/>
      <c r="G68" s="42"/>
    </row>
    <row r="69" spans="1:7" ht="28.8" x14ac:dyDescent="0.25">
      <c r="A69" s="126"/>
      <c r="B69" s="63" t="s">
        <v>390</v>
      </c>
      <c r="C69" s="68" t="str">
        <f t="shared" si="0"/>
        <v>100/100</v>
      </c>
      <c r="D69" s="68" t="str">
        <f t="shared" si="0"/>
        <v>100/100</v>
      </c>
      <c r="E69" s="68" t="str">
        <f t="shared" si="0"/>
        <v>100/100</v>
      </c>
      <c r="F69" s="62"/>
      <c r="G69" s="42"/>
    </row>
    <row r="70" spans="1:7" ht="15.6" x14ac:dyDescent="0.25">
      <c r="A70" s="124" t="s">
        <v>374</v>
      </c>
      <c r="B70" s="63" t="s">
        <v>5</v>
      </c>
      <c r="C70" s="68" t="str">
        <f t="shared" si="0"/>
        <v>100/100</v>
      </c>
      <c r="D70" s="68" t="str">
        <f t="shared" si="0"/>
        <v>100/100</v>
      </c>
      <c r="E70" s="68" t="str">
        <f t="shared" si="0"/>
        <v>100/100</v>
      </c>
      <c r="F70" s="62"/>
      <c r="G70" s="42"/>
    </row>
    <row r="71" spans="1:7" ht="15.6" x14ac:dyDescent="0.25">
      <c r="A71" s="125"/>
      <c r="B71" s="63" t="s">
        <v>379</v>
      </c>
      <c r="C71" s="68" t="str">
        <f t="shared" si="0"/>
        <v>100/100</v>
      </c>
      <c r="D71" s="68" t="str">
        <f t="shared" si="0"/>
        <v>100/100</v>
      </c>
      <c r="E71" s="68" t="str">
        <f t="shared" si="0"/>
        <v>100/100</v>
      </c>
      <c r="F71" s="62"/>
      <c r="G71" s="42"/>
    </row>
    <row r="72" spans="1:7" ht="15.6" x14ac:dyDescent="0.25">
      <c r="A72" s="125"/>
      <c r="B72" s="63" t="s">
        <v>381</v>
      </c>
      <c r="C72" s="68" t="str">
        <f t="shared" si="0"/>
        <v>100/100</v>
      </c>
      <c r="D72" s="68" t="str">
        <f t="shared" si="0"/>
        <v>100/100</v>
      </c>
      <c r="E72" s="68" t="str">
        <f t="shared" si="0"/>
        <v>100/100</v>
      </c>
      <c r="F72" s="62"/>
      <c r="G72" s="42"/>
    </row>
    <row r="73" spans="1:7" ht="28.8" x14ac:dyDescent="0.25">
      <c r="A73" s="125"/>
      <c r="B73" s="49" t="s">
        <v>383</v>
      </c>
      <c r="C73" s="68" t="str">
        <f t="shared" si="0"/>
        <v>100/100</v>
      </c>
      <c r="D73" s="68" t="str">
        <f t="shared" si="0"/>
        <v>100/100</v>
      </c>
      <c r="E73" s="68" t="str">
        <f t="shared" si="0"/>
        <v>100/100</v>
      </c>
      <c r="F73" s="62"/>
      <c r="G73" s="42"/>
    </row>
    <row r="74" spans="1:7" ht="15.6" x14ac:dyDescent="0.25">
      <c r="A74" s="125"/>
      <c r="B74" s="49" t="s">
        <v>385</v>
      </c>
      <c r="C74" s="68" t="str">
        <f t="shared" si="0"/>
        <v>100/100</v>
      </c>
      <c r="D74" s="68" t="str">
        <f>CONCATENATE($C43,"/",E43)</f>
        <v>100/100</v>
      </c>
      <c r="E74" s="68" t="str">
        <f>CONCATENATE($C43,"/",F43)</f>
        <v>100/100</v>
      </c>
      <c r="F74" s="62"/>
      <c r="G74" s="42"/>
    </row>
    <row r="75" spans="1:7" ht="15.6" x14ac:dyDescent="0.25">
      <c r="A75" s="126"/>
      <c r="B75" s="49" t="s">
        <v>387</v>
      </c>
      <c r="C75" s="68" t="str">
        <f>CONCATENATE($C44,"/",D44)</f>
        <v>1.511/0.975</v>
      </c>
      <c r="D75" s="68" t="str">
        <f>CONCATENATE($C44,"/",E44)</f>
        <v>1.511/1.138</v>
      </c>
      <c r="E75" s="68" t="str">
        <f>CONCATENATE($C44,"/",F44)</f>
        <v>1.511/1.348</v>
      </c>
      <c r="F75" s="62"/>
      <c r="G75" s="42"/>
    </row>
    <row r="76" spans="1:7" ht="16.8" x14ac:dyDescent="0.25">
      <c r="A76" s="119" t="s">
        <v>392</v>
      </c>
      <c r="B76" s="120"/>
      <c r="C76" s="72">
        <f>D45</f>
        <v>13031</v>
      </c>
      <c r="D76" s="72">
        <f>E45</f>
        <v>12836</v>
      </c>
      <c r="E76" s="72">
        <f>F45</f>
        <v>11544</v>
      </c>
      <c r="F76" s="62"/>
      <c r="G76" s="42"/>
    </row>
    <row r="77" spans="1:7" ht="16.8" x14ac:dyDescent="0.25">
      <c r="A77" s="119" t="s">
        <v>336</v>
      </c>
      <c r="B77" s="120"/>
      <c r="C77" s="121">
        <f>ROUND((C76+D76+E76)/3,0)</f>
        <v>12470</v>
      </c>
      <c r="D77" s="121"/>
      <c r="E77" s="121"/>
      <c r="F77" s="42"/>
      <c r="G77" s="42"/>
    </row>
    <row r="78" spans="1:7" ht="15.6" x14ac:dyDescent="0.25">
      <c r="A78" s="73"/>
      <c r="B78" s="78"/>
      <c r="C78" s="74"/>
      <c r="D78" s="74"/>
      <c r="E78" s="74"/>
      <c r="F78" s="42"/>
      <c r="G78" s="42"/>
    </row>
    <row r="79" spans="1:7" ht="15.6" x14ac:dyDescent="0.25">
      <c r="A79" s="75"/>
      <c r="B79" s="76"/>
      <c r="C79" s="77"/>
      <c r="D79" s="74"/>
      <c r="E79" s="74"/>
      <c r="F79" s="42"/>
      <c r="G79" s="42"/>
    </row>
    <row r="80" spans="1:7" ht="15.6" x14ac:dyDescent="0.25">
      <c r="A80" s="75"/>
      <c r="C80" s="79"/>
      <c r="D80" s="74"/>
      <c r="E80" s="74"/>
      <c r="F80" s="42"/>
      <c r="G80" s="42"/>
    </row>
    <row r="81" spans="1:7" ht="15.6" x14ac:dyDescent="0.25">
      <c r="A81" s="42"/>
      <c r="B81" s="78"/>
      <c r="C81" s="80"/>
      <c r="D81" s="42"/>
      <c r="E81" s="42"/>
      <c r="F81" s="42"/>
      <c r="G81" s="42"/>
    </row>
    <row r="82" spans="1:7" ht="15.6" x14ac:dyDescent="0.25">
      <c r="A82" s="42"/>
      <c r="B82" s="78"/>
      <c r="C82" s="80"/>
      <c r="D82" s="81"/>
      <c r="E82" s="42"/>
      <c r="F82" s="42"/>
      <c r="G82" s="42"/>
    </row>
    <row r="83" spans="1:7" ht="15.6" x14ac:dyDescent="0.25">
      <c r="A83" s="42"/>
      <c r="B83" s="78"/>
      <c r="C83" s="80"/>
      <c r="D83" s="42"/>
      <c r="E83" s="82"/>
      <c r="F83" s="42"/>
      <c r="G83" s="42"/>
    </row>
    <row r="84" spans="1:7" x14ac:dyDescent="0.25">
      <c r="A84" s="42"/>
      <c r="B84" s="42"/>
      <c r="C84" s="42"/>
      <c r="D84" s="42"/>
      <c r="E84" s="42"/>
      <c r="F84" s="42"/>
      <c r="G84" s="42"/>
    </row>
    <row r="85" spans="1:7" x14ac:dyDescent="0.25">
      <c r="A85" s="42"/>
      <c r="B85" s="42"/>
      <c r="C85" s="83"/>
      <c r="D85" s="42"/>
      <c r="E85" s="42"/>
      <c r="F85" s="42"/>
      <c r="G85" s="42"/>
    </row>
    <row r="86" spans="1:7" x14ac:dyDescent="0.25">
      <c r="A86" s="42"/>
      <c r="B86" s="42"/>
      <c r="C86" s="42"/>
      <c r="D86" s="42"/>
      <c r="E86" s="42"/>
      <c r="F86" s="42"/>
      <c r="G86" s="42"/>
    </row>
    <row r="87" spans="1:7" x14ac:dyDescent="0.25">
      <c r="A87" s="42"/>
      <c r="B87" s="42"/>
      <c r="C87" s="42"/>
      <c r="D87" s="42"/>
      <c r="E87" s="42"/>
      <c r="F87" s="42"/>
      <c r="G87" s="42"/>
    </row>
    <row r="88" spans="1:7" x14ac:dyDescent="0.25">
      <c r="A88" s="42"/>
      <c r="B88" s="42"/>
      <c r="C88" s="42"/>
      <c r="D88" s="42"/>
      <c r="E88" s="42"/>
      <c r="F88" s="42"/>
      <c r="G88" s="42"/>
    </row>
    <row r="89" spans="1:7" x14ac:dyDescent="0.25">
      <c r="A89" s="42"/>
      <c r="B89" s="42"/>
      <c r="C89" s="42"/>
      <c r="D89" s="42"/>
      <c r="E89" s="42"/>
      <c r="F89" s="42"/>
      <c r="G89" s="42"/>
    </row>
    <row r="90" spans="1:7" x14ac:dyDescent="0.25">
      <c r="A90" s="42"/>
      <c r="B90" s="42"/>
      <c r="C90" s="42"/>
      <c r="D90" s="42"/>
      <c r="E90" s="42"/>
      <c r="F90" s="42"/>
      <c r="G90" s="42"/>
    </row>
    <row r="91" spans="1:7" x14ac:dyDescent="0.25">
      <c r="A91" s="42"/>
      <c r="B91" s="42"/>
      <c r="C91" s="42"/>
      <c r="D91" s="42"/>
      <c r="E91" s="42"/>
      <c r="F91" s="42"/>
      <c r="G91" s="42"/>
    </row>
    <row r="92" spans="1:7" x14ac:dyDescent="0.25">
      <c r="A92" s="42"/>
      <c r="B92" s="42"/>
      <c r="C92" s="42"/>
      <c r="D92" s="42"/>
      <c r="E92" s="42"/>
      <c r="F92" s="42"/>
      <c r="G92" s="42"/>
    </row>
    <row r="93" spans="1:7" x14ac:dyDescent="0.25">
      <c r="A93" s="42"/>
      <c r="B93" s="42"/>
      <c r="C93" s="42"/>
      <c r="D93" s="42"/>
      <c r="E93" s="42"/>
      <c r="F93" s="42"/>
      <c r="G93" s="42"/>
    </row>
    <row r="94" spans="1:7" x14ac:dyDescent="0.25">
      <c r="A94" s="42"/>
      <c r="B94" s="42"/>
      <c r="C94" s="42"/>
      <c r="D94" s="42"/>
      <c r="E94" s="42"/>
      <c r="F94" s="42"/>
      <c r="G94" s="42"/>
    </row>
    <row r="95" spans="1:7" x14ac:dyDescent="0.25">
      <c r="A95" s="42"/>
      <c r="B95" s="42"/>
      <c r="C95" s="42"/>
      <c r="D95" s="42"/>
      <c r="E95" s="42"/>
      <c r="F95" s="42"/>
      <c r="G95" s="42"/>
    </row>
    <row r="96" spans="1:7" x14ac:dyDescent="0.25">
      <c r="A96" s="42"/>
      <c r="B96" s="42"/>
      <c r="C96" s="42"/>
      <c r="D96" s="42"/>
      <c r="E96" s="42"/>
      <c r="F96" s="42"/>
      <c r="G96" s="42"/>
    </row>
    <row r="97" spans="1:7" x14ac:dyDescent="0.25">
      <c r="A97" s="42"/>
      <c r="B97" s="42"/>
      <c r="C97" s="42"/>
      <c r="D97" s="42"/>
      <c r="E97" s="42"/>
      <c r="F97" s="42"/>
      <c r="G97" s="42"/>
    </row>
    <row r="98" spans="1:7" x14ac:dyDescent="0.25">
      <c r="A98" s="42"/>
      <c r="B98" s="42"/>
      <c r="C98" s="42"/>
      <c r="D98" s="42"/>
      <c r="E98" s="42"/>
      <c r="F98" s="42"/>
      <c r="G98" s="42"/>
    </row>
    <row r="99" spans="1:7" x14ac:dyDescent="0.25">
      <c r="A99" s="42"/>
      <c r="B99" s="42"/>
      <c r="C99" s="42"/>
      <c r="D99" s="42"/>
      <c r="E99" s="42"/>
      <c r="F99" s="42"/>
      <c r="G99" s="42"/>
    </row>
    <row r="100" spans="1:7" x14ac:dyDescent="0.25">
      <c r="A100" s="42"/>
      <c r="B100" s="42"/>
      <c r="C100" s="42"/>
      <c r="D100" s="42"/>
      <c r="E100" s="42"/>
      <c r="F100" s="42"/>
      <c r="G100" s="42"/>
    </row>
    <row r="101" spans="1:7" x14ac:dyDescent="0.25">
      <c r="A101" s="42"/>
      <c r="B101" s="42"/>
      <c r="C101" s="42"/>
      <c r="D101" s="42"/>
      <c r="E101" s="42"/>
      <c r="F101" s="42"/>
      <c r="G101" s="42"/>
    </row>
    <row r="102" spans="1:7" x14ac:dyDescent="0.25">
      <c r="A102" s="42"/>
      <c r="B102" s="42"/>
      <c r="C102" s="42"/>
      <c r="D102" s="42"/>
      <c r="E102" s="42"/>
      <c r="F102" s="42"/>
      <c r="G102" s="42"/>
    </row>
    <row r="103" spans="1:7" x14ac:dyDescent="0.25">
      <c r="A103" s="42"/>
      <c r="B103" s="42"/>
      <c r="C103" s="42"/>
      <c r="D103" s="42"/>
      <c r="E103" s="42"/>
      <c r="F103" s="42"/>
      <c r="G103" s="42"/>
    </row>
    <row r="104" spans="1:7" x14ac:dyDescent="0.25">
      <c r="A104" s="42"/>
      <c r="B104" s="42"/>
      <c r="C104" s="42"/>
      <c r="D104" s="42"/>
      <c r="E104" s="42"/>
      <c r="F104" s="42"/>
      <c r="G104" s="42"/>
    </row>
    <row r="105" spans="1:7" x14ac:dyDescent="0.25">
      <c r="A105" s="42"/>
      <c r="B105" s="42"/>
      <c r="C105" s="42"/>
      <c r="D105" s="42"/>
      <c r="E105" s="42"/>
      <c r="F105" s="42"/>
      <c r="G105" s="42"/>
    </row>
    <row r="106" spans="1:7" x14ac:dyDescent="0.25">
      <c r="A106" s="42"/>
      <c r="B106" s="42"/>
      <c r="C106" s="42"/>
      <c r="D106" s="42"/>
      <c r="E106" s="42"/>
      <c r="F106" s="42"/>
      <c r="G106" s="42"/>
    </row>
    <row r="107" spans="1:7" x14ac:dyDescent="0.25">
      <c r="A107" s="42"/>
      <c r="B107" s="42"/>
      <c r="C107" s="42"/>
      <c r="D107" s="42"/>
      <c r="E107" s="42"/>
      <c r="F107" s="42"/>
      <c r="G107" s="42"/>
    </row>
    <row r="108" spans="1:7" x14ac:dyDescent="0.25">
      <c r="A108" s="42"/>
      <c r="B108" s="42"/>
      <c r="C108" s="42"/>
      <c r="D108" s="42"/>
      <c r="E108" s="42"/>
      <c r="F108" s="42"/>
      <c r="G108" s="42"/>
    </row>
    <row r="109" spans="1:7" x14ac:dyDescent="0.25">
      <c r="A109" s="42"/>
      <c r="B109" s="42"/>
      <c r="C109" s="42"/>
      <c r="D109" s="42"/>
      <c r="E109" s="42"/>
      <c r="F109" s="42"/>
      <c r="G109" s="42"/>
    </row>
    <row r="110" spans="1:7" x14ac:dyDescent="0.25">
      <c r="A110" s="42"/>
      <c r="B110" s="42"/>
      <c r="C110" s="42"/>
      <c r="D110" s="42"/>
      <c r="E110" s="42"/>
      <c r="F110" s="42"/>
      <c r="G110" s="42"/>
    </row>
    <row r="111" spans="1:7" x14ac:dyDescent="0.25">
      <c r="A111" s="42"/>
      <c r="B111" s="42"/>
      <c r="C111" s="42"/>
      <c r="D111" s="42"/>
      <c r="E111" s="42"/>
      <c r="F111" s="42"/>
      <c r="G111" s="42"/>
    </row>
    <row r="112" spans="1:7" x14ac:dyDescent="0.25">
      <c r="A112" s="42"/>
      <c r="B112" s="42"/>
      <c r="C112" s="42"/>
      <c r="D112" s="42"/>
      <c r="E112" s="42"/>
      <c r="F112" s="42"/>
      <c r="G112" s="42"/>
    </row>
    <row r="113" spans="1:7" x14ac:dyDescent="0.25">
      <c r="A113" s="42"/>
      <c r="B113" s="42"/>
      <c r="C113" s="42"/>
      <c r="D113" s="42"/>
      <c r="E113" s="42"/>
      <c r="F113" s="42"/>
      <c r="G113" s="42"/>
    </row>
    <row r="114" spans="1:7" x14ac:dyDescent="0.25">
      <c r="A114" s="42"/>
      <c r="B114" s="42"/>
      <c r="C114" s="42"/>
      <c r="D114" s="42"/>
      <c r="E114" s="42"/>
      <c r="F114" s="42"/>
      <c r="G114" s="42"/>
    </row>
    <row r="115" spans="1:7" x14ac:dyDescent="0.25">
      <c r="A115" s="42"/>
      <c r="B115" s="42"/>
      <c r="C115" s="42"/>
      <c r="D115" s="42"/>
      <c r="E115" s="42"/>
      <c r="F115" s="42"/>
      <c r="G115" s="42"/>
    </row>
    <row r="116" spans="1:7" x14ac:dyDescent="0.25">
      <c r="A116" s="42"/>
      <c r="B116" s="42"/>
      <c r="C116" s="42"/>
      <c r="D116" s="42"/>
      <c r="E116" s="42"/>
      <c r="F116" s="42"/>
      <c r="G116" s="42"/>
    </row>
    <row r="117" spans="1:7" x14ac:dyDescent="0.25">
      <c r="A117" s="42"/>
      <c r="B117" s="42"/>
      <c r="C117" s="42"/>
      <c r="D117" s="42"/>
      <c r="E117" s="42"/>
      <c r="F117" s="42"/>
      <c r="G117" s="42"/>
    </row>
    <row r="118" spans="1:7" x14ac:dyDescent="0.25">
      <c r="A118" s="42"/>
      <c r="B118" s="42"/>
      <c r="C118" s="42"/>
      <c r="D118" s="42"/>
      <c r="E118" s="42"/>
      <c r="F118" s="42"/>
      <c r="G118" s="42"/>
    </row>
    <row r="119" spans="1:7" x14ac:dyDescent="0.25">
      <c r="A119" s="42"/>
      <c r="B119" s="42"/>
      <c r="C119" s="42"/>
      <c r="D119" s="42"/>
      <c r="E119" s="42"/>
      <c r="F119" s="42"/>
      <c r="G119" s="42"/>
    </row>
    <row r="120" spans="1:7" x14ac:dyDescent="0.25">
      <c r="A120" s="42"/>
      <c r="B120" s="42"/>
      <c r="C120" s="42"/>
      <c r="D120" s="42"/>
      <c r="E120" s="42"/>
      <c r="F120" s="42"/>
      <c r="G120" s="42"/>
    </row>
    <row r="121" spans="1:7" x14ac:dyDescent="0.25">
      <c r="A121" s="42"/>
      <c r="B121" s="42"/>
      <c r="C121" s="42"/>
      <c r="D121" s="42"/>
      <c r="E121" s="42"/>
      <c r="F121" s="42"/>
      <c r="G121" s="42"/>
    </row>
    <row r="122" spans="1:7" x14ac:dyDescent="0.25">
      <c r="A122" s="42"/>
      <c r="B122" s="42"/>
      <c r="C122" s="42"/>
      <c r="D122" s="42"/>
      <c r="E122" s="42"/>
      <c r="F122" s="42"/>
      <c r="G122" s="42"/>
    </row>
    <row r="123" spans="1:7" x14ac:dyDescent="0.25">
      <c r="A123" s="42"/>
      <c r="B123" s="42"/>
      <c r="C123" s="42"/>
      <c r="D123" s="42"/>
      <c r="E123" s="42"/>
      <c r="F123" s="42"/>
      <c r="G123" s="42"/>
    </row>
    <row r="124" spans="1:7" x14ac:dyDescent="0.25">
      <c r="A124" s="42"/>
      <c r="B124" s="42"/>
      <c r="C124" s="42"/>
      <c r="D124" s="42"/>
      <c r="E124" s="42"/>
      <c r="F124" s="42"/>
      <c r="G124" s="42"/>
    </row>
    <row r="125" spans="1:7" x14ac:dyDescent="0.25">
      <c r="A125" s="42"/>
      <c r="B125" s="42"/>
      <c r="C125" s="42"/>
      <c r="D125" s="42"/>
      <c r="E125" s="42"/>
      <c r="F125" s="42"/>
      <c r="G125" s="42"/>
    </row>
    <row r="126" spans="1:7" x14ac:dyDescent="0.25">
      <c r="G126" s="42"/>
    </row>
  </sheetData>
  <mergeCells count="35">
    <mergeCell ref="A25:B25"/>
    <mergeCell ref="A3:F3"/>
    <mergeCell ref="A4:B4"/>
    <mergeCell ref="A5:B5"/>
    <mergeCell ref="A6:B6"/>
    <mergeCell ref="A7:B7"/>
    <mergeCell ref="A8:B8"/>
    <mergeCell ref="A9:B9"/>
    <mergeCell ref="A10:B10"/>
    <mergeCell ref="A11:A17"/>
    <mergeCell ref="A18:A23"/>
    <mergeCell ref="A58:B58"/>
    <mergeCell ref="A26:B26"/>
    <mergeCell ref="A27:B27"/>
    <mergeCell ref="A28:B28"/>
    <mergeCell ref="A29:B29"/>
    <mergeCell ref="A30:B30"/>
    <mergeCell ref="A31:B31"/>
    <mergeCell ref="A46:B46"/>
    <mergeCell ref="A47:B47"/>
    <mergeCell ref="A48:B48"/>
    <mergeCell ref="A32:A38"/>
    <mergeCell ref="A39:A44"/>
    <mergeCell ref="A45:B45"/>
    <mergeCell ref="A56:B56"/>
    <mergeCell ref="A57:B57"/>
    <mergeCell ref="A76:B76"/>
    <mergeCell ref="A77:B77"/>
    <mergeCell ref="C77:E77"/>
    <mergeCell ref="A59:B59"/>
    <mergeCell ref="A60:B60"/>
    <mergeCell ref="A61:B61"/>
    <mergeCell ref="A62:B62"/>
    <mergeCell ref="A63:A69"/>
    <mergeCell ref="A70:A75"/>
  </mergeCells>
  <phoneticPr fontId="3" type="noConversion"/>
  <pageMargins left="0.7" right="0.4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评估案例</vt:lpstr>
      <vt:lpstr>商服用地市场法</vt:lpstr>
      <vt:lpstr>评估案例!Print_Area</vt:lpstr>
      <vt:lpstr>商服用地市场法!Print_Area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2019-05-23T00:07:57Z</dcterms:modified>
</cp:coreProperties>
</file>