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许一灵\房地产评估标准底稿4月1日后差异部分\房地产评估标准底稿（2019年1季度）\1、房地产评估计算表\"/>
    </mc:Choice>
  </mc:AlternateContent>
  <xr:revisionPtr revIDLastSave="0" documentId="13_ncr:1_{B596F436-0291-493B-BF1A-0D623B00E782}" xr6:coauthVersionLast="43" xr6:coauthVersionMax="43" xr10:uidLastSave="{00000000-0000-0000-0000-000000000000}"/>
  <bookViews>
    <workbookView xWindow="-108" yWindow="-108" windowWidth="23256" windowHeight="12576" firstSheet="4" activeTab="4" xr2:uid="{00000000-000D-0000-FFFF-FFFF00000000}"/>
  </bookViews>
  <sheets>
    <sheet name="房地合一成本法" sheetId="6" state="hidden" r:id="rId1"/>
    <sheet name="综合补偿价" sheetId="7" state="hidden" r:id="rId2"/>
    <sheet name="出让用地成交案例" sheetId="9" state="hidden" r:id="rId3"/>
    <sheet name="集体土地成交案例" sheetId="10" state="hidden" r:id="rId4"/>
    <sheet name="综合楼成本法计算表" sheetId="11" r:id="rId5"/>
  </sheets>
  <externalReferences>
    <externalReference r:id="rId6"/>
    <externalReference r:id="rId7"/>
    <externalReference r:id="rId8"/>
    <externalReference r:id="rId9"/>
  </externalReferences>
  <definedNames>
    <definedName name="_xlnm.Print_Area" localSheetId="0">房地合一成本法!$A$2:$G$15</definedName>
  </definedNames>
  <calcPr calcId="181029" fullPrecision="0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11" i="11" l="1"/>
  <c r="F5" i="11" l="1"/>
  <c r="L2" i="7" l="1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" i="7"/>
  <c r="L17" i="7" l="1"/>
  <c r="C4" i="7" s="1"/>
  <c r="E33" i="6" l="1"/>
  <c r="E31" i="6"/>
  <c r="E29" i="6"/>
  <c r="E32" i="6" s="1"/>
  <c r="E34" i="6" s="1"/>
  <c r="J30" i="6"/>
  <c r="J31" i="6" s="1"/>
  <c r="J29" i="6"/>
  <c r="J28" i="6"/>
  <c r="J27" i="6"/>
  <c r="F7" i="11" l="1"/>
  <c r="E30" i="6"/>
  <c r="E35" i="6" s="1"/>
  <c r="E38" i="6" s="1"/>
  <c r="E39" i="6" l="1"/>
  <c r="E43" i="6"/>
  <c r="F6" i="11"/>
  <c r="F4" i="11" s="1"/>
  <c r="H154" i="10"/>
  <c r="H122" i="10"/>
  <c r="H105" i="10"/>
  <c r="H89" i="10"/>
  <c r="H73" i="10"/>
  <c r="H54" i="10"/>
  <c r="H38" i="10"/>
  <c r="H136" i="10"/>
  <c r="H174" i="10"/>
  <c r="H189" i="10"/>
  <c r="H25" i="10"/>
  <c r="H9" i="10"/>
  <c r="F9" i="11" l="1"/>
  <c r="F8" i="11"/>
  <c r="D24" i="9"/>
  <c r="I21" i="9"/>
  <c r="J21" i="9" s="1"/>
  <c r="I20" i="9"/>
  <c r="J20" i="9" s="1"/>
  <c r="I19" i="9"/>
  <c r="J19" i="9" s="1"/>
  <c r="I18" i="9"/>
  <c r="J18" i="9" s="1"/>
  <c r="I17" i="9"/>
  <c r="J17" i="9" s="1"/>
  <c r="I16" i="9"/>
  <c r="J16" i="9" s="1"/>
  <c r="I15" i="9"/>
  <c r="J15" i="9" s="1"/>
  <c r="I14" i="9"/>
  <c r="J14" i="9" s="1"/>
  <c r="I13" i="9"/>
  <c r="J13" i="9" s="1"/>
  <c r="I12" i="9"/>
  <c r="J12" i="9" s="1"/>
  <c r="I11" i="9"/>
  <c r="J11" i="9" s="1"/>
  <c r="I10" i="9"/>
  <c r="J10" i="9" s="1"/>
  <c r="I9" i="9"/>
  <c r="J9" i="9" s="1"/>
  <c r="I8" i="9"/>
  <c r="J8" i="9" s="1"/>
  <c r="I7" i="9"/>
  <c r="J7" i="9" s="1"/>
  <c r="I6" i="9"/>
  <c r="J6" i="9" s="1"/>
  <c r="I5" i="9"/>
  <c r="J5" i="9" s="1"/>
  <c r="I4" i="9"/>
  <c r="J4" i="9" s="1"/>
  <c r="I3" i="9"/>
  <c r="J3" i="9" s="1"/>
  <c r="I2" i="9"/>
  <c r="J2" i="9" s="1"/>
  <c r="F10" i="11" l="1"/>
  <c r="C2" i="7"/>
  <c r="C8" i="7"/>
  <c r="F12" i="11" l="1"/>
  <c r="C6" i="7"/>
  <c r="C9" i="7"/>
  <c r="C5" i="7"/>
  <c r="F13" i="11" l="1"/>
  <c r="F5" i="6"/>
  <c r="F11" i="6"/>
  <c r="F6" i="6" l="1"/>
  <c r="F9" i="6"/>
  <c r="F7" i="6"/>
  <c r="F8" i="6" l="1"/>
  <c r="F10" i="6" s="1"/>
  <c r="F12" i="6" s="1"/>
  <c r="I12" i="6" s="1"/>
  <c r="F14" i="6" l="1"/>
  <c r="C3" i="7"/>
  <c r="C7" i="7" s="1"/>
  <c r="C10" i="7" l="1"/>
</calcChain>
</file>

<file path=xl/sharedStrings.xml><?xml version="1.0" encoding="utf-8"?>
<sst xmlns="http://schemas.openxmlformats.org/spreadsheetml/2006/main" count="514" uniqueCount="242">
  <si>
    <t>地块编号</t>
  </si>
  <si>
    <t>成交时间</t>
  </si>
  <si>
    <r>
      <rPr>
        <sz val="10"/>
        <color theme="1"/>
        <rFont val="宋体"/>
        <family val="2"/>
      </rPr>
      <t>序号</t>
    </r>
    <phoneticPr fontId="5" type="noConversion"/>
  </si>
  <si>
    <r>
      <rPr>
        <sz val="10"/>
        <color theme="1"/>
        <rFont val="宋体"/>
        <family val="3"/>
        <charset val="134"/>
      </rPr>
      <t>费用构成</t>
    </r>
    <phoneticPr fontId="5" type="noConversion"/>
  </si>
  <si>
    <r>
      <rPr>
        <sz val="10"/>
        <color theme="1"/>
        <rFont val="宋体"/>
        <family val="2"/>
      </rPr>
      <t>计算公式</t>
    </r>
    <phoneticPr fontId="5" type="noConversion"/>
  </si>
  <si>
    <r>
      <rPr>
        <sz val="10"/>
        <color theme="1"/>
        <rFont val="宋体"/>
        <family val="2"/>
      </rPr>
      <t>费率</t>
    </r>
    <phoneticPr fontId="5" type="noConversion"/>
  </si>
  <si>
    <r>
      <rPr>
        <sz val="10"/>
        <color theme="1"/>
        <rFont val="宋体"/>
        <family val="2"/>
      </rPr>
      <t>费用</t>
    </r>
    <phoneticPr fontId="5" type="noConversion"/>
  </si>
  <si>
    <r>
      <rPr>
        <sz val="10"/>
        <color theme="1"/>
        <rFont val="宋体"/>
        <family val="2"/>
      </rPr>
      <t>备注</t>
    </r>
    <phoneticPr fontId="5" type="noConversion"/>
  </si>
  <si>
    <r>
      <rPr>
        <sz val="10"/>
        <color theme="1"/>
        <rFont val="宋体"/>
        <family val="3"/>
        <charset val="134"/>
      </rPr>
      <t>一</t>
    </r>
    <phoneticPr fontId="5" type="noConversion"/>
  </si>
  <si>
    <r>
      <rPr>
        <sz val="10"/>
        <color theme="1"/>
        <rFont val="宋体"/>
        <family val="3"/>
        <charset val="134"/>
      </rPr>
      <t>土地取得成本</t>
    </r>
    <phoneticPr fontId="5" type="noConversion"/>
  </si>
  <si>
    <r>
      <rPr>
        <sz val="10"/>
        <color theme="1"/>
        <rFont val="宋体"/>
        <family val="3"/>
        <charset val="134"/>
      </rPr>
      <t>二</t>
    </r>
    <phoneticPr fontId="5" type="noConversion"/>
  </si>
  <si>
    <r>
      <rPr>
        <sz val="10"/>
        <color theme="1"/>
        <rFont val="宋体"/>
        <family val="2"/>
      </rPr>
      <t>三</t>
    </r>
    <phoneticPr fontId="5" type="noConversion"/>
  </si>
  <si>
    <r>
      <rPr>
        <sz val="10"/>
        <color theme="1"/>
        <rFont val="宋体"/>
        <family val="2"/>
      </rPr>
      <t>管理费用</t>
    </r>
    <phoneticPr fontId="5" type="noConversion"/>
  </si>
  <si>
    <r>
      <rPr>
        <sz val="10"/>
        <color theme="1"/>
        <rFont val="宋体"/>
        <family val="2"/>
      </rPr>
      <t>（一</t>
    </r>
    <r>
      <rPr>
        <sz val="10"/>
        <color theme="1"/>
        <rFont val="Arial"/>
        <family val="2"/>
      </rPr>
      <t>+</t>
    </r>
    <r>
      <rPr>
        <sz val="10"/>
        <color theme="1"/>
        <rFont val="宋体"/>
        <family val="2"/>
      </rPr>
      <t>二）</t>
    </r>
    <r>
      <rPr>
        <sz val="10"/>
        <color theme="1"/>
        <rFont val="Arial"/>
        <family val="2"/>
      </rPr>
      <t>×</t>
    </r>
    <r>
      <rPr>
        <sz val="10"/>
        <color theme="1"/>
        <rFont val="宋体"/>
        <family val="2"/>
      </rPr>
      <t>费率</t>
    </r>
    <phoneticPr fontId="5" type="noConversion"/>
  </si>
  <si>
    <r>
      <rPr>
        <sz val="10"/>
        <color theme="1"/>
        <rFont val="宋体"/>
        <family val="2"/>
      </rPr>
      <t>四</t>
    </r>
    <phoneticPr fontId="5" type="noConversion"/>
  </si>
  <si>
    <r>
      <rPr>
        <sz val="10"/>
        <color theme="1"/>
        <rFont val="宋体"/>
        <family val="2"/>
      </rPr>
      <t>销售费用</t>
    </r>
    <phoneticPr fontId="5" type="noConversion"/>
  </si>
  <si>
    <r>
      <rPr>
        <sz val="10"/>
        <color theme="1"/>
        <rFont val="宋体"/>
        <family val="2"/>
      </rPr>
      <t>五</t>
    </r>
    <phoneticPr fontId="5" type="noConversion"/>
  </si>
  <si>
    <r>
      <rPr>
        <sz val="10"/>
        <color theme="1"/>
        <rFont val="宋体"/>
        <family val="2"/>
      </rPr>
      <t>资金成本</t>
    </r>
    <phoneticPr fontId="5" type="noConversion"/>
  </si>
  <si>
    <r>
      <rPr>
        <sz val="10"/>
        <color theme="1"/>
        <rFont val="宋体"/>
        <family val="2"/>
      </rPr>
      <t>一</t>
    </r>
    <r>
      <rPr>
        <sz val="10"/>
        <color theme="1"/>
        <rFont val="Arial"/>
        <family val="2"/>
      </rPr>
      <t>×</t>
    </r>
    <r>
      <rPr>
        <sz val="10"/>
        <color theme="1"/>
        <rFont val="宋体"/>
        <family val="2"/>
      </rPr>
      <t>费率</t>
    </r>
    <r>
      <rPr>
        <sz val="10"/>
        <color theme="1"/>
        <rFont val="Arial"/>
        <family val="2"/>
      </rPr>
      <t>+(</t>
    </r>
    <r>
      <rPr>
        <sz val="10"/>
        <color theme="1"/>
        <rFont val="宋体"/>
        <family val="2"/>
      </rPr>
      <t>二</t>
    </r>
    <r>
      <rPr>
        <sz val="10"/>
        <color theme="1"/>
        <rFont val="Arial"/>
        <family val="2"/>
      </rPr>
      <t>+</t>
    </r>
    <r>
      <rPr>
        <sz val="10"/>
        <color theme="1"/>
        <rFont val="宋体"/>
        <family val="2"/>
      </rPr>
      <t>三</t>
    </r>
    <r>
      <rPr>
        <sz val="10"/>
        <color theme="1"/>
        <rFont val="Arial"/>
        <family val="2"/>
      </rPr>
      <t>+</t>
    </r>
    <r>
      <rPr>
        <sz val="10"/>
        <color theme="1"/>
        <rFont val="宋体"/>
        <family val="2"/>
      </rPr>
      <t>四）</t>
    </r>
    <r>
      <rPr>
        <sz val="10"/>
        <color theme="1"/>
        <rFont val="Arial"/>
        <family val="2"/>
      </rPr>
      <t>×</t>
    </r>
    <r>
      <rPr>
        <sz val="10"/>
        <color theme="1"/>
        <rFont val="宋体"/>
        <family val="2"/>
      </rPr>
      <t>费率</t>
    </r>
    <r>
      <rPr>
        <sz val="10"/>
        <color theme="1"/>
        <rFont val="Arial"/>
        <family val="2"/>
      </rPr>
      <t>/2</t>
    </r>
    <phoneticPr fontId="5" type="noConversion"/>
  </si>
  <si>
    <r>
      <rPr>
        <sz val="10"/>
        <color theme="1"/>
        <rFont val="宋体"/>
        <family val="2"/>
      </rPr>
      <t>六</t>
    </r>
    <phoneticPr fontId="5" type="noConversion"/>
  </si>
  <si>
    <r>
      <rPr>
        <sz val="10"/>
        <color theme="1"/>
        <rFont val="宋体"/>
        <family val="2"/>
      </rPr>
      <t>开发利润</t>
    </r>
    <phoneticPr fontId="5" type="noConversion"/>
  </si>
  <si>
    <r>
      <rPr>
        <sz val="10"/>
        <color theme="1"/>
        <rFont val="宋体"/>
        <family val="2"/>
      </rPr>
      <t>七</t>
    </r>
    <phoneticPr fontId="5" type="noConversion"/>
  </si>
  <si>
    <r>
      <rPr>
        <sz val="10"/>
        <color theme="1"/>
        <rFont val="宋体"/>
        <family val="2"/>
      </rPr>
      <t>销售税金</t>
    </r>
    <phoneticPr fontId="5" type="noConversion"/>
  </si>
  <si>
    <r>
      <rPr>
        <sz val="10"/>
        <color theme="1"/>
        <rFont val="宋体"/>
        <family val="2"/>
      </rPr>
      <t>（一</t>
    </r>
    <r>
      <rPr>
        <sz val="10"/>
        <color theme="1"/>
        <rFont val="Arial"/>
        <family val="2"/>
      </rPr>
      <t>+</t>
    </r>
    <r>
      <rPr>
        <sz val="10"/>
        <color theme="1"/>
        <rFont val="宋体"/>
        <family val="2"/>
      </rPr>
      <t>二</t>
    </r>
    <r>
      <rPr>
        <sz val="10"/>
        <color theme="1"/>
        <rFont val="Arial"/>
        <family val="2"/>
      </rPr>
      <t>+…+</t>
    </r>
    <r>
      <rPr>
        <sz val="10"/>
        <color theme="1"/>
        <rFont val="宋体"/>
        <family val="2"/>
      </rPr>
      <t>六）</t>
    </r>
    <r>
      <rPr>
        <sz val="10"/>
        <color theme="1"/>
        <rFont val="Arial"/>
        <family val="2"/>
      </rPr>
      <t>×</t>
    </r>
    <r>
      <rPr>
        <sz val="10"/>
        <color theme="1"/>
        <rFont val="宋体"/>
        <family val="2"/>
      </rPr>
      <t>费率</t>
    </r>
    <phoneticPr fontId="5" type="noConversion"/>
  </si>
  <si>
    <r>
      <rPr>
        <sz val="10"/>
        <color theme="1"/>
        <rFont val="宋体"/>
        <family val="2"/>
      </rPr>
      <t>八</t>
    </r>
    <phoneticPr fontId="5" type="noConversion"/>
  </si>
  <si>
    <r>
      <rPr>
        <sz val="10"/>
        <color theme="1"/>
        <rFont val="宋体"/>
        <family val="2"/>
      </rPr>
      <t>房地产市场价值</t>
    </r>
    <phoneticPr fontId="5" type="noConversion"/>
  </si>
  <si>
    <t>…</t>
    <phoneticPr fontId="5" type="noConversion"/>
  </si>
  <si>
    <t>房屋建设成本</t>
    <phoneticPr fontId="5" type="noConversion"/>
  </si>
  <si>
    <t>九</t>
    <phoneticPr fontId="5" type="noConversion"/>
  </si>
  <si>
    <r>
      <rPr>
        <sz val="10"/>
        <color theme="1"/>
        <rFont val="宋体"/>
        <family val="2"/>
      </rPr>
      <t>一</t>
    </r>
    <r>
      <rPr>
        <sz val="10"/>
        <color theme="1"/>
        <rFont val="Arial"/>
        <family val="2"/>
      </rPr>
      <t>+…+</t>
    </r>
    <r>
      <rPr>
        <sz val="10"/>
        <color theme="1"/>
        <rFont val="宋体"/>
        <family val="2"/>
      </rPr>
      <t>七</t>
    </r>
    <r>
      <rPr>
        <sz val="10"/>
        <color theme="1"/>
        <rFont val="Arial"/>
        <family val="2"/>
      </rPr>
      <t>-</t>
    </r>
    <r>
      <rPr>
        <sz val="10"/>
        <color theme="1"/>
        <rFont val="宋体"/>
        <family val="2"/>
      </rPr>
      <t>八</t>
    </r>
    <phoneticPr fontId="5" type="noConversion"/>
  </si>
  <si>
    <t>面积</t>
    <phoneticPr fontId="2" type="noConversion"/>
  </si>
  <si>
    <t>单价</t>
    <phoneticPr fontId="2" type="noConversion"/>
  </si>
  <si>
    <t>房屋折旧</t>
    <phoneticPr fontId="5" type="noConversion"/>
  </si>
  <si>
    <t>机器设备搬迁补偿费</t>
    <phoneticPr fontId="2" type="noConversion"/>
  </si>
  <si>
    <t>房屋面积</t>
    <phoneticPr fontId="2" type="noConversion"/>
  </si>
  <si>
    <t>房屋面积*15元/平</t>
    <phoneticPr fontId="2" type="noConversion"/>
  </si>
  <si>
    <t>序号</t>
    <phoneticPr fontId="2" type="noConversion"/>
  </si>
  <si>
    <t>停工停产损失费</t>
    <phoneticPr fontId="2" type="noConversion"/>
  </si>
  <si>
    <t>企业腾空让房奖励</t>
    <phoneticPr fontId="2" type="noConversion"/>
  </si>
  <si>
    <t>房屋面积*30元/平</t>
    <phoneticPr fontId="2" type="noConversion"/>
  </si>
  <si>
    <t>重置价的15%</t>
    <phoneticPr fontId="2" type="noConversion"/>
  </si>
  <si>
    <t>重置价的10%</t>
    <phoneticPr fontId="2" type="noConversion"/>
  </si>
  <si>
    <t>签字奖励费</t>
    <phoneticPr fontId="2" type="noConversion"/>
  </si>
  <si>
    <t>房屋面积*60元/平</t>
    <phoneticPr fontId="2" type="noConversion"/>
  </si>
  <si>
    <t>货币化安置奖励1</t>
    <phoneticPr fontId="2" type="noConversion"/>
  </si>
  <si>
    <t>货币化安置奖励2</t>
  </si>
  <si>
    <t>前三年税收的15%</t>
    <phoneticPr fontId="2" type="noConversion"/>
  </si>
  <si>
    <t>内容</t>
    <phoneticPr fontId="2" type="noConversion"/>
  </si>
  <si>
    <t>金额</t>
    <phoneticPr fontId="2" type="noConversion"/>
  </si>
  <si>
    <t>集体土地</t>
    <phoneticPr fontId="2" type="noConversion"/>
  </si>
  <si>
    <t>定位</t>
  </si>
  <si>
    <t>行政区</t>
  </si>
  <si>
    <t>宗地位置</t>
  </si>
  <si>
    <t>土地用途</t>
  </si>
  <si>
    <r>
      <t>面积(m</t>
    </r>
    <r>
      <rPr>
        <b/>
        <vertAlign val="superscript"/>
        <sz val="9"/>
        <color rgb="FF333333"/>
        <rFont val="Verdana"/>
        <family val="2"/>
      </rPr>
      <t>2</t>
    </r>
    <r>
      <rPr>
        <b/>
        <sz val="9"/>
        <color rgb="FF333333"/>
        <rFont val="Verdana"/>
        <family val="2"/>
      </rPr>
      <t>)</t>
    </r>
  </si>
  <si>
    <t>金额(万元)</t>
  </si>
  <si>
    <t>武进区</t>
  </si>
  <si>
    <t>GWJ20171602</t>
  </si>
  <si>
    <t>武进区雪堰镇宇友路北侧陆马公路西侧武进...</t>
  </si>
  <si>
    <t>工业</t>
  </si>
  <si>
    <t>GWJ20171503</t>
  </si>
  <si>
    <t>武进区洛阳镇武澄路东侧、创盛路南侧</t>
  </si>
  <si>
    <t>GWJ20171502</t>
  </si>
  <si>
    <t>武进区洛阳镇戴洛路西侧</t>
  </si>
  <si>
    <t>GWJ20171501</t>
  </si>
  <si>
    <t>武进区湟里镇239省道西侧</t>
  </si>
  <si>
    <t>GWJ20171304</t>
  </si>
  <si>
    <t>武进区洛阳镇遥洛路北侧2#</t>
  </si>
  <si>
    <t>GWJ20171303</t>
  </si>
  <si>
    <t>武进区凤林南路东侧、阳湖西路以北</t>
  </si>
  <si>
    <t>GWJ20171302</t>
  </si>
  <si>
    <t>武进区吴王浜北侧、夏城南路西侧</t>
  </si>
  <si>
    <t>GWJ20171301</t>
  </si>
  <si>
    <t>礼嘉镇武南路以南、礼嘉大河以西</t>
  </si>
  <si>
    <t>GWJ20171202</t>
  </si>
  <si>
    <t>武进区礼嘉镇礼政路东侧、常发南路南侧</t>
  </si>
  <si>
    <t>GWJ20171201</t>
  </si>
  <si>
    <t>武进区礼嘉镇新茂路西侧龙逸路南侧</t>
  </si>
  <si>
    <t>GWJ20171101</t>
  </si>
  <si>
    <t>武进区镜湖西路以北凤栖路东侧</t>
  </si>
  <si>
    <t>GWJ20170801</t>
  </si>
  <si>
    <t>武进经发区禾香路南侧、中沟河西侧地块</t>
  </si>
  <si>
    <t>GWJ20170701</t>
  </si>
  <si>
    <t>湟里镇西墅村湟东公路东侧地块</t>
  </si>
  <si>
    <t>GWJ20170611</t>
  </si>
  <si>
    <t>武进高新区凤林南路东侧、龙惠路南侧地块</t>
  </si>
  <si>
    <t>GWJ20170610</t>
  </si>
  <si>
    <t>武进高新区武进东大道北侧、夏城南路东侧...</t>
  </si>
  <si>
    <t>GWJ20170609</t>
  </si>
  <si>
    <t>武进高新区常合高速公路南侧、武宜南路以...</t>
  </si>
  <si>
    <t>GWJ20170608</t>
  </si>
  <si>
    <t>湟里镇国治路东侧、骏安路北侧地块</t>
  </si>
  <si>
    <t>GWJ20170607</t>
  </si>
  <si>
    <t>湟里镇湟东公路东侧地块</t>
  </si>
  <si>
    <t>GWJ20170606</t>
  </si>
  <si>
    <t>湟里镇园区路北侧地块</t>
  </si>
  <si>
    <t>GWJ20170605</t>
  </si>
  <si>
    <t>礼嘉镇工业集中区前漕桥路南侧地块</t>
  </si>
  <si>
    <t>出让用地单价</t>
    <phoneticPr fontId="2" type="noConversion"/>
  </si>
  <si>
    <t>集体土地单价</t>
    <phoneticPr fontId="2" type="noConversion"/>
  </si>
  <si>
    <t>武进区集体经营性建设用地协议出让成交公示</t>
  </si>
  <si>
    <t>公告编号</t>
  </si>
  <si>
    <t>土地位置</t>
  </si>
  <si>
    <t>公示开始时间</t>
  </si>
  <si>
    <t>公示截止时间</t>
  </si>
  <si>
    <t>所属行政区</t>
  </si>
  <si>
    <t>出让面积（平方米）</t>
  </si>
  <si>
    <t>交易方式</t>
  </si>
  <si>
    <t>协议出让</t>
  </si>
  <si>
    <t>规划用途</t>
  </si>
  <si>
    <t>容积率</t>
  </si>
  <si>
    <t>/</t>
  </si>
  <si>
    <t>出让年限（年）</t>
  </si>
  <si>
    <t>协议出让价格（万元）</t>
  </si>
  <si>
    <t>受让人</t>
  </si>
  <si>
    <t>合同签订时间</t>
  </si>
  <si>
    <t>土地交付条件</t>
  </si>
  <si>
    <t>现状土地使用条件</t>
  </si>
  <si>
    <t>http://www.jsmlr.gov.cn/gtapp/nrglIndex.action?catalogID=2c9082b55bf0223a015bf03b15830065&amp;type=2&amp;messageID=2c9082b56131164b016150543e3303b8</t>
  </si>
  <si>
    <r>
      <t>武集</t>
    </r>
    <r>
      <rPr>
        <sz val="9"/>
        <color rgb="FF383838"/>
        <rFont val="微软雅黑"/>
        <family val="2"/>
        <charset val="134"/>
      </rPr>
      <t>XYG2017WJ014</t>
    </r>
  </si>
  <si>
    <r>
      <t>武进区集体经营性建设用地协议出让公告信息</t>
    </r>
    <r>
      <rPr>
        <sz val="9"/>
        <color theme="1"/>
        <rFont val="微软雅黑"/>
        <family val="2"/>
        <charset val="134"/>
      </rPr>
      <t xml:space="preserve"> JTXY201714</t>
    </r>
    <r>
      <rPr>
        <sz val="9"/>
        <color theme="1"/>
        <rFont val="宋体"/>
        <family val="3"/>
        <charset val="134"/>
      </rPr>
      <t>号</t>
    </r>
  </si>
  <si>
    <r>
      <t>武进区雪堰镇城西村</t>
    </r>
    <r>
      <rPr>
        <sz val="9"/>
        <color rgb="FF383838"/>
        <rFont val="微软雅黑"/>
        <family val="2"/>
        <charset val="134"/>
      </rPr>
      <t>232</t>
    </r>
    <r>
      <rPr>
        <sz val="9"/>
        <color rgb="FF383838"/>
        <rFont val="宋体"/>
        <family val="3"/>
        <charset val="134"/>
      </rPr>
      <t>省道西侧地块</t>
    </r>
  </si>
  <si>
    <t>常州市劲克玛机械有限公司</t>
  </si>
  <si>
    <r>
      <t>武集</t>
    </r>
    <r>
      <rPr>
        <sz val="9"/>
        <color rgb="FF383838"/>
        <rFont val="微软雅黑"/>
        <family val="2"/>
        <charset val="134"/>
      </rPr>
      <t>XYG2017WJ013</t>
    </r>
  </si>
  <si>
    <r>
      <t>武进区集体经营性建设用地协议出让公告信息</t>
    </r>
    <r>
      <rPr>
        <sz val="9"/>
        <color theme="1"/>
        <rFont val="微软雅黑"/>
        <family val="2"/>
        <charset val="134"/>
      </rPr>
      <t xml:space="preserve"> JTXY201713</t>
    </r>
    <r>
      <rPr>
        <sz val="9"/>
        <color theme="1"/>
        <rFont val="宋体"/>
        <family val="3"/>
        <charset val="134"/>
      </rPr>
      <t>号</t>
    </r>
  </si>
  <si>
    <t>龙江南路以东、人民西路以南</t>
  </si>
  <si>
    <t>武进区牛塘富凯电机厂</t>
  </si>
  <si>
    <r>
      <t>武集</t>
    </r>
    <r>
      <rPr>
        <sz val="9"/>
        <color rgb="FF383838"/>
        <rFont val="微软雅黑"/>
        <family val="2"/>
        <charset val="134"/>
      </rPr>
      <t>XYG2017WJ012</t>
    </r>
  </si>
  <si>
    <r>
      <t>武进区集体经营性建设用地协议出让公告信息</t>
    </r>
    <r>
      <rPr>
        <sz val="9"/>
        <color theme="1"/>
        <rFont val="微软雅黑"/>
        <family val="2"/>
        <charset val="134"/>
      </rPr>
      <t xml:space="preserve"> JTXY201712</t>
    </r>
    <r>
      <rPr>
        <sz val="9"/>
        <color theme="1"/>
        <rFont val="宋体"/>
        <family val="3"/>
        <charset val="134"/>
      </rPr>
      <t>号</t>
    </r>
  </si>
  <si>
    <r>
      <t>嘉泽镇夏溪北路地块</t>
    </r>
    <r>
      <rPr>
        <sz val="9"/>
        <color rgb="FF383838"/>
        <rFont val="微软雅黑"/>
        <family val="2"/>
        <charset val="134"/>
      </rPr>
      <t>2#</t>
    </r>
  </si>
  <si>
    <r>
      <t>32.04（净收益：</t>
    </r>
    <r>
      <rPr>
        <sz val="9"/>
        <color rgb="FF383838"/>
        <rFont val="微软雅黑"/>
        <family val="2"/>
        <charset val="134"/>
      </rPr>
      <t>16.02</t>
    </r>
    <r>
      <rPr>
        <sz val="9"/>
        <color rgb="FF383838"/>
        <rFont val="宋体"/>
        <family val="3"/>
        <charset val="134"/>
      </rPr>
      <t>）</t>
    </r>
  </si>
  <si>
    <t>三鑫重工机械有限公司</t>
  </si>
  <si>
    <t>武进区集体经营性建设用地挂牌出让成交公示</t>
  </si>
  <si>
    <t>JTGWJ20171301</t>
  </si>
  <si>
    <t>武进区集体经营性建设用地使用权挂牌出让公告</t>
  </si>
  <si>
    <t>JTGWJ201713号</t>
  </si>
  <si>
    <t>洛阳镇戴洛路东侧跃进河南侧</t>
  </si>
  <si>
    <t>建筑面积（平方米）</t>
  </si>
  <si>
    <t>挂牌</t>
  </si>
  <si>
    <t>起始价（万元）</t>
  </si>
  <si>
    <t>竞得价（万元）</t>
  </si>
  <si>
    <t>竞得单位</t>
  </si>
  <si>
    <t>常州市阳光铸造有限公司</t>
  </si>
  <si>
    <t>保留现状建筑面积建筑物及附属设施</t>
  </si>
  <si>
    <t xml:space="preserve">地块编号 </t>
  </si>
  <si>
    <t>JTGWJ20171201</t>
  </si>
  <si>
    <t xml:space="preserve">公告编号 </t>
  </si>
  <si>
    <t>JTGWJ201712号</t>
  </si>
  <si>
    <t xml:space="preserve">土地位置 </t>
  </si>
  <si>
    <r>
      <t>武进区湟里镇成湟河东侧、</t>
    </r>
    <r>
      <rPr>
        <sz val="12"/>
        <color rgb="FF383838"/>
        <rFont val="微软雅黑"/>
        <family val="2"/>
        <charset val="134"/>
      </rPr>
      <t>239</t>
    </r>
    <r>
      <rPr>
        <sz val="12"/>
        <color rgb="FF383838"/>
        <rFont val="宋体"/>
        <family val="3"/>
        <charset val="134"/>
      </rPr>
      <t>省道西侧</t>
    </r>
  </si>
  <si>
    <t xml:space="preserve">公示开始时间 </t>
  </si>
  <si>
    <t xml:space="preserve">公示截止时间 </t>
  </si>
  <si>
    <t xml:space="preserve">所属行政区 </t>
  </si>
  <si>
    <t xml:space="preserve">武进区 </t>
  </si>
  <si>
    <t xml:space="preserve">出让面积（平方米） </t>
  </si>
  <si>
    <t xml:space="preserve">建筑面积（平方米） </t>
  </si>
  <si>
    <t xml:space="preserve">规划用途 </t>
  </si>
  <si>
    <t xml:space="preserve">工业 </t>
  </si>
  <si>
    <t xml:space="preserve">出让年限（年） </t>
  </si>
  <si>
    <t xml:space="preserve">交易方式 </t>
  </si>
  <si>
    <t xml:space="preserve">挂牌 </t>
  </si>
  <si>
    <t xml:space="preserve">起始价（万元） </t>
  </si>
  <si>
    <t xml:space="preserve">竞得价（万元） </t>
  </si>
  <si>
    <t xml:space="preserve">竞得单位 </t>
  </si>
  <si>
    <t>常州市杰鼎新型复合洁具有限公司</t>
  </si>
  <si>
    <t xml:space="preserve">成交时间 </t>
  </si>
  <si>
    <t xml:space="preserve">土地交付条件 </t>
  </si>
  <si>
    <r>
      <t>武集</t>
    </r>
    <r>
      <rPr>
        <sz val="9"/>
        <color rgb="FF383838"/>
        <rFont val="微软雅黑"/>
        <family val="2"/>
        <charset val="134"/>
      </rPr>
      <t>XYG2017WJ011</t>
    </r>
  </si>
  <si>
    <r>
      <t>武进区集体经营性建设用地协议出让公告信息</t>
    </r>
    <r>
      <rPr>
        <sz val="9"/>
        <color theme="1"/>
        <rFont val="微软雅黑"/>
        <family val="2"/>
        <charset val="134"/>
      </rPr>
      <t xml:space="preserve"> JTXY201711</t>
    </r>
    <r>
      <rPr>
        <sz val="9"/>
        <color theme="1"/>
        <rFont val="宋体"/>
        <family val="3"/>
        <charset val="134"/>
      </rPr>
      <t>号</t>
    </r>
  </si>
  <si>
    <t>前黄镇运村村太滆运河以南、环镇东路以西</t>
  </si>
  <si>
    <t>0.7-2.5</t>
  </si>
  <si>
    <t>江苏迪宝新型环保建材有限公司</t>
  </si>
  <si>
    <r>
      <t>武集</t>
    </r>
    <r>
      <rPr>
        <sz val="9"/>
        <color rgb="FF383838"/>
        <rFont val="微软雅黑"/>
        <family val="2"/>
        <charset val="134"/>
      </rPr>
      <t>XYG2017WJ010</t>
    </r>
  </si>
  <si>
    <r>
      <t>武进区集体经营性建设用地协议出让公告信息</t>
    </r>
    <r>
      <rPr>
        <sz val="9"/>
        <color theme="1"/>
        <rFont val="微软雅黑"/>
        <family val="2"/>
        <charset val="134"/>
      </rPr>
      <t xml:space="preserve"> JTXY201710</t>
    </r>
    <r>
      <rPr>
        <sz val="9"/>
        <color theme="1"/>
        <rFont val="宋体"/>
        <family val="3"/>
        <charset val="134"/>
      </rPr>
      <t>号</t>
    </r>
  </si>
  <si>
    <r>
      <t>礼嘉镇礼坂路以东木虎坝浜以南</t>
    </r>
    <r>
      <rPr>
        <sz val="9"/>
        <color rgb="FF383838"/>
        <rFont val="微软雅黑"/>
        <family val="2"/>
        <charset val="134"/>
      </rPr>
      <t>1</t>
    </r>
    <r>
      <rPr>
        <sz val="9"/>
        <color rgb="FF383838"/>
        <rFont val="宋体"/>
        <family val="3"/>
        <charset val="134"/>
      </rPr>
      <t>号</t>
    </r>
  </si>
  <si>
    <r>
      <t>162.36（净收益</t>
    </r>
    <r>
      <rPr>
        <sz val="9"/>
        <color rgb="FF383838"/>
        <rFont val="微软雅黑"/>
        <family val="2"/>
        <charset val="134"/>
      </rPr>
      <t>81.18</t>
    </r>
    <r>
      <rPr>
        <sz val="9"/>
        <color rgb="FF383838"/>
        <rFont val="宋体"/>
        <family val="3"/>
        <charset val="134"/>
      </rPr>
      <t>万元）</t>
    </r>
  </si>
  <si>
    <t>常州市武进礼嘉江南金属制品厂</t>
  </si>
  <si>
    <r>
      <t>武集</t>
    </r>
    <r>
      <rPr>
        <sz val="9"/>
        <color rgb="FF383838"/>
        <rFont val="微软雅黑"/>
        <family val="2"/>
        <charset val="134"/>
      </rPr>
      <t>XYG2017WJ009</t>
    </r>
  </si>
  <si>
    <r>
      <t>武进区集体经营性建设用地协议出让公告信息</t>
    </r>
    <r>
      <rPr>
        <sz val="9"/>
        <color theme="1"/>
        <rFont val="微软雅黑"/>
        <family val="2"/>
        <charset val="134"/>
      </rPr>
      <t xml:space="preserve"> JTXY201709</t>
    </r>
    <r>
      <rPr>
        <sz val="9"/>
        <color theme="1"/>
        <rFont val="宋体"/>
        <family val="3"/>
        <charset val="134"/>
      </rPr>
      <t>号</t>
    </r>
  </si>
  <si>
    <t>武进区洛阳镇东都西路南侧、永友路西侧</t>
  </si>
  <si>
    <t>常州新亚电机有限公司（巴西）</t>
  </si>
  <si>
    <t>JTGWJ20170501</t>
  </si>
  <si>
    <t>JTGWJ201705号</t>
  </si>
  <si>
    <t>礼嘉镇金球路以西、前时路以北地块</t>
  </si>
  <si>
    <t>江苏汉鼎机械有限公司</t>
  </si>
  <si>
    <t>净地</t>
  </si>
  <si>
    <r>
      <t>武集</t>
    </r>
    <r>
      <rPr>
        <sz val="9"/>
        <color rgb="FF383838"/>
        <rFont val="微软雅黑"/>
        <family val="2"/>
        <charset val="134"/>
      </rPr>
      <t>XYG2017WJ008</t>
    </r>
  </si>
  <si>
    <r>
      <t>武进区集体经营性建设用地协议出让公告信息</t>
    </r>
    <r>
      <rPr>
        <sz val="9"/>
        <color theme="1"/>
        <rFont val="微软雅黑"/>
        <family val="2"/>
        <charset val="134"/>
      </rPr>
      <t xml:space="preserve"> JTXY201708</t>
    </r>
    <r>
      <rPr>
        <sz val="9"/>
        <color theme="1"/>
        <rFont val="宋体"/>
        <family val="3"/>
        <charset val="134"/>
      </rPr>
      <t>号</t>
    </r>
  </si>
  <si>
    <t>礼嘉镇武南路北侧建中路南侧</t>
  </si>
  <si>
    <t>常州市礼坂建材有限公司</t>
  </si>
  <si>
    <t>JTGWJ20170901</t>
  </si>
  <si>
    <t>JTGWJ201709号</t>
  </si>
  <si>
    <t>湟里镇东安村兴旺路以南、凯达路以北</t>
  </si>
  <si>
    <t>常州凯达重工科技有限公司</t>
  </si>
  <si>
    <t>JTGWJ20170801</t>
  </si>
  <si>
    <t>JTGWJ201708号</t>
  </si>
  <si>
    <t>湟里镇香泉村</t>
  </si>
  <si>
    <t>江苏利辉电力设备有限公司</t>
  </si>
  <si>
    <t>一层</t>
    <phoneticPr fontId="2" type="noConversion"/>
  </si>
  <si>
    <t>二层</t>
    <phoneticPr fontId="2" type="noConversion"/>
  </si>
  <si>
    <t>三</t>
    <phoneticPr fontId="2" type="noConversion"/>
  </si>
  <si>
    <t>四</t>
    <phoneticPr fontId="2" type="noConversion"/>
  </si>
  <si>
    <t>五</t>
    <phoneticPr fontId="2" type="noConversion"/>
  </si>
  <si>
    <t>六</t>
    <phoneticPr fontId="2" type="noConversion"/>
  </si>
  <si>
    <t>平均</t>
    <phoneticPr fontId="2" type="noConversion"/>
  </si>
  <si>
    <t xml:space="preserve">可出租面积 </t>
    <phoneticPr fontId="22" type="noConversion"/>
  </si>
  <si>
    <t>日租金（元/m2.日）</t>
    <phoneticPr fontId="22" type="noConversion"/>
  </si>
  <si>
    <t>出租率</t>
    <phoneticPr fontId="22" type="noConversion"/>
  </si>
  <si>
    <t>房地出租总收入</t>
    <phoneticPr fontId="22" type="noConversion"/>
  </si>
  <si>
    <t>税金及附加</t>
    <phoneticPr fontId="22" type="noConversion"/>
  </si>
  <si>
    <t>重置价</t>
    <phoneticPr fontId="22" type="noConversion"/>
  </si>
  <si>
    <t>维修费</t>
    <phoneticPr fontId="22" type="noConversion"/>
  </si>
  <si>
    <t>管理费</t>
    <phoneticPr fontId="22" type="noConversion"/>
  </si>
  <si>
    <t>保险费</t>
    <phoneticPr fontId="22" type="noConversion"/>
  </si>
  <si>
    <t>出租总费用</t>
    <phoneticPr fontId="22" type="noConversion"/>
  </si>
  <si>
    <t>房地纯收益</t>
    <phoneticPr fontId="22" type="noConversion"/>
  </si>
  <si>
    <t>租金上涨率</t>
    <phoneticPr fontId="22" type="noConversion"/>
  </si>
  <si>
    <t>还原利率</t>
    <phoneticPr fontId="22" type="noConversion"/>
  </si>
  <si>
    <t>总价</t>
    <phoneticPr fontId="22" type="noConversion"/>
  </si>
  <si>
    <t>评估基准日</t>
    <phoneticPr fontId="22" type="noConversion"/>
  </si>
  <si>
    <t>终止日期</t>
    <phoneticPr fontId="22" type="noConversion"/>
  </si>
  <si>
    <t>剩余年限</t>
    <phoneticPr fontId="22" type="noConversion"/>
  </si>
  <si>
    <r>
      <rPr>
        <sz val="10"/>
        <color theme="1"/>
        <rFont val="宋体"/>
        <family val="3"/>
        <charset val="134"/>
      </rPr>
      <t>其中</t>
    </r>
    <phoneticPr fontId="5" type="noConversion"/>
  </si>
  <si>
    <t>重置价</t>
    <phoneticPr fontId="2" type="noConversion"/>
  </si>
  <si>
    <r>
      <rPr>
        <sz val="10"/>
        <color theme="1"/>
        <rFont val="宋体"/>
        <family val="2"/>
      </rPr>
      <t>（一）×费率×</t>
    </r>
    <r>
      <rPr>
        <sz val="10"/>
        <color theme="1"/>
        <rFont val="Arial"/>
        <family val="2"/>
      </rPr>
      <t>2+(</t>
    </r>
    <r>
      <rPr>
        <sz val="10"/>
        <color theme="1"/>
        <rFont val="宋体"/>
        <family val="2"/>
      </rPr>
      <t>二</t>
    </r>
    <r>
      <rPr>
        <sz val="10"/>
        <color theme="1"/>
        <rFont val="Arial"/>
        <family val="2"/>
      </rPr>
      <t>+</t>
    </r>
    <r>
      <rPr>
        <sz val="10"/>
        <color theme="1"/>
        <rFont val="宋体"/>
        <family val="2"/>
      </rPr>
      <t>三</t>
    </r>
    <r>
      <rPr>
        <sz val="10"/>
        <color theme="1"/>
        <rFont val="Arial"/>
        <family val="2"/>
      </rPr>
      <t>+</t>
    </r>
    <r>
      <rPr>
        <sz val="10"/>
        <color theme="1"/>
        <rFont val="宋体"/>
        <family val="2"/>
      </rPr>
      <t>四）</t>
    </r>
    <r>
      <rPr>
        <sz val="10"/>
        <color theme="1"/>
        <rFont val="Arial"/>
        <family val="2"/>
      </rPr>
      <t>×</t>
    </r>
    <r>
      <rPr>
        <sz val="10"/>
        <color theme="1"/>
        <rFont val="宋体"/>
        <family val="2"/>
      </rPr>
      <t>费率×</t>
    </r>
    <r>
      <rPr>
        <sz val="10"/>
        <color theme="1"/>
        <rFont val="Arial"/>
        <family val="2"/>
      </rPr>
      <t>2/2</t>
    </r>
    <phoneticPr fontId="5" type="noConversion"/>
  </si>
  <si>
    <t>八</t>
    <phoneticPr fontId="5" type="noConversion"/>
  </si>
  <si>
    <t>房屋重置成本</t>
    <phoneticPr fontId="5" type="noConversion"/>
  </si>
  <si>
    <t>土地重置成本</t>
    <phoneticPr fontId="5" type="noConversion"/>
  </si>
  <si>
    <r>
      <t>1.</t>
    </r>
    <r>
      <rPr>
        <sz val="10"/>
        <color theme="1"/>
        <rFont val="宋体"/>
        <family val="2"/>
      </rPr>
      <t>土地市场价值</t>
    </r>
    <phoneticPr fontId="5" type="noConversion"/>
  </si>
  <si>
    <r>
      <rPr>
        <sz val="10"/>
        <color theme="1"/>
        <rFont val="宋体"/>
        <family val="2"/>
      </rPr>
      <t>一</t>
    </r>
    <r>
      <rPr>
        <sz val="10"/>
        <color theme="1"/>
        <rFont val="Arial"/>
        <family val="2"/>
      </rPr>
      <t>+…+</t>
    </r>
    <r>
      <rPr>
        <sz val="10"/>
        <color theme="1"/>
        <rFont val="宋体"/>
        <family val="2"/>
      </rPr>
      <t>七</t>
    </r>
    <phoneticPr fontId="5" type="noConversion"/>
  </si>
  <si>
    <r>
      <t>2.</t>
    </r>
    <r>
      <rPr>
        <sz val="10"/>
        <color theme="1"/>
        <rFont val="宋体"/>
        <family val="2"/>
      </rPr>
      <t>契税</t>
    </r>
    <phoneticPr fontId="5" type="noConversion"/>
  </si>
  <si>
    <r>
      <rPr>
        <sz val="10"/>
        <color theme="1"/>
        <rFont val="宋体"/>
        <family val="3"/>
        <charset val="134"/>
      </rPr>
      <t>取值范围</t>
    </r>
    <r>
      <rPr>
        <sz val="10"/>
        <color theme="1"/>
        <rFont val="Arial"/>
        <family val="2"/>
      </rPr>
      <t>3-5%</t>
    </r>
    <r>
      <rPr>
        <sz val="10"/>
        <color theme="1"/>
        <rFont val="宋体"/>
        <family val="3"/>
        <charset val="134"/>
      </rPr>
      <t>，参照《南京市商品房作价办法》</t>
    </r>
    <phoneticPr fontId="2" type="noConversion"/>
  </si>
  <si>
    <r>
      <rPr>
        <sz val="10"/>
        <color theme="1"/>
        <rFont val="宋体"/>
        <family val="3"/>
        <charset val="134"/>
      </rPr>
      <t>取值范围2</t>
    </r>
    <r>
      <rPr>
        <sz val="10"/>
        <color theme="1"/>
        <rFont val="Arial"/>
        <family val="2"/>
      </rPr>
      <t>-3%</t>
    </r>
    <r>
      <rPr>
        <sz val="10"/>
        <color theme="1"/>
        <rFont val="宋体"/>
        <family val="3"/>
        <charset val="134"/>
      </rPr>
      <t>，参照《南京市商品房作价办法》</t>
    </r>
    <phoneticPr fontId="2" type="noConversion"/>
  </si>
  <si>
    <r>
      <rPr>
        <sz val="10"/>
        <color theme="1"/>
        <rFont val="宋体"/>
        <family val="3"/>
        <charset val="134"/>
      </rPr>
      <t>工期</t>
    </r>
    <r>
      <rPr>
        <sz val="10"/>
        <color theme="1"/>
        <rFont val="Arial"/>
        <family val="2"/>
      </rPr>
      <t>2</t>
    </r>
    <r>
      <rPr>
        <sz val="10"/>
        <color theme="1"/>
        <rFont val="宋体"/>
        <family val="3"/>
        <charset val="134"/>
      </rPr>
      <t>年，计息期根据项目大小而定，一般为</t>
    </r>
    <r>
      <rPr>
        <sz val="10"/>
        <color theme="1"/>
        <rFont val="Arial"/>
        <family val="2"/>
      </rPr>
      <t>1.5—3</t>
    </r>
    <r>
      <rPr>
        <sz val="10"/>
        <color theme="1"/>
        <rFont val="宋体"/>
        <family val="3"/>
        <charset val="134"/>
      </rPr>
      <t>年</t>
    </r>
    <phoneticPr fontId="2" type="noConversion"/>
  </si>
  <si>
    <t>采用市场法求取</t>
    <phoneticPr fontId="2" type="noConversion"/>
  </si>
  <si>
    <t>房地产重新开发建设成本</t>
    <phoneticPr fontId="5" type="noConversion"/>
  </si>
  <si>
    <t>说明：此表多用于工业用地、仓储用地房地合一评估。</t>
    <phoneticPr fontId="2" type="noConversion"/>
  </si>
  <si>
    <r>
      <rPr>
        <sz val="10"/>
        <color theme="1"/>
        <rFont val="宋体"/>
        <family val="3"/>
        <charset val="134"/>
      </rPr>
      <t>此处为直接成本利润率，取值范围</t>
    </r>
    <r>
      <rPr>
        <sz val="10"/>
        <color theme="1"/>
        <rFont val="Arial"/>
        <family val="2"/>
      </rPr>
      <t>10-25%</t>
    </r>
    <phoneticPr fontId="2" type="noConversion"/>
  </si>
  <si>
    <t>按现行的税收政策，考虑增值税及附加</t>
    <phoneticPr fontId="2" type="noConversion"/>
  </si>
  <si>
    <t>房屋重置成本采用成本法确定，注意不要计算利息</t>
    <phoneticPr fontId="2" type="noConversion"/>
  </si>
  <si>
    <t>契税税率根据各城市实际情况而定</t>
    <phoneticPr fontId="2" type="noConversion"/>
  </si>
  <si>
    <t>此表根据《南京市国有土地上房屋征收评估技术导则》P32得出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</si>
</sst>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76" formatCode="0.00_ "/>
    <numFmt numFmtId="177" formatCode="0_ "/>
    <numFmt numFmtId="178" formatCode="0_);[Red]\(0\)"/>
    <numFmt numFmtId="179" formatCode="#,##0.00_ "/>
    <numFmt numFmtId="180" formatCode="#,##0.00_);[Red]\(#,##0.00\);_(* &quot;&quot;_)"/>
  </numFmts>
  <fonts count="2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color theme="1"/>
      <name val="Arial"/>
      <family val="2"/>
    </font>
    <font>
      <sz val="10"/>
      <color theme="1"/>
      <name val="宋体"/>
      <family val="2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sz val="12"/>
      <color rgb="FF000000"/>
      <name val="Arial"/>
      <family val="2"/>
    </font>
    <font>
      <sz val="11"/>
      <color theme="1"/>
      <name val="宋体"/>
      <family val="2"/>
      <scheme val="minor"/>
    </font>
    <font>
      <b/>
      <sz val="9"/>
      <color rgb="FF333333"/>
      <name val="Verdana"/>
      <family val="2"/>
    </font>
    <font>
      <b/>
      <vertAlign val="superscript"/>
      <sz val="9"/>
      <color rgb="FF333333"/>
      <name val="Verdana"/>
      <family val="2"/>
    </font>
    <font>
      <sz val="9"/>
      <color rgb="FF000000"/>
      <name val="宋体"/>
      <family val="3"/>
      <charset val="134"/>
    </font>
    <font>
      <u/>
      <sz val="11"/>
      <color theme="10"/>
      <name val="宋体"/>
      <family val="2"/>
      <scheme val="minor"/>
    </font>
    <font>
      <b/>
      <sz val="17"/>
      <color rgb="FF262626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sz val="9"/>
      <color rgb="FF383838"/>
      <name val="宋体"/>
      <family val="3"/>
      <charset val="134"/>
    </font>
    <font>
      <sz val="9"/>
      <color rgb="FF383838"/>
      <name val="微软雅黑"/>
      <family val="2"/>
      <charset val="134"/>
    </font>
    <font>
      <sz val="9"/>
      <color theme="1"/>
      <name val="宋体"/>
      <family val="3"/>
      <charset val="134"/>
    </font>
    <font>
      <sz val="9"/>
      <color theme="1"/>
      <name val="微软雅黑"/>
      <family val="2"/>
      <charset val="134"/>
    </font>
    <font>
      <sz val="12"/>
      <color rgb="FF383838"/>
      <name val="宋体"/>
      <family val="3"/>
      <charset val="134"/>
    </font>
    <font>
      <sz val="12"/>
      <color rgb="FF383838"/>
      <name val="微软雅黑"/>
      <family val="2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2"/>
      <name val="Times New Roman"/>
      <family val="1"/>
    </font>
    <font>
      <sz val="10"/>
      <color indexed="8"/>
      <name val="Times New Roman"/>
      <family val="1"/>
    </font>
    <font>
      <b/>
      <sz val="14"/>
      <color theme="1"/>
      <name val="宋体"/>
      <family val="3"/>
      <charset val="134"/>
    </font>
    <font>
      <b/>
      <sz val="14"/>
      <color theme="1"/>
      <name val="Arial"/>
      <family val="2"/>
    </font>
    <font>
      <sz val="10"/>
      <color theme="1"/>
      <name val="Arial"/>
      <family val="3"/>
      <charset val="134"/>
    </font>
    <font>
      <b/>
      <sz val="10"/>
      <color rgb="FFFF0000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EDF5F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8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8" fillId="0" borderId="0"/>
    <xf numFmtId="0" fontId="12" fillId="0" borderId="0" applyNumberForma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43" fontId="21" fillId="0" borderId="0" applyFont="0" applyFill="0" applyBorder="0" applyAlignment="0" applyProtection="0"/>
    <xf numFmtId="0" fontId="23" fillId="0" borderId="0"/>
  </cellStyleXfs>
  <cellXfs count="1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0" xfId="0" applyFont="1" applyAlignment="1"/>
    <xf numFmtId="43" fontId="3" fillId="0" borderId="2" xfId="1" applyFont="1" applyBorder="1" applyAlignment="1">
      <alignment horizontal="center"/>
    </xf>
    <xf numFmtId="10" fontId="3" fillId="0" borderId="2" xfId="0" applyNumberFormat="1" applyFont="1" applyBorder="1" applyAlignment="1">
      <alignment horizontal="center"/>
    </xf>
    <xf numFmtId="9" fontId="3" fillId="0" borderId="2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43" fontId="3" fillId="0" borderId="0" xfId="1" applyFont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2" fontId="3" fillId="0" borderId="2" xfId="0" applyNumberFormat="1" applyFont="1" applyBorder="1" applyAlignment="1">
      <alignment horizontal="center"/>
    </xf>
    <xf numFmtId="0" fontId="7" fillId="0" borderId="0" xfId="0" applyFont="1">
      <alignment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2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3" fontId="0" fillId="0" borderId="2" xfId="0" applyNumberFormat="1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9" fillId="4" borderId="1" xfId="2" applyFont="1" applyFill="1" applyBorder="1" applyAlignment="1">
      <alignment horizontal="center" vertical="center" wrapText="1"/>
    </xf>
    <xf numFmtId="176" fontId="8" fillId="0" borderId="0" xfId="2" applyNumberFormat="1"/>
    <xf numFmtId="0" fontId="8" fillId="0" borderId="0" xfId="2"/>
    <xf numFmtId="0" fontId="11" fillId="2" borderId="1" xfId="2" applyFont="1" applyFill="1" applyBorder="1" applyAlignment="1">
      <alignment horizontal="center" vertical="center" wrapText="1"/>
    </xf>
    <xf numFmtId="0" fontId="12" fillId="2" borderId="1" xfId="3" applyFill="1" applyBorder="1" applyAlignment="1">
      <alignment horizontal="center" vertical="center" wrapText="1"/>
    </xf>
    <xf numFmtId="0" fontId="11" fillId="2" borderId="1" xfId="2" applyFont="1" applyFill="1" applyBorder="1" applyAlignment="1">
      <alignment horizontal="left" vertical="center" wrapText="1"/>
    </xf>
    <xf numFmtId="14" fontId="11" fillId="2" borderId="1" xfId="2" applyNumberFormat="1" applyFont="1" applyFill="1" applyBorder="1" applyAlignment="1">
      <alignment horizontal="center" vertical="center" wrapText="1"/>
    </xf>
    <xf numFmtId="0" fontId="11" fillId="2" borderId="1" xfId="2" applyFont="1" applyFill="1" applyBorder="1" applyAlignment="1">
      <alignment horizontal="right" vertical="center" wrapText="1"/>
    </xf>
    <xf numFmtId="0" fontId="12" fillId="2" borderId="1" xfId="3" applyFill="1" applyBorder="1" applyAlignment="1">
      <alignment horizontal="right" vertical="center" wrapText="1"/>
    </xf>
    <xf numFmtId="0" fontId="11" fillId="3" borderId="1" xfId="2" applyFont="1" applyFill="1" applyBorder="1" applyAlignment="1">
      <alignment horizontal="center" vertical="center" wrapText="1"/>
    </xf>
    <xf numFmtId="0" fontId="12" fillId="3" borderId="1" xfId="3" applyFill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left" vertical="center" wrapText="1"/>
    </xf>
    <xf numFmtId="14" fontId="11" fillId="3" borderId="1" xfId="2" applyNumberFormat="1" applyFont="1" applyFill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right" vertical="center" wrapText="1"/>
    </xf>
    <xf numFmtId="0" fontId="12" fillId="3" borderId="1" xfId="3" applyFill="1" applyBorder="1" applyAlignment="1">
      <alignment horizontal="right" vertical="center" wrapText="1"/>
    </xf>
    <xf numFmtId="0" fontId="8" fillId="0" borderId="0" xfId="2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15" fillId="3" borderId="7" xfId="0" applyFont="1" applyFill="1" applyBorder="1" applyAlignment="1">
      <alignment horizontal="left" vertical="center" wrapText="1"/>
    </xf>
    <xf numFmtId="31" fontId="15" fillId="3" borderId="7" xfId="0" applyNumberFormat="1" applyFont="1" applyFill="1" applyBorder="1" applyAlignment="1">
      <alignment horizontal="left" vertical="center" wrapText="1"/>
    </xf>
    <xf numFmtId="14" fontId="15" fillId="3" borderId="7" xfId="0" applyNumberFormat="1" applyFont="1" applyFill="1" applyBorder="1" applyAlignment="1">
      <alignment horizontal="left" vertical="center" wrapText="1"/>
    </xf>
    <xf numFmtId="0" fontId="19" fillId="3" borderId="7" xfId="0" applyFont="1" applyFill="1" applyBorder="1" applyAlignment="1">
      <alignment horizontal="left" vertical="center" wrapText="1"/>
    </xf>
    <xf numFmtId="31" fontId="19" fillId="3" borderId="7" xfId="0" applyNumberFormat="1" applyFont="1" applyFill="1" applyBorder="1" applyAlignment="1">
      <alignment horizontal="left" vertical="center" wrapText="1"/>
    </xf>
    <xf numFmtId="0" fontId="14" fillId="3" borderId="7" xfId="0" applyFont="1" applyFill="1" applyBorder="1" applyAlignment="1">
      <alignment vertical="center" wrapText="1"/>
    </xf>
    <xf numFmtId="14" fontId="19" fillId="3" borderId="7" xfId="0" applyNumberFormat="1" applyFont="1" applyFill="1" applyBorder="1" applyAlignment="1">
      <alignment horizontal="left" vertical="center" wrapText="1"/>
    </xf>
    <xf numFmtId="2" fontId="0" fillId="0" borderId="0" xfId="0" applyNumberFormat="1">
      <alignment vertical="center"/>
    </xf>
    <xf numFmtId="177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6" fillId="0" borderId="0" xfId="0" applyFont="1" applyAlignment="1"/>
    <xf numFmtId="0" fontId="22" fillId="0" borderId="2" xfId="5" applyFont="1" applyBorder="1" applyAlignment="1">
      <alignment horizontal="center" vertical="center"/>
    </xf>
    <xf numFmtId="178" fontId="0" fillId="0" borderId="2" xfId="0" applyNumberFormat="1" applyBorder="1" applyAlignment="1">
      <alignment horizontal="center" vertical="center"/>
    </xf>
    <xf numFmtId="0" fontId="22" fillId="0" borderId="2" xfId="5" applyFont="1" applyFill="1" applyBorder="1" applyAlignment="1">
      <alignment horizontal="center" vertical="center"/>
    </xf>
    <xf numFmtId="179" fontId="22" fillId="0" borderId="2" xfId="6" applyNumberFormat="1" applyFont="1" applyBorder="1" applyAlignment="1">
      <alignment horizontal="center" vertical="center"/>
    </xf>
    <xf numFmtId="10" fontId="22" fillId="4" borderId="2" xfId="6" applyNumberFormat="1" applyFont="1" applyFill="1" applyBorder="1" applyAlignment="1">
      <alignment horizontal="center" vertical="center"/>
    </xf>
    <xf numFmtId="2" fontId="22" fillId="0" borderId="2" xfId="5" applyNumberFormat="1" applyFont="1" applyBorder="1" applyAlignment="1">
      <alignment horizontal="center" vertical="center"/>
    </xf>
    <xf numFmtId="178" fontId="22" fillId="0" borderId="2" xfId="6" applyNumberFormat="1" applyFont="1" applyBorder="1" applyAlignment="1">
      <alignment horizontal="center" vertical="center"/>
    </xf>
    <xf numFmtId="0" fontId="22" fillId="0" borderId="3" xfId="5" applyFont="1" applyFill="1" applyBorder="1" applyAlignment="1">
      <alignment horizontal="center" vertical="center"/>
    </xf>
    <xf numFmtId="9" fontId="22" fillId="0" borderId="2" xfId="6" applyNumberFormat="1" applyFont="1" applyBorder="1" applyAlignment="1">
      <alignment horizontal="center" vertical="center"/>
    </xf>
    <xf numFmtId="10" fontId="22" fillId="0" borderId="2" xfId="4" applyNumberFormat="1" applyFont="1" applyBorder="1" applyAlignment="1">
      <alignment horizontal="center" vertical="center"/>
    </xf>
    <xf numFmtId="178" fontId="22" fillId="0" borderId="2" xfId="5" applyNumberFormat="1" applyFont="1" applyBorder="1" applyAlignment="1">
      <alignment horizontal="center" vertical="center"/>
    </xf>
    <xf numFmtId="14" fontId="22" fillId="0" borderId="2" xfId="5" applyNumberFormat="1" applyFont="1" applyBorder="1" applyAlignment="1">
      <alignment horizontal="center" vertical="center"/>
    </xf>
    <xf numFmtId="180" fontId="24" fillId="5" borderId="2" xfId="7" applyNumberFormat="1" applyFont="1" applyFill="1" applyBorder="1" applyAlignment="1">
      <alignment horizontal="right"/>
    </xf>
    <xf numFmtId="0" fontId="3" fillId="0" borderId="0" xfId="0" applyFont="1" applyBorder="1" applyAlignment="1">
      <alignment horizontal="center"/>
    </xf>
    <xf numFmtId="43" fontId="3" fillId="0" borderId="0" xfId="0" applyNumberFormat="1" applyFont="1" applyAlignment="1"/>
    <xf numFmtId="43" fontId="3" fillId="0" borderId="0" xfId="1" applyFont="1" applyAlignment="1"/>
    <xf numFmtId="0" fontId="3" fillId="0" borderId="2" xfId="0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9" fontId="3" fillId="0" borderId="2" xfId="0" applyNumberFormat="1" applyFont="1" applyBorder="1" applyAlignment="1">
      <alignment horizontal="center" vertical="center"/>
    </xf>
    <xf numFmtId="10" fontId="3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9" fontId="0" fillId="0" borderId="0" xfId="0" applyNumberFormat="1">
      <alignment vertical="center"/>
    </xf>
    <xf numFmtId="0" fontId="27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3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15" fillId="3" borderId="8" xfId="0" applyFont="1" applyFill="1" applyBorder="1" applyAlignment="1">
      <alignment horizontal="left" vertical="center" wrapText="1"/>
    </xf>
    <xf numFmtId="0" fontId="15" fillId="3" borderId="9" xfId="0" applyFont="1" applyFill="1" applyBorder="1" applyAlignment="1">
      <alignment horizontal="left" vertical="center" wrapText="1"/>
    </xf>
    <xf numFmtId="0" fontId="15" fillId="3" borderId="10" xfId="0" applyFont="1" applyFill="1" applyBorder="1" applyAlignment="1">
      <alignment horizontal="left" vertical="center" wrapText="1"/>
    </xf>
    <xf numFmtId="0" fontId="17" fillId="3" borderId="8" xfId="0" applyFont="1" applyFill="1" applyBorder="1" applyAlignment="1">
      <alignment horizontal="left" vertical="center" wrapText="1"/>
    </xf>
    <xf numFmtId="0" fontId="17" fillId="3" borderId="9" xfId="0" applyFont="1" applyFill="1" applyBorder="1" applyAlignment="1">
      <alignment horizontal="left" vertical="center" wrapText="1"/>
    </xf>
    <xf numFmtId="0" fontId="17" fillId="3" borderId="10" xfId="0" applyFont="1" applyFill="1" applyBorder="1" applyAlignment="1">
      <alignment horizontal="left" vertical="center" wrapText="1"/>
    </xf>
    <xf numFmtId="0" fontId="19" fillId="3" borderId="8" xfId="0" applyFont="1" applyFill="1" applyBorder="1" applyAlignment="1">
      <alignment horizontal="left" vertical="center" wrapText="1"/>
    </xf>
    <xf numFmtId="0" fontId="19" fillId="3" borderId="9" xfId="0" applyFont="1" applyFill="1" applyBorder="1" applyAlignment="1">
      <alignment horizontal="left" vertical="center" wrapText="1"/>
    </xf>
    <xf numFmtId="0" fontId="19" fillId="3" borderId="10" xfId="0" applyFont="1" applyFill="1" applyBorder="1" applyAlignment="1">
      <alignment horizontal="left" vertical="center" wrapText="1"/>
    </xf>
    <xf numFmtId="0" fontId="19" fillId="3" borderId="11" xfId="0" applyFont="1" applyFill="1" applyBorder="1" applyAlignment="1">
      <alignment horizontal="left" vertical="center" wrapText="1"/>
    </xf>
    <xf numFmtId="0" fontId="19" fillId="3" borderId="12" xfId="0" applyFont="1" applyFill="1" applyBorder="1" applyAlignment="1">
      <alignment horizontal="left" vertical="center" wrapText="1"/>
    </xf>
    <xf numFmtId="0" fontId="19" fillId="3" borderId="13" xfId="0" applyFont="1" applyFill="1" applyBorder="1" applyAlignment="1">
      <alignment horizontal="left" vertical="center" wrapText="1"/>
    </xf>
    <xf numFmtId="0" fontId="19" fillId="3" borderId="14" xfId="0" applyFont="1" applyFill="1" applyBorder="1" applyAlignment="1">
      <alignment horizontal="left" vertical="center" wrapText="1"/>
    </xf>
    <xf numFmtId="0" fontId="19" fillId="3" borderId="15" xfId="0" applyFont="1" applyFill="1" applyBorder="1" applyAlignment="1">
      <alignment horizontal="left" vertical="center" wrapText="1"/>
    </xf>
    <xf numFmtId="0" fontId="20" fillId="3" borderId="16" xfId="0" applyFont="1" applyFill="1" applyBorder="1" applyAlignment="1">
      <alignment horizontal="left" vertical="center" wrapText="1"/>
    </xf>
    <xf numFmtId="0" fontId="20" fillId="3" borderId="17" xfId="0" applyFont="1" applyFill="1" applyBorder="1" applyAlignment="1">
      <alignment horizontal="left" vertical="center" wrapText="1"/>
    </xf>
    <xf numFmtId="0" fontId="20" fillId="3" borderId="18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8" fillId="0" borderId="0" xfId="0" applyFont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shrinkToFit="1"/>
    </xf>
  </cellXfs>
  <cellStyles count="8">
    <cellStyle name="0,0_x000a__x000a_NA_x000a__x000a_" xfId="7" xr:uid="{00000000-0005-0000-0000-000000000000}"/>
    <cellStyle name="百分比" xfId="4" builtinId="5"/>
    <cellStyle name="常规" xfId="0" builtinId="0"/>
    <cellStyle name="常规 2" xfId="2" xr:uid="{00000000-0005-0000-0000-000003000000}"/>
    <cellStyle name="常规_张江收益测算7-4" xfId="5" xr:uid="{00000000-0005-0000-0000-000005000000}"/>
    <cellStyle name="超链接 2" xfId="3" xr:uid="{00000000-0005-0000-0000-000006000000}"/>
    <cellStyle name="千位分隔" xfId="1" builtinId="3"/>
    <cellStyle name="千位分隔_顺捷" xfId="6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landjs.com/web/mapview.aspx?id=5C7E842E17A65A6BE05500000000000" TargetMode="External"/><Relationship Id="rId13" Type="http://schemas.openxmlformats.org/officeDocument/2006/relationships/hyperlink" Target="http://www.landjs.com/web/mapview.aspx?id=4F3C80A9E5434ED8E05500000000000" TargetMode="External"/><Relationship Id="rId18" Type="http://schemas.openxmlformats.org/officeDocument/2006/relationships/hyperlink" Target="http://www.landjs.com/web/mapview.aspx?id=4DF897DB01CC6671E05500000000000" TargetMode="External"/><Relationship Id="rId3" Type="http://schemas.openxmlformats.org/officeDocument/2006/relationships/hyperlink" Target="http://www.landjs.com/web/mapview.aspx?id=5F031D32FCB7177DE05500000000000" TargetMode="External"/><Relationship Id="rId21" Type="http://schemas.openxmlformats.org/officeDocument/2006/relationships/hyperlink" Target="http://www.landjs.com/web/mapview.aspx?id=4DF60A40ECB35EF1E05500000000000" TargetMode="External"/><Relationship Id="rId7" Type="http://schemas.openxmlformats.org/officeDocument/2006/relationships/hyperlink" Target="http://www.landjs.com/web/mapview.aspx?id=5C7F14298E255BD0E05500000000000" TargetMode="External"/><Relationship Id="rId12" Type="http://schemas.openxmlformats.org/officeDocument/2006/relationships/hyperlink" Target="http://www.landjs.com/web/mapview.aspx?id=57F3A2985DEB7A77E05500000000000" TargetMode="External"/><Relationship Id="rId17" Type="http://schemas.openxmlformats.org/officeDocument/2006/relationships/hyperlink" Target="http://www.landjs.com/web/mapview.aspx?id=4DF8A6C6DC3E66AFE05500000000000" TargetMode="External"/><Relationship Id="rId2" Type="http://schemas.openxmlformats.org/officeDocument/2006/relationships/image" Target="../media/image1.gif"/><Relationship Id="rId16" Type="http://schemas.openxmlformats.org/officeDocument/2006/relationships/hyperlink" Target="http://www.landjs.com/web/mapview.aspx?id=4DF8A6C6DC4466AFE05500000000000" TargetMode="External"/><Relationship Id="rId20" Type="http://schemas.openxmlformats.org/officeDocument/2006/relationships/hyperlink" Target="http://www.landjs.com/web/mapview.aspx?id=4DF615EE47AC5EFBE05500000000000" TargetMode="External"/><Relationship Id="rId1" Type="http://schemas.openxmlformats.org/officeDocument/2006/relationships/hyperlink" Target="http://www.landjs.com/web/mapview.aspx?id=61359B6793D96384E05500000000000" TargetMode="External"/><Relationship Id="rId6" Type="http://schemas.openxmlformats.org/officeDocument/2006/relationships/hyperlink" Target="http://www.landjs.com/web/mapview.aspx?id=5C7F1FBF1C7D5C62E05500000000000" TargetMode="External"/><Relationship Id="rId11" Type="http://schemas.openxmlformats.org/officeDocument/2006/relationships/hyperlink" Target="http://www.landjs.com/web/mapview.aspx?id=5A0F71C495894804E05500000000000" TargetMode="External"/><Relationship Id="rId5" Type="http://schemas.openxmlformats.org/officeDocument/2006/relationships/hyperlink" Target="http://www.landjs.com/web/mapview.aspx?id=5F02D5C3A916165EE05500000000000" TargetMode="External"/><Relationship Id="rId15" Type="http://schemas.openxmlformats.org/officeDocument/2006/relationships/hyperlink" Target="http://www.landjs.com/web/mapview.aspx?id=4DF8B078C5D966C5E05500000000000" TargetMode="External"/><Relationship Id="rId10" Type="http://schemas.openxmlformats.org/officeDocument/2006/relationships/hyperlink" Target="http://www.landjs.com/web/mapview.aspx?id=5A0F51EAA99447D2E05500000000000" TargetMode="External"/><Relationship Id="rId19" Type="http://schemas.openxmlformats.org/officeDocument/2006/relationships/hyperlink" Target="http://www.landjs.com/web/mapview.aspx?id=4DF89416AA1F6673E05500000000000" TargetMode="External"/><Relationship Id="rId4" Type="http://schemas.openxmlformats.org/officeDocument/2006/relationships/hyperlink" Target="http://www.landjs.com/web/mapview.aspx?id=5F031D32FCA0177DE05500000000000" TargetMode="External"/><Relationship Id="rId9" Type="http://schemas.openxmlformats.org/officeDocument/2006/relationships/hyperlink" Target="http://www.landjs.com/web/mapview.aspx?id=5C7E9DC7AB2C5A5BE05500000000000" TargetMode="External"/><Relationship Id="rId14" Type="http://schemas.openxmlformats.org/officeDocument/2006/relationships/hyperlink" Target="http://www.landjs.com/web/mapview.aspx?id=4F11A46145494A78E05500000000000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152400</xdr:rowOff>
    </xdr:to>
    <xdr:pic>
      <xdr:nvPicPr>
        <xdr:cNvPr id="2" name="图片 1" descr="地图浏览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152400</xdr:colOff>
      <xdr:row>2</xdr:row>
      <xdr:rowOff>152400</xdr:rowOff>
    </xdr:to>
    <xdr:pic>
      <xdr:nvPicPr>
        <xdr:cNvPr id="3" name="图片 2" descr="地图浏览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8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152400</xdr:colOff>
      <xdr:row>3</xdr:row>
      <xdr:rowOff>152400</xdr:rowOff>
    </xdr:to>
    <xdr:pic>
      <xdr:nvPicPr>
        <xdr:cNvPr id="4" name="图片 3" descr="地图浏览">
          <a:hlinkClick xmlns:r="http://schemas.openxmlformats.org/officeDocument/2006/relationships" r:id="rId4" tgtFrame="_blank"/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9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152400</xdr:colOff>
      <xdr:row>4</xdr:row>
      <xdr:rowOff>152400</xdr:rowOff>
    </xdr:to>
    <xdr:pic>
      <xdr:nvPicPr>
        <xdr:cNvPr id="5" name="图片 4" descr="地图浏览">
          <a:hlinkClick xmlns:r="http://schemas.openxmlformats.org/officeDocument/2006/relationships" r:id="rId5" tgtFrame="_blank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1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152400</xdr:colOff>
      <xdr:row>5</xdr:row>
      <xdr:rowOff>152400</xdr:rowOff>
    </xdr:to>
    <xdr:pic>
      <xdr:nvPicPr>
        <xdr:cNvPr id="6" name="图片 5" descr="地图浏览">
          <a:hlinkClick xmlns:r="http://schemas.openxmlformats.org/officeDocument/2006/relationships" r:id="rId6" tgtFrame="_blank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52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152400</xdr:colOff>
      <xdr:row>6</xdr:row>
      <xdr:rowOff>152400</xdr:rowOff>
    </xdr:to>
    <xdr:pic>
      <xdr:nvPicPr>
        <xdr:cNvPr id="7" name="图片 6" descr="地图浏览">
          <a:hlinkClick xmlns:r="http://schemas.openxmlformats.org/officeDocument/2006/relationships" r:id="rId7" tgtFrame="_blank"/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152400</xdr:colOff>
      <xdr:row>7</xdr:row>
      <xdr:rowOff>152400</xdr:rowOff>
    </xdr:to>
    <xdr:pic>
      <xdr:nvPicPr>
        <xdr:cNvPr id="8" name="图片 7" descr="地图浏览">
          <a:hlinkClick xmlns:r="http://schemas.openxmlformats.org/officeDocument/2006/relationships" r:id="rId8" tgtFrame="_blank"/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95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152400</xdr:colOff>
      <xdr:row>8</xdr:row>
      <xdr:rowOff>152400</xdr:rowOff>
    </xdr:to>
    <xdr:pic>
      <xdr:nvPicPr>
        <xdr:cNvPr id="9" name="图片 8" descr="地图浏览">
          <a:hlinkClick xmlns:r="http://schemas.openxmlformats.org/officeDocument/2006/relationships" r:id="rId9" tgtFrame="_blank"/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66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152400</xdr:colOff>
      <xdr:row>9</xdr:row>
      <xdr:rowOff>152400</xdr:rowOff>
    </xdr:to>
    <xdr:pic>
      <xdr:nvPicPr>
        <xdr:cNvPr id="10" name="图片 9" descr="地图浏览">
          <a:hlinkClick xmlns:r="http://schemas.openxmlformats.org/officeDocument/2006/relationships" r:id="rId10" tgtFrame="_blank"/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8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152400</xdr:colOff>
      <xdr:row>10</xdr:row>
      <xdr:rowOff>152400</xdr:rowOff>
    </xdr:to>
    <xdr:pic>
      <xdr:nvPicPr>
        <xdr:cNvPr id="11" name="图片 10" descr="地图浏览">
          <a:hlinkClick xmlns:r="http://schemas.openxmlformats.org/officeDocument/2006/relationships" r:id="rId11" tgtFrame="_blank"/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09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pic>
      <xdr:nvPicPr>
        <xdr:cNvPr id="12" name="图片 11" descr="地图浏览">
          <a:hlinkClick xmlns:r="http://schemas.openxmlformats.org/officeDocument/2006/relationships" r:id="rId12" tgtFrame="_blank"/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81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152400</xdr:colOff>
      <xdr:row>12</xdr:row>
      <xdr:rowOff>152400</xdr:rowOff>
    </xdr:to>
    <xdr:pic>
      <xdr:nvPicPr>
        <xdr:cNvPr id="13" name="图片 12" descr="地图浏览">
          <a:hlinkClick xmlns:r="http://schemas.openxmlformats.org/officeDocument/2006/relationships" r:id="rId13" tgtFrame="_blank"/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52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152400</xdr:colOff>
      <xdr:row>13</xdr:row>
      <xdr:rowOff>152400</xdr:rowOff>
    </xdr:to>
    <xdr:pic>
      <xdr:nvPicPr>
        <xdr:cNvPr id="14" name="图片 13" descr="地图浏览">
          <a:hlinkClick xmlns:r="http://schemas.openxmlformats.org/officeDocument/2006/relationships" r:id="rId14" tgtFrame="_blank"/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24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152400</xdr:colOff>
      <xdr:row>14</xdr:row>
      <xdr:rowOff>152400</xdr:rowOff>
    </xdr:to>
    <xdr:pic>
      <xdr:nvPicPr>
        <xdr:cNvPr id="15" name="图片 14" descr="地图浏览">
          <a:hlinkClick xmlns:r="http://schemas.openxmlformats.org/officeDocument/2006/relationships" r:id="rId15" tgtFrame="_blank"/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5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pic>
      <xdr:nvPicPr>
        <xdr:cNvPr id="16" name="图片 15" descr="地图浏览">
          <a:hlinkClick xmlns:r="http://schemas.openxmlformats.org/officeDocument/2006/relationships" r:id="rId16" tgtFrame="_blank"/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67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152400</xdr:colOff>
      <xdr:row>16</xdr:row>
      <xdr:rowOff>152400</xdr:rowOff>
    </xdr:to>
    <xdr:pic>
      <xdr:nvPicPr>
        <xdr:cNvPr id="17" name="图片 16" descr="地图浏览">
          <a:hlinkClick xmlns:r="http://schemas.openxmlformats.org/officeDocument/2006/relationships" r:id="rId17" tgtFrame="_blank"/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52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152400</xdr:colOff>
      <xdr:row>17</xdr:row>
      <xdr:rowOff>152400</xdr:rowOff>
    </xdr:to>
    <xdr:pic>
      <xdr:nvPicPr>
        <xdr:cNvPr id="18" name="图片 17" descr="地图浏览">
          <a:hlinkClick xmlns:r="http://schemas.openxmlformats.org/officeDocument/2006/relationships" r:id="rId18" tgtFrame="_blank"/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38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152400</xdr:colOff>
      <xdr:row>18</xdr:row>
      <xdr:rowOff>152400</xdr:rowOff>
    </xdr:to>
    <xdr:pic>
      <xdr:nvPicPr>
        <xdr:cNvPr id="19" name="图片 18" descr="地图浏览">
          <a:hlinkClick xmlns:r="http://schemas.openxmlformats.org/officeDocument/2006/relationships" r:id="rId19" tgtFrame="_blank"/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152400</xdr:colOff>
      <xdr:row>19</xdr:row>
      <xdr:rowOff>152400</xdr:rowOff>
    </xdr:to>
    <xdr:pic>
      <xdr:nvPicPr>
        <xdr:cNvPr id="20" name="图片 19" descr="地图浏览">
          <a:hlinkClick xmlns:r="http://schemas.openxmlformats.org/officeDocument/2006/relationships" r:id="rId20" tgtFrame="_blank"/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81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152400</xdr:colOff>
      <xdr:row>20</xdr:row>
      <xdr:rowOff>152400</xdr:rowOff>
    </xdr:to>
    <xdr:pic>
      <xdr:nvPicPr>
        <xdr:cNvPr id="21" name="图片 20" descr="地图浏览">
          <a:hlinkClick xmlns:r="http://schemas.openxmlformats.org/officeDocument/2006/relationships" r:id="rId21" tgtFrame="_blank"/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2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12</xdr:col>
      <xdr:colOff>542925</xdr:colOff>
      <xdr:row>1</xdr:row>
      <xdr:rowOff>66675</xdr:rowOff>
    </xdr:to>
    <xdr:pic>
      <xdr:nvPicPr>
        <xdr:cNvPr id="2" name="图片 1" descr="http://www.jsmlr.gov.cn/gtwzqxxgk/imagesls/2016gjy-xian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"/>
          <a:ext cx="96774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12</xdr:col>
      <xdr:colOff>542925</xdr:colOff>
      <xdr:row>1</xdr:row>
      <xdr:rowOff>66675</xdr:rowOff>
    </xdr:to>
    <xdr:pic>
      <xdr:nvPicPr>
        <xdr:cNvPr id="3" name="图片 2" descr="http://www.jsmlr.gov.cn/gtwzqxxgk/imagesls/2016gjy-xian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00625"/>
          <a:ext cx="96774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12</xdr:col>
      <xdr:colOff>542925</xdr:colOff>
      <xdr:row>45</xdr:row>
      <xdr:rowOff>66675</xdr:rowOff>
    </xdr:to>
    <xdr:pic>
      <xdr:nvPicPr>
        <xdr:cNvPr id="4" name="图片 3" descr="http://www.jsmlr.gov.cn/gtwzqxxgk/imagesls/2016gjy-xian.pn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915400"/>
          <a:ext cx="96774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12</xdr:col>
      <xdr:colOff>542925</xdr:colOff>
      <xdr:row>45</xdr:row>
      <xdr:rowOff>66675</xdr:rowOff>
    </xdr:to>
    <xdr:pic>
      <xdr:nvPicPr>
        <xdr:cNvPr id="5" name="图片 4" descr="http://www.jsmlr.gov.cn/gtwzqxxgk/imagesls/2016gjy-xian.png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001625"/>
          <a:ext cx="96774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12</xdr:col>
      <xdr:colOff>542925</xdr:colOff>
      <xdr:row>45</xdr:row>
      <xdr:rowOff>66675</xdr:rowOff>
    </xdr:to>
    <xdr:pic>
      <xdr:nvPicPr>
        <xdr:cNvPr id="6" name="图片 5" descr="http://www.jsmlr.gov.cn/gtwzqxxgk/imagesls/2016gjy-xian.png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944975"/>
          <a:ext cx="96774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12</xdr:col>
      <xdr:colOff>542925</xdr:colOff>
      <xdr:row>47</xdr:row>
      <xdr:rowOff>66675</xdr:rowOff>
    </xdr:to>
    <xdr:pic>
      <xdr:nvPicPr>
        <xdr:cNvPr id="7" name="图片 6" descr="http://www.jsmlr.gov.cn/gtwzqxxgk/imagesls/2016gjy-xian.png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716875"/>
          <a:ext cx="96774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12</xdr:col>
      <xdr:colOff>542925</xdr:colOff>
      <xdr:row>127</xdr:row>
      <xdr:rowOff>66675</xdr:rowOff>
    </xdr:to>
    <xdr:pic>
      <xdr:nvPicPr>
        <xdr:cNvPr id="8" name="图片 7" descr="http://www.jsmlr.gov.cn/gtwzqxxgk/imagesls/2016gjy-xian.png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079450"/>
          <a:ext cx="96774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80</xdr:row>
      <xdr:rowOff>0</xdr:rowOff>
    </xdr:from>
    <xdr:to>
      <xdr:col>12</xdr:col>
      <xdr:colOff>542925</xdr:colOff>
      <xdr:row>127</xdr:row>
      <xdr:rowOff>66675</xdr:rowOff>
    </xdr:to>
    <xdr:pic>
      <xdr:nvPicPr>
        <xdr:cNvPr id="9" name="图片 8" descr="http://www.jsmlr.gov.cn/gtwzqxxgk/imagesls/2016gjy-xian.png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004000"/>
          <a:ext cx="96774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96</xdr:row>
      <xdr:rowOff>0</xdr:rowOff>
    </xdr:from>
    <xdr:to>
      <xdr:col>12</xdr:col>
      <xdr:colOff>542925</xdr:colOff>
      <xdr:row>127</xdr:row>
      <xdr:rowOff>66675</xdr:rowOff>
    </xdr:to>
    <xdr:pic>
      <xdr:nvPicPr>
        <xdr:cNvPr id="10" name="图片 9" descr="http://www.jsmlr.gov.cn/gtwzqxxgk/imagesls/2016gjy-xian.png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195000"/>
          <a:ext cx="96774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113</xdr:row>
      <xdr:rowOff>0</xdr:rowOff>
    </xdr:from>
    <xdr:to>
      <xdr:col>12</xdr:col>
      <xdr:colOff>542925</xdr:colOff>
      <xdr:row>127</xdr:row>
      <xdr:rowOff>66675</xdr:rowOff>
    </xdr:to>
    <xdr:pic>
      <xdr:nvPicPr>
        <xdr:cNvPr id="11" name="图片 10" descr="http://www.jsmlr.gov.cn/gtwzqxxgk/imagesls/2016gjy-xian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319325"/>
          <a:ext cx="96774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129</xdr:row>
      <xdr:rowOff>0</xdr:rowOff>
    </xdr:from>
    <xdr:to>
      <xdr:col>12</xdr:col>
      <xdr:colOff>542925</xdr:colOff>
      <xdr:row>129</xdr:row>
      <xdr:rowOff>66675</xdr:rowOff>
    </xdr:to>
    <xdr:pic>
      <xdr:nvPicPr>
        <xdr:cNvPr id="12" name="图片 11" descr="http://www.jsmlr.gov.cn/gtwzqxxgk/imagesls/2016gjy-xian.png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86375"/>
          <a:ext cx="96774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146</xdr:row>
      <xdr:rowOff>0</xdr:rowOff>
    </xdr:from>
    <xdr:to>
      <xdr:col>12</xdr:col>
      <xdr:colOff>542925</xdr:colOff>
      <xdr:row>164</xdr:row>
      <xdr:rowOff>66675</xdr:rowOff>
    </xdr:to>
    <xdr:pic>
      <xdr:nvPicPr>
        <xdr:cNvPr id="13" name="图片 12" descr="http://www.jsmlr.gov.cn/gtwzqxxgk/imagesls/2016gjy-xian.png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7558325"/>
          <a:ext cx="96774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162</xdr:row>
      <xdr:rowOff>0</xdr:rowOff>
    </xdr:from>
    <xdr:to>
      <xdr:col>12</xdr:col>
      <xdr:colOff>542925</xdr:colOff>
      <xdr:row>164</xdr:row>
      <xdr:rowOff>66675</xdr:rowOff>
    </xdr:to>
    <xdr:pic>
      <xdr:nvPicPr>
        <xdr:cNvPr id="14" name="图片 13" descr="http://www.jsmlr.gov.cn/gtwzqxxgk/imagesls/2016gjy-xian.png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796825"/>
          <a:ext cx="96774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167</xdr:row>
      <xdr:rowOff>0</xdr:rowOff>
    </xdr:from>
    <xdr:to>
      <xdr:col>12</xdr:col>
      <xdr:colOff>542925</xdr:colOff>
      <xdr:row>167</xdr:row>
      <xdr:rowOff>66675</xdr:rowOff>
    </xdr:to>
    <xdr:pic>
      <xdr:nvPicPr>
        <xdr:cNvPr id="15" name="图片 14" descr="http://www.jsmlr.gov.cn/gtwzqxxgk/imagesls/2016gjy-xian.png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4016275"/>
          <a:ext cx="96774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182</xdr:row>
      <xdr:rowOff>0</xdr:rowOff>
    </xdr:from>
    <xdr:to>
      <xdr:col>12</xdr:col>
      <xdr:colOff>542925</xdr:colOff>
      <xdr:row>182</xdr:row>
      <xdr:rowOff>66675</xdr:rowOff>
    </xdr:to>
    <xdr:pic>
      <xdr:nvPicPr>
        <xdr:cNvPr id="16" name="图片 15" descr="http://www.jsmlr.gov.cn/gtwzqxxgk/imagesls/2016gjy-xian.png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45325"/>
          <a:ext cx="96774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18&#24180;&#24037;&#20316;\&#24120;&#24030;&#21338;&#19975;&#36798;\2018-116&#24120;&#24030;&#21338;&#19975;&#36798;&#20102;&#35299;&#25151;&#22320;&#20135;&#24066;&#22330;&#20215;&#20540;&#35780;&#20272;&#39033;&#30446;&#24352;&#23457;\&#24120;&#24030;&#21338;&#19975;&#36798;&#35745;&#31639;&#24213;&#31295;\&#25151;&#23627;&#25104;&#26412;&#27861;&#35745;&#31639;&#34920;0307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18&#24180;&#24037;&#20316;\&#24120;&#24030;&#21338;&#19975;&#36798;\2018-116&#24120;&#24030;&#21338;&#19975;&#36798;&#20102;&#35299;&#25151;&#22320;&#20135;&#24066;&#22330;&#20215;&#20540;&#35780;&#20272;&#39033;&#30446;&#24352;&#23457;\&#24120;&#24030;&#21338;&#19975;&#36798;&#35745;&#31639;&#24213;&#31295;\&#21338;&#19975;&#36798;&#35780;&#20272;&#26126;&#32454;&#3492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18&#24180;&#24037;&#20316;\&#24120;&#24030;&#21338;&#19975;&#36798;\2018-116&#24120;&#24030;&#21338;&#19975;&#36798;&#20102;&#35299;&#25151;&#22320;&#20135;&#24066;&#22330;&#20215;&#20540;&#35780;&#20272;&#39033;&#30446;&#24352;&#23457;\&#24120;&#24030;&#21338;&#19975;&#36798;&#35745;&#31639;&#24213;&#31295;\&#22303;&#22320;&#35745;&#31639;&#34920;0307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18&#24180;&#24037;&#20316;\&#24120;&#24030;&#21338;&#19975;&#36798;\2018-116&#24120;&#24030;&#21338;&#19975;&#36798;&#20102;&#35299;&#25151;&#22320;&#20135;&#24066;&#22330;&#20215;&#20540;&#35780;&#20272;&#39033;&#30446;&#24352;&#23457;\&#24120;&#24030;&#21338;&#19975;&#36798;&#35745;&#31639;&#24213;&#31295;\&#25151;&#23627;&#25104;&#26412;&#27861;&#35745;&#31639;&#34920;0307%20-%20&#21103;&#2641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_formula_"/>
      <sheetName val="建筑物评估步骤及复核表"/>
      <sheetName val="汇总表"/>
      <sheetName val="前期参数"/>
      <sheetName val="4-6-1房屋建筑物"/>
      <sheetName val="4-6-2构筑物"/>
      <sheetName val="成本法-普通房屋类比法计算表"/>
      <sheetName val="成新率计算表"/>
      <sheetName val="物业现状参考鉴定表"/>
      <sheetName val="耐用年限"/>
      <sheetName val="工程类别"/>
      <sheetName val="前期费用"/>
      <sheetName val="工程取费"/>
      <sheetName val="P-建-1"/>
      <sheetName val="建筑物指标库"/>
      <sheetName val="P-构"/>
      <sheetName val="重要建筑物勘察表"/>
      <sheetName val="房屋建筑物作业分析表--案例"/>
      <sheetName val="造价影响参数修正"/>
      <sheetName val="翰林天润"/>
      <sheetName val="变现率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4">
          <cell r="M4">
            <v>6396900</v>
          </cell>
        </row>
        <row r="7">
          <cell r="K7">
            <v>26160300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新旧会计准则比照表"/>
      <sheetName val="填表说明"/>
      <sheetName val="目录"/>
      <sheetName val="页面"/>
      <sheetName val="总汇总表"/>
      <sheetName val="分类汇总表"/>
      <sheetName val="流动资产汇总表"/>
      <sheetName val="库存现金"/>
      <sheetName val="银行存款"/>
      <sheetName val="其他货币资金"/>
      <sheetName val="交易性金融资产"/>
      <sheetName val="(1)债券投资"/>
      <sheetName val="(2)权益工具投资"/>
      <sheetName val="(3)其他交易性金融资产"/>
      <sheetName val="应收票据"/>
      <sheetName val="应收帐款"/>
      <sheetName val="预付款项"/>
      <sheetName val="应收利息"/>
      <sheetName val="应收股利"/>
      <sheetName val="其他应收款"/>
      <sheetName val="存货汇总表"/>
      <sheetName val="材料采购"/>
      <sheetName val="原材料"/>
      <sheetName val="在产品"/>
      <sheetName val="库存商品"/>
      <sheetName val="发出商品"/>
      <sheetName val="委托加工物资"/>
      <sheetName val="周转材料-包装物"/>
      <sheetName val="周转材料-在库低易品"/>
      <sheetName val="周转材料-在用低易品"/>
      <sheetName val="其他周转材料"/>
      <sheetName val="委托代销商品"/>
      <sheetName val="受托代销商品"/>
      <sheetName val="消耗性生物资产"/>
      <sheetName val="一年内到期的非流动资产"/>
      <sheetName val="其他流动资产"/>
      <sheetName val="待处理财产损益 (流动资产)"/>
      <sheetName val="非流动资产汇总表"/>
      <sheetName val="可供出售金融资产-股票投资"/>
      <sheetName val="可供出售金融资产-债券投资"/>
      <sheetName val="持有至到期投资"/>
      <sheetName val="长期应收帐"/>
      <sheetName val="长期股权投资"/>
      <sheetName val="投房-已出租的土地使用权（成本）"/>
      <sheetName val="投房-增值转让土地使用权（成本）"/>
      <sheetName val="投资性房地产-建筑物（成本）"/>
      <sheetName val="投房-已出租的土地使用权（公允价值）"/>
      <sheetName val="投房-增值转让土地使用权（公允价值）"/>
      <sheetName val="投资性房地产-建筑物（公允价值）"/>
      <sheetName val="累计折旧统计表"/>
      <sheetName val="固定资产汇总表"/>
      <sheetName val="房屋建筑物"/>
      <sheetName val="构筑物"/>
      <sheetName val="管道和沟槽"/>
      <sheetName val="机器设备"/>
      <sheetName val="车辆"/>
      <sheetName val="电子设备"/>
      <sheetName val="土建工程"/>
      <sheetName val="设备安装工程"/>
      <sheetName val="工程物资"/>
      <sheetName val="固定资产清理"/>
      <sheetName val="未成熟生产性生物资产"/>
      <sheetName val="成熟生产性生物资产"/>
      <sheetName val="公益性生物资产"/>
      <sheetName val="油气资产"/>
      <sheetName val="无形资产-土地使用权"/>
      <sheetName val="无形资产-其他无形资产"/>
      <sheetName val="开发支出"/>
      <sheetName val="商誉"/>
      <sheetName val="长期待摊费用"/>
      <sheetName val="递延所得税资产"/>
      <sheetName val="其他非流动资产"/>
      <sheetName val="待处理财产损益（非流动资产）"/>
      <sheetName val="流动负债汇总表"/>
      <sheetName val="短期借款"/>
      <sheetName val="交易性金融负债"/>
      <sheetName val="(1)交易性债券"/>
      <sheetName val="(2)其他交易性金融负债"/>
      <sheetName val="应付票据"/>
      <sheetName val="应付帐款"/>
      <sheetName val="预收款项"/>
      <sheetName val="应付职工薪酬"/>
      <sheetName val="应交税费"/>
      <sheetName val="应付利息"/>
      <sheetName val="应付股利"/>
      <sheetName val="其他应付款"/>
      <sheetName val="一年内到期的非流动负债"/>
      <sheetName val="其他流动负债"/>
      <sheetName val="非流动负债汇总表"/>
      <sheetName val="长期借款"/>
      <sheetName val="应付债券"/>
      <sheetName val="长期应付款"/>
      <sheetName val="专项应付款"/>
      <sheetName val="预计负债"/>
      <sheetName val="递延所得税负债"/>
      <sheetName val="其他非流动负债"/>
      <sheetName val="递延所得税计算表"/>
      <sheetName val="链接报告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>
        <row r="29">
          <cell r="F29">
            <v>10545.779999999999</v>
          </cell>
        </row>
      </sheetData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案例"/>
      <sheetName val="案例计算表"/>
      <sheetName val="土地综合价值"/>
      <sheetName val="Sheet1"/>
    </sheetNames>
    <sheetDataSet>
      <sheetData sheetId="0"/>
      <sheetData sheetId="1">
        <row r="40">
          <cell r="C40">
            <v>2452628</v>
          </cell>
        </row>
        <row r="48">
          <cell r="E48">
            <v>579792</v>
          </cell>
        </row>
      </sheetData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_formula_"/>
      <sheetName val="建筑物评估步骤及复核表"/>
      <sheetName val="汇总表"/>
      <sheetName val="前期参数"/>
      <sheetName val="4-6-1房屋建筑物"/>
      <sheetName val="4-6-2构筑物"/>
      <sheetName val="成本法-普通房屋类比法计算表"/>
      <sheetName val="成新率计算表"/>
      <sheetName val="物业现状参考鉴定表"/>
      <sheetName val="耐用年限"/>
      <sheetName val="工程类别"/>
      <sheetName val="前期费用"/>
      <sheetName val="工程取费"/>
      <sheetName val="P-建-1"/>
      <sheetName val="建筑物指标库"/>
      <sheetName val="P-构"/>
      <sheetName val="重要建筑物勘察表"/>
      <sheetName val="房屋建筑物作业分析表--案例"/>
      <sheetName val="造价影响参数修正"/>
      <sheetName val="翰林天润"/>
      <sheetName val="变现率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4">
          <cell r="K4">
            <v>5939600</v>
          </cell>
        </row>
        <row r="11">
          <cell r="K11">
            <v>17535900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://www.landjs.com/web/xxbj.aspx?dkid=5F02D5C3A916165EE055000000000001" TargetMode="External"/><Relationship Id="rId13" Type="http://schemas.openxmlformats.org/officeDocument/2006/relationships/hyperlink" Target="http://www.landjs.com/web/cjgs_view.aspx?CJGS_GUID=5F198CC39E0E6042E055000000000001" TargetMode="External"/><Relationship Id="rId18" Type="http://schemas.openxmlformats.org/officeDocument/2006/relationships/hyperlink" Target="http://www.landjs.com/web/xxbj.aspx?dkid=5A0F51EAA99447D2E055000000000001" TargetMode="External"/><Relationship Id="rId26" Type="http://schemas.openxmlformats.org/officeDocument/2006/relationships/hyperlink" Target="http://www.landjs.com/web/xxbj.aspx?dkid=4F11A46145494A78E055000000000001" TargetMode="External"/><Relationship Id="rId39" Type="http://schemas.openxmlformats.org/officeDocument/2006/relationships/hyperlink" Target="http://www.landjs.com/web/cjgs_view.aspx?CJGS_GUID=504FB15AF7702996E055000000000001" TargetMode="External"/><Relationship Id="rId3" Type="http://schemas.openxmlformats.org/officeDocument/2006/relationships/hyperlink" Target="http://www.landjs.com/web/cjgs_view.aspx?CJGS_GUID=616328E0483C0909E055000000000001" TargetMode="External"/><Relationship Id="rId21" Type="http://schemas.openxmlformats.org/officeDocument/2006/relationships/hyperlink" Target="http://www.landjs.com/web/cjgs_view.aspx?CJGS_GUID=5A22248B4D07036BE055000000000001" TargetMode="External"/><Relationship Id="rId34" Type="http://schemas.openxmlformats.org/officeDocument/2006/relationships/hyperlink" Target="http://www.landjs.com/web/xxbj.aspx?dkid=4DF897DB01CC6671E055000000000001" TargetMode="External"/><Relationship Id="rId42" Type="http://schemas.openxmlformats.org/officeDocument/2006/relationships/drawing" Target="../drawings/drawing1.xml"/><Relationship Id="rId7" Type="http://schemas.openxmlformats.org/officeDocument/2006/relationships/hyperlink" Target="http://www.landjs.com/web/cjgs_view.aspx?CJGS_GUID=616328E0483B0909E055000000000001" TargetMode="External"/><Relationship Id="rId12" Type="http://schemas.openxmlformats.org/officeDocument/2006/relationships/hyperlink" Target="http://www.landjs.com/web/xxbj.aspx?dkid=5C7F14298E255BD0E055000000000001" TargetMode="External"/><Relationship Id="rId17" Type="http://schemas.openxmlformats.org/officeDocument/2006/relationships/hyperlink" Target="http://www.landjs.com/web/cjgs_view.aspx?CJGS_GUID=5C6FC99A11AD2CD3E055000000000001" TargetMode="External"/><Relationship Id="rId25" Type="http://schemas.openxmlformats.org/officeDocument/2006/relationships/hyperlink" Target="http://www.landjs.com/web/cjgs_view.aspx?CJGS_GUID=51BB662931AA1138E055000000000001" TargetMode="External"/><Relationship Id="rId33" Type="http://schemas.openxmlformats.org/officeDocument/2006/relationships/hyperlink" Target="http://www.landjs.com/web/cjgs_view.aspx?CJGS_GUID=50CB886E33142008E055000000000001" TargetMode="External"/><Relationship Id="rId38" Type="http://schemas.openxmlformats.org/officeDocument/2006/relationships/hyperlink" Target="http://www.landjs.com/web/xxbj.aspx?dkid=4DF615EE47AC5EFBE055000000000001" TargetMode="External"/><Relationship Id="rId2" Type="http://schemas.openxmlformats.org/officeDocument/2006/relationships/hyperlink" Target="http://www.landjs.com/web/xxbj.aspx?dkid=61359B6793D96384E055000000000001" TargetMode="External"/><Relationship Id="rId16" Type="http://schemas.openxmlformats.org/officeDocument/2006/relationships/hyperlink" Target="http://www.landjs.com/web/xxbj.aspx?dkid=5C7E9DC7AB2C5A5BE055000000000001" TargetMode="External"/><Relationship Id="rId20" Type="http://schemas.openxmlformats.org/officeDocument/2006/relationships/hyperlink" Target="http://www.landjs.com/web/xxbj.aspx?dkid=5A0F71C495894804E055000000000001" TargetMode="External"/><Relationship Id="rId29" Type="http://schemas.openxmlformats.org/officeDocument/2006/relationships/hyperlink" Target="http://www.landjs.com/web/cjgs_view.aspx?CJGS_GUID=50CB886E33132008E055000000000001" TargetMode="External"/><Relationship Id="rId41" Type="http://schemas.openxmlformats.org/officeDocument/2006/relationships/printerSettings" Target="../printerSettings/printerSettings2.bin"/><Relationship Id="rId1" Type="http://schemas.openxmlformats.org/officeDocument/2006/relationships/hyperlink" Target="http://www.landjs.com/web/cjgs_view.aspx?CJGS_GUID=6382806D65DB614AE055000000000001" TargetMode="External"/><Relationship Id="rId6" Type="http://schemas.openxmlformats.org/officeDocument/2006/relationships/hyperlink" Target="http://www.landjs.com/web/xxbj.aspx?dkid=5F031D32FCA0177DE055000000000001" TargetMode="External"/><Relationship Id="rId11" Type="http://schemas.openxmlformats.org/officeDocument/2006/relationships/hyperlink" Target="http://www.landjs.com/web/cjgs_view.aspx?CJGS_GUID=5F198CC39E106042E055000000000001" TargetMode="External"/><Relationship Id="rId24" Type="http://schemas.openxmlformats.org/officeDocument/2006/relationships/hyperlink" Target="http://www.landjs.com/web/xxbj.aspx?dkid=4F3C80A9E5434ED8E055000000000001" TargetMode="External"/><Relationship Id="rId32" Type="http://schemas.openxmlformats.org/officeDocument/2006/relationships/hyperlink" Target="http://www.landjs.com/web/xxbj.aspx?dkid=4DF8A6C6DC3E66AFE055000000000001" TargetMode="External"/><Relationship Id="rId37" Type="http://schemas.openxmlformats.org/officeDocument/2006/relationships/hyperlink" Target="http://www.landjs.com/web/cjgs_view.aspx?CJGS_GUID=50CB886E33122008E055000000000001" TargetMode="External"/><Relationship Id="rId40" Type="http://schemas.openxmlformats.org/officeDocument/2006/relationships/hyperlink" Target="http://www.landjs.com/web/xxbj.aspx?dkid=4DF60A40ECB35EF1E055000000000001" TargetMode="External"/><Relationship Id="rId5" Type="http://schemas.openxmlformats.org/officeDocument/2006/relationships/hyperlink" Target="http://www.landjs.com/web/cjgs_view.aspx?CJGS_GUID=616328E0483D0909E055000000000001" TargetMode="External"/><Relationship Id="rId15" Type="http://schemas.openxmlformats.org/officeDocument/2006/relationships/hyperlink" Target="http://www.landjs.com/web/cjgs_view.aspx?CJGS_GUID=5F198CC39E0F6042E055000000000001" TargetMode="External"/><Relationship Id="rId23" Type="http://schemas.openxmlformats.org/officeDocument/2006/relationships/hyperlink" Target="http://www.landjs.com/web/cjgs_view.aspx?CJGS_GUID=51BB64B3C1051136E055000000000001" TargetMode="External"/><Relationship Id="rId28" Type="http://schemas.openxmlformats.org/officeDocument/2006/relationships/hyperlink" Target="http://www.landjs.com/web/xxbj.aspx?dkid=4DF8B078C5D966C5E055000000000001" TargetMode="External"/><Relationship Id="rId36" Type="http://schemas.openxmlformats.org/officeDocument/2006/relationships/hyperlink" Target="http://www.landjs.com/web/xxbj.aspx?dkid=4DF89416AA1F6673E055000000000001" TargetMode="External"/><Relationship Id="rId10" Type="http://schemas.openxmlformats.org/officeDocument/2006/relationships/hyperlink" Target="http://www.landjs.com/web/xxbj.aspx?dkid=5C7F1FBF1C7D5C62E055000000000001" TargetMode="External"/><Relationship Id="rId19" Type="http://schemas.openxmlformats.org/officeDocument/2006/relationships/hyperlink" Target="http://www.landjs.com/web/cjgs_view.aspx?CJGS_GUID=5C6FC99A11AC2CD3E055000000000001" TargetMode="External"/><Relationship Id="rId31" Type="http://schemas.openxmlformats.org/officeDocument/2006/relationships/hyperlink" Target="http://www.landjs.com/web/cjgs_view.aspx?CJGS_GUID=50CB886E33152008E055000000000001" TargetMode="External"/><Relationship Id="rId4" Type="http://schemas.openxmlformats.org/officeDocument/2006/relationships/hyperlink" Target="http://www.landjs.com/web/xxbj.aspx?dkid=5F031D32FCB7177DE055000000000001" TargetMode="External"/><Relationship Id="rId9" Type="http://schemas.openxmlformats.org/officeDocument/2006/relationships/hyperlink" Target="http://www.landjs.com/web/cjgs_view.aspx?CJGS_GUID=5F198CC39E116042E055000000000001" TargetMode="External"/><Relationship Id="rId14" Type="http://schemas.openxmlformats.org/officeDocument/2006/relationships/hyperlink" Target="http://www.landjs.com/web/xxbj.aspx?dkid=5C7E842E17A65A6BE055000000000001" TargetMode="External"/><Relationship Id="rId22" Type="http://schemas.openxmlformats.org/officeDocument/2006/relationships/hyperlink" Target="http://www.landjs.com/web/xxbj.aspx?dkid=57F3A2985DEB7A77E055000000000001" TargetMode="External"/><Relationship Id="rId27" Type="http://schemas.openxmlformats.org/officeDocument/2006/relationships/hyperlink" Target="http://www.landjs.com/web/cjgs_view.aspx?CJGS_GUID=50CB94BF90152076E055000000000001" TargetMode="External"/><Relationship Id="rId30" Type="http://schemas.openxmlformats.org/officeDocument/2006/relationships/hyperlink" Target="http://www.landjs.com/web/xxbj.aspx?dkid=4DF8A6C6DC4466AFE055000000000001" TargetMode="External"/><Relationship Id="rId35" Type="http://schemas.openxmlformats.org/officeDocument/2006/relationships/hyperlink" Target="http://www.landjs.com/web/cjgs_view.aspx?CJGS_GUID=50CB94BF90142076E055000000000001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43"/>
  <sheetViews>
    <sheetView workbookViewId="0">
      <selection activeCell="F8" sqref="F8"/>
    </sheetView>
  </sheetViews>
  <sheetFormatPr defaultColWidth="9" defaultRowHeight="21.9" customHeight="1" x14ac:dyDescent="0.25"/>
  <cols>
    <col min="1" max="1" width="6" style="7" customWidth="1"/>
    <col min="2" max="2" width="3.44140625" style="7" customWidth="1"/>
    <col min="3" max="3" width="11.44140625" style="7" customWidth="1"/>
    <col min="4" max="4" width="25" style="7" customWidth="1"/>
    <col min="5" max="5" width="10.109375" style="7" customWidth="1"/>
    <col min="6" max="6" width="16.6640625" style="7" customWidth="1"/>
    <col min="7" max="7" width="11.33203125" style="7" customWidth="1"/>
    <col min="8" max="8" width="11.6640625" style="3" customWidth="1"/>
    <col min="9" max="9" width="18.6640625" style="3" customWidth="1"/>
    <col min="10" max="16384" width="9" style="3"/>
  </cols>
  <sheetData>
    <row r="2" spans="1:11" ht="21.9" customHeight="1" x14ac:dyDescent="0.25">
      <c r="B2" s="77"/>
      <c r="C2" s="77"/>
      <c r="D2" s="77"/>
      <c r="E2" s="77"/>
      <c r="F2" s="12"/>
    </row>
    <row r="3" spans="1:11" ht="21.9" customHeight="1" x14ac:dyDescent="0.25">
      <c r="A3" s="2" t="s">
        <v>2</v>
      </c>
      <c r="B3" s="78" t="s">
        <v>3</v>
      </c>
      <c r="C3" s="79"/>
      <c r="D3" s="2" t="s">
        <v>4</v>
      </c>
      <c r="E3" s="2" t="s">
        <v>5</v>
      </c>
      <c r="F3" s="2" t="s">
        <v>6</v>
      </c>
      <c r="G3" s="2" t="s">
        <v>7</v>
      </c>
    </row>
    <row r="4" spans="1:11" ht="21.9" customHeight="1" x14ac:dyDescent="0.25">
      <c r="A4" s="37" t="s">
        <v>8</v>
      </c>
      <c r="B4" s="78" t="s">
        <v>9</v>
      </c>
      <c r="C4" s="79"/>
      <c r="D4" s="2"/>
      <c r="E4" s="2"/>
      <c r="F4" s="64">
        <v>2955400</v>
      </c>
      <c r="G4" s="20" t="s">
        <v>49</v>
      </c>
    </row>
    <row r="5" spans="1:11" ht="21.9" customHeight="1" x14ac:dyDescent="0.25">
      <c r="A5" s="9" t="s">
        <v>10</v>
      </c>
      <c r="B5" s="80" t="s">
        <v>27</v>
      </c>
      <c r="C5" s="79"/>
      <c r="D5" s="2"/>
      <c r="E5" s="2"/>
      <c r="F5" s="4">
        <f>'[1]P-建-1'!$K$7</f>
        <v>26160300</v>
      </c>
      <c r="G5" s="2"/>
    </row>
    <row r="6" spans="1:11" ht="21.9" customHeight="1" x14ac:dyDescent="0.25">
      <c r="A6" s="2" t="s">
        <v>11</v>
      </c>
      <c r="B6" s="78" t="s">
        <v>12</v>
      </c>
      <c r="C6" s="79"/>
      <c r="D6" s="2" t="s">
        <v>13</v>
      </c>
      <c r="E6" s="6">
        <v>0.02</v>
      </c>
      <c r="F6" s="4">
        <f>ROUND((F4+F5)*E6,-2)</f>
        <v>582300</v>
      </c>
      <c r="G6" s="2"/>
    </row>
    <row r="7" spans="1:11" ht="21.9" customHeight="1" x14ac:dyDescent="0.25">
      <c r="A7" s="2" t="s">
        <v>14</v>
      </c>
      <c r="B7" s="78" t="s">
        <v>15</v>
      </c>
      <c r="C7" s="79"/>
      <c r="D7" s="2" t="s">
        <v>13</v>
      </c>
      <c r="E7" s="6">
        <v>0.03</v>
      </c>
      <c r="F7" s="4">
        <f>ROUND((F4+F5)*E7,-2)</f>
        <v>873500</v>
      </c>
      <c r="G7" s="2"/>
    </row>
    <row r="8" spans="1:11" ht="21.9" customHeight="1" x14ac:dyDescent="0.25">
      <c r="A8" s="2" t="s">
        <v>16</v>
      </c>
      <c r="B8" s="78" t="s">
        <v>17</v>
      </c>
      <c r="C8" s="79"/>
      <c r="D8" s="2" t="s">
        <v>18</v>
      </c>
      <c r="E8" s="5">
        <v>4.3499999999999997E-2</v>
      </c>
      <c r="F8" s="4">
        <f>ROUND(F4*E8+(F5+F6+F7)*E8/2,-2)</f>
        <v>729200</v>
      </c>
      <c r="G8" s="2"/>
    </row>
    <row r="9" spans="1:11" ht="21.9" customHeight="1" x14ac:dyDescent="0.25">
      <c r="A9" s="2" t="s">
        <v>19</v>
      </c>
      <c r="B9" s="78" t="s">
        <v>20</v>
      </c>
      <c r="C9" s="79"/>
      <c r="D9" s="2" t="s">
        <v>13</v>
      </c>
      <c r="E9" s="6">
        <v>0.12</v>
      </c>
      <c r="F9" s="4">
        <f>ROUND((F4+F5)*E9,-2)</f>
        <v>3493900</v>
      </c>
      <c r="G9" s="2"/>
    </row>
    <row r="10" spans="1:11" ht="21.9" customHeight="1" x14ac:dyDescent="0.25">
      <c r="A10" s="2" t="s">
        <v>21</v>
      </c>
      <c r="B10" s="78" t="s">
        <v>22</v>
      </c>
      <c r="C10" s="79"/>
      <c r="D10" s="2" t="s">
        <v>23</v>
      </c>
      <c r="E10" s="5">
        <v>5.6000000000000001E-2</v>
      </c>
      <c r="F10" s="4">
        <f>ROUND((F4+F5+F6+F7+F8+F9)*E10,-2)</f>
        <v>1948500</v>
      </c>
      <c r="G10" s="2"/>
    </row>
    <row r="11" spans="1:11" ht="21.9" customHeight="1" x14ac:dyDescent="0.25">
      <c r="A11" s="2" t="s">
        <v>24</v>
      </c>
      <c r="B11" s="81" t="s">
        <v>32</v>
      </c>
      <c r="C11" s="79"/>
      <c r="D11" s="2"/>
      <c r="E11" s="2"/>
      <c r="F11" s="4">
        <f>'[1]P-建-1'!$M$4</f>
        <v>6396900</v>
      </c>
      <c r="G11" s="2"/>
    </row>
    <row r="12" spans="1:11" ht="21.9" customHeight="1" x14ac:dyDescent="0.25">
      <c r="A12" s="10" t="s">
        <v>28</v>
      </c>
      <c r="B12" s="78" t="s">
        <v>25</v>
      </c>
      <c r="C12" s="79"/>
      <c r="D12" s="2" t="s">
        <v>29</v>
      </c>
      <c r="E12" s="2"/>
      <c r="F12" s="4">
        <f>ROUND(F4+F5+F6+F7+F8+F9+F10-F11,-2)</f>
        <v>30346200</v>
      </c>
      <c r="G12" s="2"/>
      <c r="H12" s="3">
        <v>2955400</v>
      </c>
      <c r="I12" s="63">
        <f>F12-H12</f>
        <v>27390800</v>
      </c>
      <c r="K12" s="3" t="s">
        <v>26</v>
      </c>
    </row>
    <row r="13" spans="1:11" ht="21.9" customHeight="1" x14ac:dyDescent="0.25">
      <c r="A13" s="2"/>
      <c r="B13" s="80" t="s">
        <v>30</v>
      </c>
      <c r="C13" s="79"/>
      <c r="D13" s="2"/>
      <c r="E13" s="2"/>
      <c r="F13" s="4">
        <v>10545.78</v>
      </c>
      <c r="G13" s="2"/>
    </row>
    <row r="14" spans="1:11" ht="21.9" customHeight="1" x14ac:dyDescent="0.25">
      <c r="A14" s="2"/>
      <c r="B14" s="80" t="s">
        <v>31</v>
      </c>
      <c r="C14" s="79"/>
      <c r="D14" s="2"/>
      <c r="E14" s="2"/>
      <c r="F14" s="11">
        <f>F12/F13</f>
        <v>2877.57</v>
      </c>
      <c r="G14" s="2"/>
    </row>
    <row r="15" spans="1:11" ht="21.9" customHeight="1" x14ac:dyDescent="0.25">
      <c r="A15" s="2"/>
      <c r="B15" s="78"/>
      <c r="C15" s="79"/>
      <c r="D15" s="2"/>
      <c r="E15" s="2"/>
      <c r="F15" s="2"/>
      <c r="G15" s="2"/>
    </row>
    <row r="16" spans="1:11" ht="21.9" customHeight="1" x14ac:dyDescent="0.25">
      <c r="A16" s="62"/>
      <c r="B16" s="62"/>
      <c r="C16" s="62"/>
      <c r="D16" s="62"/>
      <c r="E16" s="62"/>
      <c r="F16" s="62"/>
      <c r="G16" s="62"/>
    </row>
    <row r="17" spans="1:10" ht="21.9" customHeight="1" x14ac:dyDescent="0.25">
      <c r="A17" s="62"/>
      <c r="B17" s="62"/>
      <c r="C17" s="62"/>
      <c r="D17" s="62"/>
      <c r="E17" s="62"/>
      <c r="F17" s="62"/>
      <c r="G17" s="62"/>
    </row>
    <row r="18" spans="1:10" ht="21.9" customHeight="1" x14ac:dyDescent="0.25">
      <c r="A18" s="62"/>
      <c r="B18" s="62"/>
      <c r="C18" s="62"/>
      <c r="D18" s="62"/>
      <c r="E18" s="62"/>
      <c r="F18" s="62"/>
      <c r="G18" s="62"/>
    </row>
    <row r="19" spans="1:10" ht="21.9" customHeight="1" x14ac:dyDescent="0.25">
      <c r="A19" s="62"/>
      <c r="B19" s="62"/>
      <c r="C19" s="62"/>
      <c r="D19" s="62"/>
      <c r="E19" s="62"/>
      <c r="F19" s="62"/>
      <c r="G19" s="62"/>
    </row>
    <row r="20" spans="1:10" ht="21.9" customHeight="1" x14ac:dyDescent="0.25">
      <c r="A20" s="62"/>
      <c r="B20" s="62"/>
      <c r="C20" s="62"/>
      <c r="D20" s="62"/>
      <c r="E20" s="62"/>
      <c r="F20" s="62"/>
      <c r="G20" s="62"/>
    </row>
    <row r="21" spans="1:10" ht="21.9" customHeight="1" x14ac:dyDescent="0.25">
      <c r="A21" s="62"/>
      <c r="B21" s="62"/>
      <c r="C21" s="62"/>
      <c r="D21" s="62"/>
      <c r="E21" s="62"/>
      <c r="F21" s="62"/>
      <c r="G21" s="62"/>
    </row>
    <row r="22" spans="1:10" ht="21.9" customHeight="1" x14ac:dyDescent="0.25">
      <c r="A22" s="62"/>
      <c r="B22" s="62"/>
      <c r="C22" s="62"/>
      <c r="D22" s="62"/>
      <c r="E22" s="62"/>
      <c r="F22" s="62"/>
      <c r="G22" s="62"/>
    </row>
    <row r="23" spans="1:10" ht="21.9" customHeight="1" x14ac:dyDescent="0.25">
      <c r="A23" s="62"/>
      <c r="B23" s="62"/>
      <c r="C23" s="62"/>
      <c r="D23" s="62"/>
      <c r="E23" s="62"/>
      <c r="F23" s="62"/>
      <c r="G23" s="62"/>
    </row>
    <row r="25" spans="1:10" ht="21.9" customHeight="1" x14ac:dyDescent="0.25">
      <c r="G25" s="8"/>
    </row>
    <row r="26" spans="1:10" ht="21.9" customHeight="1" x14ac:dyDescent="0.25">
      <c r="C26" s="49">
        <v>1</v>
      </c>
      <c r="D26" s="49" t="s">
        <v>205</v>
      </c>
      <c r="E26" s="49">
        <v>1</v>
      </c>
      <c r="F26" s="50"/>
      <c r="I26" s="48" t="s">
        <v>198</v>
      </c>
      <c r="J26" s="3">
        <v>2.4</v>
      </c>
    </row>
    <row r="27" spans="1:10" ht="21.9" customHeight="1" x14ac:dyDescent="0.25">
      <c r="C27" s="49">
        <v>2</v>
      </c>
      <c r="D27" s="51" t="s">
        <v>206</v>
      </c>
      <c r="E27" s="52">
        <v>1.36</v>
      </c>
      <c r="F27" s="50"/>
      <c r="I27" s="48" t="s">
        <v>199</v>
      </c>
      <c r="J27" s="3">
        <f>J26*0.66</f>
        <v>1.5840000000000001</v>
      </c>
    </row>
    <row r="28" spans="1:10" ht="21.9" customHeight="1" x14ac:dyDescent="0.25">
      <c r="C28" s="49">
        <v>3</v>
      </c>
      <c r="D28" s="51" t="s">
        <v>207</v>
      </c>
      <c r="E28" s="53">
        <v>0.92</v>
      </c>
      <c r="F28" s="50"/>
      <c r="I28" s="48" t="s">
        <v>200</v>
      </c>
      <c r="J28" s="3">
        <f>J26*0.56</f>
        <v>1.3440000000000001</v>
      </c>
    </row>
    <row r="29" spans="1:10" ht="21.9" customHeight="1" x14ac:dyDescent="0.25">
      <c r="C29" s="49">
        <v>4</v>
      </c>
      <c r="D29" s="51" t="s">
        <v>208</v>
      </c>
      <c r="E29" s="54">
        <f>E27*365*E26*E28</f>
        <v>456.69</v>
      </c>
      <c r="F29" s="50"/>
      <c r="I29" s="48" t="s">
        <v>201</v>
      </c>
      <c r="J29" s="3">
        <f>J26*0.46</f>
        <v>1.1040000000000001</v>
      </c>
    </row>
    <row r="30" spans="1:10" ht="21.9" customHeight="1" x14ac:dyDescent="0.25">
      <c r="C30" s="49">
        <v>5</v>
      </c>
      <c r="D30" s="51" t="s">
        <v>209</v>
      </c>
      <c r="E30" s="54">
        <f>E29*17.6%</f>
        <v>80.38</v>
      </c>
      <c r="F30" s="51" t="s">
        <v>210</v>
      </c>
      <c r="I30" s="48" t="s">
        <v>202</v>
      </c>
      <c r="J30" s="3">
        <f>J26*0.36</f>
        <v>0.86399999999999999</v>
      </c>
    </row>
    <row r="31" spans="1:10" ht="21.9" customHeight="1" x14ac:dyDescent="0.25">
      <c r="C31" s="49">
        <v>6</v>
      </c>
      <c r="D31" s="51" t="s">
        <v>211</v>
      </c>
      <c r="E31" s="54">
        <f>E26*F31*0.01</f>
        <v>15</v>
      </c>
      <c r="F31" s="55">
        <v>1500</v>
      </c>
      <c r="I31" s="48" t="s">
        <v>203</v>
      </c>
      <c r="J31" s="3">
        <f>J30</f>
        <v>0.86399999999999999</v>
      </c>
    </row>
    <row r="32" spans="1:10" ht="21.9" customHeight="1" x14ac:dyDescent="0.25">
      <c r="C32" s="49">
        <v>7</v>
      </c>
      <c r="D32" s="51" t="s">
        <v>212</v>
      </c>
      <c r="E32" s="54">
        <f>E29*0.01</f>
        <v>4.57</v>
      </c>
      <c r="F32" s="50"/>
      <c r="I32" s="48" t="s">
        <v>204</v>
      </c>
      <c r="J32" s="3">
        <v>1.36</v>
      </c>
    </row>
    <row r="33" spans="3:6" s="3" customFormat="1" ht="21.9" customHeight="1" x14ac:dyDescent="0.25">
      <c r="C33" s="49">
        <v>8</v>
      </c>
      <c r="D33" s="51" t="s">
        <v>213</v>
      </c>
      <c r="E33" s="54">
        <f>E26*F31*0.001</f>
        <v>1.5</v>
      </c>
      <c r="F33" s="50"/>
    </row>
    <row r="34" spans="3:6" s="3" customFormat="1" ht="21.9" customHeight="1" x14ac:dyDescent="0.25">
      <c r="C34" s="49">
        <v>9</v>
      </c>
      <c r="D34" s="51" t="s">
        <v>214</v>
      </c>
      <c r="E34" s="54">
        <f>SUM(E31:E33)</f>
        <v>21.07</v>
      </c>
      <c r="F34" s="50"/>
    </row>
    <row r="35" spans="3:6" s="3" customFormat="1" ht="21.9" customHeight="1" x14ac:dyDescent="0.25">
      <c r="C35" s="49">
        <v>10</v>
      </c>
      <c r="D35" s="51" t="s">
        <v>215</v>
      </c>
      <c r="E35" s="54">
        <f>E29-E34-E30</f>
        <v>355.24</v>
      </c>
      <c r="F35" s="50"/>
    </row>
    <row r="36" spans="3:6" s="3" customFormat="1" ht="21.9" customHeight="1" x14ac:dyDescent="0.25">
      <c r="C36" s="49">
        <v>11</v>
      </c>
      <c r="D36" s="56" t="s">
        <v>216</v>
      </c>
      <c r="E36" s="57">
        <v>0.05</v>
      </c>
      <c r="F36" s="50"/>
    </row>
    <row r="37" spans="3:6" s="3" customFormat="1" ht="21.9" customHeight="1" x14ac:dyDescent="0.25">
      <c r="C37" s="49">
        <v>12</v>
      </c>
      <c r="D37" s="56" t="s">
        <v>217</v>
      </c>
      <c r="E37" s="58">
        <v>7.0000000000000007E-2</v>
      </c>
      <c r="F37" s="50"/>
    </row>
    <row r="38" spans="3:6" s="3" customFormat="1" ht="21.9" customHeight="1" x14ac:dyDescent="0.25">
      <c r="C38" s="49">
        <v>13</v>
      </c>
      <c r="D38" s="56" t="s">
        <v>218</v>
      </c>
      <c r="E38" s="52">
        <f>ROUND(E35/(E37-E36)*(1-POWER((1+E36)/(1+E37),E41)),-2)</f>
        <v>8600</v>
      </c>
      <c r="F38" s="50"/>
    </row>
    <row r="39" spans="3:6" s="3" customFormat="1" ht="21.9" customHeight="1" x14ac:dyDescent="0.25">
      <c r="C39" s="49">
        <v>14</v>
      </c>
      <c r="D39" s="56" t="s">
        <v>31</v>
      </c>
      <c r="E39" s="52">
        <f>E38/E26</f>
        <v>8600</v>
      </c>
      <c r="F39" s="50"/>
    </row>
    <row r="40" spans="3:6" s="3" customFormat="1" ht="21.9" customHeight="1" x14ac:dyDescent="0.25">
      <c r="C40" s="49" t="s">
        <v>219</v>
      </c>
      <c r="D40" s="49" t="s">
        <v>220</v>
      </c>
      <c r="E40" s="49" t="s">
        <v>221</v>
      </c>
      <c r="F40" s="59"/>
    </row>
    <row r="41" spans="3:6" s="3" customFormat="1" ht="21.9" customHeight="1" x14ac:dyDescent="0.25">
      <c r="C41" s="60">
        <v>42735</v>
      </c>
      <c r="D41" s="60">
        <v>57345</v>
      </c>
      <c r="E41" s="54">
        <v>35</v>
      </c>
      <c r="F41" s="59"/>
    </row>
    <row r="42" spans="3:6" s="3" customFormat="1" ht="21.9" customHeight="1" x14ac:dyDescent="0.25">
      <c r="C42" s="7"/>
      <c r="D42" s="7"/>
      <c r="E42" s="61">
        <v>6347.36</v>
      </c>
      <c r="F42" s="7"/>
    </row>
    <row r="43" spans="3:6" s="3" customFormat="1" ht="21.9" customHeight="1" x14ac:dyDescent="0.25">
      <c r="C43" s="7"/>
      <c r="D43" s="7"/>
      <c r="E43" s="8">
        <f>ROUND(E42*E38,-2)</f>
        <v>54587300</v>
      </c>
      <c r="F43" s="7"/>
    </row>
  </sheetData>
  <mergeCells count="14">
    <mergeCell ref="B2:E2"/>
    <mergeCell ref="B12:C12"/>
    <mergeCell ref="B13:C13"/>
    <mergeCell ref="B14:C14"/>
    <mergeCell ref="B15:C15"/>
    <mergeCell ref="B11:C11"/>
    <mergeCell ref="B3:C3"/>
    <mergeCell ref="B7:C7"/>
    <mergeCell ref="B8:C8"/>
    <mergeCell ref="B9:C9"/>
    <mergeCell ref="B10:C10"/>
    <mergeCell ref="B4:C4"/>
    <mergeCell ref="B5:C5"/>
    <mergeCell ref="B6:C6"/>
  </mergeCells>
  <phoneticPr fontId="2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7"/>
  <sheetViews>
    <sheetView workbookViewId="0">
      <selection activeCell="H17" sqref="H17"/>
    </sheetView>
  </sheetViews>
  <sheetFormatPr defaultRowHeight="21.9" customHeight="1" x14ac:dyDescent="0.25"/>
  <cols>
    <col min="1" max="1" width="7.44140625" style="14" customWidth="1"/>
    <col min="2" max="2" width="20.109375" style="13" customWidth="1"/>
    <col min="3" max="3" width="17.21875" style="1" bestFit="1" customWidth="1"/>
    <col min="4" max="4" width="10.44140625" style="1" customWidth="1"/>
    <col min="5" max="5" width="19" style="1" customWidth="1"/>
  </cols>
  <sheetData>
    <row r="1" spans="1:12" ht="21.9" customHeight="1" x14ac:dyDescent="0.25">
      <c r="A1" s="15" t="s">
        <v>36</v>
      </c>
      <c r="B1" s="16" t="s">
        <v>47</v>
      </c>
      <c r="C1" s="17" t="s">
        <v>48</v>
      </c>
      <c r="D1" s="17"/>
      <c r="E1" s="17"/>
      <c r="H1">
        <v>650000</v>
      </c>
      <c r="I1">
        <v>86</v>
      </c>
      <c r="J1">
        <v>559000</v>
      </c>
      <c r="K1" s="75">
        <v>0.15</v>
      </c>
      <c r="L1">
        <f>H1*K1</f>
        <v>97500</v>
      </c>
    </row>
    <row r="2" spans="1:12" ht="21.9" customHeight="1" x14ac:dyDescent="0.25">
      <c r="A2" s="15">
        <v>1</v>
      </c>
      <c r="B2" s="16" t="s">
        <v>34</v>
      </c>
      <c r="C2" s="17">
        <f>[2]房屋建筑物!$F$29</f>
        <v>10545.78</v>
      </c>
      <c r="D2" s="17"/>
      <c r="E2" s="17"/>
      <c r="H2">
        <v>650000</v>
      </c>
      <c r="I2">
        <v>58</v>
      </c>
      <c r="J2">
        <v>377000</v>
      </c>
      <c r="K2" s="75">
        <v>0.15</v>
      </c>
      <c r="L2">
        <f t="shared" ref="L2:L16" si="0">H2*K2</f>
        <v>97500</v>
      </c>
    </row>
    <row r="3" spans="1:12" ht="21.9" customHeight="1" x14ac:dyDescent="0.25">
      <c r="A3" s="15">
        <v>2</v>
      </c>
      <c r="B3" s="16" t="s">
        <v>223</v>
      </c>
      <c r="C3" s="18">
        <f>房地合一成本法!F12</f>
        <v>30346200</v>
      </c>
      <c r="D3" s="17"/>
      <c r="E3" s="17"/>
      <c r="H3">
        <v>1053500</v>
      </c>
      <c r="I3">
        <v>65</v>
      </c>
      <c r="J3">
        <v>684800</v>
      </c>
      <c r="K3" s="75">
        <v>0.15</v>
      </c>
      <c r="L3">
        <f t="shared" si="0"/>
        <v>158025</v>
      </c>
    </row>
    <row r="4" spans="1:12" ht="21.9" customHeight="1" x14ac:dyDescent="0.25">
      <c r="A4" s="15">
        <v>3</v>
      </c>
      <c r="B4" s="16" t="s">
        <v>33</v>
      </c>
      <c r="C4" s="18">
        <f>L17</f>
        <v>4577175</v>
      </c>
      <c r="D4" s="19">
        <v>0.15</v>
      </c>
      <c r="E4" s="17" t="s">
        <v>40</v>
      </c>
      <c r="H4">
        <v>22711600</v>
      </c>
      <c r="I4">
        <v>81</v>
      </c>
      <c r="J4">
        <v>18396400</v>
      </c>
      <c r="K4" s="75">
        <v>0.15</v>
      </c>
      <c r="L4">
        <f t="shared" si="0"/>
        <v>3406740</v>
      </c>
    </row>
    <row r="5" spans="1:12" ht="21.9" customHeight="1" x14ac:dyDescent="0.25">
      <c r="A5" s="15">
        <v>4</v>
      </c>
      <c r="B5" s="16" t="s">
        <v>37</v>
      </c>
      <c r="C5" s="17">
        <f>C2*D5</f>
        <v>158186.70000000001</v>
      </c>
      <c r="D5" s="17">
        <v>15</v>
      </c>
      <c r="E5" s="17" t="s">
        <v>35</v>
      </c>
      <c r="H5">
        <v>2355800</v>
      </c>
      <c r="I5">
        <v>88</v>
      </c>
      <c r="J5">
        <v>2073100</v>
      </c>
      <c r="K5" s="75">
        <v>0.15</v>
      </c>
      <c r="L5">
        <f t="shared" si="0"/>
        <v>353370</v>
      </c>
    </row>
    <row r="6" spans="1:12" ht="21.9" customHeight="1" x14ac:dyDescent="0.25">
      <c r="A6" s="15">
        <v>5</v>
      </c>
      <c r="B6" s="16" t="s">
        <v>38</v>
      </c>
      <c r="C6" s="17">
        <f>C2*D6</f>
        <v>316373.40000000002</v>
      </c>
      <c r="D6" s="17">
        <v>30</v>
      </c>
      <c r="E6" s="17" t="s">
        <v>39</v>
      </c>
      <c r="H6">
        <v>1017600</v>
      </c>
      <c r="I6">
        <v>75</v>
      </c>
      <c r="J6">
        <v>763200</v>
      </c>
      <c r="K6" s="75">
        <v>0.15</v>
      </c>
      <c r="L6">
        <f t="shared" si="0"/>
        <v>152640</v>
      </c>
    </row>
    <row r="7" spans="1:12" ht="21.9" customHeight="1" x14ac:dyDescent="0.25">
      <c r="A7" s="15">
        <v>6</v>
      </c>
      <c r="B7" s="16" t="s">
        <v>44</v>
      </c>
      <c r="C7" s="18">
        <f>C3*D7</f>
        <v>3034620</v>
      </c>
      <c r="D7" s="19">
        <v>0.1</v>
      </c>
      <c r="E7" s="17" t="s">
        <v>41</v>
      </c>
      <c r="H7">
        <v>208900</v>
      </c>
      <c r="I7">
        <v>75</v>
      </c>
      <c r="J7">
        <v>156700</v>
      </c>
      <c r="K7" s="75">
        <v>0.15</v>
      </c>
      <c r="L7">
        <f t="shared" si="0"/>
        <v>31335</v>
      </c>
    </row>
    <row r="8" spans="1:12" ht="21.9" customHeight="1" x14ac:dyDescent="0.25">
      <c r="A8" s="15">
        <v>7</v>
      </c>
      <c r="B8" s="16" t="s">
        <v>45</v>
      </c>
      <c r="C8" s="18">
        <f>1200000*D8</f>
        <v>180000</v>
      </c>
      <c r="D8" s="19">
        <v>0.15</v>
      </c>
      <c r="E8" s="17" t="s">
        <v>46</v>
      </c>
      <c r="H8">
        <v>861100</v>
      </c>
      <c r="I8">
        <v>75</v>
      </c>
      <c r="J8">
        <v>645800</v>
      </c>
      <c r="K8" s="75">
        <v>0.15</v>
      </c>
      <c r="L8">
        <f t="shared" si="0"/>
        <v>129165</v>
      </c>
    </row>
    <row r="9" spans="1:12" ht="21.9" customHeight="1" x14ac:dyDescent="0.25">
      <c r="A9" s="15">
        <v>8</v>
      </c>
      <c r="B9" s="16" t="s">
        <v>42</v>
      </c>
      <c r="C9" s="17">
        <f>C2*D9</f>
        <v>632746.80000000005</v>
      </c>
      <c r="D9" s="17">
        <v>60</v>
      </c>
      <c r="E9" s="17" t="s">
        <v>43</v>
      </c>
      <c r="H9">
        <v>503200</v>
      </c>
      <c r="I9">
        <v>75</v>
      </c>
      <c r="J9">
        <v>377400</v>
      </c>
      <c r="K9" s="75">
        <v>0.15</v>
      </c>
      <c r="L9">
        <f t="shared" si="0"/>
        <v>75480</v>
      </c>
    </row>
    <row r="10" spans="1:12" ht="21.9" customHeight="1" x14ac:dyDescent="0.25">
      <c r="A10" s="15">
        <v>9</v>
      </c>
      <c r="B10" s="16"/>
      <c r="C10" s="17">
        <f>SUM(C2:C9)</f>
        <v>39255847.68</v>
      </c>
      <c r="D10" s="17"/>
      <c r="E10" s="17"/>
      <c r="H10">
        <v>14600</v>
      </c>
      <c r="I10">
        <v>75</v>
      </c>
      <c r="J10">
        <v>11000</v>
      </c>
      <c r="K10" s="75">
        <v>0.15</v>
      </c>
      <c r="L10">
        <f t="shared" si="0"/>
        <v>2190</v>
      </c>
    </row>
    <row r="11" spans="1:12" ht="21.9" customHeight="1" x14ac:dyDescent="0.25">
      <c r="H11">
        <v>31400</v>
      </c>
      <c r="I11">
        <v>75</v>
      </c>
      <c r="J11">
        <v>23600</v>
      </c>
      <c r="K11" s="75">
        <v>0.15</v>
      </c>
      <c r="L11">
        <f t="shared" si="0"/>
        <v>4710</v>
      </c>
    </row>
    <row r="12" spans="1:12" ht="21.9" customHeight="1" x14ac:dyDescent="0.25">
      <c r="H12">
        <v>132900</v>
      </c>
      <c r="I12">
        <v>75</v>
      </c>
      <c r="J12">
        <v>99700</v>
      </c>
      <c r="K12" s="75">
        <v>0.15</v>
      </c>
      <c r="L12">
        <f t="shared" si="0"/>
        <v>19935</v>
      </c>
    </row>
    <row r="13" spans="1:12" ht="21.9" customHeight="1" x14ac:dyDescent="0.25">
      <c r="H13">
        <v>146100</v>
      </c>
      <c r="I13">
        <v>32</v>
      </c>
      <c r="J13">
        <v>46800</v>
      </c>
      <c r="K13" s="75">
        <v>0.15</v>
      </c>
      <c r="L13">
        <f t="shared" si="0"/>
        <v>21915</v>
      </c>
    </row>
    <row r="14" spans="1:12" ht="21.9" customHeight="1" x14ac:dyDescent="0.25">
      <c r="H14">
        <v>104600</v>
      </c>
      <c r="I14">
        <v>32</v>
      </c>
      <c r="J14">
        <v>33500</v>
      </c>
      <c r="K14" s="75">
        <v>0.15</v>
      </c>
      <c r="L14">
        <f t="shared" si="0"/>
        <v>15690</v>
      </c>
    </row>
    <row r="15" spans="1:12" ht="21.9" customHeight="1" x14ac:dyDescent="0.25">
      <c r="H15">
        <v>32900</v>
      </c>
      <c r="I15">
        <v>32</v>
      </c>
      <c r="J15">
        <v>10500</v>
      </c>
      <c r="K15" s="75">
        <v>0.15</v>
      </c>
      <c r="L15">
        <f t="shared" si="0"/>
        <v>4935</v>
      </c>
    </row>
    <row r="16" spans="1:12" ht="21.9" customHeight="1" x14ac:dyDescent="0.25">
      <c r="H16">
        <v>40300</v>
      </c>
      <c r="I16">
        <v>32</v>
      </c>
      <c r="J16">
        <v>12900</v>
      </c>
      <c r="K16" s="75">
        <v>0.15</v>
      </c>
      <c r="L16">
        <f t="shared" si="0"/>
        <v>6045</v>
      </c>
    </row>
    <row r="17" spans="12:12" ht="21.9" customHeight="1" x14ac:dyDescent="0.25">
      <c r="L17">
        <f>SUM(L1:L16)</f>
        <v>4577175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4"/>
  <sheetViews>
    <sheetView workbookViewId="0">
      <selection activeCell="D24" sqref="D24"/>
    </sheetView>
  </sheetViews>
  <sheetFormatPr defaultColWidth="9" defaultRowHeight="14.4" x14ac:dyDescent="0.25"/>
  <cols>
    <col min="1" max="1" width="9" style="23"/>
    <col min="2" max="2" width="16.44140625" style="23" customWidth="1"/>
    <col min="3" max="3" width="17" style="23" customWidth="1"/>
    <col min="4" max="4" width="29.77734375" style="23" customWidth="1"/>
    <col min="5" max="5" width="14.44140625" style="23" customWidth="1"/>
    <col min="6" max="6" width="16.77734375" style="23" customWidth="1"/>
    <col min="7" max="7" width="15.109375" style="23" customWidth="1"/>
    <col min="8" max="8" width="18.109375" style="23" customWidth="1"/>
    <col min="9" max="9" width="14.44140625" style="22" customWidth="1"/>
    <col min="10" max="16384" width="9" style="23"/>
  </cols>
  <sheetData>
    <row r="1" spans="1:10" ht="43.5" customHeight="1" x14ac:dyDescent="0.25">
      <c r="A1" s="21" t="s">
        <v>50</v>
      </c>
      <c r="B1" s="21" t="s">
        <v>51</v>
      </c>
      <c r="C1" s="21" t="s">
        <v>0</v>
      </c>
      <c r="D1" s="21" t="s">
        <v>52</v>
      </c>
      <c r="E1" s="21" t="s">
        <v>53</v>
      </c>
      <c r="F1" s="21" t="s">
        <v>1</v>
      </c>
      <c r="G1" s="21" t="s">
        <v>54</v>
      </c>
      <c r="H1" s="21" t="s">
        <v>55</v>
      </c>
    </row>
    <row r="2" spans="1:10" ht="21.6" x14ac:dyDescent="0.25">
      <c r="A2" s="24"/>
      <c r="B2" s="24" t="s">
        <v>56</v>
      </c>
      <c r="C2" s="25" t="s">
        <v>57</v>
      </c>
      <c r="D2" s="26" t="s">
        <v>58</v>
      </c>
      <c r="E2" s="24" t="s">
        <v>59</v>
      </c>
      <c r="F2" s="27">
        <v>43124</v>
      </c>
      <c r="G2" s="28">
        <v>14699</v>
      </c>
      <c r="H2" s="29">
        <v>661.46</v>
      </c>
      <c r="I2" s="22">
        <f>H2*10000/G2</f>
        <v>450</v>
      </c>
      <c r="J2" s="22">
        <f>I2*667*0.6/10000</f>
        <v>18.010000000000002</v>
      </c>
    </row>
    <row r="3" spans="1:10" x14ac:dyDescent="0.25">
      <c r="A3" s="30"/>
      <c r="B3" s="30" t="s">
        <v>56</v>
      </c>
      <c r="C3" s="31" t="s">
        <v>60</v>
      </c>
      <c r="D3" s="32" t="s">
        <v>61</v>
      </c>
      <c r="E3" s="30" t="s">
        <v>59</v>
      </c>
      <c r="F3" s="33">
        <v>43096</v>
      </c>
      <c r="G3" s="34">
        <v>16652</v>
      </c>
      <c r="H3" s="35">
        <v>749.34</v>
      </c>
      <c r="I3" s="22">
        <f t="shared" ref="I3:I21" si="0">H3*10000/G3</f>
        <v>450</v>
      </c>
      <c r="J3" s="22">
        <f t="shared" ref="J3:J21" si="1">I3*667*0.6/10000</f>
        <v>18.010000000000002</v>
      </c>
    </row>
    <row r="4" spans="1:10" x14ac:dyDescent="0.25">
      <c r="A4" s="24"/>
      <c r="B4" s="24" t="s">
        <v>56</v>
      </c>
      <c r="C4" s="25" t="s">
        <v>62</v>
      </c>
      <c r="D4" s="26" t="s">
        <v>63</v>
      </c>
      <c r="E4" s="24" t="s">
        <v>59</v>
      </c>
      <c r="F4" s="27">
        <v>43096</v>
      </c>
      <c r="G4" s="28">
        <v>2912</v>
      </c>
      <c r="H4" s="29">
        <v>131.04</v>
      </c>
      <c r="I4" s="22">
        <f t="shared" si="0"/>
        <v>450</v>
      </c>
      <c r="J4" s="22">
        <f t="shared" si="1"/>
        <v>18.010000000000002</v>
      </c>
    </row>
    <row r="5" spans="1:10" x14ac:dyDescent="0.25">
      <c r="A5" s="30"/>
      <c r="B5" s="30" t="s">
        <v>56</v>
      </c>
      <c r="C5" s="31" t="s">
        <v>64</v>
      </c>
      <c r="D5" s="32" t="s">
        <v>65</v>
      </c>
      <c r="E5" s="30" t="s">
        <v>59</v>
      </c>
      <c r="F5" s="33">
        <v>43096</v>
      </c>
      <c r="G5" s="34">
        <v>2169.23</v>
      </c>
      <c r="H5" s="35">
        <v>97.62</v>
      </c>
      <c r="I5" s="22">
        <f t="shared" si="0"/>
        <v>450.02</v>
      </c>
      <c r="J5" s="22">
        <f t="shared" si="1"/>
        <v>18.010000000000002</v>
      </c>
    </row>
    <row r="6" spans="1:10" x14ac:dyDescent="0.25">
      <c r="A6" s="24"/>
      <c r="B6" s="24" t="s">
        <v>56</v>
      </c>
      <c r="C6" s="25" t="s">
        <v>66</v>
      </c>
      <c r="D6" s="26" t="s">
        <v>67</v>
      </c>
      <c r="E6" s="24" t="s">
        <v>59</v>
      </c>
      <c r="F6" s="27">
        <v>43065</v>
      </c>
      <c r="G6" s="28">
        <v>818.29</v>
      </c>
      <c r="H6" s="29">
        <v>36.82</v>
      </c>
      <c r="I6" s="22">
        <f t="shared" si="0"/>
        <v>449.96</v>
      </c>
      <c r="J6" s="22">
        <f t="shared" si="1"/>
        <v>18.010000000000002</v>
      </c>
    </row>
    <row r="7" spans="1:10" x14ac:dyDescent="0.25">
      <c r="A7" s="30"/>
      <c r="B7" s="30" t="s">
        <v>56</v>
      </c>
      <c r="C7" s="31" t="s">
        <v>68</v>
      </c>
      <c r="D7" s="32" t="s">
        <v>69</v>
      </c>
      <c r="E7" s="30" t="s">
        <v>59</v>
      </c>
      <c r="F7" s="33">
        <v>43065</v>
      </c>
      <c r="G7" s="34">
        <v>26012.34</v>
      </c>
      <c r="H7" s="35">
        <v>1170.56</v>
      </c>
      <c r="I7" s="22">
        <f t="shared" si="0"/>
        <v>450</v>
      </c>
      <c r="J7" s="22">
        <f t="shared" si="1"/>
        <v>18.010000000000002</v>
      </c>
    </row>
    <row r="8" spans="1:10" x14ac:dyDescent="0.25">
      <c r="A8" s="24"/>
      <c r="B8" s="24" t="s">
        <v>56</v>
      </c>
      <c r="C8" s="25" t="s">
        <v>70</v>
      </c>
      <c r="D8" s="26" t="s">
        <v>71</v>
      </c>
      <c r="E8" s="24" t="s">
        <v>59</v>
      </c>
      <c r="F8" s="27">
        <v>43065</v>
      </c>
      <c r="G8" s="28">
        <v>30581.63</v>
      </c>
      <c r="H8" s="29">
        <v>1376.17</v>
      </c>
      <c r="I8" s="22">
        <f t="shared" si="0"/>
        <v>450</v>
      </c>
      <c r="J8" s="22">
        <f t="shared" si="1"/>
        <v>18.010000000000002</v>
      </c>
    </row>
    <row r="9" spans="1:10" x14ac:dyDescent="0.25">
      <c r="A9" s="30"/>
      <c r="B9" s="30" t="s">
        <v>56</v>
      </c>
      <c r="C9" s="31" t="s">
        <v>72</v>
      </c>
      <c r="D9" s="32" t="s">
        <v>73</v>
      </c>
      <c r="E9" s="30" t="s">
        <v>59</v>
      </c>
      <c r="F9" s="33">
        <v>43065</v>
      </c>
      <c r="G9" s="34">
        <v>1523</v>
      </c>
      <c r="H9" s="35">
        <v>68.540000000000006</v>
      </c>
      <c r="I9" s="22">
        <f t="shared" si="0"/>
        <v>450.03</v>
      </c>
      <c r="J9" s="22">
        <f t="shared" si="1"/>
        <v>18.010000000000002</v>
      </c>
    </row>
    <row r="10" spans="1:10" ht="21.6" x14ac:dyDescent="0.25">
      <c r="A10" s="24"/>
      <c r="B10" s="24" t="s">
        <v>56</v>
      </c>
      <c r="C10" s="25" t="s">
        <v>74</v>
      </c>
      <c r="D10" s="26" t="s">
        <v>75</v>
      </c>
      <c r="E10" s="24" t="s">
        <v>59</v>
      </c>
      <c r="F10" s="27">
        <v>43033</v>
      </c>
      <c r="G10" s="28">
        <v>1008</v>
      </c>
      <c r="H10" s="29">
        <v>45.36</v>
      </c>
      <c r="I10" s="22">
        <f t="shared" si="0"/>
        <v>450</v>
      </c>
      <c r="J10" s="22">
        <f t="shared" si="1"/>
        <v>18.010000000000002</v>
      </c>
    </row>
    <row r="11" spans="1:10" x14ac:dyDescent="0.25">
      <c r="A11" s="30"/>
      <c r="B11" s="30" t="s">
        <v>56</v>
      </c>
      <c r="C11" s="31" t="s">
        <v>76</v>
      </c>
      <c r="D11" s="32" t="s">
        <v>77</v>
      </c>
      <c r="E11" s="30" t="s">
        <v>59</v>
      </c>
      <c r="F11" s="33">
        <v>43033</v>
      </c>
      <c r="G11" s="34">
        <v>13772</v>
      </c>
      <c r="H11" s="35">
        <v>619.74</v>
      </c>
      <c r="I11" s="22">
        <f t="shared" si="0"/>
        <v>450</v>
      </c>
      <c r="J11" s="22">
        <f t="shared" si="1"/>
        <v>18.010000000000002</v>
      </c>
    </row>
    <row r="12" spans="1:10" x14ac:dyDescent="0.25">
      <c r="A12" s="24"/>
      <c r="B12" s="24" t="s">
        <v>56</v>
      </c>
      <c r="C12" s="25" t="s">
        <v>78</v>
      </c>
      <c r="D12" s="26" t="s">
        <v>79</v>
      </c>
      <c r="E12" s="24" t="s">
        <v>59</v>
      </c>
      <c r="F12" s="27">
        <v>43006</v>
      </c>
      <c r="G12" s="28">
        <v>58658.79</v>
      </c>
      <c r="H12" s="29">
        <v>2639.65</v>
      </c>
      <c r="I12" s="22">
        <f t="shared" si="0"/>
        <v>450</v>
      </c>
      <c r="J12" s="22">
        <f t="shared" si="1"/>
        <v>18.010000000000002</v>
      </c>
    </row>
    <row r="13" spans="1:10" ht="21.6" x14ac:dyDescent="0.25">
      <c r="A13" s="30"/>
      <c r="B13" s="30" t="s">
        <v>56</v>
      </c>
      <c r="C13" s="31" t="s">
        <v>80</v>
      </c>
      <c r="D13" s="32" t="s">
        <v>81</v>
      </c>
      <c r="E13" s="30" t="s">
        <v>59</v>
      </c>
      <c r="F13" s="33">
        <v>42896</v>
      </c>
      <c r="G13" s="34">
        <v>38854.910000000003</v>
      </c>
      <c r="H13" s="35">
        <v>2098.17</v>
      </c>
      <c r="I13" s="22">
        <f t="shared" si="0"/>
        <v>540</v>
      </c>
      <c r="J13" s="22">
        <f t="shared" si="1"/>
        <v>21.61</v>
      </c>
    </row>
    <row r="14" spans="1:10" x14ac:dyDescent="0.25">
      <c r="A14" s="24"/>
      <c r="B14" s="24" t="s">
        <v>56</v>
      </c>
      <c r="C14" s="25" t="s">
        <v>82</v>
      </c>
      <c r="D14" s="26" t="s">
        <v>83</v>
      </c>
      <c r="E14" s="24" t="s">
        <v>59</v>
      </c>
      <c r="F14" s="27">
        <v>42894</v>
      </c>
      <c r="G14" s="28">
        <v>41511.97</v>
      </c>
      <c r="H14" s="29">
        <v>1618.97</v>
      </c>
      <c r="I14" s="22">
        <f t="shared" si="0"/>
        <v>390</v>
      </c>
      <c r="J14" s="22">
        <f t="shared" si="1"/>
        <v>15.61</v>
      </c>
    </row>
    <row r="15" spans="1:10" ht="21.6" x14ac:dyDescent="0.25">
      <c r="A15" s="30"/>
      <c r="B15" s="30" t="s">
        <v>56</v>
      </c>
      <c r="C15" s="31" t="s">
        <v>84</v>
      </c>
      <c r="D15" s="32" t="s">
        <v>85</v>
      </c>
      <c r="E15" s="30" t="s">
        <v>59</v>
      </c>
      <c r="F15" s="33">
        <v>42880</v>
      </c>
      <c r="G15" s="34">
        <v>53333.71</v>
      </c>
      <c r="H15" s="35">
        <v>1792.01</v>
      </c>
      <c r="I15" s="22">
        <f t="shared" si="0"/>
        <v>336</v>
      </c>
      <c r="J15" s="22">
        <f t="shared" si="1"/>
        <v>13.45</v>
      </c>
    </row>
    <row r="16" spans="1:10" ht="21.6" x14ac:dyDescent="0.25">
      <c r="A16" s="24"/>
      <c r="B16" s="24" t="s">
        <v>56</v>
      </c>
      <c r="C16" s="25" t="s">
        <v>86</v>
      </c>
      <c r="D16" s="26" t="s">
        <v>87</v>
      </c>
      <c r="E16" s="24" t="s">
        <v>59</v>
      </c>
      <c r="F16" s="27">
        <v>42880</v>
      </c>
      <c r="G16" s="28">
        <v>2015.25</v>
      </c>
      <c r="H16" s="29">
        <v>90.69</v>
      </c>
      <c r="I16" s="22">
        <f t="shared" si="0"/>
        <v>450.02</v>
      </c>
      <c r="J16" s="22">
        <f t="shared" si="1"/>
        <v>18.010000000000002</v>
      </c>
    </row>
    <row r="17" spans="1:10" ht="21.6" x14ac:dyDescent="0.25">
      <c r="A17" s="30"/>
      <c r="B17" s="30" t="s">
        <v>56</v>
      </c>
      <c r="C17" s="31" t="s">
        <v>88</v>
      </c>
      <c r="D17" s="32" t="s">
        <v>89</v>
      </c>
      <c r="E17" s="30" t="s">
        <v>59</v>
      </c>
      <c r="F17" s="33">
        <v>42880</v>
      </c>
      <c r="G17" s="34">
        <v>1065.54</v>
      </c>
      <c r="H17" s="35">
        <v>47.95</v>
      </c>
      <c r="I17" s="22">
        <f t="shared" si="0"/>
        <v>450.01</v>
      </c>
      <c r="J17" s="22">
        <f t="shared" si="1"/>
        <v>18.010000000000002</v>
      </c>
    </row>
    <row r="18" spans="1:10" x14ac:dyDescent="0.25">
      <c r="A18" s="24"/>
      <c r="B18" s="24" t="s">
        <v>56</v>
      </c>
      <c r="C18" s="25" t="s">
        <v>90</v>
      </c>
      <c r="D18" s="26" t="s">
        <v>91</v>
      </c>
      <c r="E18" s="24" t="s">
        <v>59</v>
      </c>
      <c r="F18" s="27">
        <v>42880</v>
      </c>
      <c r="G18" s="28">
        <v>799</v>
      </c>
      <c r="H18" s="29">
        <v>35.96</v>
      </c>
      <c r="I18" s="22">
        <f t="shared" si="0"/>
        <v>450.06</v>
      </c>
      <c r="J18" s="22">
        <f t="shared" si="1"/>
        <v>18.010000000000002</v>
      </c>
    </row>
    <row r="19" spans="1:10" x14ac:dyDescent="0.25">
      <c r="A19" s="30"/>
      <c r="B19" s="30" t="s">
        <v>56</v>
      </c>
      <c r="C19" s="31" t="s">
        <v>92</v>
      </c>
      <c r="D19" s="32" t="s">
        <v>93</v>
      </c>
      <c r="E19" s="30" t="s">
        <v>59</v>
      </c>
      <c r="F19" s="33">
        <v>42880</v>
      </c>
      <c r="G19" s="34">
        <v>2207</v>
      </c>
      <c r="H19" s="35">
        <v>99.32</v>
      </c>
      <c r="I19" s="22">
        <f t="shared" si="0"/>
        <v>450.02</v>
      </c>
      <c r="J19" s="22">
        <f t="shared" si="1"/>
        <v>18.010000000000002</v>
      </c>
    </row>
    <row r="20" spans="1:10" x14ac:dyDescent="0.25">
      <c r="A20" s="24"/>
      <c r="B20" s="24" t="s">
        <v>56</v>
      </c>
      <c r="C20" s="25" t="s">
        <v>94</v>
      </c>
      <c r="D20" s="26" t="s">
        <v>95</v>
      </c>
      <c r="E20" s="24" t="s">
        <v>59</v>
      </c>
      <c r="F20" s="27">
        <v>42880</v>
      </c>
      <c r="G20" s="28">
        <v>12911.94</v>
      </c>
      <c r="H20" s="29">
        <v>503.57</v>
      </c>
      <c r="I20" s="22">
        <f t="shared" si="0"/>
        <v>390</v>
      </c>
      <c r="J20" s="22">
        <f t="shared" si="1"/>
        <v>15.61</v>
      </c>
    </row>
    <row r="21" spans="1:10" x14ac:dyDescent="0.25">
      <c r="A21" s="30"/>
      <c r="B21" s="30" t="s">
        <v>56</v>
      </c>
      <c r="C21" s="31" t="s">
        <v>96</v>
      </c>
      <c r="D21" s="32" t="s">
        <v>97</v>
      </c>
      <c r="E21" s="30" t="s">
        <v>59</v>
      </c>
      <c r="F21" s="33">
        <v>42880</v>
      </c>
      <c r="G21" s="34">
        <v>11552</v>
      </c>
      <c r="H21" s="35">
        <v>519.84</v>
      </c>
      <c r="I21" s="22">
        <f t="shared" si="0"/>
        <v>450</v>
      </c>
      <c r="J21" s="22">
        <f t="shared" si="1"/>
        <v>18.010000000000002</v>
      </c>
    </row>
    <row r="23" spans="1:10" x14ac:dyDescent="0.25">
      <c r="C23" s="36" t="s">
        <v>98</v>
      </c>
      <c r="D23" s="36">
        <v>450</v>
      </c>
    </row>
    <row r="24" spans="1:10" x14ac:dyDescent="0.25">
      <c r="C24" s="36" t="s">
        <v>99</v>
      </c>
      <c r="D24" s="36">
        <f>D23*0.6</f>
        <v>270</v>
      </c>
    </row>
  </sheetData>
  <phoneticPr fontId="2" type="noConversion"/>
  <hyperlinks>
    <hyperlink ref="C2" r:id="rId1" display="http://www.landjs.com/web/cjgs_view.aspx?CJGS_GUID=6382806D65DB614AE055000000000001" xr:uid="{00000000-0004-0000-0200-000000000000}"/>
    <hyperlink ref="H2" r:id="rId2" display="http://www.landjs.com/web/xxbj.aspx?dkid=61359B6793D96384E055000000000001" xr:uid="{00000000-0004-0000-0200-000001000000}"/>
    <hyperlink ref="C3" r:id="rId3" display="http://www.landjs.com/web/cjgs_view.aspx?CJGS_GUID=616328E0483C0909E055000000000001" xr:uid="{00000000-0004-0000-0200-000002000000}"/>
    <hyperlink ref="H3" r:id="rId4" display="http://www.landjs.com/web/xxbj.aspx?dkid=5F031D32FCB7177DE055000000000001" xr:uid="{00000000-0004-0000-0200-000003000000}"/>
    <hyperlink ref="C4" r:id="rId5" display="http://www.landjs.com/web/cjgs_view.aspx?CJGS_GUID=616328E0483D0909E055000000000001" xr:uid="{00000000-0004-0000-0200-000004000000}"/>
    <hyperlink ref="H4" r:id="rId6" display="http://www.landjs.com/web/xxbj.aspx?dkid=5F031D32FCA0177DE055000000000001" xr:uid="{00000000-0004-0000-0200-000005000000}"/>
    <hyperlink ref="C5" r:id="rId7" display="http://www.landjs.com/web/cjgs_view.aspx?CJGS_GUID=616328E0483B0909E055000000000001" xr:uid="{00000000-0004-0000-0200-000006000000}"/>
    <hyperlink ref="H5" r:id="rId8" display="http://www.landjs.com/web/xxbj.aspx?dkid=5F02D5C3A916165EE055000000000001" xr:uid="{00000000-0004-0000-0200-000007000000}"/>
    <hyperlink ref="C6" r:id="rId9" display="http://www.landjs.com/web/cjgs_view.aspx?CJGS_GUID=5F198CC39E116042E055000000000001" xr:uid="{00000000-0004-0000-0200-000008000000}"/>
    <hyperlink ref="H6" r:id="rId10" display="http://www.landjs.com/web/xxbj.aspx?dkid=5C7F1FBF1C7D5C62E055000000000001" xr:uid="{00000000-0004-0000-0200-000009000000}"/>
    <hyperlink ref="C7" r:id="rId11" display="http://www.landjs.com/web/cjgs_view.aspx?CJGS_GUID=5F198CC39E106042E055000000000001" xr:uid="{00000000-0004-0000-0200-00000A000000}"/>
    <hyperlink ref="H7" r:id="rId12" display="http://www.landjs.com/web/xxbj.aspx?dkid=5C7F14298E255BD0E055000000000001" xr:uid="{00000000-0004-0000-0200-00000B000000}"/>
    <hyperlink ref="C8" r:id="rId13" display="http://www.landjs.com/web/cjgs_view.aspx?CJGS_GUID=5F198CC39E0E6042E055000000000001" xr:uid="{00000000-0004-0000-0200-00000C000000}"/>
    <hyperlink ref="H8" r:id="rId14" display="http://www.landjs.com/web/xxbj.aspx?dkid=5C7E842E17A65A6BE055000000000001" xr:uid="{00000000-0004-0000-0200-00000D000000}"/>
    <hyperlink ref="C9" r:id="rId15" display="http://www.landjs.com/web/cjgs_view.aspx?CJGS_GUID=5F198CC39E0F6042E055000000000001" xr:uid="{00000000-0004-0000-0200-00000E000000}"/>
    <hyperlink ref="H9" r:id="rId16" display="http://www.landjs.com/web/xxbj.aspx?dkid=5C7E9DC7AB2C5A5BE055000000000001" xr:uid="{00000000-0004-0000-0200-00000F000000}"/>
    <hyperlink ref="C10" r:id="rId17" display="http://www.landjs.com/web/cjgs_view.aspx?CJGS_GUID=5C6FC99A11AD2CD3E055000000000001" xr:uid="{00000000-0004-0000-0200-000010000000}"/>
    <hyperlink ref="H10" r:id="rId18" display="http://www.landjs.com/web/xxbj.aspx?dkid=5A0F51EAA99447D2E055000000000001" xr:uid="{00000000-0004-0000-0200-000011000000}"/>
    <hyperlink ref="C11" r:id="rId19" display="http://www.landjs.com/web/cjgs_view.aspx?CJGS_GUID=5C6FC99A11AC2CD3E055000000000001" xr:uid="{00000000-0004-0000-0200-000012000000}"/>
    <hyperlink ref="H11" r:id="rId20" display="http://www.landjs.com/web/xxbj.aspx?dkid=5A0F71C495894804E055000000000001" xr:uid="{00000000-0004-0000-0200-000013000000}"/>
    <hyperlink ref="C12" r:id="rId21" display="http://www.landjs.com/web/cjgs_view.aspx?CJGS_GUID=5A22248B4D07036BE055000000000001" xr:uid="{00000000-0004-0000-0200-000014000000}"/>
    <hyperlink ref="H12" r:id="rId22" display="http://www.landjs.com/web/xxbj.aspx?dkid=57F3A2985DEB7A77E055000000000001" xr:uid="{00000000-0004-0000-0200-000015000000}"/>
    <hyperlink ref="C13" r:id="rId23" display="http://www.landjs.com/web/cjgs_view.aspx?CJGS_GUID=51BB64B3C1051136E055000000000001" xr:uid="{00000000-0004-0000-0200-000016000000}"/>
    <hyperlink ref="H13" r:id="rId24" display="http://www.landjs.com/web/xxbj.aspx?dkid=4F3C80A9E5434ED8E055000000000001" xr:uid="{00000000-0004-0000-0200-000017000000}"/>
    <hyperlink ref="C14" r:id="rId25" display="http://www.landjs.com/web/cjgs_view.aspx?CJGS_GUID=51BB662931AA1138E055000000000001" xr:uid="{00000000-0004-0000-0200-000018000000}"/>
    <hyperlink ref="H14" r:id="rId26" display="http://www.landjs.com/web/xxbj.aspx?dkid=4F11A46145494A78E055000000000001" xr:uid="{00000000-0004-0000-0200-000019000000}"/>
    <hyperlink ref="C15" r:id="rId27" display="http://www.landjs.com/web/cjgs_view.aspx?CJGS_GUID=50CB94BF90152076E055000000000001" xr:uid="{00000000-0004-0000-0200-00001A000000}"/>
    <hyperlink ref="H15" r:id="rId28" display="http://www.landjs.com/web/xxbj.aspx?dkid=4DF8B078C5D966C5E055000000000001" xr:uid="{00000000-0004-0000-0200-00001B000000}"/>
    <hyperlink ref="C16" r:id="rId29" display="http://www.landjs.com/web/cjgs_view.aspx?CJGS_GUID=50CB886E33132008E055000000000001" xr:uid="{00000000-0004-0000-0200-00001C000000}"/>
    <hyperlink ref="H16" r:id="rId30" display="http://www.landjs.com/web/xxbj.aspx?dkid=4DF8A6C6DC4466AFE055000000000001" xr:uid="{00000000-0004-0000-0200-00001D000000}"/>
    <hyperlink ref="C17" r:id="rId31" display="http://www.landjs.com/web/cjgs_view.aspx?CJGS_GUID=50CB886E33152008E055000000000001" xr:uid="{00000000-0004-0000-0200-00001E000000}"/>
    <hyperlink ref="H17" r:id="rId32" display="http://www.landjs.com/web/xxbj.aspx?dkid=4DF8A6C6DC3E66AFE055000000000001" xr:uid="{00000000-0004-0000-0200-00001F000000}"/>
    <hyperlink ref="C18" r:id="rId33" display="http://www.landjs.com/web/cjgs_view.aspx?CJGS_GUID=50CB886E33142008E055000000000001" xr:uid="{00000000-0004-0000-0200-000020000000}"/>
    <hyperlink ref="H18" r:id="rId34" display="http://www.landjs.com/web/xxbj.aspx?dkid=4DF897DB01CC6671E055000000000001" xr:uid="{00000000-0004-0000-0200-000021000000}"/>
    <hyperlink ref="C19" r:id="rId35" display="http://www.landjs.com/web/cjgs_view.aspx?CJGS_GUID=50CB94BF90142076E055000000000001" xr:uid="{00000000-0004-0000-0200-000022000000}"/>
    <hyperlink ref="H19" r:id="rId36" display="http://www.landjs.com/web/xxbj.aspx?dkid=4DF89416AA1F6673E055000000000001" xr:uid="{00000000-0004-0000-0200-000023000000}"/>
    <hyperlink ref="C20" r:id="rId37" display="http://www.landjs.com/web/cjgs_view.aspx?CJGS_GUID=50CB886E33122008E055000000000001" xr:uid="{00000000-0004-0000-0200-000024000000}"/>
    <hyperlink ref="H20" r:id="rId38" display="http://www.landjs.com/web/xxbj.aspx?dkid=4DF615EE47AC5EFBE055000000000001" xr:uid="{00000000-0004-0000-0200-000025000000}"/>
    <hyperlink ref="C21" r:id="rId39" display="http://www.landjs.com/web/cjgs_view.aspx?CJGS_GUID=504FB15AF7702996E055000000000001" xr:uid="{00000000-0004-0000-0200-000026000000}"/>
    <hyperlink ref="H21" r:id="rId40" display="http://www.landjs.com/web/xxbj.aspx?dkid=4DF60A40ECB35EF1E055000000000001" xr:uid="{00000000-0004-0000-0200-000027000000}"/>
  </hyperlinks>
  <pageMargins left="0.7" right="0.7" top="0.75" bottom="0.75" header="0.3" footer="0.3"/>
  <pageSetup paperSize="9" orientation="portrait" verticalDpi="0" r:id="rId41"/>
  <drawing r:id="rId4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1:H194"/>
  <sheetViews>
    <sheetView workbookViewId="0">
      <selection sqref="A1:XFD1048576"/>
    </sheetView>
  </sheetViews>
  <sheetFormatPr defaultRowHeight="14.4" x14ac:dyDescent="0.25"/>
  <cols>
    <col min="3" max="3" width="14.109375" customWidth="1"/>
    <col min="4" max="4" width="16.109375" customWidth="1"/>
    <col min="5" max="5" width="16.6640625" customWidth="1"/>
    <col min="6" max="6" width="19" customWidth="1"/>
  </cols>
  <sheetData>
    <row r="1" spans="3:8" ht="42" customHeight="1" x14ac:dyDescent="0.25">
      <c r="C1" t="s">
        <v>118</v>
      </c>
    </row>
    <row r="3" spans="3:8" ht="43.5" hidden="1" customHeight="1" x14ac:dyDescent="0.25">
      <c r="C3" s="82" t="s">
        <v>100</v>
      </c>
      <c r="D3" s="82"/>
      <c r="E3" s="82"/>
      <c r="F3" s="82"/>
    </row>
    <row r="4" spans="3:8" ht="15" hidden="1" thickBot="1" x14ac:dyDescent="0.3">
      <c r="C4" s="83"/>
      <c r="D4" s="83"/>
      <c r="E4" s="83"/>
      <c r="F4" s="83"/>
    </row>
    <row r="5" spans="3:8" ht="14.25" hidden="1" customHeight="1" thickBot="1" x14ac:dyDescent="0.3">
      <c r="C5" s="38" t="s">
        <v>0</v>
      </c>
      <c r="D5" s="84" t="s">
        <v>119</v>
      </c>
      <c r="E5" s="85"/>
      <c r="F5" s="86"/>
    </row>
    <row r="6" spans="3:8" ht="25.5" hidden="1" customHeight="1" thickBot="1" x14ac:dyDescent="0.3">
      <c r="C6" s="38" t="s">
        <v>101</v>
      </c>
      <c r="D6" s="87" t="s">
        <v>120</v>
      </c>
      <c r="E6" s="88"/>
      <c r="F6" s="89"/>
    </row>
    <row r="7" spans="3:8" ht="14.25" hidden="1" customHeight="1" thickBot="1" x14ac:dyDescent="0.3">
      <c r="C7" s="38" t="s">
        <v>102</v>
      </c>
      <c r="D7" s="84" t="s">
        <v>121</v>
      </c>
      <c r="E7" s="85"/>
      <c r="F7" s="86"/>
    </row>
    <row r="8" spans="3:8" ht="15" hidden="1" thickBot="1" x14ac:dyDescent="0.3">
      <c r="C8" s="38" t="s">
        <v>103</v>
      </c>
      <c r="D8" s="39">
        <v>43101</v>
      </c>
      <c r="E8" s="38" t="s">
        <v>104</v>
      </c>
      <c r="F8" s="39">
        <v>43105</v>
      </c>
    </row>
    <row r="9" spans="3:8" ht="15" hidden="1" thickBot="1" x14ac:dyDescent="0.3">
      <c r="C9" s="38" t="s">
        <v>105</v>
      </c>
      <c r="D9" s="38" t="s">
        <v>56</v>
      </c>
      <c r="E9" s="38" t="s">
        <v>106</v>
      </c>
      <c r="F9" s="38">
        <v>3859</v>
      </c>
      <c r="H9">
        <f>1736550/3859</f>
        <v>450</v>
      </c>
    </row>
    <row r="10" spans="3:8" ht="15" hidden="1" thickBot="1" x14ac:dyDescent="0.3">
      <c r="C10" s="38" t="s">
        <v>107</v>
      </c>
      <c r="D10" s="38" t="s">
        <v>108</v>
      </c>
      <c r="E10" s="38" t="s">
        <v>109</v>
      </c>
      <c r="F10" s="38" t="s">
        <v>59</v>
      </c>
    </row>
    <row r="11" spans="3:8" ht="15" hidden="1" thickBot="1" x14ac:dyDescent="0.3">
      <c r="C11" s="38" t="s">
        <v>110</v>
      </c>
      <c r="D11" s="38" t="s">
        <v>111</v>
      </c>
      <c r="E11" s="38" t="s">
        <v>112</v>
      </c>
      <c r="F11" s="38">
        <v>50</v>
      </c>
    </row>
    <row r="12" spans="3:8" ht="15" hidden="1" thickBot="1" x14ac:dyDescent="0.3">
      <c r="C12" s="84" t="s">
        <v>113</v>
      </c>
      <c r="D12" s="86"/>
      <c r="E12" s="84">
        <v>173.655</v>
      </c>
      <c r="F12" s="86"/>
    </row>
    <row r="13" spans="3:8" ht="22.2" hidden="1" thickBot="1" x14ac:dyDescent="0.3">
      <c r="C13" s="38" t="s">
        <v>114</v>
      </c>
      <c r="D13" s="38" t="s">
        <v>122</v>
      </c>
      <c r="E13" s="38" t="s">
        <v>115</v>
      </c>
      <c r="F13" s="40">
        <v>43101</v>
      </c>
    </row>
    <row r="14" spans="3:8" ht="15" hidden="1" thickBot="1" x14ac:dyDescent="0.3">
      <c r="C14" s="38" t="s">
        <v>116</v>
      </c>
      <c r="D14" s="84" t="s">
        <v>117</v>
      </c>
      <c r="E14" s="85"/>
      <c r="F14" s="86"/>
    </row>
    <row r="15" spans="3:8" hidden="1" x14ac:dyDescent="0.25"/>
    <row r="16" spans="3:8" hidden="1" x14ac:dyDescent="0.25"/>
    <row r="17" spans="3:8" hidden="1" x14ac:dyDescent="0.25"/>
    <row r="18" spans="3:8" hidden="1" x14ac:dyDescent="0.25"/>
    <row r="19" spans="3:8" ht="43.5" hidden="1" customHeight="1" x14ac:dyDescent="0.25">
      <c r="C19" s="82" t="s">
        <v>100</v>
      </c>
      <c r="D19" s="82"/>
      <c r="E19" s="82"/>
      <c r="F19" s="82"/>
    </row>
    <row r="20" spans="3:8" ht="15" hidden="1" thickBot="1" x14ac:dyDescent="0.3">
      <c r="C20" s="83"/>
      <c r="D20" s="83"/>
      <c r="E20" s="83"/>
      <c r="F20" s="83"/>
    </row>
    <row r="21" spans="3:8" ht="14.25" hidden="1" customHeight="1" thickBot="1" x14ac:dyDescent="0.3">
      <c r="C21" s="38" t="s">
        <v>0</v>
      </c>
      <c r="D21" s="84" t="s">
        <v>123</v>
      </c>
      <c r="E21" s="85"/>
      <c r="F21" s="86"/>
    </row>
    <row r="22" spans="3:8" ht="25.5" hidden="1" customHeight="1" thickBot="1" x14ac:dyDescent="0.3">
      <c r="C22" s="38" t="s">
        <v>101</v>
      </c>
      <c r="D22" s="87" t="s">
        <v>124</v>
      </c>
      <c r="E22" s="88"/>
      <c r="F22" s="89"/>
    </row>
    <row r="23" spans="3:8" ht="15" hidden="1" thickBot="1" x14ac:dyDescent="0.3">
      <c r="C23" s="38" t="s">
        <v>102</v>
      </c>
      <c r="D23" s="84" t="s">
        <v>125</v>
      </c>
      <c r="E23" s="85"/>
      <c r="F23" s="86"/>
    </row>
    <row r="24" spans="3:8" ht="15" hidden="1" thickBot="1" x14ac:dyDescent="0.3">
      <c r="C24" s="38" t="s">
        <v>103</v>
      </c>
      <c r="D24" s="39">
        <v>43101</v>
      </c>
      <c r="E24" s="38" t="s">
        <v>104</v>
      </c>
      <c r="F24" s="39">
        <v>43105</v>
      </c>
    </row>
    <row r="25" spans="3:8" ht="15" hidden="1" thickBot="1" x14ac:dyDescent="0.3">
      <c r="C25" s="38" t="s">
        <v>105</v>
      </c>
      <c r="D25" s="38" t="s">
        <v>56</v>
      </c>
      <c r="E25" s="38" t="s">
        <v>106</v>
      </c>
      <c r="F25" s="38">
        <v>4382</v>
      </c>
      <c r="H25">
        <f>2300550/4382</f>
        <v>525</v>
      </c>
    </row>
    <row r="26" spans="3:8" ht="15" hidden="1" thickBot="1" x14ac:dyDescent="0.3">
      <c r="C26" s="38" t="s">
        <v>107</v>
      </c>
      <c r="D26" s="38" t="s">
        <v>108</v>
      </c>
      <c r="E26" s="38" t="s">
        <v>109</v>
      </c>
      <c r="F26" s="38" t="s">
        <v>59</v>
      </c>
    </row>
    <row r="27" spans="3:8" ht="15" hidden="1" thickBot="1" x14ac:dyDescent="0.3">
      <c r="C27" s="38" t="s">
        <v>110</v>
      </c>
      <c r="D27" s="38" t="s">
        <v>111</v>
      </c>
      <c r="E27" s="38" t="s">
        <v>112</v>
      </c>
      <c r="F27" s="38">
        <v>50</v>
      </c>
    </row>
    <row r="28" spans="3:8" ht="15" hidden="1" thickBot="1" x14ac:dyDescent="0.3">
      <c r="C28" s="84" t="s">
        <v>113</v>
      </c>
      <c r="D28" s="86"/>
      <c r="E28" s="84">
        <v>230.05500000000001</v>
      </c>
      <c r="F28" s="86"/>
    </row>
    <row r="29" spans="3:8" ht="22.2" hidden="1" thickBot="1" x14ac:dyDescent="0.3">
      <c r="C29" s="38" t="s">
        <v>114</v>
      </c>
      <c r="D29" s="38" t="s">
        <v>126</v>
      </c>
      <c r="E29" s="38" t="s">
        <v>115</v>
      </c>
      <c r="F29" s="40">
        <v>43101</v>
      </c>
    </row>
    <row r="30" spans="3:8" ht="15" hidden="1" thickBot="1" x14ac:dyDescent="0.3">
      <c r="C30" s="38" t="s">
        <v>116</v>
      </c>
      <c r="D30" s="84" t="s">
        <v>117</v>
      </c>
      <c r="E30" s="85"/>
      <c r="F30" s="86"/>
    </row>
    <row r="31" spans="3:8" hidden="1" x14ac:dyDescent="0.25"/>
    <row r="32" spans="3:8" ht="43.5" hidden="1" customHeight="1" x14ac:dyDescent="0.25">
      <c r="C32" s="82" t="s">
        <v>100</v>
      </c>
      <c r="D32" s="82"/>
      <c r="E32" s="82"/>
      <c r="F32" s="82"/>
    </row>
    <row r="33" spans="3:8" ht="15" hidden="1" thickBot="1" x14ac:dyDescent="0.3">
      <c r="C33" s="83"/>
      <c r="D33" s="83"/>
      <c r="E33" s="83"/>
      <c r="F33" s="83"/>
    </row>
    <row r="34" spans="3:8" ht="14.25" hidden="1" customHeight="1" thickBot="1" x14ac:dyDescent="0.3">
      <c r="C34" s="38" t="s">
        <v>0</v>
      </c>
      <c r="D34" s="84" t="s">
        <v>127</v>
      </c>
      <c r="E34" s="85"/>
      <c r="F34" s="86"/>
    </row>
    <row r="35" spans="3:8" ht="25.5" hidden="1" customHeight="1" thickBot="1" x14ac:dyDescent="0.3">
      <c r="C35" s="38" t="s">
        <v>101</v>
      </c>
      <c r="D35" s="87" t="s">
        <v>128</v>
      </c>
      <c r="E35" s="88"/>
      <c r="F35" s="89"/>
    </row>
    <row r="36" spans="3:8" ht="14.25" hidden="1" customHeight="1" thickBot="1" x14ac:dyDescent="0.3">
      <c r="C36" s="38" t="s">
        <v>102</v>
      </c>
      <c r="D36" s="84" t="s">
        <v>129</v>
      </c>
      <c r="E36" s="85"/>
      <c r="F36" s="86"/>
    </row>
    <row r="37" spans="3:8" ht="15" hidden="1" thickBot="1" x14ac:dyDescent="0.3">
      <c r="C37" s="38" t="s">
        <v>103</v>
      </c>
      <c r="D37" s="39">
        <v>43085</v>
      </c>
      <c r="E37" s="38" t="s">
        <v>104</v>
      </c>
      <c r="F37" s="39">
        <v>43089</v>
      </c>
    </row>
    <row r="38" spans="3:8" ht="15" hidden="1" thickBot="1" x14ac:dyDescent="0.3">
      <c r="C38" s="38" t="s">
        <v>105</v>
      </c>
      <c r="D38" s="38" t="s">
        <v>56</v>
      </c>
      <c r="E38" s="38" t="s">
        <v>106</v>
      </c>
      <c r="F38" s="38">
        <v>712</v>
      </c>
      <c r="H38">
        <f>320400/712</f>
        <v>450</v>
      </c>
    </row>
    <row r="39" spans="3:8" ht="15" hidden="1" thickBot="1" x14ac:dyDescent="0.3">
      <c r="C39" s="38" t="s">
        <v>107</v>
      </c>
      <c r="D39" s="38" t="s">
        <v>108</v>
      </c>
      <c r="E39" s="38" t="s">
        <v>109</v>
      </c>
      <c r="F39" s="38" t="s">
        <v>59</v>
      </c>
    </row>
    <row r="40" spans="3:8" ht="15" hidden="1" thickBot="1" x14ac:dyDescent="0.3">
      <c r="C40" s="38" t="s">
        <v>110</v>
      </c>
      <c r="D40" s="38" t="s">
        <v>111</v>
      </c>
      <c r="E40" s="38" t="s">
        <v>112</v>
      </c>
      <c r="F40" s="38">
        <v>50</v>
      </c>
    </row>
    <row r="41" spans="3:8" ht="14.25" hidden="1" customHeight="1" thickBot="1" x14ac:dyDescent="0.3">
      <c r="C41" s="84" t="s">
        <v>113</v>
      </c>
      <c r="D41" s="86"/>
      <c r="E41" s="84" t="s">
        <v>130</v>
      </c>
      <c r="F41" s="86"/>
    </row>
    <row r="42" spans="3:8" ht="22.2" hidden="1" thickBot="1" x14ac:dyDescent="0.3">
      <c r="C42" s="38" t="s">
        <v>114</v>
      </c>
      <c r="D42" s="38" t="s">
        <v>131</v>
      </c>
      <c r="E42" s="38" t="s">
        <v>115</v>
      </c>
      <c r="F42" s="40">
        <v>43085</v>
      </c>
    </row>
    <row r="43" spans="3:8" ht="15" hidden="1" thickBot="1" x14ac:dyDescent="0.3">
      <c r="C43" s="38" t="s">
        <v>116</v>
      </c>
      <c r="D43" s="84" t="s">
        <v>117</v>
      </c>
      <c r="E43" s="85"/>
      <c r="F43" s="86"/>
    </row>
    <row r="44" spans="3:8" hidden="1" x14ac:dyDescent="0.25"/>
    <row r="45" spans="3:8" hidden="1" x14ac:dyDescent="0.25"/>
    <row r="47" spans="3:8" ht="43.5" hidden="1" customHeight="1" x14ac:dyDescent="0.25">
      <c r="C47" s="82"/>
      <c r="D47" s="82"/>
      <c r="E47" s="82"/>
      <c r="F47" s="82"/>
    </row>
    <row r="48" spans="3:8" x14ac:dyDescent="0.25">
      <c r="C48" s="83"/>
      <c r="D48" s="83"/>
      <c r="E48" s="83"/>
      <c r="F48" s="83"/>
    </row>
    <row r="49" spans="3:8" ht="16.2" hidden="1" thickBot="1" x14ac:dyDescent="0.3">
      <c r="C49" s="41" t="s">
        <v>0</v>
      </c>
      <c r="D49" s="90" t="s">
        <v>133</v>
      </c>
      <c r="E49" s="91"/>
      <c r="F49" s="92"/>
    </row>
    <row r="50" spans="3:8" ht="28.5" hidden="1" customHeight="1" x14ac:dyDescent="0.25">
      <c r="C50" s="93" t="s">
        <v>101</v>
      </c>
      <c r="D50" s="95" t="s">
        <v>134</v>
      </c>
      <c r="E50" s="96"/>
      <c r="F50" s="97"/>
    </row>
    <row r="51" spans="3:8" ht="18" hidden="1" thickBot="1" x14ac:dyDescent="0.3">
      <c r="C51" s="94"/>
      <c r="D51" s="98" t="s">
        <v>135</v>
      </c>
      <c r="E51" s="99"/>
      <c r="F51" s="100"/>
    </row>
    <row r="52" spans="3:8" ht="16.2" hidden="1" thickBot="1" x14ac:dyDescent="0.3">
      <c r="C52" s="41" t="s">
        <v>102</v>
      </c>
      <c r="D52" s="90" t="s">
        <v>136</v>
      </c>
      <c r="E52" s="91"/>
      <c r="F52" s="92"/>
    </row>
    <row r="53" spans="3:8" ht="16.2" hidden="1" thickBot="1" x14ac:dyDescent="0.3">
      <c r="C53" s="41" t="s">
        <v>103</v>
      </c>
      <c r="D53" s="42">
        <v>43085</v>
      </c>
      <c r="E53" s="41" t="s">
        <v>104</v>
      </c>
      <c r="F53" s="42">
        <v>43089</v>
      </c>
    </row>
    <row r="54" spans="3:8" ht="31.8" hidden="1" thickBot="1" x14ac:dyDescent="0.3">
      <c r="C54" s="41" t="s">
        <v>105</v>
      </c>
      <c r="D54" s="41" t="s">
        <v>56</v>
      </c>
      <c r="E54" s="41" t="s">
        <v>106</v>
      </c>
      <c r="F54" s="41">
        <v>17120</v>
      </c>
      <c r="H54">
        <f>7704000/17120</f>
        <v>450</v>
      </c>
    </row>
    <row r="55" spans="3:8" ht="31.8" hidden="1" thickBot="1" x14ac:dyDescent="0.3">
      <c r="C55" s="41" t="s">
        <v>137</v>
      </c>
      <c r="D55" s="43"/>
      <c r="E55" s="41" t="s">
        <v>109</v>
      </c>
      <c r="F55" s="41" t="s">
        <v>59</v>
      </c>
    </row>
    <row r="56" spans="3:8" ht="31.8" hidden="1" thickBot="1" x14ac:dyDescent="0.3">
      <c r="C56" s="41" t="s">
        <v>112</v>
      </c>
      <c r="D56" s="41">
        <v>50</v>
      </c>
      <c r="E56" s="41" t="s">
        <v>107</v>
      </c>
      <c r="F56" s="41" t="s">
        <v>138</v>
      </c>
    </row>
    <row r="57" spans="3:8" ht="31.8" hidden="1" thickBot="1" x14ac:dyDescent="0.3">
      <c r="C57" s="41" t="s">
        <v>139</v>
      </c>
      <c r="D57" s="41">
        <v>770.4</v>
      </c>
      <c r="E57" s="41" t="s">
        <v>140</v>
      </c>
      <c r="F57" s="41">
        <v>770.4</v>
      </c>
    </row>
    <row r="58" spans="3:8" ht="31.8" hidden="1" thickBot="1" x14ac:dyDescent="0.3">
      <c r="C58" s="41" t="s">
        <v>141</v>
      </c>
      <c r="D58" s="41" t="s">
        <v>142</v>
      </c>
      <c r="E58" s="41" t="s">
        <v>1</v>
      </c>
      <c r="F58" s="44">
        <v>43085</v>
      </c>
    </row>
    <row r="59" spans="3:8" ht="16.2" hidden="1" thickBot="1" x14ac:dyDescent="0.3">
      <c r="C59" s="41" t="s">
        <v>116</v>
      </c>
      <c r="D59" s="90" t="s">
        <v>143</v>
      </c>
      <c r="E59" s="91"/>
      <c r="F59" s="92"/>
    </row>
    <row r="60" spans="3:8" hidden="1" x14ac:dyDescent="0.25"/>
    <row r="61" spans="3:8" hidden="1" x14ac:dyDescent="0.25"/>
    <row r="62" spans="3:8" hidden="1" x14ac:dyDescent="0.25"/>
    <row r="63" spans="3:8" ht="43.5" hidden="1" customHeight="1" x14ac:dyDescent="0.25">
      <c r="C63" s="82" t="s">
        <v>132</v>
      </c>
      <c r="D63" s="82"/>
      <c r="E63" s="82"/>
      <c r="F63" s="82"/>
    </row>
    <row r="64" spans="3:8" ht="15" hidden="1" thickBot="1" x14ac:dyDescent="0.3">
      <c r="C64" s="83"/>
      <c r="D64" s="83"/>
      <c r="E64" s="83"/>
      <c r="F64" s="83"/>
    </row>
    <row r="65" spans="3:8" ht="16.2" hidden="1" thickBot="1" x14ac:dyDescent="0.3">
      <c r="C65" s="41" t="s">
        <v>144</v>
      </c>
      <c r="D65" s="90" t="s">
        <v>145</v>
      </c>
      <c r="E65" s="91"/>
      <c r="F65" s="92"/>
    </row>
    <row r="66" spans="3:8" ht="28.5" hidden="1" customHeight="1" x14ac:dyDescent="0.25">
      <c r="C66" s="93" t="s">
        <v>146</v>
      </c>
      <c r="D66" s="95" t="s">
        <v>134</v>
      </c>
      <c r="E66" s="96"/>
      <c r="F66" s="97"/>
    </row>
    <row r="67" spans="3:8" ht="18" hidden="1" thickBot="1" x14ac:dyDescent="0.3">
      <c r="C67" s="94"/>
      <c r="D67" s="98" t="s">
        <v>147</v>
      </c>
      <c r="E67" s="99"/>
      <c r="F67" s="100"/>
    </row>
    <row r="68" spans="3:8" ht="31.5" hidden="1" customHeight="1" thickBot="1" x14ac:dyDescent="0.3">
      <c r="C68" s="41" t="s">
        <v>148</v>
      </c>
      <c r="D68" s="90" t="s">
        <v>149</v>
      </c>
      <c r="E68" s="91"/>
      <c r="F68" s="92"/>
    </row>
    <row r="69" spans="3:8" ht="16.2" hidden="1" thickBot="1" x14ac:dyDescent="0.3">
      <c r="C69" s="41" t="s">
        <v>150</v>
      </c>
      <c r="D69" s="42">
        <v>43077</v>
      </c>
      <c r="E69" s="41" t="s">
        <v>151</v>
      </c>
      <c r="F69" s="42">
        <v>43077</v>
      </c>
    </row>
    <row r="70" spans="3:8" ht="31.8" hidden="1" thickBot="1" x14ac:dyDescent="0.3">
      <c r="C70" s="41" t="s">
        <v>152</v>
      </c>
      <c r="D70" s="41" t="s">
        <v>153</v>
      </c>
      <c r="E70" s="41" t="s">
        <v>154</v>
      </c>
      <c r="F70" s="41">
        <v>527</v>
      </c>
    </row>
    <row r="71" spans="3:8" ht="31.8" hidden="1" thickBot="1" x14ac:dyDescent="0.3">
      <c r="C71" s="41" t="s">
        <v>155</v>
      </c>
      <c r="D71" s="43"/>
      <c r="E71" s="41" t="s">
        <v>156</v>
      </c>
      <c r="F71" s="41" t="s">
        <v>157</v>
      </c>
    </row>
    <row r="72" spans="3:8" ht="31.8" hidden="1" thickBot="1" x14ac:dyDescent="0.3">
      <c r="C72" s="41" t="s">
        <v>158</v>
      </c>
      <c r="D72" s="41">
        <v>50</v>
      </c>
      <c r="E72" s="41" t="s">
        <v>159</v>
      </c>
      <c r="F72" s="41" t="s">
        <v>160</v>
      </c>
    </row>
    <row r="73" spans="3:8" ht="31.8" hidden="1" thickBot="1" x14ac:dyDescent="0.3">
      <c r="C73" s="41" t="s">
        <v>161</v>
      </c>
      <c r="D73" s="41">
        <v>23.715</v>
      </c>
      <c r="E73" s="41" t="s">
        <v>162</v>
      </c>
      <c r="F73" s="41">
        <v>23.715</v>
      </c>
      <c r="H73">
        <f>237150/527</f>
        <v>450</v>
      </c>
    </row>
    <row r="74" spans="3:8" ht="47.4" hidden="1" thickBot="1" x14ac:dyDescent="0.3">
      <c r="C74" s="41" t="s">
        <v>163</v>
      </c>
      <c r="D74" s="41" t="s">
        <v>164</v>
      </c>
      <c r="E74" s="41" t="s">
        <v>165</v>
      </c>
      <c r="F74" s="44">
        <v>43077</v>
      </c>
    </row>
    <row r="75" spans="3:8" ht="16.2" hidden="1" thickBot="1" x14ac:dyDescent="0.3">
      <c r="C75" s="41" t="s">
        <v>166</v>
      </c>
      <c r="D75" s="90" t="s">
        <v>143</v>
      </c>
      <c r="E75" s="91"/>
      <c r="F75" s="92"/>
    </row>
    <row r="76" spans="3:8" hidden="1" x14ac:dyDescent="0.25"/>
    <row r="77" spans="3:8" hidden="1" x14ac:dyDescent="0.25"/>
    <row r="78" spans="3:8" hidden="1" x14ac:dyDescent="0.25"/>
    <row r="79" spans="3:8" hidden="1" x14ac:dyDescent="0.25"/>
    <row r="80" spans="3:8" ht="43.5" hidden="1" customHeight="1" x14ac:dyDescent="0.25">
      <c r="C80" s="82" t="s">
        <v>100</v>
      </c>
      <c r="D80" s="82"/>
      <c r="E80" s="82"/>
      <c r="F80" s="82"/>
    </row>
    <row r="81" spans="3:8" ht="15" hidden="1" thickBot="1" x14ac:dyDescent="0.3">
      <c r="C81" s="83"/>
      <c r="D81" s="83"/>
      <c r="E81" s="83"/>
      <c r="F81" s="83"/>
    </row>
    <row r="82" spans="3:8" ht="14.25" hidden="1" customHeight="1" thickBot="1" x14ac:dyDescent="0.3">
      <c r="C82" s="38" t="s">
        <v>0</v>
      </c>
      <c r="D82" s="84" t="s">
        <v>167</v>
      </c>
      <c r="E82" s="85"/>
      <c r="F82" s="86"/>
    </row>
    <row r="83" spans="3:8" ht="25.5" hidden="1" customHeight="1" thickBot="1" x14ac:dyDescent="0.3">
      <c r="C83" s="38" t="s">
        <v>101</v>
      </c>
      <c r="D83" s="87" t="s">
        <v>168</v>
      </c>
      <c r="E83" s="88"/>
      <c r="F83" s="89"/>
    </row>
    <row r="84" spans="3:8" ht="22.5" hidden="1" customHeight="1" thickBot="1" x14ac:dyDescent="0.3">
      <c r="C84" s="38" t="s">
        <v>102</v>
      </c>
      <c r="D84" s="84" t="s">
        <v>169</v>
      </c>
      <c r="E84" s="85"/>
      <c r="F84" s="86"/>
    </row>
    <row r="85" spans="3:8" ht="15" hidden="1" thickBot="1" x14ac:dyDescent="0.3">
      <c r="C85" s="38" t="s">
        <v>103</v>
      </c>
      <c r="D85" s="39">
        <v>43073</v>
      </c>
      <c r="E85" s="38" t="s">
        <v>104</v>
      </c>
      <c r="F85" s="39">
        <v>43077</v>
      </c>
    </row>
    <row r="86" spans="3:8" ht="15" hidden="1" thickBot="1" x14ac:dyDescent="0.3">
      <c r="C86" s="38" t="s">
        <v>105</v>
      </c>
      <c r="D86" s="38" t="s">
        <v>56</v>
      </c>
      <c r="E86" s="38" t="s">
        <v>106</v>
      </c>
      <c r="F86" s="38">
        <v>29271</v>
      </c>
    </row>
    <row r="87" spans="3:8" ht="15" hidden="1" thickBot="1" x14ac:dyDescent="0.3">
      <c r="C87" s="38" t="s">
        <v>107</v>
      </c>
      <c r="D87" s="38" t="s">
        <v>108</v>
      </c>
      <c r="E87" s="38" t="s">
        <v>109</v>
      </c>
      <c r="F87" s="38" t="s">
        <v>59</v>
      </c>
    </row>
    <row r="88" spans="3:8" ht="15" hidden="1" thickBot="1" x14ac:dyDescent="0.3">
      <c r="C88" s="38" t="s">
        <v>110</v>
      </c>
      <c r="D88" s="38" t="s">
        <v>170</v>
      </c>
      <c r="E88" s="38" t="s">
        <v>112</v>
      </c>
      <c r="F88" s="38">
        <v>50</v>
      </c>
    </row>
    <row r="89" spans="3:8" ht="26.25" hidden="1" customHeight="1" thickBot="1" x14ac:dyDescent="0.3">
      <c r="C89" s="84" t="s">
        <v>113</v>
      </c>
      <c r="D89" s="86"/>
      <c r="E89" s="84">
        <v>1317.1949999999999</v>
      </c>
      <c r="F89" s="86"/>
      <c r="H89">
        <f>13171950/29271</f>
        <v>450</v>
      </c>
    </row>
    <row r="90" spans="3:8" ht="22.2" hidden="1" thickBot="1" x14ac:dyDescent="0.3">
      <c r="C90" s="38" t="s">
        <v>114</v>
      </c>
      <c r="D90" s="38" t="s">
        <v>171</v>
      </c>
      <c r="E90" s="38" t="s">
        <v>115</v>
      </c>
      <c r="F90" s="40">
        <v>43073</v>
      </c>
    </row>
    <row r="91" spans="3:8" ht="15" hidden="1" thickBot="1" x14ac:dyDescent="0.3">
      <c r="C91" s="38" t="s">
        <v>116</v>
      </c>
      <c r="D91" s="84" t="s">
        <v>117</v>
      </c>
      <c r="E91" s="85"/>
      <c r="F91" s="86"/>
    </row>
    <row r="92" spans="3:8" hidden="1" x14ac:dyDescent="0.25"/>
    <row r="93" spans="3:8" hidden="1" x14ac:dyDescent="0.25"/>
    <row r="94" spans="3:8" hidden="1" x14ac:dyDescent="0.25"/>
    <row r="95" spans="3:8" hidden="1" x14ac:dyDescent="0.25"/>
    <row r="96" spans="3:8" ht="43.5" hidden="1" customHeight="1" x14ac:dyDescent="0.25">
      <c r="C96" s="82" t="s">
        <v>100</v>
      </c>
      <c r="D96" s="82"/>
      <c r="E96" s="82"/>
      <c r="F96" s="82"/>
    </row>
    <row r="97" spans="3:8" ht="15" hidden="1" thickBot="1" x14ac:dyDescent="0.3">
      <c r="C97" s="83"/>
      <c r="D97" s="83"/>
      <c r="E97" s="83"/>
      <c r="F97" s="83"/>
    </row>
    <row r="98" spans="3:8" ht="14.25" hidden="1" customHeight="1" thickBot="1" x14ac:dyDescent="0.3">
      <c r="C98" s="38" t="s">
        <v>0</v>
      </c>
      <c r="D98" s="84" t="s">
        <v>172</v>
      </c>
      <c r="E98" s="85"/>
      <c r="F98" s="86"/>
    </row>
    <row r="99" spans="3:8" ht="25.5" hidden="1" customHeight="1" thickBot="1" x14ac:dyDescent="0.3">
      <c r="C99" s="38" t="s">
        <v>101</v>
      </c>
      <c r="D99" s="87" t="s">
        <v>173</v>
      </c>
      <c r="E99" s="88"/>
      <c r="F99" s="89"/>
    </row>
    <row r="100" spans="3:8" ht="14.25" hidden="1" customHeight="1" thickBot="1" x14ac:dyDescent="0.3">
      <c r="C100" s="38" t="s">
        <v>102</v>
      </c>
      <c r="D100" s="84" t="s">
        <v>174</v>
      </c>
      <c r="E100" s="85"/>
      <c r="F100" s="86"/>
    </row>
    <row r="101" spans="3:8" ht="15" hidden="1" thickBot="1" x14ac:dyDescent="0.3">
      <c r="C101" s="38" t="s">
        <v>103</v>
      </c>
      <c r="D101" s="39">
        <v>43036</v>
      </c>
      <c r="E101" s="38" t="s">
        <v>104</v>
      </c>
      <c r="F101" s="39">
        <v>43040</v>
      </c>
    </row>
    <row r="102" spans="3:8" ht="15" hidden="1" thickBot="1" x14ac:dyDescent="0.3">
      <c r="C102" s="38" t="s">
        <v>105</v>
      </c>
      <c r="D102" s="38" t="s">
        <v>56</v>
      </c>
      <c r="E102" s="38" t="s">
        <v>106</v>
      </c>
      <c r="F102" s="38">
        <v>3607.8</v>
      </c>
    </row>
    <row r="103" spans="3:8" ht="15" hidden="1" thickBot="1" x14ac:dyDescent="0.3">
      <c r="C103" s="38" t="s">
        <v>107</v>
      </c>
      <c r="D103" s="38" t="s">
        <v>108</v>
      </c>
      <c r="E103" s="38" t="s">
        <v>109</v>
      </c>
      <c r="F103" s="38" t="s">
        <v>59</v>
      </c>
    </row>
    <row r="104" spans="3:8" ht="15" hidden="1" thickBot="1" x14ac:dyDescent="0.3">
      <c r="C104" s="38" t="s">
        <v>110</v>
      </c>
      <c r="D104" s="38" t="s">
        <v>111</v>
      </c>
      <c r="E104" s="38" t="s">
        <v>112</v>
      </c>
      <c r="F104" s="38">
        <v>50</v>
      </c>
    </row>
    <row r="105" spans="3:8" ht="25.5" hidden="1" customHeight="1" thickBot="1" x14ac:dyDescent="0.3">
      <c r="C105" s="84" t="s">
        <v>113</v>
      </c>
      <c r="D105" s="86"/>
      <c r="E105" s="84" t="s">
        <v>175</v>
      </c>
      <c r="F105" s="86"/>
      <c r="H105" s="46">
        <f>1623600/3607.8</f>
        <v>450</v>
      </c>
    </row>
    <row r="106" spans="3:8" ht="22.2" hidden="1" thickBot="1" x14ac:dyDescent="0.3">
      <c r="C106" s="38" t="s">
        <v>114</v>
      </c>
      <c r="D106" s="38" t="s">
        <v>176</v>
      </c>
      <c r="E106" s="38" t="s">
        <v>115</v>
      </c>
      <c r="F106" s="39">
        <v>43036</v>
      </c>
    </row>
    <row r="107" spans="3:8" ht="15" hidden="1" thickBot="1" x14ac:dyDescent="0.3">
      <c r="C107" s="38" t="s">
        <v>116</v>
      </c>
      <c r="D107" s="84" t="s">
        <v>117</v>
      </c>
      <c r="E107" s="85"/>
      <c r="F107" s="86"/>
    </row>
    <row r="108" spans="3:8" hidden="1" x14ac:dyDescent="0.25"/>
    <row r="109" spans="3:8" hidden="1" x14ac:dyDescent="0.25"/>
    <row r="110" spans="3:8" hidden="1" x14ac:dyDescent="0.25"/>
    <row r="111" spans="3:8" hidden="1" x14ac:dyDescent="0.25"/>
    <row r="112" spans="3:8" hidden="1" x14ac:dyDescent="0.25"/>
    <row r="113" spans="3:8" ht="21.75" hidden="1" customHeight="1" x14ac:dyDescent="0.25">
      <c r="C113" s="82" t="s">
        <v>100</v>
      </c>
      <c r="D113" s="82"/>
      <c r="E113" s="82"/>
      <c r="F113" s="82"/>
    </row>
    <row r="114" spans="3:8" ht="15" hidden="1" thickBot="1" x14ac:dyDescent="0.3">
      <c r="C114" s="83"/>
      <c r="D114" s="83"/>
      <c r="E114" s="83"/>
      <c r="F114" s="83"/>
    </row>
    <row r="115" spans="3:8" ht="14.25" hidden="1" customHeight="1" thickBot="1" x14ac:dyDescent="0.3">
      <c r="C115" s="38" t="s">
        <v>0</v>
      </c>
      <c r="D115" s="84" t="s">
        <v>177</v>
      </c>
      <c r="E115" s="85"/>
      <c r="F115" s="86"/>
    </row>
    <row r="116" spans="3:8" ht="14.25" hidden="1" customHeight="1" thickBot="1" x14ac:dyDescent="0.3">
      <c r="C116" s="38" t="s">
        <v>101</v>
      </c>
      <c r="D116" s="87" t="s">
        <v>178</v>
      </c>
      <c r="E116" s="88"/>
      <c r="F116" s="89"/>
    </row>
    <row r="117" spans="3:8" ht="15" hidden="1" thickBot="1" x14ac:dyDescent="0.3">
      <c r="C117" s="38" t="s">
        <v>102</v>
      </c>
      <c r="D117" s="84" t="s">
        <v>179</v>
      </c>
      <c r="E117" s="85"/>
      <c r="F117" s="86"/>
    </row>
    <row r="118" spans="3:8" ht="15" hidden="1" thickBot="1" x14ac:dyDescent="0.3">
      <c r="C118" s="38" t="s">
        <v>103</v>
      </c>
      <c r="D118" s="39">
        <v>43017</v>
      </c>
      <c r="E118" s="38" t="s">
        <v>104</v>
      </c>
      <c r="F118" s="39">
        <v>43022</v>
      </c>
    </row>
    <row r="119" spans="3:8" ht="15" hidden="1" thickBot="1" x14ac:dyDescent="0.3">
      <c r="C119" s="38" t="s">
        <v>105</v>
      </c>
      <c r="D119" s="38" t="s">
        <v>56</v>
      </c>
      <c r="E119" s="38" t="s">
        <v>106</v>
      </c>
      <c r="F119" s="38">
        <v>11753.25</v>
      </c>
    </row>
    <row r="120" spans="3:8" ht="15" hidden="1" thickBot="1" x14ac:dyDescent="0.3">
      <c r="C120" s="38" t="s">
        <v>107</v>
      </c>
      <c r="D120" s="38" t="s">
        <v>108</v>
      </c>
      <c r="E120" s="38" t="s">
        <v>109</v>
      </c>
      <c r="F120" s="38" t="s">
        <v>59</v>
      </c>
    </row>
    <row r="121" spans="3:8" ht="15" hidden="1" thickBot="1" x14ac:dyDescent="0.3">
      <c r="C121" s="38" t="s">
        <v>110</v>
      </c>
      <c r="D121" s="38" t="s">
        <v>170</v>
      </c>
      <c r="E121" s="38" t="s">
        <v>112</v>
      </c>
      <c r="F121" s="38">
        <v>50</v>
      </c>
    </row>
    <row r="122" spans="3:8" ht="15" hidden="1" thickBot="1" x14ac:dyDescent="0.3">
      <c r="C122" s="84" t="s">
        <v>113</v>
      </c>
      <c r="D122" s="86"/>
      <c r="E122" s="84">
        <v>528.9</v>
      </c>
      <c r="F122" s="86"/>
      <c r="H122" s="47">
        <f>5289000/11753.25</f>
        <v>450</v>
      </c>
    </row>
    <row r="123" spans="3:8" ht="22.2" hidden="1" thickBot="1" x14ac:dyDescent="0.3">
      <c r="C123" s="38" t="s">
        <v>114</v>
      </c>
      <c r="D123" s="38" t="s">
        <v>180</v>
      </c>
      <c r="E123" s="38" t="s">
        <v>115</v>
      </c>
      <c r="F123" s="40">
        <v>43017</v>
      </c>
    </row>
    <row r="124" spans="3:8" ht="15" hidden="1" thickBot="1" x14ac:dyDescent="0.3">
      <c r="C124" s="38" t="s">
        <v>116</v>
      </c>
      <c r="D124" s="84" t="s">
        <v>117</v>
      </c>
      <c r="E124" s="85"/>
      <c r="F124" s="86"/>
    </row>
    <row r="125" spans="3:8" hidden="1" x14ac:dyDescent="0.25"/>
    <row r="126" spans="3:8" hidden="1" x14ac:dyDescent="0.25"/>
    <row r="127" spans="3:8" hidden="1" x14ac:dyDescent="0.25"/>
    <row r="129" spans="3:8" ht="21.75" customHeight="1" x14ac:dyDescent="0.25">
      <c r="C129" s="82" t="s">
        <v>132</v>
      </c>
      <c r="D129" s="82"/>
      <c r="E129" s="82"/>
      <c r="F129" s="82"/>
    </row>
    <row r="130" spans="3:8" ht="15" thickBot="1" x14ac:dyDescent="0.3">
      <c r="C130" s="83"/>
      <c r="D130" s="83"/>
      <c r="E130" s="83"/>
      <c r="F130" s="83"/>
    </row>
    <row r="131" spans="3:8" ht="16.2" thickBot="1" x14ac:dyDescent="0.3">
      <c r="C131" s="41" t="s">
        <v>144</v>
      </c>
      <c r="D131" s="90" t="s">
        <v>181</v>
      </c>
      <c r="E131" s="91"/>
      <c r="F131" s="92"/>
    </row>
    <row r="132" spans="3:8" ht="14.25" customHeight="1" x14ac:dyDescent="0.25">
      <c r="C132" s="93" t="s">
        <v>146</v>
      </c>
      <c r="D132" s="95" t="s">
        <v>134</v>
      </c>
      <c r="E132" s="96"/>
      <c r="F132" s="97"/>
    </row>
    <row r="133" spans="3:8" ht="18" thickBot="1" x14ac:dyDescent="0.3">
      <c r="C133" s="94"/>
      <c r="D133" s="98" t="s">
        <v>182</v>
      </c>
      <c r="E133" s="99"/>
      <c r="F133" s="100"/>
    </row>
    <row r="134" spans="3:8" ht="16.2" thickBot="1" x14ac:dyDescent="0.3">
      <c r="C134" s="41" t="s">
        <v>148</v>
      </c>
      <c r="D134" s="90" t="s">
        <v>183</v>
      </c>
      <c r="E134" s="91"/>
      <c r="F134" s="92"/>
    </row>
    <row r="135" spans="3:8" ht="16.2" thickBot="1" x14ac:dyDescent="0.3">
      <c r="C135" s="41" t="s">
        <v>150</v>
      </c>
      <c r="D135" s="42">
        <v>43008</v>
      </c>
      <c r="E135" s="41" t="s">
        <v>151</v>
      </c>
      <c r="F135" s="42">
        <v>43012</v>
      </c>
    </row>
    <row r="136" spans="3:8" ht="31.8" thickBot="1" x14ac:dyDescent="0.3">
      <c r="C136" s="41" t="s">
        <v>152</v>
      </c>
      <c r="D136" s="41" t="s">
        <v>153</v>
      </c>
      <c r="E136" s="41" t="s">
        <v>154</v>
      </c>
      <c r="F136" s="41">
        <v>24135.32</v>
      </c>
      <c r="H136" s="47">
        <f>10860900/24135.32</f>
        <v>450</v>
      </c>
    </row>
    <row r="137" spans="3:8" ht="31.8" thickBot="1" x14ac:dyDescent="0.3">
      <c r="C137" s="41" t="s">
        <v>155</v>
      </c>
      <c r="D137" s="43"/>
      <c r="E137" s="41" t="s">
        <v>156</v>
      </c>
      <c r="F137" s="41" t="s">
        <v>157</v>
      </c>
    </row>
    <row r="138" spans="3:8" ht="31.8" thickBot="1" x14ac:dyDescent="0.3">
      <c r="C138" s="41" t="s">
        <v>158</v>
      </c>
      <c r="D138" s="41">
        <v>50</v>
      </c>
      <c r="E138" s="41" t="s">
        <v>159</v>
      </c>
      <c r="F138" s="41" t="s">
        <v>160</v>
      </c>
    </row>
    <row r="139" spans="3:8" ht="31.8" thickBot="1" x14ac:dyDescent="0.3">
      <c r="C139" s="41" t="s">
        <v>161</v>
      </c>
      <c r="D139" s="41">
        <v>1086.0899999999999</v>
      </c>
      <c r="E139" s="41" t="s">
        <v>162</v>
      </c>
      <c r="F139" s="41">
        <v>1086.0899999999999</v>
      </c>
    </row>
    <row r="140" spans="3:8" ht="31.8" thickBot="1" x14ac:dyDescent="0.3">
      <c r="C140" s="41" t="s">
        <v>163</v>
      </c>
      <c r="D140" s="41" t="s">
        <v>184</v>
      </c>
      <c r="E140" s="41" t="s">
        <v>165</v>
      </c>
      <c r="F140" s="44">
        <v>43008</v>
      </c>
    </row>
    <row r="141" spans="3:8" ht="16.2" thickBot="1" x14ac:dyDescent="0.3">
      <c r="C141" s="41" t="s">
        <v>166</v>
      </c>
      <c r="D141" s="90" t="s">
        <v>185</v>
      </c>
      <c r="E141" s="91"/>
      <c r="F141" s="92"/>
    </row>
    <row r="146" spans="3:8" ht="21.75" hidden="1" customHeight="1" x14ac:dyDescent="0.25">
      <c r="C146" s="82" t="s">
        <v>100</v>
      </c>
      <c r="D146" s="82"/>
      <c r="E146" s="82"/>
      <c r="F146" s="82"/>
    </row>
    <row r="147" spans="3:8" ht="15" hidden="1" thickBot="1" x14ac:dyDescent="0.3">
      <c r="C147" s="83"/>
      <c r="D147" s="83"/>
      <c r="E147" s="83"/>
      <c r="F147" s="83"/>
    </row>
    <row r="148" spans="3:8" ht="14.25" hidden="1" customHeight="1" thickBot="1" x14ac:dyDescent="0.3">
      <c r="C148" s="38" t="s">
        <v>0</v>
      </c>
      <c r="D148" s="84" t="s">
        <v>186</v>
      </c>
      <c r="E148" s="85"/>
      <c r="F148" s="86"/>
    </row>
    <row r="149" spans="3:8" ht="14.25" hidden="1" customHeight="1" thickBot="1" x14ac:dyDescent="0.3">
      <c r="C149" s="38" t="s">
        <v>101</v>
      </c>
      <c r="D149" s="87" t="s">
        <v>187</v>
      </c>
      <c r="E149" s="88"/>
      <c r="F149" s="89"/>
    </row>
    <row r="150" spans="3:8" ht="15" hidden="1" thickBot="1" x14ac:dyDescent="0.3">
      <c r="C150" s="38" t="s">
        <v>102</v>
      </c>
      <c r="D150" s="84" t="s">
        <v>188</v>
      </c>
      <c r="E150" s="85"/>
      <c r="F150" s="86"/>
    </row>
    <row r="151" spans="3:8" ht="15" hidden="1" thickBot="1" x14ac:dyDescent="0.3">
      <c r="C151" s="38" t="s">
        <v>103</v>
      </c>
      <c r="D151" s="39">
        <v>42998</v>
      </c>
      <c r="E151" s="38" t="s">
        <v>104</v>
      </c>
      <c r="F151" s="39">
        <v>43002</v>
      </c>
    </row>
    <row r="152" spans="3:8" ht="15" hidden="1" thickBot="1" x14ac:dyDescent="0.3">
      <c r="C152" s="38" t="s">
        <v>105</v>
      </c>
      <c r="D152" s="38" t="s">
        <v>56</v>
      </c>
      <c r="E152" s="38" t="s">
        <v>106</v>
      </c>
      <c r="F152" s="38">
        <v>4003.63</v>
      </c>
    </row>
    <row r="153" spans="3:8" ht="15" hidden="1" thickBot="1" x14ac:dyDescent="0.3">
      <c r="C153" s="38" t="s">
        <v>107</v>
      </c>
      <c r="D153" s="38" t="s">
        <v>108</v>
      </c>
      <c r="E153" s="38" t="s">
        <v>109</v>
      </c>
      <c r="F153" s="38" t="s">
        <v>59</v>
      </c>
    </row>
    <row r="154" spans="3:8" ht="15" hidden="1" thickBot="1" x14ac:dyDescent="0.3">
      <c r="C154" s="38" t="s">
        <v>110</v>
      </c>
      <c r="D154" s="38" t="s">
        <v>170</v>
      </c>
      <c r="E154" s="38" t="s">
        <v>112</v>
      </c>
      <c r="F154" s="38">
        <v>50</v>
      </c>
      <c r="H154" s="47">
        <f>1801634/4003.63</f>
        <v>450</v>
      </c>
    </row>
    <row r="155" spans="3:8" ht="15" hidden="1" thickBot="1" x14ac:dyDescent="0.3">
      <c r="C155" s="84" t="s">
        <v>113</v>
      </c>
      <c r="D155" s="86"/>
      <c r="E155" s="84">
        <v>180.1634</v>
      </c>
      <c r="F155" s="86"/>
    </row>
    <row r="156" spans="3:8" ht="22.2" hidden="1" thickBot="1" x14ac:dyDescent="0.3">
      <c r="C156" s="38" t="s">
        <v>114</v>
      </c>
      <c r="D156" s="38" t="s">
        <v>189</v>
      </c>
      <c r="E156" s="38" t="s">
        <v>115</v>
      </c>
      <c r="F156" s="40">
        <v>42997</v>
      </c>
    </row>
    <row r="157" spans="3:8" ht="15" hidden="1" thickBot="1" x14ac:dyDescent="0.3">
      <c r="C157" s="38" t="s">
        <v>116</v>
      </c>
      <c r="D157" s="84" t="s">
        <v>117</v>
      </c>
      <c r="E157" s="85"/>
      <c r="F157" s="86"/>
    </row>
    <row r="158" spans="3:8" hidden="1" x14ac:dyDescent="0.25"/>
    <row r="159" spans="3:8" hidden="1" x14ac:dyDescent="0.25"/>
    <row r="160" spans="3:8" hidden="1" x14ac:dyDescent="0.25"/>
    <row r="161" spans="3:8" hidden="1" x14ac:dyDescent="0.25"/>
    <row r="162" spans="3:8" hidden="1" x14ac:dyDescent="0.25"/>
    <row r="163" spans="3:8" hidden="1" x14ac:dyDescent="0.25"/>
    <row r="164" spans="3:8" hidden="1" x14ac:dyDescent="0.25"/>
    <row r="167" spans="3:8" ht="21.75" customHeight="1" x14ac:dyDescent="0.25">
      <c r="C167" s="82" t="s">
        <v>132</v>
      </c>
      <c r="D167" s="82"/>
      <c r="E167" s="82"/>
      <c r="F167" s="82"/>
    </row>
    <row r="168" spans="3:8" ht="15" thickBot="1" x14ac:dyDescent="0.3">
      <c r="C168" s="83"/>
      <c r="D168" s="83"/>
      <c r="E168" s="83"/>
      <c r="F168" s="83"/>
    </row>
    <row r="169" spans="3:8" ht="16.2" thickBot="1" x14ac:dyDescent="0.3">
      <c r="C169" s="41" t="s">
        <v>144</v>
      </c>
      <c r="D169" s="90" t="s">
        <v>190</v>
      </c>
      <c r="E169" s="91"/>
      <c r="F169" s="92"/>
    </row>
    <row r="170" spans="3:8" ht="14.25" customHeight="1" x14ac:dyDescent="0.25">
      <c r="C170" s="93" t="s">
        <v>146</v>
      </c>
      <c r="D170" s="95" t="s">
        <v>134</v>
      </c>
      <c r="E170" s="96"/>
      <c r="F170" s="97"/>
    </row>
    <row r="171" spans="3:8" ht="18" thickBot="1" x14ac:dyDescent="0.3">
      <c r="C171" s="94"/>
      <c r="D171" s="98" t="s">
        <v>191</v>
      </c>
      <c r="E171" s="99"/>
      <c r="F171" s="100"/>
    </row>
    <row r="172" spans="3:8" ht="16.2" thickBot="1" x14ac:dyDescent="0.3">
      <c r="C172" s="41" t="s">
        <v>148</v>
      </c>
      <c r="D172" s="90" t="s">
        <v>192</v>
      </c>
      <c r="E172" s="91"/>
      <c r="F172" s="92"/>
    </row>
    <row r="173" spans="3:8" ht="16.2" thickBot="1" x14ac:dyDescent="0.3">
      <c r="C173" s="41" t="s">
        <v>150</v>
      </c>
      <c r="D173" s="42">
        <v>42981</v>
      </c>
      <c r="E173" s="41" t="s">
        <v>151</v>
      </c>
      <c r="F173" s="42">
        <v>42985</v>
      </c>
    </row>
    <row r="174" spans="3:8" ht="31.8" thickBot="1" x14ac:dyDescent="0.3">
      <c r="C174" s="41" t="s">
        <v>152</v>
      </c>
      <c r="D174" s="41" t="s">
        <v>153</v>
      </c>
      <c r="E174" s="41" t="s">
        <v>154</v>
      </c>
      <c r="F174" s="41">
        <v>11083.22</v>
      </c>
      <c r="H174" s="45">
        <f>4987440/11083.22</f>
        <v>450</v>
      </c>
    </row>
    <row r="175" spans="3:8" ht="31.8" thickBot="1" x14ac:dyDescent="0.3">
      <c r="C175" s="41" t="s">
        <v>155</v>
      </c>
      <c r="D175" s="43"/>
      <c r="E175" s="41" t="s">
        <v>156</v>
      </c>
      <c r="F175" s="41" t="s">
        <v>157</v>
      </c>
    </row>
    <row r="176" spans="3:8" ht="31.8" thickBot="1" x14ac:dyDescent="0.3">
      <c r="C176" s="41" t="s">
        <v>158</v>
      </c>
      <c r="D176" s="41">
        <v>50</v>
      </c>
      <c r="E176" s="41" t="s">
        <v>159</v>
      </c>
      <c r="F176" s="41" t="s">
        <v>160</v>
      </c>
    </row>
    <row r="177" spans="3:8" ht="31.8" thickBot="1" x14ac:dyDescent="0.3">
      <c r="C177" s="41" t="s">
        <v>161</v>
      </c>
      <c r="D177" s="41">
        <v>498.74400000000003</v>
      </c>
      <c r="E177" s="41" t="s">
        <v>162</v>
      </c>
      <c r="F177" s="41">
        <v>498.74400000000003</v>
      </c>
    </row>
    <row r="178" spans="3:8" ht="31.8" thickBot="1" x14ac:dyDescent="0.3">
      <c r="C178" s="41" t="s">
        <v>163</v>
      </c>
      <c r="D178" s="41" t="s">
        <v>193</v>
      </c>
      <c r="E178" s="41" t="s">
        <v>165</v>
      </c>
      <c r="F178" s="44">
        <v>42981</v>
      </c>
    </row>
    <row r="179" spans="3:8" ht="16.2" thickBot="1" x14ac:dyDescent="0.3">
      <c r="C179" s="41" t="s">
        <v>166</v>
      </c>
      <c r="D179" s="90" t="s">
        <v>185</v>
      </c>
      <c r="E179" s="91"/>
      <c r="F179" s="92"/>
    </row>
    <row r="182" spans="3:8" ht="21.75" customHeight="1" x14ac:dyDescent="0.25">
      <c r="C182" s="82" t="s">
        <v>132</v>
      </c>
      <c r="D182" s="82"/>
      <c r="E182" s="82"/>
      <c r="F182" s="82"/>
    </row>
    <row r="183" spans="3:8" ht="15" thickBot="1" x14ac:dyDescent="0.3">
      <c r="C183" s="83"/>
      <c r="D183" s="83"/>
      <c r="E183" s="83"/>
      <c r="F183" s="83"/>
    </row>
    <row r="184" spans="3:8" ht="16.2" thickBot="1" x14ac:dyDescent="0.3">
      <c r="C184" s="41" t="s">
        <v>144</v>
      </c>
      <c r="D184" s="90" t="s">
        <v>194</v>
      </c>
      <c r="E184" s="91"/>
      <c r="F184" s="92"/>
    </row>
    <row r="185" spans="3:8" ht="14.25" customHeight="1" x14ac:dyDescent="0.25">
      <c r="C185" s="93" t="s">
        <v>146</v>
      </c>
      <c r="D185" s="95" t="s">
        <v>134</v>
      </c>
      <c r="E185" s="96"/>
      <c r="F185" s="97"/>
    </row>
    <row r="186" spans="3:8" ht="18" thickBot="1" x14ac:dyDescent="0.3">
      <c r="C186" s="94"/>
      <c r="D186" s="98" t="s">
        <v>195</v>
      </c>
      <c r="E186" s="99"/>
      <c r="F186" s="100"/>
    </row>
    <row r="187" spans="3:8" ht="16.2" thickBot="1" x14ac:dyDescent="0.3">
      <c r="C187" s="41" t="s">
        <v>148</v>
      </c>
      <c r="D187" s="90" t="s">
        <v>196</v>
      </c>
      <c r="E187" s="91"/>
      <c r="F187" s="92"/>
    </row>
    <row r="188" spans="3:8" ht="16.2" thickBot="1" x14ac:dyDescent="0.3">
      <c r="C188" s="41" t="s">
        <v>150</v>
      </c>
      <c r="D188" s="42">
        <v>42981</v>
      </c>
      <c r="E188" s="41" t="s">
        <v>151</v>
      </c>
      <c r="F188" s="42">
        <v>42985</v>
      </c>
    </row>
    <row r="189" spans="3:8" ht="31.8" thickBot="1" x14ac:dyDescent="0.3">
      <c r="C189" s="41" t="s">
        <v>152</v>
      </c>
      <c r="D189" s="41" t="s">
        <v>153</v>
      </c>
      <c r="E189" s="41" t="s">
        <v>154</v>
      </c>
      <c r="F189" s="41">
        <v>11421.69</v>
      </c>
      <c r="H189">
        <f>5139760/11421.69</f>
        <v>449.99995622364099</v>
      </c>
    </row>
    <row r="190" spans="3:8" ht="31.8" thickBot="1" x14ac:dyDescent="0.3">
      <c r="C190" s="41" t="s">
        <v>155</v>
      </c>
      <c r="D190" s="43"/>
      <c r="E190" s="41" t="s">
        <v>156</v>
      </c>
      <c r="F190" s="41" t="s">
        <v>157</v>
      </c>
    </row>
    <row r="191" spans="3:8" ht="31.8" thickBot="1" x14ac:dyDescent="0.3">
      <c r="C191" s="41" t="s">
        <v>158</v>
      </c>
      <c r="D191" s="41">
        <v>50</v>
      </c>
      <c r="E191" s="41" t="s">
        <v>159</v>
      </c>
      <c r="F191" s="41" t="s">
        <v>160</v>
      </c>
    </row>
    <row r="192" spans="3:8" ht="31.8" thickBot="1" x14ac:dyDescent="0.3">
      <c r="C192" s="41" t="s">
        <v>161</v>
      </c>
      <c r="D192" s="41">
        <v>513.976</v>
      </c>
      <c r="E192" s="41" t="s">
        <v>162</v>
      </c>
      <c r="F192" s="41">
        <v>513.976</v>
      </c>
    </row>
    <row r="193" spans="3:6" ht="31.8" thickBot="1" x14ac:dyDescent="0.3">
      <c r="C193" s="41" t="s">
        <v>163</v>
      </c>
      <c r="D193" s="41" t="s">
        <v>197</v>
      </c>
      <c r="E193" s="41" t="s">
        <v>165</v>
      </c>
      <c r="F193" s="44">
        <v>42981</v>
      </c>
    </row>
    <row r="194" spans="3:6" ht="16.2" thickBot="1" x14ac:dyDescent="0.3">
      <c r="C194" s="41" t="s">
        <v>166</v>
      </c>
      <c r="D194" s="90" t="s">
        <v>185</v>
      </c>
      <c r="E194" s="91"/>
      <c r="F194" s="92"/>
    </row>
  </sheetData>
  <mergeCells count="96">
    <mergeCell ref="D187:F187"/>
    <mergeCell ref="D194:F194"/>
    <mergeCell ref="D172:F172"/>
    <mergeCell ref="D179:F179"/>
    <mergeCell ref="C182:F182"/>
    <mergeCell ref="C183:F183"/>
    <mergeCell ref="D184:F184"/>
    <mergeCell ref="C185:C186"/>
    <mergeCell ref="D185:F185"/>
    <mergeCell ref="D186:F186"/>
    <mergeCell ref="C167:F167"/>
    <mergeCell ref="C168:F168"/>
    <mergeCell ref="D169:F169"/>
    <mergeCell ref="C170:C171"/>
    <mergeCell ref="D170:F170"/>
    <mergeCell ref="D171:F171"/>
    <mergeCell ref="D150:F150"/>
    <mergeCell ref="C155:D155"/>
    <mergeCell ref="E155:F155"/>
    <mergeCell ref="D157:F157"/>
    <mergeCell ref="D134:F134"/>
    <mergeCell ref="D141:F141"/>
    <mergeCell ref="C146:F146"/>
    <mergeCell ref="C147:F147"/>
    <mergeCell ref="D148:F148"/>
    <mergeCell ref="D149:F149"/>
    <mergeCell ref="D124:F124"/>
    <mergeCell ref="C129:F129"/>
    <mergeCell ref="C130:F130"/>
    <mergeCell ref="D131:F131"/>
    <mergeCell ref="C132:C133"/>
    <mergeCell ref="D132:F132"/>
    <mergeCell ref="D133:F133"/>
    <mergeCell ref="C114:F114"/>
    <mergeCell ref="D115:F115"/>
    <mergeCell ref="D116:F116"/>
    <mergeCell ref="D117:F117"/>
    <mergeCell ref="C122:D122"/>
    <mergeCell ref="E122:F122"/>
    <mergeCell ref="C113:F113"/>
    <mergeCell ref="C89:D89"/>
    <mergeCell ref="E89:F89"/>
    <mergeCell ref="D91:F91"/>
    <mergeCell ref="C96:F96"/>
    <mergeCell ref="C97:F97"/>
    <mergeCell ref="D98:F98"/>
    <mergeCell ref="D99:F99"/>
    <mergeCell ref="D100:F100"/>
    <mergeCell ref="C105:D105"/>
    <mergeCell ref="E105:F105"/>
    <mergeCell ref="D107:F107"/>
    <mergeCell ref="D84:F84"/>
    <mergeCell ref="C64:F64"/>
    <mergeCell ref="D65:F65"/>
    <mergeCell ref="C66:C67"/>
    <mergeCell ref="D66:F66"/>
    <mergeCell ref="D67:F67"/>
    <mergeCell ref="D68:F68"/>
    <mergeCell ref="D75:F75"/>
    <mergeCell ref="C80:F80"/>
    <mergeCell ref="C81:F81"/>
    <mergeCell ref="D82:F82"/>
    <mergeCell ref="D83:F83"/>
    <mergeCell ref="C63:F63"/>
    <mergeCell ref="C41:D41"/>
    <mergeCell ref="E41:F41"/>
    <mergeCell ref="D43:F43"/>
    <mergeCell ref="C47:F47"/>
    <mergeCell ref="C48:F48"/>
    <mergeCell ref="D49:F49"/>
    <mergeCell ref="C50:C51"/>
    <mergeCell ref="D50:F50"/>
    <mergeCell ref="D51:F51"/>
    <mergeCell ref="D52:F52"/>
    <mergeCell ref="D59:F59"/>
    <mergeCell ref="D36:F36"/>
    <mergeCell ref="C20:F20"/>
    <mergeCell ref="D21:F21"/>
    <mergeCell ref="D22:F22"/>
    <mergeCell ref="D23:F23"/>
    <mergeCell ref="C28:D28"/>
    <mergeCell ref="E28:F28"/>
    <mergeCell ref="D30:F30"/>
    <mergeCell ref="C32:F32"/>
    <mergeCell ref="C33:F33"/>
    <mergeCell ref="D34:F34"/>
    <mergeCell ref="D35:F35"/>
    <mergeCell ref="C19:F19"/>
    <mergeCell ref="C3:F3"/>
    <mergeCell ref="C4:F4"/>
    <mergeCell ref="D5:F5"/>
    <mergeCell ref="D6:F6"/>
    <mergeCell ref="D7:F7"/>
    <mergeCell ref="C12:D12"/>
    <mergeCell ref="E12:F12"/>
    <mergeCell ref="D14:F14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2"/>
  <sheetViews>
    <sheetView tabSelected="1" workbookViewId="0">
      <selection activeCell="E10" sqref="E10"/>
    </sheetView>
  </sheetViews>
  <sheetFormatPr defaultColWidth="9" defaultRowHeight="13.2" x14ac:dyDescent="0.25"/>
  <cols>
    <col min="1" max="1" width="6" style="7" customWidth="1"/>
    <col min="2" max="2" width="6.6640625" style="7" customWidth="1"/>
    <col min="3" max="3" width="16.5546875" style="7" customWidth="1"/>
    <col min="4" max="4" width="28.5546875" style="7" customWidth="1"/>
    <col min="5" max="5" width="10.109375" style="7" customWidth="1"/>
    <col min="6" max="6" width="16.33203125" style="7" customWidth="1"/>
    <col min="7" max="7" width="50.21875" style="7" customWidth="1"/>
    <col min="8" max="9" width="11.33203125" style="7" customWidth="1"/>
    <col min="10" max="10" width="15" style="3" customWidth="1"/>
    <col min="11" max="11" width="12.6640625" style="3" customWidth="1"/>
    <col min="12" max="12" width="12.21875" style="3" customWidth="1"/>
    <col min="13" max="16384" width="9" style="3"/>
  </cols>
  <sheetData>
    <row r="1" spans="1:9" ht="24.6" customHeight="1" x14ac:dyDescent="0.25">
      <c r="A1" s="104" t="s">
        <v>241</v>
      </c>
      <c r="B1" s="105"/>
      <c r="C1" s="105"/>
      <c r="D1" s="105"/>
      <c r="E1" s="105"/>
      <c r="F1" s="105"/>
      <c r="G1" s="105"/>
    </row>
    <row r="2" spans="1:9" ht="21.9" customHeight="1" x14ac:dyDescent="0.25">
      <c r="B2" s="77"/>
      <c r="C2" s="77"/>
      <c r="D2" s="77"/>
      <c r="E2" s="77"/>
      <c r="F2" s="12"/>
    </row>
    <row r="3" spans="1:9" s="68" customFormat="1" ht="21.9" customHeight="1" x14ac:dyDescent="0.25">
      <c r="A3" s="65" t="s">
        <v>2</v>
      </c>
      <c r="B3" s="101" t="s">
        <v>3</v>
      </c>
      <c r="C3" s="102"/>
      <c r="D3" s="65" t="s">
        <v>4</v>
      </c>
      <c r="E3" s="65" t="s">
        <v>5</v>
      </c>
      <c r="F3" s="65" t="s">
        <v>6</v>
      </c>
      <c r="G3" s="65" t="s">
        <v>7</v>
      </c>
      <c r="H3" s="73"/>
      <c r="I3" s="73"/>
    </row>
    <row r="4" spans="1:9" s="68" customFormat="1" ht="21.9" customHeight="1" x14ac:dyDescent="0.25">
      <c r="A4" s="108" t="s">
        <v>8</v>
      </c>
      <c r="B4" s="107" t="s">
        <v>227</v>
      </c>
      <c r="C4" s="102"/>
      <c r="D4" s="65"/>
      <c r="E4" s="65"/>
      <c r="F4" s="66">
        <f>F5+F6</f>
        <v>597185.76</v>
      </c>
      <c r="G4" s="67"/>
      <c r="H4" s="74"/>
      <c r="I4" s="74"/>
    </row>
    <row r="5" spans="1:9" s="68" customFormat="1" ht="21.9" customHeight="1" x14ac:dyDescent="0.25">
      <c r="A5" s="109"/>
      <c r="B5" s="108" t="s">
        <v>222</v>
      </c>
      <c r="C5" s="72" t="s">
        <v>228</v>
      </c>
      <c r="D5" s="65"/>
      <c r="E5" s="65"/>
      <c r="F5" s="66">
        <f>[3]案例计算表!$E$48</f>
        <v>579792</v>
      </c>
      <c r="G5" s="67" t="s">
        <v>234</v>
      </c>
      <c r="H5" s="74"/>
      <c r="I5" s="74"/>
    </row>
    <row r="6" spans="1:9" s="68" customFormat="1" ht="21.9" customHeight="1" x14ac:dyDescent="0.25">
      <c r="A6" s="110"/>
      <c r="B6" s="110"/>
      <c r="C6" s="72" t="s">
        <v>230</v>
      </c>
      <c r="D6" s="65"/>
      <c r="E6" s="69">
        <v>0.03</v>
      </c>
      <c r="F6" s="66">
        <f>F5*E6</f>
        <v>17393.759999999998</v>
      </c>
      <c r="G6" s="67" t="s">
        <v>240</v>
      </c>
      <c r="H6" s="74"/>
      <c r="I6" s="74"/>
    </row>
    <row r="7" spans="1:9" s="68" customFormat="1" ht="21.9" customHeight="1" x14ac:dyDescent="0.25">
      <c r="A7" s="37" t="s">
        <v>10</v>
      </c>
      <c r="B7" s="107" t="s">
        <v>226</v>
      </c>
      <c r="C7" s="102"/>
      <c r="D7" s="65"/>
      <c r="E7" s="65"/>
      <c r="F7" s="66">
        <f>'[4]P-建-1'!$K$11</f>
        <v>17535900</v>
      </c>
      <c r="G7" s="67" t="s">
        <v>239</v>
      </c>
      <c r="H7" s="73"/>
      <c r="I7" s="73"/>
    </row>
    <row r="8" spans="1:9" s="68" customFormat="1" ht="21.9" customHeight="1" x14ac:dyDescent="0.25">
      <c r="A8" s="65" t="s">
        <v>11</v>
      </c>
      <c r="B8" s="101" t="s">
        <v>12</v>
      </c>
      <c r="C8" s="102"/>
      <c r="D8" s="65" t="s">
        <v>13</v>
      </c>
      <c r="E8" s="69">
        <v>0.03</v>
      </c>
      <c r="F8" s="66">
        <f>ROUND((F4+F7)*E8,0)</f>
        <v>543993</v>
      </c>
      <c r="G8" s="76" t="s">
        <v>231</v>
      </c>
      <c r="H8" s="73"/>
      <c r="I8" s="73"/>
    </row>
    <row r="9" spans="1:9" s="68" customFormat="1" ht="21.9" customHeight="1" x14ac:dyDescent="0.25">
      <c r="A9" s="65" t="s">
        <v>14</v>
      </c>
      <c r="B9" s="101" t="s">
        <v>15</v>
      </c>
      <c r="C9" s="102"/>
      <c r="D9" s="65" t="s">
        <v>13</v>
      </c>
      <c r="E9" s="69">
        <v>0.03</v>
      </c>
      <c r="F9" s="66">
        <f>ROUND((F4+F7)*E9,0)</f>
        <v>543993</v>
      </c>
      <c r="G9" s="76" t="s">
        <v>232</v>
      </c>
      <c r="H9" s="73"/>
      <c r="I9" s="73"/>
    </row>
    <row r="10" spans="1:9" s="68" customFormat="1" ht="21.9" customHeight="1" x14ac:dyDescent="0.25">
      <c r="A10" s="65" t="s">
        <v>16</v>
      </c>
      <c r="B10" s="101" t="s">
        <v>17</v>
      </c>
      <c r="C10" s="102"/>
      <c r="D10" s="111" t="s">
        <v>224</v>
      </c>
      <c r="E10" s="70">
        <v>4.7500000000000001E-2</v>
      </c>
      <c r="F10" s="66">
        <f>ROUND(F4*E10*2+(F7+F8+F9)*E10*2/2,0)</f>
        <v>941367</v>
      </c>
      <c r="G10" s="76" t="s">
        <v>233</v>
      </c>
      <c r="H10" s="73"/>
      <c r="I10" s="73"/>
    </row>
    <row r="11" spans="1:9" s="68" customFormat="1" ht="21.9" customHeight="1" x14ac:dyDescent="0.25">
      <c r="A11" s="65" t="s">
        <v>19</v>
      </c>
      <c r="B11" s="101" t="s">
        <v>20</v>
      </c>
      <c r="C11" s="102"/>
      <c r="D11" s="65" t="s">
        <v>13</v>
      </c>
      <c r="E11" s="69">
        <v>0.12</v>
      </c>
      <c r="F11" s="66">
        <f>ROUND((F4+F7)*E11,0)</f>
        <v>2175970</v>
      </c>
      <c r="G11" s="76" t="s">
        <v>237</v>
      </c>
      <c r="H11" s="73"/>
      <c r="I11" s="73"/>
    </row>
    <row r="12" spans="1:9" s="68" customFormat="1" ht="21.9" customHeight="1" x14ac:dyDescent="0.25">
      <c r="A12" s="65" t="s">
        <v>21</v>
      </c>
      <c r="B12" s="101" t="s">
        <v>22</v>
      </c>
      <c r="C12" s="102"/>
      <c r="D12" s="65" t="s">
        <v>23</v>
      </c>
      <c r="E12" s="70">
        <v>0.05</v>
      </c>
      <c r="F12" s="66">
        <f>ROUND((F4+F7+F8+F9+F10+F11)*E12,0)</f>
        <v>1116920</v>
      </c>
      <c r="G12" s="67" t="s">
        <v>238</v>
      </c>
      <c r="H12" s="73"/>
      <c r="I12" s="73"/>
    </row>
    <row r="13" spans="1:9" s="68" customFormat="1" ht="21.9" customHeight="1" x14ac:dyDescent="0.25">
      <c r="A13" s="71" t="s">
        <v>225</v>
      </c>
      <c r="B13" s="103" t="s">
        <v>235</v>
      </c>
      <c r="C13" s="102"/>
      <c r="D13" s="65" t="s">
        <v>229</v>
      </c>
      <c r="E13" s="65"/>
      <c r="F13" s="66">
        <f>ROUND(F4+F7+F8+F9+F10+F11+F12,-2)</f>
        <v>23455300</v>
      </c>
      <c r="G13" s="65"/>
      <c r="H13" s="73"/>
      <c r="I13" s="73"/>
    </row>
    <row r="14" spans="1:9" s="68" customFormat="1" ht="21.9" customHeight="1" x14ac:dyDescent="0.25">
      <c r="A14" s="2"/>
      <c r="B14" s="78"/>
      <c r="C14" s="79"/>
      <c r="D14" s="2"/>
      <c r="E14" s="2"/>
      <c r="F14" s="2"/>
      <c r="G14" s="2"/>
      <c r="H14" s="73"/>
      <c r="I14" s="73"/>
    </row>
    <row r="15" spans="1:9" ht="21.9" customHeight="1" x14ac:dyDescent="0.25">
      <c r="A15" s="62"/>
      <c r="B15" s="62"/>
      <c r="C15" s="62"/>
      <c r="D15" s="62"/>
      <c r="E15" s="62"/>
      <c r="F15" s="62"/>
      <c r="G15" s="62"/>
      <c r="H15" s="62"/>
      <c r="I15" s="62"/>
    </row>
    <row r="16" spans="1:9" ht="21.9" customHeight="1" x14ac:dyDescent="0.25">
      <c r="A16" s="62"/>
      <c r="B16" s="62"/>
      <c r="C16" s="106" t="s">
        <v>236</v>
      </c>
      <c r="D16" s="106"/>
      <c r="E16" s="106"/>
      <c r="F16" s="106"/>
      <c r="G16" s="106"/>
      <c r="H16" s="62"/>
      <c r="I16" s="62"/>
    </row>
    <row r="17" spans="1:9" ht="21.9" customHeight="1" x14ac:dyDescent="0.25">
      <c r="A17" s="62"/>
      <c r="B17" s="62"/>
      <c r="C17" s="62"/>
      <c r="D17" s="62"/>
      <c r="E17" s="62"/>
      <c r="F17" s="62"/>
      <c r="G17" s="62"/>
      <c r="H17" s="62"/>
      <c r="I17" s="62"/>
    </row>
    <row r="18" spans="1:9" ht="21.9" customHeight="1" x14ac:dyDescent="0.25">
      <c r="A18" s="62"/>
      <c r="B18" s="62"/>
      <c r="C18" s="62"/>
      <c r="D18" s="62"/>
      <c r="E18" s="62"/>
      <c r="F18" s="62"/>
      <c r="G18" s="62"/>
      <c r="H18" s="62"/>
      <c r="I18" s="62"/>
    </row>
    <row r="19" spans="1:9" ht="21.9" customHeight="1" x14ac:dyDescent="0.25">
      <c r="A19" s="62"/>
      <c r="B19" s="62"/>
      <c r="C19" s="62"/>
      <c r="D19" s="62"/>
      <c r="E19" s="62"/>
      <c r="F19" s="62"/>
      <c r="G19" s="62"/>
      <c r="H19" s="62"/>
      <c r="I19" s="62"/>
    </row>
    <row r="20" spans="1:9" ht="21.9" customHeight="1" x14ac:dyDescent="0.25">
      <c r="A20" s="62"/>
      <c r="B20" s="62"/>
      <c r="C20" s="62"/>
      <c r="D20" s="62"/>
      <c r="E20" s="62"/>
      <c r="F20" s="62"/>
      <c r="G20" s="62"/>
      <c r="H20" s="62"/>
      <c r="I20" s="62"/>
    </row>
    <row r="21" spans="1:9" x14ac:dyDescent="0.25">
      <c r="H21" s="62"/>
      <c r="I21" s="62"/>
    </row>
    <row r="22" spans="1:9" x14ac:dyDescent="0.25">
      <c r="G22" s="8"/>
    </row>
  </sheetData>
  <mergeCells count="15">
    <mergeCell ref="B12:C12"/>
    <mergeCell ref="B13:C13"/>
    <mergeCell ref="B9:C9"/>
    <mergeCell ref="A1:G1"/>
    <mergeCell ref="C16:G16"/>
    <mergeCell ref="B2:E2"/>
    <mergeCell ref="B3:C3"/>
    <mergeCell ref="B4:C4"/>
    <mergeCell ref="B7:C7"/>
    <mergeCell ref="B8:C8"/>
    <mergeCell ref="B14:C14"/>
    <mergeCell ref="A4:A6"/>
    <mergeCell ref="B5:B6"/>
    <mergeCell ref="B10:C10"/>
    <mergeCell ref="B11:C1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1</vt:i4>
      </vt:variant>
    </vt:vector>
  </HeadingPairs>
  <TitlesOfParts>
    <vt:vector size="6" baseType="lpstr">
      <vt:lpstr>房地合一成本法</vt:lpstr>
      <vt:lpstr>综合补偿价</vt:lpstr>
      <vt:lpstr>出让用地成交案例</vt:lpstr>
      <vt:lpstr>集体土地成交案例</vt:lpstr>
      <vt:lpstr>综合楼成本法计算表</vt:lpstr>
      <vt:lpstr>房地合一成本法!Print_Area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lv</dc:creator>
  <cp:lastModifiedBy>Windows 用户</cp:lastModifiedBy>
  <cp:lastPrinted>2017-05-15T02:23:05Z</cp:lastPrinted>
  <dcterms:created xsi:type="dcterms:W3CDTF">2017-04-18T08:34:11Z</dcterms:created>
  <dcterms:modified xsi:type="dcterms:W3CDTF">2019-05-09T06:19:42Z</dcterms:modified>
</cp:coreProperties>
</file>